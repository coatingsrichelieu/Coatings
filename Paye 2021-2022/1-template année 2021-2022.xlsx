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codeName="ThisWorkbook" defaultThemeVersion="124226"/>
  <mc:AlternateContent xmlns:mc="http://schemas.openxmlformats.org/markup-compatibility/2006">
    <mc:Choice Requires="x15">
      <x15ac:absPath xmlns:x15ac="http://schemas.microsoft.com/office/spreadsheetml/2010/11/ac" url="C:\Users\zcomfortin\Desktop\Employé\Paye 2021-2022\"/>
    </mc:Choice>
  </mc:AlternateContent>
  <xr:revisionPtr revIDLastSave="0" documentId="13_ncr:1_{82ACD7F1-17B4-4E17-9099-52268B0AE2A3}" xr6:coauthVersionLast="47" xr6:coauthVersionMax="47" xr10:uidLastSave="{00000000-0000-0000-0000-000000000000}"/>
  <bookViews>
    <workbookView xWindow="-110" yWindow="-110" windowWidth="19420" windowHeight="10420" activeTab="1" xr2:uid="{00000000-000D-0000-FFFF-FFFF00000000}"/>
  </bookViews>
  <sheets>
    <sheet name="TIMESHEETS" sheetId="1" r:id="rId1"/>
    <sheet name="VACATION" sheetId="2" r:id="rId2"/>
  </sheets>
  <definedNames>
    <definedName name="_xlnm.Print_Area" localSheetId="0">TIMESHEETS!$A$1850:$AX$1920</definedName>
    <definedName name="_xlnm.Print_Area" localSheetId="1">VACATION!$B$1:$AL$123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37" i="1" l="1"/>
  <c r="B1737" i="1"/>
  <c r="D1736" i="1"/>
  <c r="AU681" i="1"/>
  <c r="B91" i="1"/>
  <c r="U47" i="1" l="1"/>
  <c r="U1913" i="1" l="1"/>
  <c r="U1911" i="1"/>
  <c r="U1909" i="1"/>
  <c r="AK1907" i="1"/>
  <c r="U1907" i="1"/>
  <c r="AK1905" i="1"/>
  <c r="U1905" i="1"/>
  <c r="AK1903" i="1"/>
  <c r="U1903" i="1"/>
  <c r="AK1901" i="1"/>
  <c r="U1901" i="1"/>
  <c r="AK1899" i="1"/>
  <c r="U1899" i="1"/>
  <c r="AK1897" i="1"/>
  <c r="U1897" i="1"/>
  <c r="AK1895" i="1"/>
  <c r="U1895" i="1"/>
  <c r="AK1893" i="1"/>
  <c r="U1893" i="1"/>
  <c r="AK1891" i="1"/>
  <c r="U1891" i="1"/>
  <c r="AK1889" i="1"/>
  <c r="U1889" i="1"/>
  <c r="AK1887" i="1"/>
  <c r="U1887" i="1"/>
  <c r="AK1885" i="1"/>
  <c r="U1885" i="1"/>
  <c r="AK1883" i="1"/>
  <c r="U1883" i="1"/>
  <c r="AK1881" i="1"/>
  <c r="U1881" i="1"/>
  <c r="AK1879" i="1"/>
  <c r="U1879" i="1"/>
  <c r="AK1877" i="1"/>
  <c r="U1877" i="1"/>
  <c r="AK1875" i="1"/>
  <c r="U1875" i="1"/>
  <c r="AK1873" i="1"/>
  <c r="U1873" i="1"/>
  <c r="AK1871" i="1"/>
  <c r="U1871" i="1"/>
  <c r="AK1869" i="1"/>
  <c r="U1869" i="1"/>
  <c r="AK1867" i="1"/>
  <c r="U1867" i="1"/>
  <c r="AK1865" i="1"/>
  <c r="U1865" i="1"/>
  <c r="U1839" i="1"/>
  <c r="U1837" i="1"/>
  <c r="U1835" i="1"/>
  <c r="AK1833" i="1"/>
  <c r="U1833" i="1"/>
  <c r="AK1831" i="1"/>
  <c r="U1831" i="1"/>
  <c r="AK1829" i="1"/>
  <c r="U1829" i="1"/>
  <c r="AK1827" i="1"/>
  <c r="U1827" i="1"/>
  <c r="AK1825" i="1"/>
  <c r="U1825" i="1"/>
  <c r="AK1823" i="1"/>
  <c r="U1823" i="1"/>
  <c r="AK1821" i="1"/>
  <c r="U1821" i="1"/>
  <c r="AK1819" i="1"/>
  <c r="U1819" i="1"/>
  <c r="AK1817" i="1"/>
  <c r="U1817" i="1"/>
  <c r="AK1815" i="1"/>
  <c r="U1815" i="1"/>
  <c r="AK1813" i="1"/>
  <c r="U1813" i="1"/>
  <c r="AK1811" i="1"/>
  <c r="U1811" i="1"/>
  <c r="AK1809" i="1"/>
  <c r="U1809" i="1"/>
  <c r="AK1807" i="1"/>
  <c r="U1807" i="1"/>
  <c r="AK1805" i="1"/>
  <c r="U1805" i="1"/>
  <c r="AK1803" i="1"/>
  <c r="U1803" i="1"/>
  <c r="AK1801" i="1"/>
  <c r="U1801" i="1"/>
  <c r="AK1799" i="1"/>
  <c r="U1799" i="1"/>
  <c r="AK1797" i="1"/>
  <c r="U1797" i="1"/>
  <c r="AK1795" i="1"/>
  <c r="U1795" i="1"/>
  <c r="AK1793" i="1"/>
  <c r="U1793" i="1"/>
  <c r="AK1791" i="1"/>
  <c r="U1791" i="1"/>
  <c r="U1765" i="1"/>
  <c r="U1763" i="1"/>
  <c r="U1761" i="1"/>
  <c r="AK1759" i="1"/>
  <c r="U1759" i="1"/>
  <c r="AK1757" i="1"/>
  <c r="U1757" i="1"/>
  <c r="AK1755" i="1"/>
  <c r="U1755" i="1"/>
  <c r="AK1753" i="1"/>
  <c r="U1753" i="1"/>
  <c r="AK1751" i="1"/>
  <c r="U1751" i="1"/>
  <c r="AK1749" i="1"/>
  <c r="U1749" i="1"/>
  <c r="AK1747" i="1"/>
  <c r="U1747" i="1"/>
  <c r="AK1745" i="1"/>
  <c r="U1745" i="1"/>
  <c r="AK1743" i="1"/>
  <c r="U1743" i="1"/>
  <c r="AK1741" i="1"/>
  <c r="U1741" i="1"/>
  <c r="AK1739" i="1"/>
  <c r="U1739" i="1"/>
  <c r="AK1737" i="1"/>
  <c r="U1737" i="1"/>
  <c r="AK1735" i="1"/>
  <c r="U1735" i="1"/>
  <c r="AK1733" i="1"/>
  <c r="U1733" i="1"/>
  <c r="AK1731" i="1"/>
  <c r="U1731" i="1"/>
  <c r="AK1729" i="1"/>
  <c r="U1729" i="1"/>
  <c r="AK1727" i="1"/>
  <c r="U1727" i="1"/>
  <c r="AK1725" i="1"/>
  <c r="U1725" i="1"/>
  <c r="AK1723" i="1"/>
  <c r="U1723" i="1"/>
  <c r="AK1721" i="1"/>
  <c r="U1721" i="1"/>
  <c r="AK1719" i="1"/>
  <c r="U1719" i="1"/>
  <c r="AK1717" i="1"/>
  <c r="U1717" i="1"/>
  <c r="U1691" i="1"/>
  <c r="U1689" i="1"/>
  <c r="U1687" i="1"/>
  <c r="AK1685" i="1"/>
  <c r="U1685" i="1"/>
  <c r="AK1683" i="1"/>
  <c r="U1683" i="1"/>
  <c r="AK1681" i="1"/>
  <c r="U1681" i="1"/>
  <c r="AK1679" i="1"/>
  <c r="U1679" i="1"/>
  <c r="AK1677" i="1"/>
  <c r="U1677" i="1"/>
  <c r="AK1675" i="1"/>
  <c r="U1675" i="1"/>
  <c r="AK1673" i="1"/>
  <c r="U1673" i="1"/>
  <c r="AK1671" i="1"/>
  <c r="U1671" i="1"/>
  <c r="AK1669" i="1"/>
  <c r="U1669" i="1"/>
  <c r="AK1667" i="1"/>
  <c r="U1667" i="1"/>
  <c r="AK1665" i="1"/>
  <c r="U1665" i="1"/>
  <c r="AK1663" i="1"/>
  <c r="U1663" i="1"/>
  <c r="AK1661" i="1"/>
  <c r="U1661" i="1"/>
  <c r="AK1659" i="1"/>
  <c r="U1659" i="1"/>
  <c r="AK1657" i="1"/>
  <c r="U1657" i="1"/>
  <c r="AK1655" i="1"/>
  <c r="U1655" i="1"/>
  <c r="AK1653" i="1"/>
  <c r="U1653" i="1"/>
  <c r="AK1651" i="1"/>
  <c r="U1651" i="1"/>
  <c r="AK1649" i="1"/>
  <c r="U1649" i="1"/>
  <c r="AK1647" i="1"/>
  <c r="U1647" i="1"/>
  <c r="AK1645" i="1"/>
  <c r="U1645" i="1"/>
  <c r="AK1643" i="1"/>
  <c r="U1643" i="1"/>
  <c r="U1617" i="1"/>
  <c r="U1615" i="1"/>
  <c r="U1613" i="1"/>
  <c r="AK1611" i="1"/>
  <c r="U1611" i="1"/>
  <c r="AK1609" i="1"/>
  <c r="U1609" i="1"/>
  <c r="AK1607" i="1"/>
  <c r="U1607" i="1"/>
  <c r="AK1605" i="1"/>
  <c r="U1605" i="1"/>
  <c r="AK1603" i="1"/>
  <c r="U1603" i="1"/>
  <c r="AK1601" i="1"/>
  <c r="U1601" i="1"/>
  <c r="AK1599" i="1"/>
  <c r="U1599" i="1"/>
  <c r="AK1597" i="1"/>
  <c r="U1597" i="1"/>
  <c r="AK1595" i="1"/>
  <c r="U1595" i="1"/>
  <c r="AK1593" i="1"/>
  <c r="U1593" i="1"/>
  <c r="AK1591" i="1"/>
  <c r="U1591" i="1"/>
  <c r="AK1589" i="1"/>
  <c r="U1589" i="1"/>
  <c r="AK1587" i="1"/>
  <c r="U1587" i="1"/>
  <c r="AK1585" i="1"/>
  <c r="U1585" i="1"/>
  <c r="AK1583" i="1"/>
  <c r="U1583" i="1"/>
  <c r="AK1581" i="1"/>
  <c r="U1581" i="1"/>
  <c r="AK1579" i="1"/>
  <c r="U1579" i="1"/>
  <c r="AK1577" i="1"/>
  <c r="U1577" i="1"/>
  <c r="AK1575" i="1"/>
  <c r="U1575" i="1"/>
  <c r="AK1573" i="1"/>
  <c r="U1573" i="1"/>
  <c r="AK1571" i="1"/>
  <c r="U1571" i="1"/>
  <c r="AK1569" i="1"/>
  <c r="U1569" i="1"/>
  <c r="U1543" i="1"/>
  <c r="U1541" i="1"/>
  <c r="U1539" i="1"/>
  <c r="AK1537" i="1"/>
  <c r="U1537" i="1"/>
  <c r="AK1535" i="1"/>
  <c r="U1535" i="1"/>
  <c r="AK1533" i="1"/>
  <c r="U1533" i="1"/>
  <c r="AK1531" i="1"/>
  <c r="U1531" i="1"/>
  <c r="AK1529" i="1"/>
  <c r="U1529" i="1"/>
  <c r="AK1527" i="1"/>
  <c r="U1527" i="1"/>
  <c r="AK1525" i="1"/>
  <c r="U1525" i="1"/>
  <c r="AK1523" i="1"/>
  <c r="U1523" i="1"/>
  <c r="AK1521" i="1"/>
  <c r="U1521" i="1"/>
  <c r="AK1519" i="1"/>
  <c r="U1519" i="1"/>
  <c r="AK1517" i="1"/>
  <c r="U1517" i="1"/>
  <c r="AK1515" i="1"/>
  <c r="U1515" i="1"/>
  <c r="AK1513" i="1"/>
  <c r="U1513" i="1"/>
  <c r="AK1511" i="1"/>
  <c r="U1511" i="1"/>
  <c r="AK1509" i="1"/>
  <c r="U1509" i="1"/>
  <c r="AK1507" i="1"/>
  <c r="U1507" i="1"/>
  <c r="AK1505" i="1"/>
  <c r="U1505" i="1"/>
  <c r="AK1503" i="1"/>
  <c r="U1503" i="1"/>
  <c r="AK1501" i="1"/>
  <c r="U1501" i="1"/>
  <c r="AK1499" i="1"/>
  <c r="U1499" i="1"/>
  <c r="AK1497" i="1"/>
  <c r="U1497" i="1"/>
  <c r="AK1495" i="1"/>
  <c r="U1495" i="1"/>
  <c r="U1469" i="1"/>
  <c r="U1467" i="1"/>
  <c r="U1465" i="1"/>
  <c r="AK1463" i="1"/>
  <c r="U1463" i="1"/>
  <c r="AK1461" i="1"/>
  <c r="U1461" i="1"/>
  <c r="AK1459" i="1"/>
  <c r="U1459" i="1"/>
  <c r="AK1457" i="1"/>
  <c r="U1457" i="1"/>
  <c r="AK1455" i="1"/>
  <c r="U1455" i="1"/>
  <c r="AK1453" i="1"/>
  <c r="U1453" i="1"/>
  <c r="AK1451" i="1"/>
  <c r="U1451" i="1"/>
  <c r="AK1449" i="1"/>
  <c r="U1449" i="1"/>
  <c r="AK1447" i="1"/>
  <c r="U1447" i="1"/>
  <c r="AK1445" i="1"/>
  <c r="U1445" i="1"/>
  <c r="AK1443" i="1"/>
  <c r="U1443" i="1"/>
  <c r="AK1441" i="1"/>
  <c r="U1441" i="1"/>
  <c r="AK1439" i="1"/>
  <c r="U1439" i="1"/>
  <c r="AK1437" i="1"/>
  <c r="U1437" i="1"/>
  <c r="AK1435" i="1"/>
  <c r="U1435" i="1"/>
  <c r="AK1433" i="1"/>
  <c r="U1433" i="1"/>
  <c r="AK1431" i="1"/>
  <c r="U1431" i="1"/>
  <c r="AK1429" i="1"/>
  <c r="U1429" i="1"/>
  <c r="AK1427" i="1"/>
  <c r="U1427" i="1"/>
  <c r="AK1425" i="1"/>
  <c r="U1425" i="1"/>
  <c r="AK1423" i="1"/>
  <c r="U1423" i="1"/>
  <c r="AK1421" i="1"/>
  <c r="U1421" i="1"/>
  <c r="U1395" i="1"/>
  <c r="U1393" i="1"/>
  <c r="U1391" i="1"/>
  <c r="AK1389" i="1"/>
  <c r="U1389" i="1"/>
  <c r="AK1387" i="1"/>
  <c r="U1387" i="1"/>
  <c r="AK1385" i="1"/>
  <c r="U1385" i="1"/>
  <c r="AK1383" i="1"/>
  <c r="U1383" i="1"/>
  <c r="AK1381" i="1"/>
  <c r="U1381" i="1"/>
  <c r="AK1379" i="1"/>
  <c r="U1379" i="1"/>
  <c r="AK1377" i="1"/>
  <c r="U1377" i="1"/>
  <c r="AK1375" i="1"/>
  <c r="U1375" i="1"/>
  <c r="AK1373" i="1"/>
  <c r="U1373" i="1"/>
  <c r="AK1371" i="1"/>
  <c r="U1371" i="1"/>
  <c r="AK1369" i="1"/>
  <c r="U1369" i="1"/>
  <c r="AK1367" i="1"/>
  <c r="U1367" i="1"/>
  <c r="AK1365" i="1"/>
  <c r="U1365" i="1"/>
  <c r="AK1363" i="1"/>
  <c r="U1363" i="1"/>
  <c r="AK1361" i="1"/>
  <c r="U1361" i="1"/>
  <c r="AK1359" i="1"/>
  <c r="U1359" i="1"/>
  <c r="AK1357" i="1"/>
  <c r="U1357" i="1"/>
  <c r="AK1355" i="1"/>
  <c r="U1355" i="1"/>
  <c r="AK1353" i="1"/>
  <c r="U1353" i="1"/>
  <c r="AK1351" i="1"/>
  <c r="U1351" i="1"/>
  <c r="AK1349" i="1"/>
  <c r="U1349" i="1"/>
  <c r="AK1347" i="1"/>
  <c r="U1347" i="1"/>
  <c r="U1321" i="1"/>
  <c r="U1319" i="1"/>
  <c r="U1317" i="1"/>
  <c r="AK1315" i="1"/>
  <c r="U1315" i="1"/>
  <c r="AK1313" i="1"/>
  <c r="U1313" i="1"/>
  <c r="AK1311" i="1"/>
  <c r="U1311" i="1"/>
  <c r="AK1309" i="1"/>
  <c r="U1309" i="1"/>
  <c r="AK1307" i="1"/>
  <c r="U1307" i="1"/>
  <c r="AK1305" i="1"/>
  <c r="U1305" i="1"/>
  <c r="AK1303" i="1"/>
  <c r="U1303" i="1"/>
  <c r="AK1301" i="1"/>
  <c r="U1301" i="1"/>
  <c r="AK1299" i="1"/>
  <c r="U1299" i="1"/>
  <c r="AK1297" i="1"/>
  <c r="U1297" i="1"/>
  <c r="AK1295" i="1"/>
  <c r="U1295" i="1"/>
  <c r="AK1293" i="1"/>
  <c r="U1293" i="1"/>
  <c r="AK1291" i="1"/>
  <c r="U1291" i="1"/>
  <c r="AK1289" i="1"/>
  <c r="U1289" i="1"/>
  <c r="AK1287" i="1"/>
  <c r="U1287" i="1"/>
  <c r="AK1285" i="1"/>
  <c r="U1285" i="1"/>
  <c r="AK1283" i="1"/>
  <c r="U1283" i="1"/>
  <c r="AK1281" i="1"/>
  <c r="U1281" i="1"/>
  <c r="AK1279" i="1"/>
  <c r="U1279" i="1"/>
  <c r="AK1277" i="1"/>
  <c r="U1277" i="1"/>
  <c r="AK1275" i="1"/>
  <c r="U1275" i="1"/>
  <c r="AK1273" i="1"/>
  <c r="U1273" i="1"/>
  <c r="U1247" i="1"/>
  <c r="U1245" i="1"/>
  <c r="U1243" i="1"/>
  <c r="AK1241" i="1"/>
  <c r="U1241" i="1"/>
  <c r="AK1239" i="1"/>
  <c r="U1239" i="1"/>
  <c r="AK1237" i="1"/>
  <c r="U1237" i="1"/>
  <c r="AK1235" i="1"/>
  <c r="U1235" i="1"/>
  <c r="AK1233" i="1"/>
  <c r="U1233" i="1"/>
  <c r="AK1231" i="1"/>
  <c r="U1231" i="1"/>
  <c r="AK1229" i="1"/>
  <c r="U1229" i="1"/>
  <c r="AK1227" i="1"/>
  <c r="U1227" i="1"/>
  <c r="AK1225" i="1"/>
  <c r="U1225" i="1"/>
  <c r="AK1223" i="1"/>
  <c r="U1223" i="1"/>
  <c r="AK1221" i="1"/>
  <c r="U1221" i="1"/>
  <c r="AK1219" i="1"/>
  <c r="U1219" i="1"/>
  <c r="AK1217" i="1"/>
  <c r="U1217" i="1"/>
  <c r="AK1215" i="1"/>
  <c r="U1215" i="1"/>
  <c r="AK1213" i="1"/>
  <c r="U1213" i="1"/>
  <c r="AK1211" i="1"/>
  <c r="U1211" i="1"/>
  <c r="AK1209" i="1"/>
  <c r="U1209" i="1"/>
  <c r="AK1207" i="1"/>
  <c r="U1207" i="1"/>
  <c r="AK1205" i="1"/>
  <c r="U1205" i="1"/>
  <c r="AK1203" i="1"/>
  <c r="U1203" i="1"/>
  <c r="AK1201" i="1"/>
  <c r="U1201" i="1"/>
  <c r="AK1199" i="1"/>
  <c r="U1199" i="1"/>
  <c r="U1173" i="1"/>
  <c r="U1171" i="1"/>
  <c r="U1169" i="1"/>
  <c r="AK1167" i="1"/>
  <c r="U1167" i="1"/>
  <c r="AK1165" i="1"/>
  <c r="U1165" i="1"/>
  <c r="AK1163" i="1"/>
  <c r="U1163" i="1"/>
  <c r="AK1161" i="1"/>
  <c r="U1161" i="1"/>
  <c r="AK1159" i="1"/>
  <c r="U1159" i="1"/>
  <c r="AK1157" i="1"/>
  <c r="U1157" i="1"/>
  <c r="AK1155" i="1"/>
  <c r="U1155" i="1"/>
  <c r="AK1153" i="1"/>
  <c r="U1153" i="1"/>
  <c r="AK1151" i="1"/>
  <c r="U1151" i="1"/>
  <c r="AK1149" i="1"/>
  <c r="U1149" i="1"/>
  <c r="AK1147" i="1"/>
  <c r="U1147" i="1"/>
  <c r="AK1145" i="1"/>
  <c r="U1145" i="1"/>
  <c r="AK1143" i="1"/>
  <c r="U1143" i="1"/>
  <c r="AK1141" i="1"/>
  <c r="U1141" i="1"/>
  <c r="AK1139" i="1"/>
  <c r="U1139" i="1"/>
  <c r="AK1137" i="1"/>
  <c r="U1137" i="1"/>
  <c r="AK1135" i="1"/>
  <c r="U1135" i="1"/>
  <c r="AK1133" i="1"/>
  <c r="U1133" i="1"/>
  <c r="AK1131" i="1"/>
  <c r="U1131" i="1"/>
  <c r="AK1129" i="1"/>
  <c r="U1129" i="1"/>
  <c r="AK1127" i="1"/>
  <c r="U1127" i="1"/>
  <c r="AK1125" i="1"/>
  <c r="U1125" i="1"/>
  <c r="U1099" i="1"/>
  <c r="U1097" i="1"/>
  <c r="U1095" i="1"/>
  <c r="AK1093" i="1"/>
  <c r="U1093" i="1"/>
  <c r="AK1091" i="1"/>
  <c r="U1091" i="1"/>
  <c r="AK1089" i="1"/>
  <c r="U1089" i="1"/>
  <c r="AK1087" i="1"/>
  <c r="U1087" i="1"/>
  <c r="AK1085" i="1"/>
  <c r="U1085" i="1"/>
  <c r="AK1083" i="1"/>
  <c r="U1083" i="1"/>
  <c r="AK1081" i="1"/>
  <c r="U1081" i="1"/>
  <c r="AK1079" i="1"/>
  <c r="U1079" i="1"/>
  <c r="AK1077" i="1"/>
  <c r="U1077" i="1"/>
  <c r="AK1075" i="1"/>
  <c r="U1075" i="1"/>
  <c r="AK1073" i="1"/>
  <c r="U1073" i="1"/>
  <c r="AK1071" i="1"/>
  <c r="U1071" i="1"/>
  <c r="AK1069" i="1"/>
  <c r="U1069" i="1"/>
  <c r="AK1067" i="1"/>
  <c r="U1067" i="1"/>
  <c r="AK1065" i="1"/>
  <c r="U1065" i="1"/>
  <c r="AK1063" i="1"/>
  <c r="U1063" i="1"/>
  <c r="AK1061" i="1"/>
  <c r="U1061" i="1"/>
  <c r="AK1059" i="1"/>
  <c r="U1059" i="1"/>
  <c r="AK1057" i="1"/>
  <c r="U1057" i="1"/>
  <c r="AK1055" i="1"/>
  <c r="U1055" i="1"/>
  <c r="AK1053" i="1"/>
  <c r="U1053" i="1"/>
  <c r="AK1051" i="1"/>
  <c r="U1051" i="1"/>
  <c r="U1025" i="1"/>
  <c r="U1023" i="1"/>
  <c r="U1021" i="1"/>
  <c r="AK1019" i="1"/>
  <c r="U1019" i="1"/>
  <c r="AK1017" i="1"/>
  <c r="U1017" i="1"/>
  <c r="AK1015" i="1"/>
  <c r="U1015" i="1"/>
  <c r="AK1013" i="1"/>
  <c r="U1013" i="1"/>
  <c r="AK1011" i="1"/>
  <c r="U1011" i="1"/>
  <c r="AK1009" i="1"/>
  <c r="U1009" i="1"/>
  <c r="AK1007" i="1"/>
  <c r="U1007" i="1"/>
  <c r="AK1005" i="1"/>
  <c r="U1005" i="1"/>
  <c r="AK1003" i="1"/>
  <c r="U1003" i="1"/>
  <c r="AK1001" i="1"/>
  <c r="U1001" i="1"/>
  <c r="AK999" i="1"/>
  <c r="U999" i="1"/>
  <c r="AK997" i="1"/>
  <c r="U997" i="1"/>
  <c r="AK995" i="1"/>
  <c r="U995" i="1"/>
  <c r="AK993" i="1"/>
  <c r="U993" i="1"/>
  <c r="AK991" i="1"/>
  <c r="U991" i="1"/>
  <c r="AK989" i="1"/>
  <c r="U989" i="1"/>
  <c r="AK987" i="1"/>
  <c r="U987" i="1"/>
  <c r="AK985" i="1"/>
  <c r="U985" i="1"/>
  <c r="AK983" i="1"/>
  <c r="U983" i="1"/>
  <c r="AK981" i="1"/>
  <c r="U981" i="1"/>
  <c r="AK979" i="1"/>
  <c r="U979" i="1"/>
  <c r="AK977" i="1"/>
  <c r="U977" i="1"/>
  <c r="U877" i="1"/>
  <c r="U875" i="1"/>
  <c r="U873" i="1"/>
  <c r="AK871" i="1"/>
  <c r="U871" i="1"/>
  <c r="AK869" i="1"/>
  <c r="U869" i="1"/>
  <c r="AK867" i="1"/>
  <c r="U867" i="1"/>
  <c r="AK865" i="1"/>
  <c r="U865" i="1"/>
  <c r="AK863" i="1"/>
  <c r="U863" i="1"/>
  <c r="AK861" i="1"/>
  <c r="U861" i="1"/>
  <c r="AK859" i="1"/>
  <c r="U859" i="1"/>
  <c r="AK857" i="1"/>
  <c r="U857" i="1"/>
  <c r="AK855" i="1"/>
  <c r="U855" i="1"/>
  <c r="AK853" i="1"/>
  <c r="U853" i="1"/>
  <c r="AK851" i="1"/>
  <c r="U851" i="1"/>
  <c r="AK849" i="1"/>
  <c r="U849" i="1"/>
  <c r="AK847" i="1"/>
  <c r="U847" i="1"/>
  <c r="AK845" i="1"/>
  <c r="U845" i="1"/>
  <c r="AK843" i="1"/>
  <c r="U843" i="1"/>
  <c r="AK841" i="1"/>
  <c r="U841" i="1"/>
  <c r="AK839" i="1"/>
  <c r="U839" i="1"/>
  <c r="AK837" i="1"/>
  <c r="U837" i="1"/>
  <c r="AK835" i="1"/>
  <c r="U835" i="1"/>
  <c r="AK833" i="1"/>
  <c r="U833" i="1"/>
  <c r="AK831" i="1"/>
  <c r="U831" i="1"/>
  <c r="AK829" i="1"/>
  <c r="U829" i="1"/>
  <c r="U803" i="1"/>
  <c r="U801" i="1"/>
  <c r="U799" i="1"/>
  <c r="AK797" i="1"/>
  <c r="U797" i="1"/>
  <c r="AK795" i="1"/>
  <c r="U795" i="1"/>
  <c r="AK793" i="1"/>
  <c r="U793" i="1"/>
  <c r="AK791" i="1"/>
  <c r="U791" i="1"/>
  <c r="AK789" i="1"/>
  <c r="U789" i="1"/>
  <c r="AK787" i="1"/>
  <c r="U787" i="1"/>
  <c r="AK785" i="1"/>
  <c r="U785" i="1"/>
  <c r="AK783" i="1"/>
  <c r="U783" i="1"/>
  <c r="AK781" i="1"/>
  <c r="U781" i="1"/>
  <c r="AK779" i="1"/>
  <c r="U779" i="1"/>
  <c r="AK777" i="1"/>
  <c r="U777" i="1"/>
  <c r="AK775" i="1"/>
  <c r="U775" i="1"/>
  <c r="AK773" i="1"/>
  <c r="U773" i="1"/>
  <c r="AK771" i="1"/>
  <c r="U771" i="1"/>
  <c r="AK769" i="1"/>
  <c r="U769" i="1"/>
  <c r="AK767" i="1"/>
  <c r="U767" i="1"/>
  <c r="AK765" i="1"/>
  <c r="U765" i="1"/>
  <c r="AK763" i="1"/>
  <c r="U763" i="1"/>
  <c r="AK761" i="1"/>
  <c r="U761" i="1"/>
  <c r="AK759" i="1"/>
  <c r="U759" i="1"/>
  <c r="AK757" i="1"/>
  <c r="U757" i="1"/>
  <c r="AK755" i="1"/>
  <c r="U755" i="1"/>
  <c r="AK427" i="1"/>
  <c r="AK425" i="1"/>
  <c r="AK423" i="1"/>
  <c r="AK421" i="1"/>
  <c r="AK419" i="1"/>
  <c r="AK417" i="1"/>
  <c r="AK415" i="1"/>
  <c r="AK413" i="1"/>
  <c r="AK411" i="1"/>
  <c r="AK409" i="1"/>
  <c r="AK407" i="1"/>
  <c r="AK405" i="1"/>
  <c r="AK403" i="1"/>
  <c r="AK401" i="1"/>
  <c r="AK399" i="1"/>
  <c r="AK397" i="1"/>
  <c r="AK395" i="1"/>
  <c r="AK393" i="1"/>
  <c r="AK391" i="1"/>
  <c r="AK389" i="1"/>
  <c r="AK387" i="1"/>
  <c r="AK385" i="1"/>
  <c r="U433" i="1"/>
  <c r="U431" i="1"/>
  <c r="U429" i="1"/>
  <c r="U427" i="1"/>
  <c r="U425" i="1"/>
  <c r="U423" i="1"/>
  <c r="U421" i="1"/>
  <c r="U419" i="1"/>
  <c r="U417" i="1"/>
  <c r="U415" i="1"/>
  <c r="U413" i="1"/>
  <c r="U411" i="1"/>
  <c r="U409" i="1"/>
  <c r="U407" i="1"/>
  <c r="U405" i="1"/>
  <c r="U403" i="1"/>
  <c r="U401" i="1"/>
  <c r="U399" i="1"/>
  <c r="U397" i="1"/>
  <c r="U395" i="1"/>
  <c r="U393" i="1"/>
  <c r="U391" i="1"/>
  <c r="U389" i="1"/>
  <c r="U387" i="1"/>
  <c r="U385" i="1"/>
  <c r="AI286" i="1"/>
  <c r="AG286" i="1"/>
  <c r="AE286" i="1"/>
  <c r="AC286" i="1"/>
  <c r="AA286" i="1"/>
  <c r="Y286" i="1"/>
  <c r="W286" i="1"/>
  <c r="S286" i="1"/>
  <c r="Q286" i="1"/>
  <c r="O286" i="1"/>
  <c r="M286" i="1"/>
  <c r="K286" i="1"/>
  <c r="I286" i="1"/>
  <c r="G286" i="1"/>
  <c r="U285" i="1"/>
  <c r="U283" i="1"/>
  <c r="U281" i="1"/>
  <c r="AK279" i="1"/>
  <c r="U279" i="1"/>
  <c r="AK277" i="1"/>
  <c r="U277" i="1"/>
  <c r="AK275" i="1"/>
  <c r="U275" i="1"/>
  <c r="AK273" i="1"/>
  <c r="U273" i="1"/>
  <c r="AK271" i="1"/>
  <c r="U271" i="1"/>
  <c r="AK269" i="1"/>
  <c r="U269" i="1"/>
  <c r="AK267" i="1"/>
  <c r="U267" i="1"/>
  <c r="AK265" i="1"/>
  <c r="U265" i="1"/>
  <c r="AK263" i="1"/>
  <c r="U263" i="1"/>
  <c r="AK261" i="1"/>
  <c r="U261" i="1"/>
  <c r="AK259" i="1"/>
  <c r="U259" i="1"/>
  <c r="AK257" i="1"/>
  <c r="U257" i="1"/>
  <c r="AK255" i="1"/>
  <c r="U255" i="1"/>
  <c r="AK253" i="1"/>
  <c r="U253" i="1"/>
  <c r="AK251" i="1"/>
  <c r="U251" i="1"/>
  <c r="AK249" i="1"/>
  <c r="U249" i="1"/>
  <c r="AK247" i="1"/>
  <c r="U247" i="1"/>
  <c r="AK245" i="1"/>
  <c r="U245" i="1"/>
  <c r="AK243" i="1"/>
  <c r="U243" i="1"/>
  <c r="AK241" i="1"/>
  <c r="U241" i="1"/>
  <c r="AK239" i="1"/>
  <c r="U239" i="1"/>
  <c r="AK237" i="1"/>
  <c r="U237" i="1"/>
  <c r="AK286" i="1" l="1"/>
  <c r="U286" i="1"/>
  <c r="U49" i="1"/>
  <c r="E137" i="1"/>
  <c r="B137" i="1"/>
  <c r="E136" i="1"/>
  <c r="D136" i="1"/>
  <c r="E135" i="1"/>
  <c r="B135" i="1"/>
  <c r="E134" i="1"/>
  <c r="D134" i="1"/>
  <c r="E133" i="1"/>
  <c r="B133" i="1"/>
  <c r="E132" i="1"/>
  <c r="D132" i="1"/>
  <c r="E131" i="1"/>
  <c r="B131" i="1"/>
  <c r="E130" i="1"/>
  <c r="D130" i="1"/>
  <c r="E129" i="1"/>
  <c r="B129" i="1"/>
  <c r="E128" i="1"/>
  <c r="D128" i="1"/>
  <c r="E127" i="1"/>
  <c r="B127" i="1"/>
  <c r="E126" i="1"/>
  <c r="D126" i="1"/>
  <c r="E125" i="1"/>
  <c r="B125" i="1"/>
  <c r="E124" i="1"/>
  <c r="D124" i="1"/>
  <c r="E123" i="1"/>
  <c r="B123" i="1"/>
  <c r="E122" i="1"/>
  <c r="D122" i="1"/>
  <c r="E121" i="1"/>
  <c r="B121" i="1"/>
  <c r="E120" i="1"/>
  <c r="D120" i="1"/>
  <c r="E119" i="1"/>
  <c r="B119" i="1"/>
  <c r="E118" i="1"/>
  <c r="D118" i="1"/>
  <c r="E117" i="1"/>
  <c r="B117" i="1"/>
  <c r="E116" i="1"/>
  <c r="D116" i="1"/>
  <c r="E115" i="1"/>
  <c r="B115" i="1"/>
  <c r="E114" i="1"/>
  <c r="D114" i="1"/>
  <c r="E113" i="1"/>
  <c r="B113" i="1"/>
  <c r="E112" i="1"/>
  <c r="D112" i="1"/>
  <c r="E111" i="1"/>
  <c r="B111" i="1"/>
  <c r="E110" i="1"/>
  <c r="D110" i="1"/>
  <c r="E109" i="1"/>
  <c r="B109" i="1"/>
  <c r="E108" i="1"/>
  <c r="D108" i="1"/>
  <c r="E107" i="1"/>
  <c r="B107" i="1"/>
  <c r="E106" i="1"/>
  <c r="D106" i="1"/>
  <c r="E105" i="1"/>
  <c r="B105" i="1"/>
  <c r="E104" i="1"/>
  <c r="D104" i="1"/>
  <c r="E103" i="1"/>
  <c r="B103" i="1"/>
  <c r="E102" i="1"/>
  <c r="D102" i="1"/>
  <c r="E101" i="1"/>
  <c r="B101" i="1"/>
  <c r="E100" i="1"/>
  <c r="D100" i="1"/>
  <c r="E99" i="1"/>
  <c r="B99" i="1"/>
  <c r="E98" i="1"/>
  <c r="D98" i="1"/>
  <c r="E97" i="1"/>
  <c r="B97" i="1"/>
  <c r="E96" i="1"/>
  <c r="D96" i="1"/>
  <c r="E95" i="1"/>
  <c r="B95" i="1"/>
  <c r="E94" i="1"/>
  <c r="D94" i="1"/>
  <c r="E93" i="1"/>
  <c r="B93" i="1"/>
  <c r="E92" i="1"/>
  <c r="D92" i="1"/>
  <c r="E91" i="1"/>
  <c r="E90" i="1"/>
  <c r="D90" i="1"/>
  <c r="D1341" i="1" l="1"/>
  <c r="U133" i="1" l="1"/>
  <c r="E207" i="1"/>
  <c r="E281" i="1" s="1"/>
  <c r="B207" i="1"/>
  <c r="B281" i="1" s="1"/>
  <c r="E206" i="1"/>
  <c r="E280" i="1" s="1"/>
  <c r="D206" i="1"/>
  <c r="D280" i="1" s="1"/>
  <c r="U131" i="1"/>
  <c r="E205" i="1"/>
  <c r="E279" i="1" s="1"/>
  <c r="B205" i="1"/>
  <c r="B279" i="1" s="1"/>
  <c r="E204" i="1"/>
  <c r="E278" i="1" s="1"/>
  <c r="D204" i="1"/>
  <c r="D278" i="1" s="1"/>
  <c r="U129" i="1"/>
  <c r="E203" i="1"/>
  <c r="E277" i="1" s="1"/>
  <c r="B203" i="1"/>
  <c r="B277" i="1" s="1"/>
  <c r="E202" i="1"/>
  <c r="E276" i="1" s="1"/>
  <c r="D202" i="1"/>
  <c r="D276" i="1" s="1"/>
  <c r="U127" i="1"/>
  <c r="E201" i="1"/>
  <c r="E275" i="1" s="1"/>
  <c r="B201" i="1"/>
  <c r="B275" i="1" s="1"/>
  <c r="E200" i="1"/>
  <c r="E274" i="1" s="1"/>
  <c r="D200" i="1"/>
  <c r="D274" i="1" s="1"/>
  <c r="U125" i="1"/>
  <c r="E199" i="1"/>
  <c r="E273" i="1" s="1"/>
  <c r="B199" i="1"/>
  <c r="B273" i="1" s="1"/>
  <c r="E198" i="1"/>
  <c r="E272" i="1" s="1"/>
  <c r="D198" i="1"/>
  <c r="D272" i="1" s="1"/>
  <c r="U123" i="1"/>
  <c r="E197" i="1"/>
  <c r="E271" i="1" s="1"/>
  <c r="B197" i="1"/>
  <c r="B271" i="1" s="1"/>
  <c r="E196" i="1"/>
  <c r="E270" i="1" s="1"/>
  <c r="D196" i="1"/>
  <c r="D270" i="1" s="1"/>
  <c r="U121" i="1"/>
  <c r="E195" i="1"/>
  <c r="E269" i="1" s="1"/>
  <c r="B195" i="1"/>
  <c r="B269" i="1" s="1"/>
  <c r="E194" i="1"/>
  <c r="E268" i="1" s="1"/>
  <c r="D194" i="1"/>
  <c r="D268" i="1" s="1"/>
  <c r="U119" i="1"/>
  <c r="E193" i="1"/>
  <c r="E267" i="1" s="1"/>
  <c r="B193" i="1"/>
  <c r="B267" i="1" s="1"/>
  <c r="E192" i="1"/>
  <c r="E266" i="1" s="1"/>
  <c r="D192" i="1"/>
  <c r="D266" i="1" s="1"/>
  <c r="U117" i="1"/>
  <c r="E191" i="1"/>
  <c r="E265" i="1" s="1"/>
  <c r="B191" i="1"/>
  <c r="B265" i="1" s="1"/>
  <c r="E190" i="1"/>
  <c r="E264" i="1" s="1"/>
  <c r="D190" i="1"/>
  <c r="D264" i="1" s="1"/>
  <c r="U115" i="1"/>
  <c r="E189" i="1"/>
  <c r="E263" i="1" s="1"/>
  <c r="B189" i="1"/>
  <c r="B263" i="1" s="1"/>
  <c r="E188" i="1"/>
  <c r="E262" i="1" s="1"/>
  <c r="D188" i="1"/>
  <c r="D262" i="1" s="1"/>
  <c r="U113" i="1"/>
  <c r="E187" i="1"/>
  <c r="E261" i="1" s="1"/>
  <c r="B187" i="1"/>
  <c r="B261" i="1" s="1"/>
  <c r="E186" i="1"/>
  <c r="E260" i="1" s="1"/>
  <c r="D186" i="1"/>
  <c r="D260" i="1" s="1"/>
  <c r="U111" i="1"/>
  <c r="E185" i="1"/>
  <c r="E259" i="1" s="1"/>
  <c r="B185" i="1"/>
  <c r="B259" i="1" s="1"/>
  <c r="E184" i="1"/>
  <c r="E258" i="1" s="1"/>
  <c r="D184" i="1"/>
  <c r="D258" i="1" s="1"/>
  <c r="U109" i="1"/>
  <c r="E183" i="1"/>
  <c r="E257" i="1" s="1"/>
  <c r="B183" i="1"/>
  <c r="B257" i="1" s="1"/>
  <c r="E182" i="1"/>
  <c r="E256" i="1" s="1"/>
  <c r="D182" i="1"/>
  <c r="D256" i="1" s="1"/>
  <c r="U107" i="1"/>
  <c r="E181" i="1"/>
  <c r="E255" i="1" s="1"/>
  <c r="B181" i="1"/>
  <c r="B255" i="1" s="1"/>
  <c r="E180" i="1"/>
  <c r="E254" i="1" s="1"/>
  <c r="D180" i="1"/>
  <c r="D254" i="1" s="1"/>
  <c r="U105" i="1"/>
  <c r="E179" i="1"/>
  <c r="E253" i="1" s="1"/>
  <c r="B179" i="1"/>
  <c r="B253" i="1" s="1"/>
  <c r="E178" i="1"/>
  <c r="E252" i="1" s="1"/>
  <c r="D178" i="1"/>
  <c r="D252" i="1" s="1"/>
  <c r="U103" i="1"/>
  <c r="E177" i="1"/>
  <c r="E251" i="1" s="1"/>
  <c r="B177" i="1"/>
  <c r="B251" i="1" s="1"/>
  <c r="E176" i="1"/>
  <c r="E250" i="1" s="1"/>
  <c r="D176" i="1"/>
  <c r="D250" i="1" s="1"/>
  <c r="U101" i="1"/>
  <c r="E175" i="1"/>
  <c r="E249" i="1" s="1"/>
  <c r="B175" i="1"/>
  <c r="B249" i="1" s="1"/>
  <c r="E174" i="1"/>
  <c r="E248" i="1" s="1"/>
  <c r="D174" i="1"/>
  <c r="D248" i="1" s="1"/>
  <c r="U99" i="1"/>
  <c r="E173" i="1"/>
  <c r="E247" i="1" s="1"/>
  <c r="B173" i="1"/>
  <c r="B247" i="1" s="1"/>
  <c r="E172" i="1"/>
  <c r="E246" i="1" s="1"/>
  <c r="D172" i="1"/>
  <c r="D246" i="1" s="1"/>
  <c r="U97" i="1"/>
  <c r="E171" i="1"/>
  <c r="E245" i="1" s="1"/>
  <c r="B171" i="1"/>
  <c r="B245" i="1" s="1"/>
  <c r="E170" i="1"/>
  <c r="E244" i="1" s="1"/>
  <c r="D170" i="1"/>
  <c r="D244" i="1" s="1"/>
  <c r="U95" i="1"/>
  <c r="E169" i="1"/>
  <c r="E243" i="1" s="1"/>
  <c r="B169" i="1"/>
  <c r="B243" i="1" s="1"/>
  <c r="E168" i="1"/>
  <c r="E242" i="1" s="1"/>
  <c r="D168" i="1"/>
  <c r="D242" i="1" s="1"/>
  <c r="U93" i="1"/>
  <c r="E167" i="1"/>
  <c r="E241" i="1" s="1"/>
  <c r="B167" i="1"/>
  <c r="B241" i="1" s="1"/>
  <c r="E166" i="1"/>
  <c r="E240" i="1" s="1"/>
  <c r="D166" i="1"/>
  <c r="D240" i="1" s="1"/>
  <c r="U91" i="1"/>
  <c r="E165" i="1"/>
  <c r="E239" i="1" s="1"/>
  <c r="B165" i="1"/>
  <c r="B239" i="1" s="1"/>
  <c r="E164" i="1"/>
  <c r="E238" i="1" s="1"/>
  <c r="D164" i="1"/>
  <c r="D238" i="1" s="1"/>
  <c r="U89" i="1"/>
  <c r="E163" i="1"/>
  <c r="E237" i="1" s="1"/>
  <c r="B163" i="1"/>
  <c r="B237" i="1" s="1"/>
  <c r="E88" i="1"/>
  <c r="E162" i="1" s="1"/>
  <c r="E236" i="1" s="1"/>
  <c r="D236" i="1"/>
  <c r="AI212" i="1"/>
  <c r="AG212" i="1"/>
  <c r="AE212" i="1"/>
  <c r="AC212" i="1"/>
  <c r="AA212" i="1"/>
  <c r="Y212" i="1"/>
  <c r="W212" i="1"/>
  <c r="S212" i="1"/>
  <c r="Q212" i="1"/>
  <c r="O212" i="1"/>
  <c r="M212" i="1"/>
  <c r="K212" i="1"/>
  <c r="I212" i="1"/>
  <c r="G212" i="1"/>
  <c r="U211" i="1"/>
  <c r="U209" i="1"/>
  <c r="U207" i="1"/>
  <c r="U205" i="1"/>
  <c r="U203" i="1"/>
  <c r="U201" i="1"/>
  <c r="U199" i="1"/>
  <c r="U197" i="1"/>
  <c r="U195" i="1"/>
  <c r="U193" i="1"/>
  <c r="U191" i="1"/>
  <c r="U189" i="1"/>
  <c r="U187" i="1"/>
  <c r="U185" i="1"/>
  <c r="U183" i="1"/>
  <c r="U181" i="1"/>
  <c r="U179" i="1"/>
  <c r="U177" i="1"/>
  <c r="U175" i="1"/>
  <c r="U173" i="1"/>
  <c r="U171" i="1"/>
  <c r="U169" i="1"/>
  <c r="U167" i="1"/>
  <c r="U165" i="1"/>
  <c r="U163" i="1"/>
  <c r="U212" i="1" l="1"/>
  <c r="AR1909" i="1"/>
  <c r="AQ1909" i="1"/>
  <c r="AP1909" i="1"/>
  <c r="AO1909" i="1"/>
  <c r="AN1909" i="1"/>
  <c r="AM1909" i="1" s="1"/>
  <c r="AR1907" i="1"/>
  <c r="AQ1907" i="1"/>
  <c r="AP1907" i="1"/>
  <c r="AO1907" i="1"/>
  <c r="AN1907" i="1"/>
  <c r="AM1907" i="1" s="1"/>
  <c r="AR1905" i="1"/>
  <c r="AQ1905" i="1"/>
  <c r="AP1905" i="1"/>
  <c r="AO1905" i="1"/>
  <c r="AN1905" i="1"/>
  <c r="AM1905" i="1" s="1"/>
  <c r="AR1903" i="1"/>
  <c r="AQ1903" i="1"/>
  <c r="AP1903" i="1"/>
  <c r="AO1903" i="1"/>
  <c r="AN1903" i="1"/>
  <c r="AM1903" i="1" s="1"/>
  <c r="AR1901" i="1"/>
  <c r="AQ1901" i="1"/>
  <c r="AP1901" i="1"/>
  <c r="AO1901" i="1"/>
  <c r="AN1901" i="1"/>
  <c r="AM1901" i="1" s="1"/>
  <c r="AR1899" i="1"/>
  <c r="AQ1899" i="1"/>
  <c r="AP1899" i="1"/>
  <c r="AO1899" i="1"/>
  <c r="AN1899" i="1"/>
  <c r="AM1899" i="1" s="1"/>
  <c r="AR1897" i="1"/>
  <c r="AQ1897" i="1"/>
  <c r="AP1897" i="1"/>
  <c r="AO1897" i="1"/>
  <c r="AN1897" i="1"/>
  <c r="AM1897" i="1" s="1"/>
  <c r="AR1895" i="1"/>
  <c r="AQ1895" i="1"/>
  <c r="AP1895" i="1"/>
  <c r="AO1895" i="1"/>
  <c r="AN1895" i="1"/>
  <c r="AM1895" i="1" s="1"/>
  <c r="AR1893" i="1"/>
  <c r="AQ1893" i="1"/>
  <c r="AP1893" i="1"/>
  <c r="AO1893" i="1"/>
  <c r="AN1893" i="1"/>
  <c r="AM1893" i="1" s="1"/>
  <c r="AR1891" i="1"/>
  <c r="AQ1891" i="1"/>
  <c r="AP1891" i="1"/>
  <c r="AO1891" i="1"/>
  <c r="AN1891" i="1"/>
  <c r="AM1891" i="1" s="1"/>
  <c r="AR1889" i="1"/>
  <c r="AQ1889" i="1"/>
  <c r="AP1889" i="1"/>
  <c r="AO1889" i="1"/>
  <c r="AN1889" i="1"/>
  <c r="AM1889" i="1" s="1"/>
  <c r="AR1887" i="1"/>
  <c r="AQ1887" i="1"/>
  <c r="AP1887" i="1"/>
  <c r="AO1887" i="1"/>
  <c r="AN1887" i="1"/>
  <c r="AM1887" i="1" s="1"/>
  <c r="AR1885" i="1"/>
  <c r="AQ1885" i="1"/>
  <c r="AP1885" i="1"/>
  <c r="AO1885" i="1"/>
  <c r="AN1885" i="1"/>
  <c r="AM1885" i="1" s="1"/>
  <c r="AR1883" i="1"/>
  <c r="AQ1883" i="1"/>
  <c r="AP1883" i="1"/>
  <c r="AO1883" i="1"/>
  <c r="AN1883" i="1"/>
  <c r="AM1883" i="1" s="1"/>
  <c r="AR1881" i="1"/>
  <c r="AQ1881" i="1"/>
  <c r="AP1881" i="1"/>
  <c r="AO1881" i="1"/>
  <c r="AN1881" i="1"/>
  <c r="AM1881" i="1" s="1"/>
  <c r="AR1879" i="1"/>
  <c r="AQ1879" i="1"/>
  <c r="AP1879" i="1"/>
  <c r="AO1879" i="1"/>
  <c r="AN1879" i="1"/>
  <c r="AM1879" i="1" s="1"/>
  <c r="AR1877" i="1"/>
  <c r="AQ1877" i="1"/>
  <c r="AP1877" i="1"/>
  <c r="AO1877" i="1"/>
  <c r="AN1877" i="1"/>
  <c r="AM1877" i="1" s="1"/>
  <c r="AR1875" i="1"/>
  <c r="AQ1875" i="1"/>
  <c r="AP1875" i="1"/>
  <c r="AO1875" i="1"/>
  <c r="AN1875" i="1"/>
  <c r="AM1875" i="1" s="1"/>
  <c r="AR1873" i="1"/>
  <c r="AQ1873" i="1"/>
  <c r="AP1873" i="1"/>
  <c r="AO1873" i="1"/>
  <c r="AN1873" i="1"/>
  <c r="AM1873" i="1" s="1"/>
  <c r="AR1871" i="1"/>
  <c r="AQ1871" i="1"/>
  <c r="AP1871" i="1"/>
  <c r="AO1871" i="1"/>
  <c r="AN1871" i="1"/>
  <c r="AM1871" i="1" s="1"/>
  <c r="AR1869" i="1"/>
  <c r="AQ1869" i="1"/>
  <c r="AP1869" i="1"/>
  <c r="AO1869" i="1"/>
  <c r="AN1869" i="1"/>
  <c r="AM1869" i="1" s="1"/>
  <c r="AR1867" i="1"/>
  <c r="AQ1867" i="1"/>
  <c r="AP1867" i="1"/>
  <c r="AO1867" i="1"/>
  <c r="AN1867" i="1"/>
  <c r="AM1867" i="1" s="1"/>
  <c r="AR1865" i="1"/>
  <c r="AQ1865" i="1"/>
  <c r="AP1865" i="1"/>
  <c r="AO1865" i="1"/>
  <c r="AN1865" i="1"/>
  <c r="AM1865" i="1" s="1"/>
  <c r="AR1835" i="1"/>
  <c r="AQ1835" i="1"/>
  <c r="AP1835" i="1"/>
  <c r="AO1835" i="1"/>
  <c r="AN1835" i="1"/>
  <c r="AM1835" i="1" s="1"/>
  <c r="AR1833" i="1"/>
  <c r="AQ1833" i="1"/>
  <c r="AP1833" i="1"/>
  <c r="AO1833" i="1"/>
  <c r="AN1833" i="1"/>
  <c r="AM1833" i="1" s="1"/>
  <c r="AR1831" i="1"/>
  <c r="AQ1831" i="1"/>
  <c r="AP1831" i="1"/>
  <c r="AO1831" i="1"/>
  <c r="AN1831" i="1"/>
  <c r="AM1831" i="1" s="1"/>
  <c r="AR1829" i="1"/>
  <c r="AQ1829" i="1"/>
  <c r="AP1829" i="1"/>
  <c r="AO1829" i="1"/>
  <c r="AN1829" i="1"/>
  <c r="AM1829" i="1" s="1"/>
  <c r="AR1827" i="1"/>
  <c r="AQ1827" i="1"/>
  <c r="AP1827" i="1"/>
  <c r="AO1827" i="1"/>
  <c r="AN1827" i="1"/>
  <c r="AM1827" i="1" s="1"/>
  <c r="AR1825" i="1"/>
  <c r="AQ1825" i="1"/>
  <c r="AP1825" i="1"/>
  <c r="AO1825" i="1"/>
  <c r="AN1825" i="1"/>
  <c r="AM1825" i="1" s="1"/>
  <c r="AR1823" i="1"/>
  <c r="AQ1823" i="1"/>
  <c r="AP1823" i="1"/>
  <c r="AO1823" i="1"/>
  <c r="AN1823" i="1"/>
  <c r="AM1823" i="1" s="1"/>
  <c r="AR1821" i="1"/>
  <c r="AQ1821" i="1"/>
  <c r="AP1821" i="1"/>
  <c r="AO1821" i="1"/>
  <c r="AN1821" i="1"/>
  <c r="AM1821" i="1" s="1"/>
  <c r="AR1819" i="1"/>
  <c r="AQ1819" i="1"/>
  <c r="AP1819" i="1"/>
  <c r="AO1819" i="1"/>
  <c r="AN1819" i="1"/>
  <c r="AM1819" i="1" s="1"/>
  <c r="AR1817" i="1"/>
  <c r="AQ1817" i="1"/>
  <c r="AP1817" i="1"/>
  <c r="AO1817" i="1"/>
  <c r="AN1817" i="1"/>
  <c r="AM1817" i="1" s="1"/>
  <c r="AR1815" i="1"/>
  <c r="AQ1815" i="1"/>
  <c r="AP1815" i="1"/>
  <c r="AO1815" i="1"/>
  <c r="AN1815" i="1"/>
  <c r="AM1815" i="1" s="1"/>
  <c r="AR1813" i="1"/>
  <c r="AQ1813" i="1"/>
  <c r="AP1813" i="1"/>
  <c r="AO1813" i="1"/>
  <c r="AN1813" i="1"/>
  <c r="AM1813" i="1" s="1"/>
  <c r="AR1811" i="1"/>
  <c r="AQ1811" i="1"/>
  <c r="AP1811" i="1"/>
  <c r="AO1811" i="1"/>
  <c r="AN1811" i="1"/>
  <c r="AM1811" i="1" s="1"/>
  <c r="AR1809" i="1"/>
  <c r="AQ1809" i="1"/>
  <c r="AP1809" i="1"/>
  <c r="AO1809" i="1"/>
  <c r="AN1809" i="1"/>
  <c r="AM1809" i="1" s="1"/>
  <c r="AR1807" i="1"/>
  <c r="AQ1807" i="1"/>
  <c r="AP1807" i="1"/>
  <c r="AO1807" i="1"/>
  <c r="AN1807" i="1"/>
  <c r="AM1807" i="1" s="1"/>
  <c r="AR1805" i="1"/>
  <c r="AQ1805" i="1"/>
  <c r="AP1805" i="1"/>
  <c r="AO1805" i="1"/>
  <c r="AN1805" i="1"/>
  <c r="AM1805" i="1" s="1"/>
  <c r="AR1803" i="1"/>
  <c r="AQ1803" i="1"/>
  <c r="AP1803" i="1"/>
  <c r="AO1803" i="1"/>
  <c r="AN1803" i="1"/>
  <c r="AM1803" i="1" s="1"/>
  <c r="AR1801" i="1"/>
  <c r="AQ1801" i="1"/>
  <c r="AP1801" i="1"/>
  <c r="AO1801" i="1"/>
  <c r="AN1801" i="1"/>
  <c r="AM1801" i="1" s="1"/>
  <c r="AR1799" i="1"/>
  <c r="AQ1799" i="1"/>
  <c r="AP1799" i="1"/>
  <c r="AO1799" i="1"/>
  <c r="AN1799" i="1"/>
  <c r="AM1799" i="1" s="1"/>
  <c r="AR1797" i="1"/>
  <c r="AQ1797" i="1"/>
  <c r="AP1797" i="1"/>
  <c r="AO1797" i="1"/>
  <c r="AN1797" i="1"/>
  <c r="AM1797" i="1" s="1"/>
  <c r="AR1795" i="1"/>
  <c r="AQ1795" i="1"/>
  <c r="AP1795" i="1"/>
  <c r="AO1795" i="1"/>
  <c r="AN1795" i="1"/>
  <c r="AM1795" i="1" s="1"/>
  <c r="AR1793" i="1"/>
  <c r="AQ1793" i="1"/>
  <c r="AP1793" i="1"/>
  <c r="AO1793" i="1"/>
  <c r="AN1793" i="1"/>
  <c r="AM1793" i="1" s="1"/>
  <c r="AR1791" i="1"/>
  <c r="AQ1791" i="1"/>
  <c r="AP1791" i="1"/>
  <c r="AO1791" i="1"/>
  <c r="AN1791" i="1"/>
  <c r="AM1791" i="1" s="1"/>
  <c r="AR1761" i="1"/>
  <c r="AQ1761" i="1"/>
  <c r="AP1761" i="1"/>
  <c r="AO1761" i="1"/>
  <c r="AN1761" i="1"/>
  <c r="AM1761" i="1" s="1"/>
  <c r="AR1759" i="1"/>
  <c r="AQ1759" i="1"/>
  <c r="AP1759" i="1"/>
  <c r="AO1759" i="1"/>
  <c r="AN1759" i="1"/>
  <c r="AM1759" i="1" s="1"/>
  <c r="AR1757" i="1"/>
  <c r="AQ1757" i="1"/>
  <c r="AP1757" i="1"/>
  <c r="AO1757" i="1"/>
  <c r="AN1757" i="1"/>
  <c r="AM1757" i="1" s="1"/>
  <c r="AR1755" i="1"/>
  <c r="AQ1755" i="1"/>
  <c r="AP1755" i="1"/>
  <c r="AO1755" i="1"/>
  <c r="AN1755" i="1"/>
  <c r="AM1755" i="1" s="1"/>
  <c r="AR1753" i="1"/>
  <c r="AQ1753" i="1"/>
  <c r="AP1753" i="1"/>
  <c r="AO1753" i="1"/>
  <c r="AN1753" i="1"/>
  <c r="AM1753" i="1" s="1"/>
  <c r="AR1751" i="1"/>
  <c r="AQ1751" i="1"/>
  <c r="AP1751" i="1"/>
  <c r="AO1751" i="1"/>
  <c r="AN1751" i="1"/>
  <c r="AM1751" i="1" s="1"/>
  <c r="AR1749" i="1"/>
  <c r="AQ1749" i="1"/>
  <c r="AP1749" i="1"/>
  <c r="AO1749" i="1"/>
  <c r="AN1749" i="1"/>
  <c r="AM1749" i="1" s="1"/>
  <c r="AR1747" i="1"/>
  <c r="AQ1747" i="1"/>
  <c r="AP1747" i="1"/>
  <c r="AO1747" i="1"/>
  <c r="AN1747" i="1"/>
  <c r="AM1747" i="1" s="1"/>
  <c r="AR1745" i="1"/>
  <c r="AQ1745" i="1"/>
  <c r="AP1745" i="1"/>
  <c r="AO1745" i="1"/>
  <c r="AN1745" i="1"/>
  <c r="AM1745" i="1" s="1"/>
  <c r="AR1743" i="1"/>
  <c r="AQ1743" i="1"/>
  <c r="AP1743" i="1"/>
  <c r="AO1743" i="1"/>
  <c r="AN1743" i="1"/>
  <c r="AM1743" i="1" s="1"/>
  <c r="AR1741" i="1"/>
  <c r="AQ1741" i="1"/>
  <c r="AP1741" i="1"/>
  <c r="AO1741" i="1"/>
  <c r="AN1741" i="1"/>
  <c r="AM1741" i="1" s="1"/>
  <c r="AR1739" i="1"/>
  <c r="AQ1739" i="1"/>
  <c r="AP1739" i="1"/>
  <c r="AO1739" i="1"/>
  <c r="AN1739" i="1"/>
  <c r="AM1739" i="1" s="1"/>
  <c r="AR1737" i="1"/>
  <c r="AQ1737" i="1"/>
  <c r="AP1737" i="1"/>
  <c r="AO1737" i="1"/>
  <c r="AN1737" i="1"/>
  <c r="AM1737" i="1" s="1"/>
  <c r="AR1735" i="1"/>
  <c r="AQ1735" i="1"/>
  <c r="AP1735" i="1"/>
  <c r="AO1735" i="1"/>
  <c r="AN1735" i="1"/>
  <c r="AM1735" i="1" s="1"/>
  <c r="AR1733" i="1"/>
  <c r="AQ1733" i="1"/>
  <c r="AP1733" i="1"/>
  <c r="AO1733" i="1"/>
  <c r="AN1733" i="1"/>
  <c r="AM1733" i="1" s="1"/>
  <c r="AR1731" i="1"/>
  <c r="AQ1731" i="1"/>
  <c r="AP1731" i="1"/>
  <c r="AO1731" i="1"/>
  <c r="AN1731" i="1"/>
  <c r="AM1731" i="1" s="1"/>
  <c r="AR1729" i="1"/>
  <c r="AQ1729" i="1"/>
  <c r="AP1729" i="1"/>
  <c r="AO1729" i="1"/>
  <c r="AN1729" i="1"/>
  <c r="AM1729" i="1" s="1"/>
  <c r="AR1727" i="1"/>
  <c r="AQ1727" i="1"/>
  <c r="AP1727" i="1"/>
  <c r="AO1727" i="1"/>
  <c r="AN1727" i="1"/>
  <c r="AM1727" i="1" s="1"/>
  <c r="AR1725" i="1"/>
  <c r="AQ1725" i="1"/>
  <c r="AP1725" i="1"/>
  <c r="AO1725" i="1"/>
  <c r="AN1725" i="1"/>
  <c r="AM1725" i="1" s="1"/>
  <c r="AR1723" i="1"/>
  <c r="AQ1723" i="1"/>
  <c r="AP1723" i="1"/>
  <c r="AO1723" i="1"/>
  <c r="AN1723" i="1"/>
  <c r="AM1723" i="1" s="1"/>
  <c r="AR1721" i="1"/>
  <c r="AQ1721" i="1"/>
  <c r="AP1721" i="1"/>
  <c r="AO1721" i="1"/>
  <c r="AN1721" i="1"/>
  <c r="AM1721" i="1" s="1"/>
  <c r="AR1719" i="1"/>
  <c r="AQ1719" i="1"/>
  <c r="AP1719" i="1"/>
  <c r="AO1719" i="1"/>
  <c r="AN1719" i="1"/>
  <c r="AM1719" i="1" s="1"/>
  <c r="AR1717" i="1"/>
  <c r="AQ1717" i="1"/>
  <c r="AP1717" i="1"/>
  <c r="AO1717" i="1"/>
  <c r="AN1717" i="1"/>
  <c r="AM1717" i="1" s="1"/>
  <c r="AR1687" i="1"/>
  <c r="AQ1687" i="1"/>
  <c r="AP1687" i="1"/>
  <c r="AO1687" i="1"/>
  <c r="AN1687" i="1"/>
  <c r="AM1687" i="1" s="1"/>
  <c r="AR1685" i="1"/>
  <c r="AQ1685" i="1"/>
  <c r="AP1685" i="1"/>
  <c r="AO1685" i="1"/>
  <c r="AN1685" i="1"/>
  <c r="AM1685" i="1" s="1"/>
  <c r="AR1683" i="1"/>
  <c r="AQ1683" i="1"/>
  <c r="AP1683" i="1"/>
  <c r="AO1683" i="1"/>
  <c r="AN1683" i="1"/>
  <c r="AM1683" i="1" s="1"/>
  <c r="AR1681" i="1"/>
  <c r="AQ1681" i="1"/>
  <c r="AP1681" i="1"/>
  <c r="AO1681" i="1"/>
  <c r="AN1681" i="1"/>
  <c r="AM1681" i="1" s="1"/>
  <c r="AR1679" i="1"/>
  <c r="AQ1679" i="1"/>
  <c r="AP1679" i="1"/>
  <c r="AO1679" i="1"/>
  <c r="AN1679" i="1"/>
  <c r="AM1679" i="1" s="1"/>
  <c r="AR1677" i="1"/>
  <c r="AQ1677" i="1"/>
  <c r="AP1677" i="1"/>
  <c r="AO1677" i="1"/>
  <c r="AN1677" i="1"/>
  <c r="AM1677" i="1" s="1"/>
  <c r="AR1675" i="1"/>
  <c r="AQ1675" i="1"/>
  <c r="AP1675" i="1"/>
  <c r="AO1675" i="1"/>
  <c r="AN1675" i="1"/>
  <c r="AM1675" i="1" s="1"/>
  <c r="AR1673" i="1"/>
  <c r="AQ1673" i="1"/>
  <c r="AP1673" i="1"/>
  <c r="AO1673" i="1"/>
  <c r="AN1673" i="1"/>
  <c r="AM1673" i="1" s="1"/>
  <c r="AR1671" i="1"/>
  <c r="AQ1671" i="1"/>
  <c r="AP1671" i="1"/>
  <c r="AO1671" i="1"/>
  <c r="AN1671" i="1"/>
  <c r="AM1671" i="1" s="1"/>
  <c r="AR1669" i="1"/>
  <c r="AQ1669" i="1"/>
  <c r="AP1669" i="1"/>
  <c r="AO1669" i="1"/>
  <c r="AN1669" i="1"/>
  <c r="AM1669" i="1" s="1"/>
  <c r="AR1667" i="1"/>
  <c r="AQ1667" i="1"/>
  <c r="AP1667" i="1"/>
  <c r="AO1667" i="1"/>
  <c r="AN1667" i="1"/>
  <c r="AM1667" i="1" s="1"/>
  <c r="AR1665" i="1"/>
  <c r="AQ1665" i="1"/>
  <c r="AP1665" i="1"/>
  <c r="AO1665" i="1"/>
  <c r="AN1665" i="1"/>
  <c r="AM1665" i="1" s="1"/>
  <c r="AR1663" i="1"/>
  <c r="AQ1663" i="1"/>
  <c r="AP1663" i="1"/>
  <c r="AO1663" i="1"/>
  <c r="AN1663" i="1"/>
  <c r="AM1663" i="1" s="1"/>
  <c r="AR1661" i="1"/>
  <c r="AQ1661" i="1"/>
  <c r="AP1661" i="1"/>
  <c r="AO1661" i="1"/>
  <c r="AN1661" i="1"/>
  <c r="AM1661" i="1" s="1"/>
  <c r="AR1659" i="1"/>
  <c r="AQ1659" i="1"/>
  <c r="AP1659" i="1"/>
  <c r="AO1659" i="1"/>
  <c r="AN1659" i="1"/>
  <c r="AM1659" i="1" s="1"/>
  <c r="AR1657" i="1"/>
  <c r="AQ1657" i="1"/>
  <c r="AP1657" i="1"/>
  <c r="AO1657" i="1"/>
  <c r="AN1657" i="1"/>
  <c r="AM1657" i="1" s="1"/>
  <c r="AR1655" i="1"/>
  <c r="AQ1655" i="1"/>
  <c r="AP1655" i="1"/>
  <c r="AO1655" i="1"/>
  <c r="AN1655" i="1"/>
  <c r="AM1655" i="1" s="1"/>
  <c r="AR1653" i="1"/>
  <c r="AQ1653" i="1"/>
  <c r="AP1653" i="1"/>
  <c r="AO1653" i="1"/>
  <c r="AN1653" i="1"/>
  <c r="AM1653" i="1" s="1"/>
  <c r="AR1651" i="1"/>
  <c r="AQ1651" i="1"/>
  <c r="AP1651" i="1"/>
  <c r="AO1651" i="1"/>
  <c r="AN1651" i="1"/>
  <c r="AM1651" i="1" s="1"/>
  <c r="AR1649" i="1"/>
  <c r="AQ1649" i="1"/>
  <c r="AP1649" i="1"/>
  <c r="AO1649" i="1"/>
  <c r="AN1649" i="1"/>
  <c r="AM1649" i="1" s="1"/>
  <c r="AR1647" i="1"/>
  <c r="AQ1647" i="1"/>
  <c r="AP1647" i="1"/>
  <c r="AO1647" i="1"/>
  <c r="AN1647" i="1"/>
  <c r="AM1647" i="1" s="1"/>
  <c r="AR1645" i="1"/>
  <c r="AQ1645" i="1"/>
  <c r="AP1645" i="1"/>
  <c r="AO1645" i="1"/>
  <c r="AN1645" i="1"/>
  <c r="AM1645" i="1" s="1"/>
  <c r="AR1643" i="1"/>
  <c r="AQ1643" i="1"/>
  <c r="AP1643" i="1"/>
  <c r="AO1643" i="1"/>
  <c r="AN1643" i="1"/>
  <c r="AM1643" i="1" s="1"/>
  <c r="AR1613" i="1"/>
  <c r="AQ1613" i="1"/>
  <c r="AP1613" i="1"/>
  <c r="AO1613" i="1"/>
  <c r="AN1613" i="1"/>
  <c r="AM1613" i="1" s="1"/>
  <c r="AR1611" i="1"/>
  <c r="AQ1611" i="1"/>
  <c r="AP1611" i="1"/>
  <c r="AO1611" i="1"/>
  <c r="AN1611" i="1"/>
  <c r="AM1611" i="1" s="1"/>
  <c r="AR1609" i="1"/>
  <c r="AQ1609" i="1"/>
  <c r="AP1609" i="1"/>
  <c r="AO1609" i="1"/>
  <c r="AN1609" i="1"/>
  <c r="AM1609" i="1" s="1"/>
  <c r="AR1607" i="1"/>
  <c r="AQ1607" i="1"/>
  <c r="AP1607" i="1"/>
  <c r="AO1607" i="1"/>
  <c r="AN1607" i="1"/>
  <c r="AM1607" i="1" s="1"/>
  <c r="AR1605" i="1"/>
  <c r="AQ1605" i="1"/>
  <c r="AP1605" i="1"/>
  <c r="AO1605" i="1"/>
  <c r="AN1605" i="1"/>
  <c r="AM1605" i="1" s="1"/>
  <c r="AR1603" i="1"/>
  <c r="AQ1603" i="1"/>
  <c r="AP1603" i="1"/>
  <c r="AO1603" i="1"/>
  <c r="AN1603" i="1"/>
  <c r="AM1603" i="1" s="1"/>
  <c r="AR1601" i="1"/>
  <c r="AQ1601" i="1"/>
  <c r="AP1601" i="1"/>
  <c r="AO1601" i="1"/>
  <c r="AN1601" i="1"/>
  <c r="AM1601" i="1" s="1"/>
  <c r="AR1599" i="1"/>
  <c r="AQ1599" i="1"/>
  <c r="AP1599" i="1"/>
  <c r="AO1599" i="1"/>
  <c r="AN1599" i="1"/>
  <c r="AM1599" i="1" s="1"/>
  <c r="AR1597" i="1"/>
  <c r="AQ1597" i="1"/>
  <c r="AP1597" i="1"/>
  <c r="AO1597" i="1"/>
  <c r="AN1597" i="1"/>
  <c r="AM1597" i="1" s="1"/>
  <c r="AR1595" i="1"/>
  <c r="AQ1595" i="1"/>
  <c r="AP1595" i="1"/>
  <c r="AO1595" i="1"/>
  <c r="AN1595" i="1"/>
  <c r="AM1595" i="1" s="1"/>
  <c r="AR1593" i="1"/>
  <c r="AQ1593" i="1"/>
  <c r="AP1593" i="1"/>
  <c r="AO1593" i="1"/>
  <c r="AN1593" i="1"/>
  <c r="AM1593" i="1" s="1"/>
  <c r="AR1591" i="1"/>
  <c r="AQ1591" i="1"/>
  <c r="AP1591" i="1"/>
  <c r="AO1591" i="1"/>
  <c r="AN1591" i="1"/>
  <c r="AM1591" i="1" s="1"/>
  <c r="AR1589" i="1"/>
  <c r="AQ1589" i="1"/>
  <c r="AP1589" i="1"/>
  <c r="AO1589" i="1"/>
  <c r="AN1589" i="1"/>
  <c r="AM1589" i="1" s="1"/>
  <c r="AR1587" i="1"/>
  <c r="AQ1587" i="1"/>
  <c r="AP1587" i="1"/>
  <c r="AO1587" i="1"/>
  <c r="AN1587" i="1"/>
  <c r="AM1587" i="1" s="1"/>
  <c r="AR1585" i="1"/>
  <c r="AQ1585" i="1"/>
  <c r="AP1585" i="1"/>
  <c r="AO1585" i="1"/>
  <c r="AN1585" i="1"/>
  <c r="AM1585" i="1" s="1"/>
  <c r="AR1583" i="1"/>
  <c r="AQ1583" i="1"/>
  <c r="AP1583" i="1"/>
  <c r="AO1583" i="1"/>
  <c r="AN1583" i="1"/>
  <c r="AM1583" i="1" s="1"/>
  <c r="AR1581" i="1"/>
  <c r="AQ1581" i="1"/>
  <c r="AP1581" i="1"/>
  <c r="AO1581" i="1"/>
  <c r="AN1581" i="1"/>
  <c r="AM1581" i="1" s="1"/>
  <c r="AR1579" i="1"/>
  <c r="AQ1579" i="1"/>
  <c r="AP1579" i="1"/>
  <c r="AO1579" i="1"/>
  <c r="AN1579" i="1"/>
  <c r="AM1579" i="1" s="1"/>
  <c r="AR1577" i="1"/>
  <c r="AQ1577" i="1"/>
  <c r="AP1577" i="1"/>
  <c r="AO1577" i="1"/>
  <c r="AN1577" i="1"/>
  <c r="AM1577" i="1" s="1"/>
  <c r="AR1575" i="1"/>
  <c r="AQ1575" i="1"/>
  <c r="AP1575" i="1"/>
  <c r="AO1575" i="1"/>
  <c r="AN1575" i="1"/>
  <c r="AM1575" i="1" s="1"/>
  <c r="AR1573" i="1"/>
  <c r="AQ1573" i="1"/>
  <c r="AP1573" i="1"/>
  <c r="AO1573" i="1"/>
  <c r="AN1573" i="1"/>
  <c r="AM1573" i="1" s="1"/>
  <c r="AR1571" i="1"/>
  <c r="AQ1571" i="1"/>
  <c r="AP1571" i="1"/>
  <c r="AO1571" i="1"/>
  <c r="AN1571" i="1"/>
  <c r="AM1571" i="1" s="1"/>
  <c r="AR1569" i="1"/>
  <c r="AQ1569" i="1"/>
  <c r="AP1569" i="1"/>
  <c r="AO1569" i="1"/>
  <c r="AN1569" i="1"/>
  <c r="AM1569" i="1" s="1"/>
  <c r="AR1539" i="1"/>
  <c r="AQ1539" i="1"/>
  <c r="AP1539" i="1"/>
  <c r="AO1539" i="1"/>
  <c r="AN1539" i="1"/>
  <c r="AM1539" i="1" s="1"/>
  <c r="AR1537" i="1"/>
  <c r="AQ1537" i="1"/>
  <c r="AP1537" i="1"/>
  <c r="AO1537" i="1"/>
  <c r="AN1537" i="1"/>
  <c r="AM1537" i="1" s="1"/>
  <c r="AR1535" i="1"/>
  <c r="AQ1535" i="1"/>
  <c r="AP1535" i="1"/>
  <c r="AO1535" i="1"/>
  <c r="AN1535" i="1"/>
  <c r="AM1535" i="1" s="1"/>
  <c r="AR1533" i="1"/>
  <c r="AQ1533" i="1"/>
  <c r="AP1533" i="1"/>
  <c r="AO1533" i="1"/>
  <c r="AN1533" i="1"/>
  <c r="AM1533" i="1" s="1"/>
  <c r="AR1531" i="1"/>
  <c r="AQ1531" i="1"/>
  <c r="AP1531" i="1"/>
  <c r="AO1531" i="1"/>
  <c r="AN1531" i="1"/>
  <c r="AM1531" i="1" s="1"/>
  <c r="AR1529" i="1"/>
  <c r="AQ1529" i="1"/>
  <c r="AP1529" i="1"/>
  <c r="AO1529" i="1"/>
  <c r="AN1529" i="1"/>
  <c r="AM1529" i="1" s="1"/>
  <c r="AR1527" i="1"/>
  <c r="AQ1527" i="1"/>
  <c r="AP1527" i="1"/>
  <c r="AO1527" i="1"/>
  <c r="AN1527" i="1"/>
  <c r="AM1527" i="1" s="1"/>
  <c r="AR1525" i="1"/>
  <c r="AQ1525" i="1"/>
  <c r="AP1525" i="1"/>
  <c r="AO1525" i="1"/>
  <c r="AN1525" i="1"/>
  <c r="AM1525" i="1" s="1"/>
  <c r="AR1523" i="1"/>
  <c r="AQ1523" i="1"/>
  <c r="AP1523" i="1"/>
  <c r="AO1523" i="1"/>
  <c r="AN1523" i="1"/>
  <c r="AM1523" i="1" s="1"/>
  <c r="AR1521" i="1"/>
  <c r="AQ1521" i="1"/>
  <c r="AP1521" i="1"/>
  <c r="AO1521" i="1"/>
  <c r="AN1521" i="1"/>
  <c r="AM1521" i="1" s="1"/>
  <c r="AR1519" i="1"/>
  <c r="AQ1519" i="1"/>
  <c r="AP1519" i="1"/>
  <c r="AO1519" i="1"/>
  <c r="AN1519" i="1"/>
  <c r="AM1519" i="1" s="1"/>
  <c r="AR1517" i="1"/>
  <c r="AQ1517" i="1"/>
  <c r="AP1517" i="1"/>
  <c r="AO1517" i="1"/>
  <c r="AN1517" i="1"/>
  <c r="AM1517" i="1" s="1"/>
  <c r="AR1515" i="1"/>
  <c r="AQ1515" i="1"/>
  <c r="AP1515" i="1"/>
  <c r="AO1515" i="1"/>
  <c r="AN1515" i="1"/>
  <c r="AM1515" i="1" s="1"/>
  <c r="AR1513" i="1"/>
  <c r="AQ1513" i="1"/>
  <c r="AP1513" i="1"/>
  <c r="AO1513" i="1"/>
  <c r="AN1513" i="1"/>
  <c r="AM1513" i="1" s="1"/>
  <c r="AR1511" i="1"/>
  <c r="AQ1511" i="1"/>
  <c r="AP1511" i="1"/>
  <c r="AO1511" i="1"/>
  <c r="AN1511" i="1"/>
  <c r="AM1511" i="1" s="1"/>
  <c r="AR1509" i="1"/>
  <c r="AQ1509" i="1"/>
  <c r="AP1509" i="1"/>
  <c r="AO1509" i="1"/>
  <c r="AN1509" i="1"/>
  <c r="AM1509" i="1" s="1"/>
  <c r="AR1507" i="1"/>
  <c r="AQ1507" i="1"/>
  <c r="AP1507" i="1"/>
  <c r="AO1507" i="1"/>
  <c r="AN1507" i="1"/>
  <c r="AM1507" i="1" s="1"/>
  <c r="AR1505" i="1"/>
  <c r="AQ1505" i="1"/>
  <c r="AP1505" i="1"/>
  <c r="AO1505" i="1"/>
  <c r="AN1505" i="1"/>
  <c r="AM1505" i="1" s="1"/>
  <c r="AR1503" i="1"/>
  <c r="AQ1503" i="1"/>
  <c r="AP1503" i="1"/>
  <c r="AO1503" i="1"/>
  <c r="AN1503" i="1"/>
  <c r="AM1503" i="1" s="1"/>
  <c r="AR1501" i="1"/>
  <c r="AQ1501" i="1"/>
  <c r="AP1501" i="1"/>
  <c r="AO1501" i="1"/>
  <c r="AN1501" i="1"/>
  <c r="AM1501" i="1" s="1"/>
  <c r="AR1499" i="1"/>
  <c r="AQ1499" i="1"/>
  <c r="AP1499" i="1"/>
  <c r="AO1499" i="1"/>
  <c r="AN1499" i="1"/>
  <c r="AM1499" i="1" s="1"/>
  <c r="AR1497" i="1"/>
  <c r="AQ1497" i="1"/>
  <c r="AP1497" i="1"/>
  <c r="AO1497" i="1"/>
  <c r="AN1497" i="1"/>
  <c r="AM1497" i="1" s="1"/>
  <c r="AR1495" i="1"/>
  <c r="AQ1495" i="1"/>
  <c r="AP1495" i="1"/>
  <c r="AO1495" i="1"/>
  <c r="AN1495" i="1"/>
  <c r="AM1495" i="1" s="1"/>
  <c r="AR1465" i="1"/>
  <c r="AQ1465" i="1"/>
  <c r="AP1465" i="1"/>
  <c r="AO1465" i="1"/>
  <c r="AN1465" i="1"/>
  <c r="AM1465" i="1" s="1"/>
  <c r="AR1463" i="1"/>
  <c r="AQ1463" i="1"/>
  <c r="AP1463" i="1"/>
  <c r="AO1463" i="1"/>
  <c r="AN1463" i="1"/>
  <c r="AM1463" i="1" s="1"/>
  <c r="AR1461" i="1"/>
  <c r="AQ1461" i="1"/>
  <c r="AP1461" i="1"/>
  <c r="AO1461" i="1"/>
  <c r="AN1461" i="1"/>
  <c r="AM1461" i="1" s="1"/>
  <c r="AR1459" i="1"/>
  <c r="AQ1459" i="1"/>
  <c r="AP1459" i="1"/>
  <c r="AO1459" i="1"/>
  <c r="AN1459" i="1"/>
  <c r="AM1459" i="1" s="1"/>
  <c r="AR1457" i="1"/>
  <c r="AQ1457" i="1"/>
  <c r="AP1457" i="1"/>
  <c r="AO1457" i="1"/>
  <c r="AN1457" i="1"/>
  <c r="AM1457" i="1" s="1"/>
  <c r="AR1455" i="1"/>
  <c r="AQ1455" i="1"/>
  <c r="AP1455" i="1"/>
  <c r="AO1455" i="1"/>
  <c r="AN1455" i="1"/>
  <c r="AM1455" i="1" s="1"/>
  <c r="AR1453" i="1"/>
  <c r="AQ1453" i="1"/>
  <c r="AP1453" i="1"/>
  <c r="AO1453" i="1"/>
  <c r="AN1453" i="1"/>
  <c r="AM1453" i="1" s="1"/>
  <c r="AR1451" i="1"/>
  <c r="AQ1451" i="1"/>
  <c r="AP1451" i="1"/>
  <c r="AO1451" i="1"/>
  <c r="AN1451" i="1"/>
  <c r="AM1451" i="1" s="1"/>
  <c r="AR1449" i="1"/>
  <c r="AQ1449" i="1"/>
  <c r="AP1449" i="1"/>
  <c r="AO1449" i="1"/>
  <c r="AN1449" i="1"/>
  <c r="AM1449" i="1" s="1"/>
  <c r="AR1447" i="1"/>
  <c r="AQ1447" i="1"/>
  <c r="AP1447" i="1"/>
  <c r="AO1447" i="1"/>
  <c r="AN1447" i="1"/>
  <c r="AM1447" i="1" s="1"/>
  <c r="AR1445" i="1"/>
  <c r="AQ1445" i="1"/>
  <c r="AP1445" i="1"/>
  <c r="AO1445" i="1"/>
  <c r="AN1445" i="1"/>
  <c r="AM1445" i="1" s="1"/>
  <c r="AR1443" i="1"/>
  <c r="AQ1443" i="1"/>
  <c r="AP1443" i="1"/>
  <c r="AO1443" i="1"/>
  <c r="AN1443" i="1"/>
  <c r="AM1443" i="1" s="1"/>
  <c r="AR1441" i="1"/>
  <c r="AQ1441" i="1"/>
  <c r="AP1441" i="1"/>
  <c r="AO1441" i="1"/>
  <c r="AN1441" i="1"/>
  <c r="AM1441" i="1" s="1"/>
  <c r="AR1439" i="1"/>
  <c r="AQ1439" i="1"/>
  <c r="AP1439" i="1"/>
  <c r="AO1439" i="1"/>
  <c r="AN1439" i="1"/>
  <c r="AM1439" i="1" s="1"/>
  <c r="AR1437" i="1"/>
  <c r="AQ1437" i="1"/>
  <c r="AP1437" i="1"/>
  <c r="AO1437" i="1"/>
  <c r="AN1437" i="1"/>
  <c r="AM1437" i="1" s="1"/>
  <c r="AR1435" i="1"/>
  <c r="AQ1435" i="1"/>
  <c r="AP1435" i="1"/>
  <c r="AO1435" i="1"/>
  <c r="AN1435" i="1"/>
  <c r="AM1435" i="1" s="1"/>
  <c r="AR1433" i="1"/>
  <c r="AQ1433" i="1"/>
  <c r="AP1433" i="1"/>
  <c r="AO1433" i="1"/>
  <c r="AN1433" i="1"/>
  <c r="AM1433" i="1" s="1"/>
  <c r="AR1431" i="1"/>
  <c r="AQ1431" i="1"/>
  <c r="AP1431" i="1"/>
  <c r="AO1431" i="1"/>
  <c r="AN1431" i="1"/>
  <c r="AM1431" i="1" s="1"/>
  <c r="AR1429" i="1"/>
  <c r="AQ1429" i="1"/>
  <c r="AP1429" i="1"/>
  <c r="AO1429" i="1"/>
  <c r="AN1429" i="1"/>
  <c r="AM1429" i="1" s="1"/>
  <c r="AR1427" i="1"/>
  <c r="AQ1427" i="1"/>
  <c r="AP1427" i="1"/>
  <c r="AO1427" i="1"/>
  <c r="AN1427" i="1"/>
  <c r="AM1427" i="1" s="1"/>
  <c r="AR1425" i="1"/>
  <c r="AQ1425" i="1"/>
  <c r="AP1425" i="1"/>
  <c r="AO1425" i="1"/>
  <c r="AN1425" i="1"/>
  <c r="AM1425" i="1" s="1"/>
  <c r="AR1423" i="1"/>
  <c r="AQ1423" i="1"/>
  <c r="AP1423" i="1"/>
  <c r="AO1423" i="1"/>
  <c r="AN1423" i="1"/>
  <c r="AM1423" i="1" s="1"/>
  <c r="AR1421" i="1"/>
  <c r="AQ1421" i="1"/>
  <c r="AP1421" i="1"/>
  <c r="AO1421" i="1"/>
  <c r="AN1421" i="1"/>
  <c r="AM1421" i="1" s="1"/>
  <c r="AR1391" i="1"/>
  <c r="AQ1391" i="1"/>
  <c r="AP1391" i="1"/>
  <c r="AO1391" i="1"/>
  <c r="AN1391" i="1"/>
  <c r="AM1391" i="1" s="1"/>
  <c r="AR1389" i="1"/>
  <c r="AQ1389" i="1"/>
  <c r="AP1389" i="1"/>
  <c r="AO1389" i="1"/>
  <c r="AN1389" i="1"/>
  <c r="AM1389" i="1" s="1"/>
  <c r="AR1387" i="1"/>
  <c r="AQ1387" i="1"/>
  <c r="AP1387" i="1"/>
  <c r="AO1387" i="1"/>
  <c r="AN1387" i="1"/>
  <c r="AM1387" i="1" s="1"/>
  <c r="AR1385" i="1"/>
  <c r="AQ1385" i="1"/>
  <c r="AP1385" i="1"/>
  <c r="AO1385" i="1"/>
  <c r="AN1385" i="1"/>
  <c r="AM1385" i="1" s="1"/>
  <c r="AR1383" i="1"/>
  <c r="AQ1383" i="1"/>
  <c r="AP1383" i="1"/>
  <c r="AO1383" i="1"/>
  <c r="AN1383" i="1"/>
  <c r="AM1383" i="1" s="1"/>
  <c r="AR1381" i="1"/>
  <c r="AQ1381" i="1"/>
  <c r="AP1381" i="1"/>
  <c r="AO1381" i="1"/>
  <c r="AN1381" i="1"/>
  <c r="AM1381" i="1" s="1"/>
  <c r="AR1379" i="1"/>
  <c r="AQ1379" i="1"/>
  <c r="AP1379" i="1"/>
  <c r="AO1379" i="1"/>
  <c r="AN1379" i="1"/>
  <c r="AM1379" i="1" s="1"/>
  <c r="AR1377" i="1"/>
  <c r="AQ1377" i="1"/>
  <c r="AP1377" i="1"/>
  <c r="AO1377" i="1"/>
  <c r="AN1377" i="1"/>
  <c r="AM1377" i="1" s="1"/>
  <c r="AR1375" i="1"/>
  <c r="AQ1375" i="1"/>
  <c r="AP1375" i="1"/>
  <c r="AO1375" i="1"/>
  <c r="AN1375" i="1"/>
  <c r="AM1375" i="1" s="1"/>
  <c r="AR1373" i="1"/>
  <c r="AQ1373" i="1"/>
  <c r="AP1373" i="1"/>
  <c r="AO1373" i="1"/>
  <c r="AN1373" i="1"/>
  <c r="AM1373" i="1" s="1"/>
  <c r="AR1371" i="1"/>
  <c r="AQ1371" i="1"/>
  <c r="AP1371" i="1"/>
  <c r="AO1371" i="1"/>
  <c r="AN1371" i="1"/>
  <c r="AM1371" i="1" s="1"/>
  <c r="AR1369" i="1"/>
  <c r="AQ1369" i="1"/>
  <c r="AP1369" i="1"/>
  <c r="AO1369" i="1"/>
  <c r="AN1369" i="1"/>
  <c r="AM1369" i="1" s="1"/>
  <c r="AR1367" i="1"/>
  <c r="AQ1367" i="1"/>
  <c r="AP1367" i="1"/>
  <c r="AO1367" i="1"/>
  <c r="AN1367" i="1"/>
  <c r="AM1367" i="1" s="1"/>
  <c r="AR1365" i="1"/>
  <c r="AQ1365" i="1"/>
  <c r="AP1365" i="1"/>
  <c r="AO1365" i="1"/>
  <c r="AN1365" i="1"/>
  <c r="AM1365" i="1" s="1"/>
  <c r="AR1363" i="1"/>
  <c r="AQ1363" i="1"/>
  <c r="AP1363" i="1"/>
  <c r="AO1363" i="1"/>
  <c r="AN1363" i="1"/>
  <c r="AM1363" i="1" s="1"/>
  <c r="AR1361" i="1"/>
  <c r="AQ1361" i="1"/>
  <c r="AP1361" i="1"/>
  <c r="AO1361" i="1"/>
  <c r="AN1361" i="1"/>
  <c r="AM1361" i="1" s="1"/>
  <c r="AR1359" i="1"/>
  <c r="AQ1359" i="1"/>
  <c r="AP1359" i="1"/>
  <c r="AO1359" i="1"/>
  <c r="AN1359" i="1"/>
  <c r="AM1359" i="1" s="1"/>
  <c r="AR1357" i="1"/>
  <c r="AQ1357" i="1"/>
  <c r="AP1357" i="1"/>
  <c r="AO1357" i="1"/>
  <c r="AN1357" i="1"/>
  <c r="AM1357" i="1" s="1"/>
  <c r="AR1355" i="1"/>
  <c r="AQ1355" i="1"/>
  <c r="AP1355" i="1"/>
  <c r="AO1355" i="1"/>
  <c r="AN1355" i="1"/>
  <c r="AM1355" i="1" s="1"/>
  <c r="AR1353" i="1"/>
  <c r="AQ1353" i="1"/>
  <c r="AP1353" i="1"/>
  <c r="AO1353" i="1"/>
  <c r="AN1353" i="1"/>
  <c r="AM1353" i="1" s="1"/>
  <c r="AR1351" i="1"/>
  <c r="AQ1351" i="1"/>
  <c r="AP1351" i="1"/>
  <c r="AO1351" i="1"/>
  <c r="AN1351" i="1"/>
  <c r="AM1351" i="1" s="1"/>
  <c r="AR1349" i="1"/>
  <c r="AQ1349" i="1"/>
  <c r="AP1349" i="1"/>
  <c r="AO1349" i="1"/>
  <c r="AN1349" i="1"/>
  <c r="AM1349" i="1" s="1"/>
  <c r="AR1347" i="1"/>
  <c r="AQ1347" i="1"/>
  <c r="AP1347" i="1"/>
  <c r="AO1347" i="1"/>
  <c r="AN1347" i="1"/>
  <c r="AM1347" i="1" s="1"/>
  <c r="AR1317" i="1"/>
  <c r="AQ1317" i="1"/>
  <c r="AP1317" i="1"/>
  <c r="AO1317" i="1"/>
  <c r="AN1317" i="1"/>
  <c r="AM1317" i="1" s="1"/>
  <c r="AR1315" i="1"/>
  <c r="AQ1315" i="1"/>
  <c r="AP1315" i="1"/>
  <c r="AO1315" i="1"/>
  <c r="AN1315" i="1"/>
  <c r="AM1315" i="1" s="1"/>
  <c r="AR1313" i="1"/>
  <c r="AQ1313" i="1"/>
  <c r="AP1313" i="1"/>
  <c r="AO1313" i="1"/>
  <c r="AN1313" i="1"/>
  <c r="AM1313" i="1" s="1"/>
  <c r="AR1311" i="1"/>
  <c r="AQ1311" i="1"/>
  <c r="AP1311" i="1"/>
  <c r="AO1311" i="1"/>
  <c r="AN1311" i="1"/>
  <c r="AM1311" i="1" s="1"/>
  <c r="AR1309" i="1"/>
  <c r="AQ1309" i="1"/>
  <c r="AP1309" i="1"/>
  <c r="AO1309" i="1"/>
  <c r="AN1309" i="1"/>
  <c r="AM1309" i="1" s="1"/>
  <c r="AR1307" i="1"/>
  <c r="AQ1307" i="1"/>
  <c r="AP1307" i="1"/>
  <c r="AO1307" i="1"/>
  <c r="AN1307" i="1"/>
  <c r="AM1307" i="1" s="1"/>
  <c r="AR1305" i="1"/>
  <c r="AQ1305" i="1"/>
  <c r="AP1305" i="1"/>
  <c r="AO1305" i="1"/>
  <c r="AN1305" i="1"/>
  <c r="AM1305" i="1" s="1"/>
  <c r="AR1303" i="1"/>
  <c r="AQ1303" i="1"/>
  <c r="AP1303" i="1"/>
  <c r="AO1303" i="1"/>
  <c r="AN1303" i="1"/>
  <c r="AM1303" i="1" s="1"/>
  <c r="AR1301" i="1"/>
  <c r="AQ1301" i="1"/>
  <c r="AP1301" i="1"/>
  <c r="AO1301" i="1"/>
  <c r="AN1301" i="1"/>
  <c r="AM1301" i="1" s="1"/>
  <c r="AR1299" i="1"/>
  <c r="AQ1299" i="1"/>
  <c r="AP1299" i="1"/>
  <c r="AO1299" i="1"/>
  <c r="AN1299" i="1"/>
  <c r="AM1299" i="1" s="1"/>
  <c r="AR1297" i="1"/>
  <c r="AQ1297" i="1"/>
  <c r="AP1297" i="1"/>
  <c r="AO1297" i="1"/>
  <c r="AN1297" i="1"/>
  <c r="AM1297" i="1" s="1"/>
  <c r="AR1295" i="1"/>
  <c r="AQ1295" i="1"/>
  <c r="AP1295" i="1"/>
  <c r="AO1295" i="1"/>
  <c r="AN1295" i="1"/>
  <c r="AM1295" i="1" s="1"/>
  <c r="AR1293" i="1"/>
  <c r="AQ1293" i="1"/>
  <c r="AP1293" i="1"/>
  <c r="AO1293" i="1"/>
  <c r="AN1293" i="1"/>
  <c r="AM1293" i="1" s="1"/>
  <c r="AR1291" i="1"/>
  <c r="AQ1291" i="1"/>
  <c r="AP1291" i="1"/>
  <c r="AO1291" i="1"/>
  <c r="AN1291" i="1"/>
  <c r="AM1291" i="1" s="1"/>
  <c r="AR1289" i="1"/>
  <c r="AQ1289" i="1"/>
  <c r="AP1289" i="1"/>
  <c r="AO1289" i="1"/>
  <c r="AN1289" i="1"/>
  <c r="AM1289" i="1" s="1"/>
  <c r="AR1287" i="1"/>
  <c r="AQ1287" i="1"/>
  <c r="AP1287" i="1"/>
  <c r="AO1287" i="1"/>
  <c r="AN1287" i="1"/>
  <c r="AM1287" i="1" s="1"/>
  <c r="AR1285" i="1"/>
  <c r="AQ1285" i="1"/>
  <c r="AP1285" i="1"/>
  <c r="AO1285" i="1"/>
  <c r="AN1285" i="1"/>
  <c r="AM1285" i="1" s="1"/>
  <c r="AR1283" i="1"/>
  <c r="AQ1283" i="1"/>
  <c r="AP1283" i="1"/>
  <c r="AO1283" i="1"/>
  <c r="AN1283" i="1"/>
  <c r="AM1283" i="1" s="1"/>
  <c r="AR1281" i="1"/>
  <c r="AQ1281" i="1"/>
  <c r="AP1281" i="1"/>
  <c r="AO1281" i="1"/>
  <c r="AN1281" i="1"/>
  <c r="AM1281" i="1" s="1"/>
  <c r="AR1279" i="1"/>
  <c r="AQ1279" i="1"/>
  <c r="AP1279" i="1"/>
  <c r="AO1279" i="1"/>
  <c r="AN1279" i="1"/>
  <c r="AM1279" i="1" s="1"/>
  <c r="AR1277" i="1"/>
  <c r="AQ1277" i="1"/>
  <c r="AP1277" i="1"/>
  <c r="AO1277" i="1"/>
  <c r="AN1277" i="1"/>
  <c r="AM1277" i="1" s="1"/>
  <c r="AR1275" i="1"/>
  <c r="AQ1275" i="1"/>
  <c r="AP1275" i="1"/>
  <c r="AO1275" i="1"/>
  <c r="AN1275" i="1"/>
  <c r="AM1275" i="1" s="1"/>
  <c r="AR1273" i="1"/>
  <c r="AQ1273" i="1"/>
  <c r="AP1273" i="1"/>
  <c r="AO1273" i="1"/>
  <c r="AN1273" i="1"/>
  <c r="AM1273" i="1" s="1"/>
  <c r="AR1243" i="1"/>
  <c r="AQ1243" i="1"/>
  <c r="AP1243" i="1"/>
  <c r="AO1243" i="1"/>
  <c r="AN1243" i="1"/>
  <c r="AM1243" i="1" s="1"/>
  <c r="AR1241" i="1"/>
  <c r="AQ1241" i="1"/>
  <c r="AP1241" i="1"/>
  <c r="AO1241" i="1"/>
  <c r="AN1241" i="1"/>
  <c r="AM1241" i="1" s="1"/>
  <c r="AR1239" i="1"/>
  <c r="AQ1239" i="1"/>
  <c r="AP1239" i="1"/>
  <c r="AO1239" i="1"/>
  <c r="AN1239" i="1"/>
  <c r="AM1239" i="1" s="1"/>
  <c r="AR1237" i="1"/>
  <c r="AQ1237" i="1"/>
  <c r="AP1237" i="1"/>
  <c r="AO1237" i="1"/>
  <c r="AN1237" i="1"/>
  <c r="AM1237" i="1" s="1"/>
  <c r="AR1235" i="1"/>
  <c r="AQ1235" i="1"/>
  <c r="AP1235" i="1"/>
  <c r="AO1235" i="1"/>
  <c r="AN1235" i="1"/>
  <c r="AM1235" i="1" s="1"/>
  <c r="AR1233" i="1"/>
  <c r="AQ1233" i="1"/>
  <c r="AP1233" i="1"/>
  <c r="AO1233" i="1"/>
  <c r="AN1233" i="1"/>
  <c r="AM1233" i="1" s="1"/>
  <c r="AR1231" i="1"/>
  <c r="AQ1231" i="1"/>
  <c r="AP1231" i="1"/>
  <c r="AO1231" i="1"/>
  <c r="AN1231" i="1"/>
  <c r="AM1231" i="1" s="1"/>
  <c r="AR1229" i="1"/>
  <c r="AQ1229" i="1"/>
  <c r="AP1229" i="1"/>
  <c r="AO1229" i="1"/>
  <c r="AN1229" i="1"/>
  <c r="AM1229" i="1" s="1"/>
  <c r="AR1227" i="1"/>
  <c r="AQ1227" i="1"/>
  <c r="AP1227" i="1"/>
  <c r="AO1227" i="1"/>
  <c r="AN1227" i="1"/>
  <c r="AM1227" i="1" s="1"/>
  <c r="AR1225" i="1"/>
  <c r="AQ1225" i="1"/>
  <c r="AP1225" i="1"/>
  <c r="AO1225" i="1"/>
  <c r="AN1225" i="1"/>
  <c r="AM1225" i="1" s="1"/>
  <c r="AR1223" i="1"/>
  <c r="AQ1223" i="1"/>
  <c r="AP1223" i="1"/>
  <c r="AO1223" i="1"/>
  <c r="AN1223" i="1"/>
  <c r="AM1223" i="1" s="1"/>
  <c r="AR1221" i="1"/>
  <c r="AQ1221" i="1"/>
  <c r="AP1221" i="1"/>
  <c r="AO1221" i="1"/>
  <c r="AN1221" i="1"/>
  <c r="AM1221" i="1" s="1"/>
  <c r="AR1219" i="1"/>
  <c r="AQ1219" i="1"/>
  <c r="AP1219" i="1"/>
  <c r="AO1219" i="1"/>
  <c r="AN1219" i="1"/>
  <c r="AM1219" i="1" s="1"/>
  <c r="AR1217" i="1"/>
  <c r="AQ1217" i="1"/>
  <c r="AP1217" i="1"/>
  <c r="AO1217" i="1"/>
  <c r="AN1217" i="1"/>
  <c r="AM1217" i="1" s="1"/>
  <c r="AR1215" i="1"/>
  <c r="AQ1215" i="1"/>
  <c r="AP1215" i="1"/>
  <c r="AO1215" i="1"/>
  <c r="AN1215" i="1"/>
  <c r="AM1215" i="1" s="1"/>
  <c r="AR1213" i="1"/>
  <c r="AQ1213" i="1"/>
  <c r="AP1213" i="1"/>
  <c r="AO1213" i="1"/>
  <c r="AN1213" i="1"/>
  <c r="AM1213" i="1" s="1"/>
  <c r="AR1211" i="1"/>
  <c r="AQ1211" i="1"/>
  <c r="AP1211" i="1"/>
  <c r="AO1211" i="1"/>
  <c r="AN1211" i="1"/>
  <c r="AM1211" i="1" s="1"/>
  <c r="AR1209" i="1"/>
  <c r="AQ1209" i="1"/>
  <c r="AP1209" i="1"/>
  <c r="AO1209" i="1"/>
  <c r="AN1209" i="1"/>
  <c r="AM1209" i="1" s="1"/>
  <c r="AR1207" i="1"/>
  <c r="AQ1207" i="1"/>
  <c r="AP1207" i="1"/>
  <c r="AO1207" i="1"/>
  <c r="AN1207" i="1"/>
  <c r="AM1207" i="1" s="1"/>
  <c r="AR1205" i="1"/>
  <c r="AQ1205" i="1"/>
  <c r="AP1205" i="1"/>
  <c r="AO1205" i="1"/>
  <c r="AN1205" i="1"/>
  <c r="AM1205" i="1" s="1"/>
  <c r="AR1203" i="1"/>
  <c r="AQ1203" i="1"/>
  <c r="AP1203" i="1"/>
  <c r="AO1203" i="1"/>
  <c r="AN1203" i="1"/>
  <c r="AM1203" i="1" s="1"/>
  <c r="AR1201" i="1"/>
  <c r="AQ1201" i="1"/>
  <c r="AP1201" i="1"/>
  <c r="AO1201" i="1"/>
  <c r="AN1201" i="1"/>
  <c r="AM1201" i="1" s="1"/>
  <c r="AR1199" i="1"/>
  <c r="AQ1199" i="1"/>
  <c r="AP1199" i="1"/>
  <c r="AO1199" i="1"/>
  <c r="AN1199" i="1"/>
  <c r="AM1199" i="1" s="1"/>
  <c r="AR1169" i="1"/>
  <c r="AQ1169" i="1"/>
  <c r="AP1169" i="1"/>
  <c r="AO1169" i="1"/>
  <c r="AN1169" i="1"/>
  <c r="AM1169" i="1" s="1"/>
  <c r="AR1167" i="1"/>
  <c r="AQ1167" i="1"/>
  <c r="AP1167" i="1"/>
  <c r="AO1167" i="1"/>
  <c r="AN1167" i="1"/>
  <c r="AM1167" i="1" s="1"/>
  <c r="AR1165" i="1"/>
  <c r="AQ1165" i="1"/>
  <c r="AP1165" i="1"/>
  <c r="AO1165" i="1"/>
  <c r="AN1165" i="1"/>
  <c r="AM1165" i="1" s="1"/>
  <c r="AR1163" i="1"/>
  <c r="AQ1163" i="1"/>
  <c r="AP1163" i="1"/>
  <c r="AO1163" i="1"/>
  <c r="AN1163" i="1"/>
  <c r="AM1163" i="1" s="1"/>
  <c r="AR1161" i="1"/>
  <c r="AQ1161" i="1"/>
  <c r="AP1161" i="1"/>
  <c r="AO1161" i="1"/>
  <c r="AN1161" i="1"/>
  <c r="AM1161" i="1" s="1"/>
  <c r="AR1159" i="1"/>
  <c r="AQ1159" i="1"/>
  <c r="AP1159" i="1"/>
  <c r="AO1159" i="1"/>
  <c r="AN1159" i="1"/>
  <c r="AM1159" i="1" s="1"/>
  <c r="AR1157" i="1"/>
  <c r="AQ1157" i="1"/>
  <c r="AP1157" i="1"/>
  <c r="AO1157" i="1"/>
  <c r="AN1157" i="1"/>
  <c r="AM1157" i="1" s="1"/>
  <c r="AR1155" i="1"/>
  <c r="AQ1155" i="1"/>
  <c r="AP1155" i="1"/>
  <c r="AO1155" i="1"/>
  <c r="AN1155" i="1"/>
  <c r="AM1155" i="1" s="1"/>
  <c r="AR1153" i="1"/>
  <c r="AQ1153" i="1"/>
  <c r="AP1153" i="1"/>
  <c r="AO1153" i="1"/>
  <c r="AN1153" i="1"/>
  <c r="AM1153" i="1" s="1"/>
  <c r="AR1151" i="1"/>
  <c r="AQ1151" i="1"/>
  <c r="AP1151" i="1"/>
  <c r="AO1151" i="1"/>
  <c r="AN1151" i="1"/>
  <c r="AM1151" i="1" s="1"/>
  <c r="AR1149" i="1"/>
  <c r="AQ1149" i="1"/>
  <c r="AP1149" i="1"/>
  <c r="AO1149" i="1"/>
  <c r="AN1149" i="1"/>
  <c r="AM1149" i="1" s="1"/>
  <c r="AR1147" i="1"/>
  <c r="AQ1147" i="1"/>
  <c r="AP1147" i="1"/>
  <c r="AO1147" i="1"/>
  <c r="AN1147" i="1"/>
  <c r="AM1147" i="1" s="1"/>
  <c r="AR1145" i="1"/>
  <c r="AQ1145" i="1"/>
  <c r="AP1145" i="1"/>
  <c r="AO1145" i="1"/>
  <c r="AN1145" i="1"/>
  <c r="AM1145" i="1" s="1"/>
  <c r="AR1143" i="1"/>
  <c r="AQ1143" i="1"/>
  <c r="AP1143" i="1"/>
  <c r="AO1143" i="1"/>
  <c r="AN1143" i="1"/>
  <c r="AM1143" i="1" s="1"/>
  <c r="AR1141" i="1"/>
  <c r="AQ1141" i="1"/>
  <c r="AP1141" i="1"/>
  <c r="AO1141" i="1"/>
  <c r="AN1141" i="1"/>
  <c r="AM1141" i="1" s="1"/>
  <c r="AR1139" i="1"/>
  <c r="AQ1139" i="1"/>
  <c r="AP1139" i="1"/>
  <c r="AO1139" i="1"/>
  <c r="AN1139" i="1"/>
  <c r="AM1139" i="1" s="1"/>
  <c r="AR1137" i="1"/>
  <c r="AQ1137" i="1"/>
  <c r="AP1137" i="1"/>
  <c r="AO1137" i="1"/>
  <c r="AN1137" i="1"/>
  <c r="AM1137" i="1" s="1"/>
  <c r="AR1135" i="1"/>
  <c r="AQ1135" i="1"/>
  <c r="AP1135" i="1"/>
  <c r="AO1135" i="1"/>
  <c r="AN1135" i="1"/>
  <c r="AM1135" i="1" s="1"/>
  <c r="AR1133" i="1"/>
  <c r="AQ1133" i="1"/>
  <c r="AP1133" i="1"/>
  <c r="AO1133" i="1"/>
  <c r="AN1133" i="1"/>
  <c r="AM1133" i="1" s="1"/>
  <c r="AR1131" i="1"/>
  <c r="AQ1131" i="1"/>
  <c r="AP1131" i="1"/>
  <c r="AO1131" i="1"/>
  <c r="AN1131" i="1"/>
  <c r="AM1131" i="1" s="1"/>
  <c r="AR1129" i="1"/>
  <c r="AQ1129" i="1"/>
  <c r="AP1129" i="1"/>
  <c r="AO1129" i="1"/>
  <c r="AN1129" i="1"/>
  <c r="AM1129" i="1" s="1"/>
  <c r="AR1127" i="1"/>
  <c r="AQ1127" i="1"/>
  <c r="AP1127" i="1"/>
  <c r="AO1127" i="1"/>
  <c r="AN1127" i="1"/>
  <c r="AM1127" i="1" s="1"/>
  <c r="AR1125" i="1"/>
  <c r="AQ1125" i="1"/>
  <c r="AP1125" i="1"/>
  <c r="AO1125" i="1"/>
  <c r="AN1125" i="1"/>
  <c r="AM1125" i="1" s="1"/>
  <c r="AR1095" i="1"/>
  <c r="AQ1095" i="1"/>
  <c r="AP1095" i="1"/>
  <c r="AO1095" i="1"/>
  <c r="AN1095" i="1"/>
  <c r="AM1095" i="1" s="1"/>
  <c r="AR1093" i="1"/>
  <c r="AQ1093" i="1"/>
  <c r="AP1093" i="1"/>
  <c r="AO1093" i="1"/>
  <c r="AN1093" i="1"/>
  <c r="AM1093" i="1" s="1"/>
  <c r="AR1091" i="1"/>
  <c r="AQ1091" i="1"/>
  <c r="AP1091" i="1"/>
  <c r="AO1091" i="1"/>
  <c r="AN1091" i="1"/>
  <c r="AM1091" i="1" s="1"/>
  <c r="AR1089" i="1"/>
  <c r="AQ1089" i="1"/>
  <c r="AP1089" i="1"/>
  <c r="AO1089" i="1"/>
  <c r="AN1089" i="1"/>
  <c r="AM1089" i="1" s="1"/>
  <c r="AR1087" i="1"/>
  <c r="AQ1087" i="1"/>
  <c r="AP1087" i="1"/>
  <c r="AO1087" i="1"/>
  <c r="AN1087" i="1"/>
  <c r="AM1087" i="1" s="1"/>
  <c r="AR1085" i="1"/>
  <c r="AQ1085" i="1"/>
  <c r="AP1085" i="1"/>
  <c r="AO1085" i="1"/>
  <c r="AN1085" i="1"/>
  <c r="AM1085" i="1" s="1"/>
  <c r="AR1083" i="1"/>
  <c r="AQ1083" i="1"/>
  <c r="AP1083" i="1"/>
  <c r="AO1083" i="1"/>
  <c r="AN1083" i="1"/>
  <c r="AM1083" i="1" s="1"/>
  <c r="AR1081" i="1"/>
  <c r="AQ1081" i="1"/>
  <c r="AP1081" i="1"/>
  <c r="AO1081" i="1"/>
  <c r="AN1081" i="1"/>
  <c r="AM1081" i="1" s="1"/>
  <c r="AR1079" i="1"/>
  <c r="AQ1079" i="1"/>
  <c r="AP1079" i="1"/>
  <c r="AO1079" i="1"/>
  <c r="AN1079" i="1"/>
  <c r="AM1079" i="1" s="1"/>
  <c r="AR1077" i="1"/>
  <c r="AQ1077" i="1"/>
  <c r="AP1077" i="1"/>
  <c r="AO1077" i="1"/>
  <c r="AN1077" i="1"/>
  <c r="AM1077" i="1" s="1"/>
  <c r="AR1075" i="1"/>
  <c r="AQ1075" i="1"/>
  <c r="AP1075" i="1"/>
  <c r="AO1075" i="1"/>
  <c r="AN1075" i="1"/>
  <c r="AM1075" i="1" s="1"/>
  <c r="AR1073" i="1"/>
  <c r="AQ1073" i="1"/>
  <c r="AP1073" i="1"/>
  <c r="AO1073" i="1"/>
  <c r="AN1073" i="1"/>
  <c r="AM1073" i="1" s="1"/>
  <c r="AR1071" i="1"/>
  <c r="AQ1071" i="1"/>
  <c r="AP1071" i="1"/>
  <c r="AO1071" i="1"/>
  <c r="AN1071" i="1"/>
  <c r="AM1071" i="1" s="1"/>
  <c r="AR1069" i="1"/>
  <c r="AQ1069" i="1"/>
  <c r="AP1069" i="1"/>
  <c r="AO1069" i="1"/>
  <c r="AN1069" i="1"/>
  <c r="AM1069" i="1" s="1"/>
  <c r="AR1067" i="1"/>
  <c r="AQ1067" i="1"/>
  <c r="AP1067" i="1"/>
  <c r="AO1067" i="1"/>
  <c r="AN1067" i="1"/>
  <c r="AM1067" i="1" s="1"/>
  <c r="AR1065" i="1"/>
  <c r="AQ1065" i="1"/>
  <c r="AP1065" i="1"/>
  <c r="AO1065" i="1"/>
  <c r="AN1065" i="1"/>
  <c r="AM1065" i="1" s="1"/>
  <c r="AR1063" i="1"/>
  <c r="AQ1063" i="1"/>
  <c r="AP1063" i="1"/>
  <c r="AO1063" i="1"/>
  <c r="AN1063" i="1"/>
  <c r="AM1063" i="1" s="1"/>
  <c r="AR1061" i="1"/>
  <c r="AQ1061" i="1"/>
  <c r="AP1061" i="1"/>
  <c r="AO1061" i="1"/>
  <c r="AN1061" i="1"/>
  <c r="AM1061" i="1" s="1"/>
  <c r="AR1059" i="1"/>
  <c r="AQ1059" i="1"/>
  <c r="AP1059" i="1"/>
  <c r="AO1059" i="1"/>
  <c r="AN1059" i="1"/>
  <c r="AM1059" i="1" s="1"/>
  <c r="AR1057" i="1"/>
  <c r="AQ1057" i="1"/>
  <c r="AP1057" i="1"/>
  <c r="AO1057" i="1"/>
  <c r="AN1057" i="1"/>
  <c r="AM1057" i="1" s="1"/>
  <c r="AR1055" i="1"/>
  <c r="AQ1055" i="1"/>
  <c r="AP1055" i="1"/>
  <c r="AO1055" i="1"/>
  <c r="AN1055" i="1"/>
  <c r="AM1055" i="1" s="1"/>
  <c r="AR1053" i="1"/>
  <c r="AQ1053" i="1"/>
  <c r="AP1053" i="1"/>
  <c r="AO1053" i="1"/>
  <c r="AN1053" i="1"/>
  <c r="AM1053" i="1" s="1"/>
  <c r="AR1051" i="1"/>
  <c r="AQ1051" i="1"/>
  <c r="AP1051" i="1"/>
  <c r="AO1051" i="1"/>
  <c r="AN1051" i="1"/>
  <c r="AM1051" i="1" s="1"/>
  <c r="AR1021" i="1"/>
  <c r="AQ1021" i="1"/>
  <c r="AP1021" i="1"/>
  <c r="AO1021" i="1"/>
  <c r="AN1021" i="1"/>
  <c r="AM1021" i="1" s="1"/>
  <c r="AR1019" i="1"/>
  <c r="AQ1019" i="1"/>
  <c r="AP1019" i="1"/>
  <c r="AO1019" i="1"/>
  <c r="AN1019" i="1"/>
  <c r="AM1019" i="1" s="1"/>
  <c r="AR1017" i="1"/>
  <c r="AQ1017" i="1"/>
  <c r="AP1017" i="1"/>
  <c r="AO1017" i="1"/>
  <c r="AN1017" i="1"/>
  <c r="AM1017" i="1" s="1"/>
  <c r="AR1015" i="1"/>
  <c r="AQ1015" i="1"/>
  <c r="AP1015" i="1"/>
  <c r="AO1015" i="1"/>
  <c r="AN1015" i="1"/>
  <c r="AM1015" i="1" s="1"/>
  <c r="AR1013" i="1"/>
  <c r="AQ1013" i="1"/>
  <c r="AP1013" i="1"/>
  <c r="AO1013" i="1"/>
  <c r="AN1013" i="1"/>
  <c r="AM1013" i="1" s="1"/>
  <c r="AR1011" i="1"/>
  <c r="AQ1011" i="1"/>
  <c r="AP1011" i="1"/>
  <c r="AO1011" i="1"/>
  <c r="AN1011" i="1"/>
  <c r="AM1011" i="1" s="1"/>
  <c r="AR1009" i="1"/>
  <c r="AQ1009" i="1"/>
  <c r="AP1009" i="1"/>
  <c r="AO1009" i="1"/>
  <c r="AN1009" i="1"/>
  <c r="AM1009" i="1" s="1"/>
  <c r="AR1007" i="1"/>
  <c r="AQ1007" i="1"/>
  <c r="AP1007" i="1"/>
  <c r="AO1007" i="1"/>
  <c r="AN1007" i="1"/>
  <c r="AM1007" i="1" s="1"/>
  <c r="AR1005" i="1"/>
  <c r="AQ1005" i="1"/>
  <c r="AP1005" i="1"/>
  <c r="AO1005" i="1"/>
  <c r="AN1005" i="1"/>
  <c r="AM1005" i="1" s="1"/>
  <c r="AR1003" i="1"/>
  <c r="AQ1003" i="1"/>
  <c r="AP1003" i="1"/>
  <c r="AO1003" i="1"/>
  <c r="AN1003" i="1"/>
  <c r="AM1003" i="1" s="1"/>
  <c r="AR1001" i="1"/>
  <c r="AQ1001" i="1"/>
  <c r="AP1001" i="1"/>
  <c r="AO1001" i="1"/>
  <c r="AN1001" i="1"/>
  <c r="AM1001" i="1" s="1"/>
  <c r="AR999" i="1"/>
  <c r="AQ999" i="1"/>
  <c r="AP999" i="1"/>
  <c r="AO999" i="1"/>
  <c r="AN999" i="1"/>
  <c r="AM999" i="1" s="1"/>
  <c r="AR997" i="1"/>
  <c r="AQ997" i="1"/>
  <c r="AP997" i="1"/>
  <c r="AO997" i="1"/>
  <c r="AN997" i="1"/>
  <c r="AM997" i="1" s="1"/>
  <c r="AR995" i="1"/>
  <c r="AQ995" i="1"/>
  <c r="AP995" i="1"/>
  <c r="AO995" i="1"/>
  <c r="AN995" i="1"/>
  <c r="AM995" i="1" s="1"/>
  <c r="AR993" i="1"/>
  <c r="AQ993" i="1"/>
  <c r="AP993" i="1"/>
  <c r="AO993" i="1"/>
  <c r="AN993" i="1"/>
  <c r="AM993" i="1" s="1"/>
  <c r="AR991" i="1"/>
  <c r="AQ991" i="1"/>
  <c r="AP991" i="1"/>
  <c r="AO991" i="1"/>
  <c r="AN991" i="1"/>
  <c r="AM991" i="1" s="1"/>
  <c r="AR989" i="1"/>
  <c r="AQ989" i="1"/>
  <c r="AP989" i="1"/>
  <c r="AO989" i="1"/>
  <c r="AN989" i="1"/>
  <c r="AM989" i="1" s="1"/>
  <c r="AR987" i="1"/>
  <c r="AQ987" i="1"/>
  <c r="AP987" i="1"/>
  <c r="AO987" i="1"/>
  <c r="AN987" i="1"/>
  <c r="AM987" i="1" s="1"/>
  <c r="AR985" i="1"/>
  <c r="AQ985" i="1"/>
  <c r="AP985" i="1"/>
  <c r="AO985" i="1"/>
  <c r="AN985" i="1"/>
  <c r="AM985" i="1" s="1"/>
  <c r="AR983" i="1"/>
  <c r="AQ983" i="1"/>
  <c r="AP983" i="1"/>
  <c r="AO983" i="1"/>
  <c r="AN983" i="1"/>
  <c r="AM983" i="1" s="1"/>
  <c r="AR981" i="1"/>
  <c r="AQ981" i="1"/>
  <c r="AP981" i="1"/>
  <c r="AO981" i="1"/>
  <c r="AN981" i="1"/>
  <c r="AM981" i="1" s="1"/>
  <c r="AR979" i="1"/>
  <c r="AQ979" i="1"/>
  <c r="AP979" i="1"/>
  <c r="AO979" i="1"/>
  <c r="AN979" i="1"/>
  <c r="AM979" i="1" s="1"/>
  <c r="AR977" i="1"/>
  <c r="AQ977" i="1"/>
  <c r="AP977" i="1"/>
  <c r="AO977" i="1"/>
  <c r="AN977" i="1"/>
  <c r="AM977" i="1" s="1"/>
  <c r="U951" i="1"/>
  <c r="U949" i="1"/>
  <c r="AR947" i="1"/>
  <c r="AQ947" i="1"/>
  <c r="AP947" i="1"/>
  <c r="AO947" i="1"/>
  <c r="AN947" i="1"/>
  <c r="AM947" i="1" s="1"/>
  <c r="U947" i="1"/>
  <c r="AR945" i="1"/>
  <c r="AQ945" i="1"/>
  <c r="AP945" i="1"/>
  <c r="AO945" i="1"/>
  <c r="AN945" i="1"/>
  <c r="AM945" i="1" s="1"/>
  <c r="AK945" i="1"/>
  <c r="U945" i="1"/>
  <c r="AR943" i="1"/>
  <c r="AQ943" i="1"/>
  <c r="AP943" i="1"/>
  <c r="AO943" i="1"/>
  <c r="AN943" i="1"/>
  <c r="AM943" i="1" s="1"/>
  <c r="AK943" i="1"/>
  <c r="U943" i="1"/>
  <c r="AR941" i="1"/>
  <c r="AQ941" i="1"/>
  <c r="AP941" i="1"/>
  <c r="AO941" i="1"/>
  <c r="AN941" i="1"/>
  <c r="AM941" i="1" s="1"/>
  <c r="AK941" i="1"/>
  <c r="U941" i="1"/>
  <c r="AR939" i="1"/>
  <c r="AQ939" i="1"/>
  <c r="AP939" i="1"/>
  <c r="AO939" i="1"/>
  <c r="AN939" i="1"/>
  <c r="AM939" i="1" s="1"/>
  <c r="AK939" i="1"/>
  <c r="U939" i="1"/>
  <c r="AR937" i="1"/>
  <c r="AQ937" i="1"/>
  <c r="AP937" i="1"/>
  <c r="AO937" i="1"/>
  <c r="AN937" i="1"/>
  <c r="AM937" i="1" s="1"/>
  <c r="AK937" i="1"/>
  <c r="U937" i="1"/>
  <c r="AR935" i="1"/>
  <c r="AQ935" i="1"/>
  <c r="AP935" i="1"/>
  <c r="AO935" i="1"/>
  <c r="AN935" i="1"/>
  <c r="AM935" i="1" s="1"/>
  <c r="AK935" i="1"/>
  <c r="U935" i="1"/>
  <c r="AR933" i="1"/>
  <c r="AQ933" i="1"/>
  <c r="AP933" i="1"/>
  <c r="AO933" i="1"/>
  <c r="AN933" i="1"/>
  <c r="AM933" i="1" s="1"/>
  <c r="AK933" i="1"/>
  <c r="U933" i="1"/>
  <c r="AR931" i="1"/>
  <c r="AQ931" i="1"/>
  <c r="AP931" i="1"/>
  <c r="AO931" i="1"/>
  <c r="AN931" i="1"/>
  <c r="AM931" i="1" s="1"/>
  <c r="AK931" i="1"/>
  <c r="U931" i="1"/>
  <c r="AR929" i="1"/>
  <c r="AQ929" i="1"/>
  <c r="AP929" i="1"/>
  <c r="AO929" i="1"/>
  <c r="AN929" i="1"/>
  <c r="AM929" i="1" s="1"/>
  <c r="AK929" i="1"/>
  <c r="U929" i="1"/>
  <c r="AR927" i="1"/>
  <c r="AQ927" i="1"/>
  <c r="AP927" i="1"/>
  <c r="AO927" i="1"/>
  <c r="AN927" i="1"/>
  <c r="AM927" i="1" s="1"/>
  <c r="AK927" i="1"/>
  <c r="U927" i="1"/>
  <c r="AR925" i="1"/>
  <c r="AQ925" i="1"/>
  <c r="AP925" i="1"/>
  <c r="AO925" i="1"/>
  <c r="AN925" i="1"/>
  <c r="AM925" i="1" s="1"/>
  <c r="AK925" i="1"/>
  <c r="U925" i="1"/>
  <c r="AR923" i="1"/>
  <c r="AQ923" i="1"/>
  <c r="AP923" i="1"/>
  <c r="AO923" i="1"/>
  <c r="AN923" i="1"/>
  <c r="AM923" i="1" s="1"/>
  <c r="AK923" i="1"/>
  <c r="U923" i="1"/>
  <c r="AR921" i="1"/>
  <c r="AQ921" i="1"/>
  <c r="AP921" i="1"/>
  <c r="AO921" i="1"/>
  <c r="AN921" i="1"/>
  <c r="AM921" i="1" s="1"/>
  <c r="AK921" i="1"/>
  <c r="U921" i="1"/>
  <c r="AR919" i="1"/>
  <c r="AQ919" i="1"/>
  <c r="AP919" i="1"/>
  <c r="AO919" i="1"/>
  <c r="AN919" i="1"/>
  <c r="AM919" i="1" s="1"/>
  <c r="AK919" i="1"/>
  <c r="U919" i="1"/>
  <c r="AR917" i="1"/>
  <c r="AQ917" i="1"/>
  <c r="AP917" i="1"/>
  <c r="AO917" i="1"/>
  <c r="AN917" i="1"/>
  <c r="AM917" i="1" s="1"/>
  <c r="AK917" i="1"/>
  <c r="U917" i="1"/>
  <c r="AR915" i="1"/>
  <c r="AQ915" i="1"/>
  <c r="AP915" i="1"/>
  <c r="AO915" i="1"/>
  <c r="AN915" i="1"/>
  <c r="AM915" i="1" s="1"/>
  <c r="AK915" i="1"/>
  <c r="U915" i="1"/>
  <c r="AR913" i="1"/>
  <c r="AQ913" i="1"/>
  <c r="AP913" i="1"/>
  <c r="AO913" i="1"/>
  <c r="AN913" i="1"/>
  <c r="AM913" i="1" s="1"/>
  <c r="AK913" i="1"/>
  <c r="U913" i="1"/>
  <c r="AR911" i="1"/>
  <c r="AQ911" i="1"/>
  <c r="AP911" i="1"/>
  <c r="AO911" i="1"/>
  <c r="AN911" i="1"/>
  <c r="AM911" i="1" s="1"/>
  <c r="AK911" i="1"/>
  <c r="U911" i="1"/>
  <c r="AR909" i="1"/>
  <c r="AQ909" i="1"/>
  <c r="AP909" i="1"/>
  <c r="AO909" i="1"/>
  <c r="AN909" i="1"/>
  <c r="AM909" i="1" s="1"/>
  <c r="AK909" i="1"/>
  <c r="U909" i="1"/>
  <c r="AR907" i="1"/>
  <c r="AQ907" i="1"/>
  <c r="AP907" i="1"/>
  <c r="AO907" i="1"/>
  <c r="AN907" i="1"/>
  <c r="AM907" i="1" s="1"/>
  <c r="AK907" i="1"/>
  <c r="U907" i="1"/>
  <c r="AR905" i="1"/>
  <c r="AQ905" i="1"/>
  <c r="AP905" i="1"/>
  <c r="AO905" i="1"/>
  <c r="AN905" i="1"/>
  <c r="AM905" i="1" s="1"/>
  <c r="AK905" i="1"/>
  <c r="U905" i="1"/>
  <c r="AR903" i="1"/>
  <c r="AQ903" i="1"/>
  <c r="AP903" i="1"/>
  <c r="AO903" i="1"/>
  <c r="AN903" i="1"/>
  <c r="AM903" i="1" s="1"/>
  <c r="AK903" i="1"/>
  <c r="U903" i="1"/>
  <c r="AR873" i="1"/>
  <c r="AQ873" i="1"/>
  <c r="AP873" i="1"/>
  <c r="AO873" i="1"/>
  <c r="AN873" i="1"/>
  <c r="AM873" i="1" s="1"/>
  <c r="AR871" i="1"/>
  <c r="AQ871" i="1"/>
  <c r="AP871" i="1"/>
  <c r="AO871" i="1"/>
  <c r="AN871" i="1"/>
  <c r="AM871" i="1" s="1"/>
  <c r="AR869" i="1"/>
  <c r="AQ869" i="1"/>
  <c r="AP869" i="1"/>
  <c r="AO869" i="1"/>
  <c r="AN869" i="1"/>
  <c r="AM869" i="1" s="1"/>
  <c r="AR867" i="1"/>
  <c r="AQ867" i="1"/>
  <c r="AP867" i="1"/>
  <c r="AO867" i="1"/>
  <c r="AN867" i="1"/>
  <c r="AM867" i="1" s="1"/>
  <c r="AR865" i="1"/>
  <c r="AQ865" i="1"/>
  <c r="AP865" i="1"/>
  <c r="AO865" i="1"/>
  <c r="AN865" i="1"/>
  <c r="AM865" i="1" s="1"/>
  <c r="AR863" i="1"/>
  <c r="AQ863" i="1"/>
  <c r="AP863" i="1"/>
  <c r="AO863" i="1"/>
  <c r="AN863" i="1"/>
  <c r="AM863" i="1" s="1"/>
  <c r="AR861" i="1"/>
  <c r="AQ861" i="1"/>
  <c r="AP861" i="1"/>
  <c r="AO861" i="1"/>
  <c r="AN861" i="1"/>
  <c r="AM861" i="1" s="1"/>
  <c r="AR859" i="1"/>
  <c r="AQ859" i="1"/>
  <c r="AP859" i="1"/>
  <c r="AO859" i="1"/>
  <c r="AN859" i="1"/>
  <c r="AM859" i="1" s="1"/>
  <c r="AR857" i="1"/>
  <c r="AQ857" i="1"/>
  <c r="AP857" i="1"/>
  <c r="AO857" i="1"/>
  <c r="AN857" i="1"/>
  <c r="AM857" i="1" s="1"/>
  <c r="AR855" i="1"/>
  <c r="AQ855" i="1"/>
  <c r="AP855" i="1"/>
  <c r="AO855" i="1"/>
  <c r="AN855" i="1"/>
  <c r="AM855" i="1" s="1"/>
  <c r="AR853" i="1"/>
  <c r="AQ853" i="1"/>
  <c r="AP853" i="1"/>
  <c r="AO853" i="1"/>
  <c r="AN853" i="1"/>
  <c r="AM853" i="1" s="1"/>
  <c r="AR851" i="1"/>
  <c r="AQ851" i="1"/>
  <c r="AP851" i="1"/>
  <c r="AO851" i="1"/>
  <c r="AN851" i="1"/>
  <c r="AM851" i="1" s="1"/>
  <c r="AR849" i="1"/>
  <c r="AQ849" i="1"/>
  <c r="AP849" i="1"/>
  <c r="AO849" i="1"/>
  <c r="AN849" i="1"/>
  <c r="AM849" i="1" s="1"/>
  <c r="AR847" i="1"/>
  <c r="AQ847" i="1"/>
  <c r="AP847" i="1"/>
  <c r="AO847" i="1"/>
  <c r="AN847" i="1"/>
  <c r="AM847" i="1" s="1"/>
  <c r="AR845" i="1"/>
  <c r="AQ845" i="1"/>
  <c r="AP845" i="1"/>
  <c r="AO845" i="1"/>
  <c r="AN845" i="1"/>
  <c r="AM845" i="1" s="1"/>
  <c r="AR843" i="1"/>
  <c r="AQ843" i="1"/>
  <c r="AP843" i="1"/>
  <c r="AO843" i="1"/>
  <c r="AN843" i="1"/>
  <c r="AM843" i="1" s="1"/>
  <c r="AR841" i="1"/>
  <c r="AQ841" i="1"/>
  <c r="AP841" i="1"/>
  <c r="AO841" i="1"/>
  <c r="AN841" i="1"/>
  <c r="AM841" i="1" s="1"/>
  <c r="AR839" i="1"/>
  <c r="AQ839" i="1"/>
  <c r="AP839" i="1"/>
  <c r="AO839" i="1"/>
  <c r="AN839" i="1"/>
  <c r="AM839" i="1" s="1"/>
  <c r="AR837" i="1"/>
  <c r="AQ837" i="1"/>
  <c r="AP837" i="1"/>
  <c r="AO837" i="1"/>
  <c r="AN837" i="1"/>
  <c r="AM837" i="1" s="1"/>
  <c r="AR835" i="1"/>
  <c r="AQ835" i="1"/>
  <c r="AP835" i="1"/>
  <c r="AO835" i="1"/>
  <c r="AN835" i="1"/>
  <c r="AM835" i="1" s="1"/>
  <c r="AR833" i="1"/>
  <c r="AQ833" i="1"/>
  <c r="AP833" i="1"/>
  <c r="AO833" i="1"/>
  <c r="AN833" i="1"/>
  <c r="AM833" i="1" s="1"/>
  <c r="AR831" i="1"/>
  <c r="AQ831" i="1"/>
  <c r="AP831" i="1"/>
  <c r="AO831" i="1"/>
  <c r="AN831" i="1"/>
  <c r="AM831" i="1" s="1"/>
  <c r="AR829" i="1"/>
  <c r="AQ829" i="1"/>
  <c r="AP829" i="1"/>
  <c r="AO829" i="1"/>
  <c r="AN829" i="1"/>
  <c r="AM829" i="1" s="1"/>
  <c r="AR799" i="1"/>
  <c r="AQ799" i="1"/>
  <c r="AP799" i="1"/>
  <c r="AO799" i="1"/>
  <c r="AN799" i="1"/>
  <c r="AM799" i="1" s="1"/>
  <c r="AR797" i="1"/>
  <c r="AQ797" i="1"/>
  <c r="AP797" i="1"/>
  <c r="AO797" i="1"/>
  <c r="AN797" i="1"/>
  <c r="AM797" i="1" s="1"/>
  <c r="AR795" i="1"/>
  <c r="AQ795" i="1"/>
  <c r="AP795" i="1"/>
  <c r="AO795" i="1"/>
  <c r="AN795" i="1"/>
  <c r="AM795" i="1" s="1"/>
  <c r="AR793" i="1"/>
  <c r="AQ793" i="1"/>
  <c r="AP793" i="1"/>
  <c r="AO793" i="1"/>
  <c r="AN793" i="1"/>
  <c r="AM793" i="1" s="1"/>
  <c r="AR791" i="1"/>
  <c r="AQ791" i="1"/>
  <c r="AP791" i="1"/>
  <c r="AO791" i="1"/>
  <c r="AN791" i="1"/>
  <c r="AM791" i="1" s="1"/>
  <c r="AR789" i="1"/>
  <c r="AQ789" i="1"/>
  <c r="AP789" i="1"/>
  <c r="AO789" i="1"/>
  <c r="AN789" i="1"/>
  <c r="AM789" i="1" s="1"/>
  <c r="AR787" i="1"/>
  <c r="AQ787" i="1"/>
  <c r="AP787" i="1"/>
  <c r="AO787" i="1"/>
  <c r="AN787" i="1"/>
  <c r="AM787" i="1" s="1"/>
  <c r="AR785" i="1"/>
  <c r="AQ785" i="1"/>
  <c r="AP785" i="1"/>
  <c r="AO785" i="1"/>
  <c r="AN785" i="1"/>
  <c r="AM785" i="1" s="1"/>
  <c r="AR783" i="1"/>
  <c r="AQ783" i="1"/>
  <c r="AP783" i="1"/>
  <c r="AO783" i="1"/>
  <c r="AN783" i="1"/>
  <c r="AM783" i="1" s="1"/>
  <c r="AR781" i="1"/>
  <c r="AQ781" i="1"/>
  <c r="AP781" i="1"/>
  <c r="AO781" i="1"/>
  <c r="AN781" i="1"/>
  <c r="AM781" i="1" s="1"/>
  <c r="AR779" i="1"/>
  <c r="AQ779" i="1"/>
  <c r="AP779" i="1"/>
  <c r="AO779" i="1"/>
  <c r="AN779" i="1"/>
  <c r="AM779" i="1" s="1"/>
  <c r="AR777" i="1"/>
  <c r="AQ777" i="1"/>
  <c r="AP777" i="1"/>
  <c r="AO777" i="1"/>
  <c r="AN777" i="1"/>
  <c r="AM777" i="1" s="1"/>
  <c r="AR775" i="1"/>
  <c r="AQ775" i="1"/>
  <c r="AP775" i="1"/>
  <c r="AO775" i="1"/>
  <c r="AN775" i="1"/>
  <c r="AM775" i="1" s="1"/>
  <c r="AR773" i="1"/>
  <c r="AQ773" i="1"/>
  <c r="AP773" i="1"/>
  <c r="AO773" i="1"/>
  <c r="AN773" i="1"/>
  <c r="AM773" i="1" s="1"/>
  <c r="AR771" i="1"/>
  <c r="AQ771" i="1"/>
  <c r="AP771" i="1"/>
  <c r="AO771" i="1"/>
  <c r="AN771" i="1"/>
  <c r="AM771" i="1" s="1"/>
  <c r="AR769" i="1"/>
  <c r="AQ769" i="1"/>
  <c r="AP769" i="1"/>
  <c r="AO769" i="1"/>
  <c r="AN769" i="1"/>
  <c r="AM769" i="1" s="1"/>
  <c r="AR767" i="1"/>
  <c r="AQ767" i="1"/>
  <c r="AP767" i="1"/>
  <c r="AO767" i="1"/>
  <c r="AN767" i="1"/>
  <c r="AM767" i="1" s="1"/>
  <c r="AR765" i="1"/>
  <c r="AQ765" i="1"/>
  <c r="AP765" i="1"/>
  <c r="AO765" i="1"/>
  <c r="AN765" i="1"/>
  <c r="AM765" i="1" s="1"/>
  <c r="AR763" i="1"/>
  <c r="AQ763" i="1"/>
  <c r="AP763" i="1"/>
  <c r="AO763" i="1"/>
  <c r="AN763" i="1"/>
  <c r="AM763" i="1" s="1"/>
  <c r="AR761" i="1"/>
  <c r="AQ761" i="1"/>
  <c r="AP761" i="1"/>
  <c r="AO761" i="1"/>
  <c r="AN761" i="1"/>
  <c r="AM761" i="1" s="1"/>
  <c r="AR759" i="1"/>
  <c r="AQ759" i="1"/>
  <c r="AP759" i="1"/>
  <c r="AO759" i="1"/>
  <c r="AN759" i="1"/>
  <c r="AM759" i="1" s="1"/>
  <c r="AR757" i="1"/>
  <c r="AQ757" i="1"/>
  <c r="AP757" i="1"/>
  <c r="AO757" i="1"/>
  <c r="AN757" i="1"/>
  <c r="AM757" i="1" s="1"/>
  <c r="AR755" i="1"/>
  <c r="AQ755" i="1"/>
  <c r="AP755" i="1"/>
  <c r="AO755" i="1"/>
  <c r="AN755" i="1"/>
  <c r="AM755" i="1" s="1"/>
  <c r="U729" i="1"/>
  <c r="U727" i="1"/>
  <c r="AR725" i="1"/>
  <c r="AQ725" i="1"/>
  <c r="AP725" i="1"/>
  <c r="AO725" i="1"/>
  <c r="AN725" i="1"/>
  <c r="AM725" i="1" s="1"/>
  <c r="U725" i="1"/>
  <c r="AR723" i="1"/>
  <c r="AQ723" i="1"/>
  <c r="AP723" i="1"/>
  <c r="AO723" i="1"/>
  <c r="AN723" i="1"/>
  <c r="AM723" i="1" s="1"/>
  <c r="AK723" i="1"/>
  <c r="U723" i="1"/>
  <c r="AR721" i="1"/>
  <c r="AQ721" i="1"/>
  <c r="AP721" i="1"/>
  <c r="AO721" i="1"/>
  <c r="AN721" i="1"/>
  <c r="AM721" i="1" s="1"/>
  <c r="AK721" i="1"/>
  <c r="U721" i="1"/>
  <c r="AR719" i="1"/>
  <c r="AQ719" i="1"/>
  <c r="AP719" i="1"/>
  <c r="AO719" i="1"/>
  <c r="AN719" i="1"/>
  <c r="AM719" i="1" s="1"/>
  <c r="AK719" i="1"/>
  <c r="U719" i="1"/>
  <c r="AR717" i="1"/>
  <c r="AQ717" i="1"/>
  <c r="AP717" i="1"/>
  <c r="AO717" i="1"/>
  <c r="AN717" i="1"/>
  <c r="AM717" i="1" s="1"/>
  <c r="AK717" i="1"/>
  <c r="U717" i="1"/>
  <c r="AR715" i="1"/>
  <c r="AQ715" i="1"/>
  <c r="AP715" i="1"/>
  <c r="AO715" i="1"/>
  <c r="AN715" i="1"/>
  <c r="AM715" i="1" s="1"/>
  <c r="AK715" i="1"/>
  <c r="U715" i="1"/>
  <c r="AR713" i="1"/>
  <c r="AQ713" i="1"/>
  <c r="AP713" i="1"/>
  <c r="AO713" i="1"/>
  <c r="AN713" i="1"/>
  <c r="AM713" i="1" s="1"/>
  <c r="AK713" i="1"/>
  <c r="U713" i="1"/>
  <c r="AR711" i="1"/>
  <c r="AQ711" i="1"/>
  <c r="AP711" i="1"/>
  <c r="AO711" i="1"/>
  <c r="AN711" i="1"/>
  <c r="AM711" i="1" s="1"/>
  <c r="AK711" i="1"/>
  <c r="U711" i="1"/>
  <c r="AR709" i="1"/>
  <c r="AQ709" i="1"/>
  <c r="AP709" i="1"/>
  <c r="AO709" i="1"/>
  <c r="AN709" i="1"/>
  <c r="AM709" i="1" s="1"/>
  <c r="AK709" i="1"/>
  <c r="U709" i="1"/>
  <c r="AR707" i="1"/>
  <c r="AQ707" i="1"/>
  <c r="AP707" i="1"/>
  <c r="AO707" i="1"/>
  <c r="AN707" i="1"/>
  <c r="AM707" i="1" s="1"/>
  <c r="AK707" i="1"/>
  <c r="U707" i="1"/>
  <c r="AR705" i="1"/>
  <c r="AQ705" i="1"/>
  <c r="AP705" i="1"/>
  <c r="AO705" i="1"/>
  <c r="AN705" i="1"/>
  <c r="AM705" i="1" s="1"/>
  <c r="AK705" i="1"/>
  <c r="U705" i="1"/>
  <c r="AR703" i="1"/>
  <c r="AQ703" i="1"/>
  <c r="AP703" i="1"/>
  <c r="AO703" i="1"/>
  <c r="AN703" i="1"/>
  <c r="AM703" i="1" s="1"/>
  <c r="AK703" i="1"/>
  <c r="U703" i="1"/>
  <c r="AR701" i="1"/>
  <c r="AQ701" i="1"/>
  <c r="AP701" i="1"/>
  <c r="AO701" i="1"/>
  <c r="AN701" i="1"/>
  <c r="AM701" i="1" s="1"/>
  <c r="AK701" i="1"/>
  <c r="U701" i="1"/>
  <c r="AR699" i="1"/>
  <c r="AQ699" i="1"/>
  <c r="AP699" i="1"/>
  <c r="AO699" i="1"/>
  <c r="AN699" i="1"/>
  <c r="AM699" i="1" s="1"/>
  <c r="AK699" i="1"/>
  <c r="U699" i="1"/>
  <c r="AR697" i="1"/>
  <c r="AQ697" i="1"/>
  <c r="AP697" i="1"/>
  <c r="AO697" i="1"/>
  <c r="AN697" i="1"/>
  <c r="AM697" i="1" s="1"/>
  <c r="AK697" i="1"/>
  <c r="U697" i="1"/>
  <c r="AR695" i="1"/>
  <c r="AQ695" i="1"/>
  <c r="AP695" i="1"/>
  <c r="AO695" i="1"/>
  <c r="AN695" i="1"/>
  <c r="AM695" i="1" s="1"/>
  <c r="AK695" i="1"/>
  <c r="U695" i="1"/>
  <c r="AR693" i="1"/>
  <c r="AQ693" i="1"/>
  <c r="AP693" i="1"/>
  <c r="AO693" i="1"/>
  <c r="AN693" i="1"/>
  <c r="AM693" i="1" s="1"/>
  <c r="AK693" i="1"/>
  <c r="U693" i="1"/>
  <c r="AR691" i="1"/>
  <c r="AQ691" i="1"/>
  <c r="AP691" i="1"/>
  <c r="AO691" i="1"/>
  <c r="AN691" i="1"/>
  <c r="AM691" i="1" s="1"/>
  <c r="AK691" i="1"/>
  <c r="U691" i="1"/>
  <c r="AR689" i="1"/>
  <c r="AQ689" i="1"/>
  <c r="AP689" i="1"/>
  <c r="AO689" i="1"/>
  <c r="AN689" i="1"/>
  <c r="AM689" i="1" s="1"/>
  <c r="AK689" i="1"/>
  <c r="U689" i="1"/>
  <c r="AR687" i="1"/>
  <c r="AQ687" i="1"/>
  <c r="AP687" i="1"/>
  <c r="AO687" i="1"/>
  <c r="AN687" i="1"/>
  <c r="AM687" i="1" s="1"/>
  <c r="AK687" i="1"/>
  <c r="U687" i="1"/>
  <c r="AR685" i="1"/>
  <c r="AQ685" i="1"/>
  <c r="AP685" i="1"/>
  <c r="AO685" i="1"/>
  <c r="AN685" i="1"/>
  <c r="AM685" i="1" s="1"/>
  <c r="AK685" i="1"/>
  <c r="U685" i="1"/>
  <c r="AR683" i="1"/>
  <c r="AQ683" i="1"/>
  <c r="AP683" i="1"/>
  <c r="AO683" i="1"/>
  <c r="AN683" i="1"/>
  <c r="AM683" i="1" s="1"/>
  <c r="AK683" i="1"/>
  <c r="U683" i="1"/>
  <c r="AR681" i="1"/>
  <c r="AQ681" i="1"/>
  <c r="AP681" i="1"/>
  <c r="AO681" i="1"/>
  <c r="AN681" i="1"/>
  <c r="AM681" i="1" s="1"/>
  <c r="AK681" i="1"/>
  <c r="U681" i="1"/>
  <c r="U655" i="1"/>
  <c r="U653" i="1"/>
  <c r="AR651" i="1"/>
  <c r="AQ651" i="1"/>
  <c r="AP651" i="1"/>
  <c r="AO651" i="1"/>
  <c r="AN651" i="1"/>
  <c r="AM651" i="1" s="1"/>
  <c r="U651" i="1"/>
  <c r="AR649" i="1"/>
  <c r="AQ649" i="1"/>
  <c r="AP649" i="1"/>
  <c r="AO649" i="1"/>
  <c r="AN649" i="1"/>
  <c r="AM649" i="1" s="1"/>
  <c r="AK649" i="1"/>
  <c r="U649" i="1"/>
  <c r="AR647" i="1"/>
  <c r="AQ647" i="1"/>
  <c r="AP647" i="1"/>
  <c r="AO647" i="1"/>
  <c r="AN647" i="1"/>
  <c r="AM647" i="1" s="1"/>
  <c r="AK647" i="1"/>
  <c r="U647" i="1"/>
  <c r="AR645" i="1"/>
  <c r="AQ645" i="1"/>
  <c r="AP645" i="1"/>
  <c r="AO645" i="1"/>
  <c r="AN645" i="1"/>
  <c r="AM645" i="1" s="1"/>
  <c r="AK645" i="1"/>
  <c r="U645" i="1"/>
  <c r="AR643" i="1"/>
  <c r="AQ643" i="1"/>
  <c r="AP643" i="1"/>
  <c r="AO643" i="1"/>
  <c r="AN643" i="1"/>
  <c r="AM643" i="1" s="1"/>
  <c r="AK643" i="1"/>
  <c r="U643" i="1"/>
  <c r="AR641" i="1"/>
  <c r="AQ641" i="1"/>
  <c r="AP641" i="1"/>
  <c r="AO641" i="1"/>
  <c r="AN641" i="1"/>
  <c r="AM641" i="1" s="1"/>
  <c r="AK641" i="1"/>
  <c r="U641" i="1"/>
  <c r="AR639" i="1"/>
  <c r="AQ639" i="1"/>
  <c r="AP639" i="1"/>
  <c r="AO639" i="1"/>
  <c r="AN639" i="1"/>
  <c r="AM639" i="1" s="1"/>
  <c r="AK639" i="1"/>
  <c r="U639" i="1"/>
  <c r="AR637" i="1"/>
  <c r="AQ637" i="1"/>
  <c r="AP637" i="1"/>
  <c r="AO637" i="1"/>
  <c r="AN637" i="1"/>
  <c r="AM637" i="1" s="1"/>
  <c r="AK637" i="1"/>
  <c r="U637" i="1"/>
  <c r="AR635" i="1"/>
  <c r="AQ635" i="1"/>
  <c r="AP635" i="1"/>
  <c r="AO635" i="1"/>
  <c r="AN635" i="1"/>
  <c r="AM635" i="1" s="1"/>
  <c r="AK635" i="1"/>
  <c r="U635" i="1"/>
  <c r="AR633" i="1"/>
  <c r="AQ633" i="1"/>
  <c r="AP633" i="1"/>
  <c r="AO633" i="1"/>
  <c r="AN633" i="1"/>
  <c r="AM633" i="1" s="1"/>
  <c r="AK633" i="1"/>
  <c r="U633" i="1"/>
  <c r="AR631" i="1"/>
  <c r="AQ631" i="1"/>
  <c r="AP631" i="1"/>
  <c r="AO631" i="1"/>
  <c r="AN631" i="1"/>
  <c r="AM631" i="1" s="1"/>
  <c r="AK631" i="1"/>
  <c r="U631" i="1"/>
  <c r="AR629" i="1"/>
  <c r="AQ629" i="1"/>
  <c r="AP629" i="1"/>
  <c r="AO629" i="1"/>
  <c r="AN629" i="1"/>
  <c r="AM629" i="1" s="1"/>
  <c r="AK629" i="1"/>
  <c r="U629" i="1"/>
  <c r="AR627" i="1"/>
  <c r="AQ627" i="1"/>
  <c r="AP627" i="1"/>
  <c r="AO627" i="1"/>
  <c r="AN627" i="1"/>
  <c r="AM627" i="1" s="1"/>
  <c r="AK627" i="1"/>
  <c r="U627" i="1"/>
  <c r="AR625" i="1"/>
  <c r="AQ625" i="1"/>
  <c r="AP625" i="1"/>
  <c r="AO625" i="1"/>
  <c r="AN625" i="1"/>
  <c r="AM625" i="1" s="1"/>
  <c r="AK625" i="1"/>
  <c r="U625" i="1"/>
  <c r="AR623" i="1"/>
  <c r="AQ623" i="1"/>
  <c r="AP623" i="1"/>
  <c r="AO623" i="1"/>
  <c r="AN623" i="1"/>
  <c r="AM623" i="1" s="1"/>
  <c r="AK623" i="1"/>
  <c r="U623" i="1"/>
  <c r="AR621" i="1"/>
  <c r="AQ621" i="1"/>
  <c r="AP621" i="1"/>
  <c r="AO621" i="1"/>
  <c r="AN621" i="1"/>
  <c r="AM621" i="1" s="1"/>
  <c r="AK621" i="1"/>
  <c r="U621" i="1"/>
  <c r="AR619" i="1"/>
  <c r="AQ619" i="1"/>
  <c r="AP619" i="1"/>
  <c r="AO619" i="1"/>
  <c r="AN619" i="1"/>
  <c r="AM619" i="1" s="1"/>
  <c r="AK619" i="1"/>
  <c r="U619" i="1"/>
  <c r="AR617" i="1"/>
  <c r="AQ617" i="1"/>
  <c r="AP617" i="1"/>
  <c r="AO617" i="1"/>
  <c r="AN617" i="1"/>
  <c r="AM617" i="1" s="1"/>
  <c r="AK617" i="1"/>
  <c r="U617" i="1"/>
  <c r="AR615" i="1"/>
  <c r="AQ615" i="1"/>
  <c r="AP615" i="1"/>
  <c r="AO615" i="1"/>
  <c r="AN615" i="1"/>
  <c r="AM615" i="1" s="1"/>
  <c r="AK615" i="1"/>
  <c r="U615" i="1"/>
  <c r="AR613" i="1"/>
  <c r="AQ613" i="1"/>
  <c r="AP613" i="1"/>
  <c r="AO613" i="1"/>
  <c r="AN613" i="1"/>
  <c r="AM613" i="1" s="1"/>
  <c r="AK613" i="1"/>
  <c r="U613" i="1"/>
  <c r="AR611" i="1"/>
  <c r="AQ611" i="1"/>
  <c r="AP611" i="1"/>
  <c r="AO611" i="1"/>
  <c r="AN611" i="1"/>
  <c r="AM611" i="1" s="1"/>
  <c r="AK611" i="1"/>
  <c r="U611" i="1"/>
  <c r="AR609" i="1"/>
  <c r="AQ609" i="1"/>
  <c r="AP609" i="1"/>
  <c r="AO609" i="1"/>
  <c r="AN609" i="1"/>
  <c r="AM609" i="1" s="1"/>
  <c r="AK609" i="1"/>
  <c r="U609" i="1"/>
  <c r="AR607" i="1"/>
  <c r="AQ607" i="1"/>
  <c r="AP607" i="1"/>
  <c r="AO607" i="1"/>
  <c r="AN607" i="1"/>
  <c r="AM607" i="1" s="1"/>
  <c r="AK607" i="1"/>
  <c r="U607" i="1"/>
  <c r="U581" i="1"/>
  <c r="U579" i="1"/>
  <c r="AR577" i="1"/>
  <c r="AQ577" i="1"/>
  <c r="AP577" i="1"/>
  <c r="AO577" i="1"/>
  <c r="AN577" i="1"/>
  <c r="AM577" i="1" s="1"/>
  <c r="U577" i="1"/>
  <c r="AR575" i="1"/>
  <c r="AQ575" i="1"/>
  <c r="AP575" i="1"/>
  <c r="AO575" i="1"/>
  <c r="AN575" i="1"/>
  <c r="AM575" i="1" s="1"/>
  <c r="AK575" i="1"/>
  <c r="U575" i="1"/>
  <c r="AR573" i="1"/>
  <c r="AQ573" i="1"/>
  <c r="AP573" i="1"/>
  <c r="AO573" i="1"/>
  <c r="AN573" i="1"/>
  <c r="AM573" i="1" s="1"/>
  <c r="AK573" i="1"/>
  <c r="U573" i="1"/>
  <c r="AR571" i="1"/>
  <c r="AQ571" i="1"/>
  <c r="AP571" i="1"/>
  <c r="AO571" i="1"/>
  <c r="AN571" i="1"/>
  <c r="AM571" i="1" s="1"/>
  <c r="AK571" i="1"/>
  <c r="U571" i="1"/>
  <c r="AR569" i="1"/>
  <c r="AQ569" i="1"/>
  <c r="AP569" i="1"/>
  <c r="AO569" i="1"/>
  <c r="AN569" i="1"/>
  <c r="AM569" i="1" s="1"/>
  <c r="AK569" i="1"/>
  <c r="U569" i="1"/>
  <c r="AR567" i="1"/>
  <c r="AQ567" i="1"/>
  <c r="AP567" i="1"/>
  <c r="AO567" i="1"/>
  <c r="AN567" i="1"/>
  <c r="AM567" i="1" s="1"/>
  <c r="AK567" i="1"/>
  <c r="U567" i="1"/>
  <c r="AR565" i="1"/>
  <c r="AQ565" i="1"/>
  <c r="AP565" i="1"/>
  <c r="AO565" i="1"/>
  <c r="AN565" i="1"/>
  <c r="AM565" i="1" s="1"/>
  <c r="AK565" i="1"/>
  <c r="U565" i="1"/>
  <c r="AR563" i="1"/>
  <c r="AQ563" i="1"/>
  <c r="AP563" i="1"/>
  <c r="AO563" i="1"/>
  <c r="AN563" i="1"/>
  <c r="AM563" i="1" s="1"/>
  <c r="AK563" i="1"/>
  <c r="U563" i="1"/>
  <c r="AR561" i="1"/>
  <c r="AQ561" i="1"/>
  <c r="AP561" i="1"/>
  <c r="AO561" i="1"/>
  <c r="AN561" i="1"/>
  <c r="AM561" i="1" s="1"/>
  <c r="AK561" i="1"/>
  <c r="U561" i="1"/>
  <c r="AR559" i="1"/>
  <c r="AQ559" i="1"/>
  <c r="AP559" i="1"/>
  <c r="AO559" i="1"/>
  <c r="AN559" i="1"/>
  <c r="AM559" i="1" s="1"/>
  <c r="AK559" i="1"/>
  <c r="U559" i="1"/>
  <c r="AR557" i="1"/>
  <c r="AQ557" i="1"/>
  <c r="AP557" i="1"/>
  <c r="AO557" i="1"/>
  <c r="AN557" i="1"/>
  <c r="AM557" i="1" s="1"/>
  <c r="AK557" i="1"/>
  <c r="U557" i="1"/>
  <c r="AR555" i="1"/>
  <c r="AQ555" i="1"/>
  <c r="AP555" i="1"/>
  <c r="AO555" i="1"/>
  <c r="AN555" i="1"/>
  <c r="AM555" i="1" s="1"/>
  <c r="AK555" i="1"/>
  <c r="U555" i="1"/>
  <c r="AR553" i="1"/>
  <c r="AQ553" i="1"/>
  <c r="AP553" i="1"/>
  <c r="AO553" i="1"/>
  <c r="AN553" i="1"/>
  <c r="AM553" i="1" s="1"/>
  <c r="AK553" i="1"/>
  <c r="U553" i="1"/>
  <c r="AR551" i="1"/>
  <c r="AQ551" i="1"/>
  <c r="AP551" i="1"/>
  <c r="AO551" i="1"/>
  <c r="AN551" i="1"/>
  <c r="AM551" i="1" s="1"/>
  <c r="AK551" i="1"/>
  <c r="U551" i="1"/>
  <c r="AR549" i="1"/>
  <c r="AQ549" i="1"/>
  <c r="AP549" i="1"/>
  <c r="AO549" i="1"/>
  <c r="AN549" i="1"/>
  <c r="AM549" i="1" s="1"/>
  <c r="AK549" i="1"/>
  <c r="U549" i="1"/>
  <c r="AR547" i="1"/>
  <c r="AQ547" i="1"/>
  <c r="AP547" i="1"/>
  <c r="AO547" i="1"/>
  <c r="AN547" i="1"/>
  <c r="AM547" i="1" s="1"/>
  <c r="AK547" i="1"/>
  <c r="U547" i="1"/>
  <c r="AR545" i="1"/>
  <c r="AQ545" i="1"/>
  <c r="AP545" i="1"/>
  <c r="AO545" i="1"/>
  <c r="AN545" i="1"/>
  <c r="AM545" i="1" s="1"/>
  <c r="AK545" i="1"/>
  <c r="U545" i="1"/>
  <c r="AR543" i="1"/>
  <c r="AQ543" i="1"/>
  <c r="AP543" i="1"/>
  <c r="AO543" i="1"/>
  <c r="AN543" i="1"/>
  <c r="AM543" i="1" s="1"/>
  <c r="AK543" i="1"/>
  <c r="U543" i="1"/>
  <c r="AR541" i="1"/>
  <c r="AQ541" i="1"/>
  <c r="AP541" i="1"/>
  <c r="AO541" i="1"/>
  <c r="AN541" i="1"/>
  <c r="AM541" i="1" s="1"/>
  <c r="AK541" i="1"/>
  <c r="U541" i="1"/>
  <c r="AR539" i="1"/>
  <c r="AQ539" i="1"/>
  <c r="AP539" i="1"/>
  <c r="AO539" i="1"/>
  <c r="AN539" i="1"/>
  <c r="AM539" i="1" s="1"/>
  <c r="AK539" i="1"/>
  <c r="U539" i="1"/>
  <c r="AR537" i="1"/>
  <c r="AQ537" i="1"/>
  <c r="AP537" i="1"/>
  <c r="AO537" i="1"/>
  <c r="AN537" i="1"/>
  <c r="AM537" i="1" s="1"/>
  <c r="AK537" i="1"/>
  <c r="U537" i="1"/>
  <c r="AR535" i="1"/>
  <c r="AQ535" i="1"/>
  <c r="AP535" i="1"/>
  <c r="AO535" i="1"/>
  <c r="AN535" i="1"/>
  <c r="AM535" i="1" s="1"/>
  <c r="AK535" i="1"/>
  <c r="U535" i="1"/>
  <c r="AR533" i="1"/>
  <c r="AQ533" i="1"/>
  <c r="AP533" i="1"/>
  <c r="AO533" i="1"/>
  <c r="AN533" i="1"/>
  <c r="AM533" i="1" s="1"/>
  <c r="AK533" i="1"/>
  <c r="U533" i="1"/>
  <c r="U507" i="1"/>
  <c r="U505" i="1"/>
  <c r="AR503" i="1"/>
  <c r="AQ503" i="1"/>
  <c r="AP503" i="1"/>
  <c r="AO503" i="1"/>
  <c r="AN503" i="1"/>
  <c r="AM503" i="1" s="1"/>
  <c r="U503" i="1"/>
  <c r="AR501" i="1"/>
  <c r="AQ501" i="1"/>
  <c r="AP501" i="1"/>
  <c r="AO501" i="1"/>
  <c r="AN501" i="1"/>
  <c r="AM501" i="1" s="1"/>
  <c r="AK501" i="1"/>
  <c r="U501" i="1"/>
  <c r="AR499" i="1"/>
  <c r="AQ499" i="1"/>
  <c r="AP499" i="1"/>
  <c r="AO499" i="1"/>
  <c r="AN499" i="1"/>
  <c r="AM499" i="1" s="1"/>
  <c r="AK499" i="1"/>
  <c r="U499" i="1"/>
  <c r="AR497" i="1"/>
  <c r="AQ497" i="1"/>
  <c r="AP497" i="1"/>
  <c r="AO497" i="1"/>
  <c r="AN497" i="1"/>
  <c r="AM497" i="1" s="1"/>
  <c r="AK497" i="1"/>
  <c r="U497" i="1"/>
  <c r="AR495" i="1"/>
  <c r="AQ495" i="1"/>
  <c r="AP495" i="1"/>
  <c r="AO495" i="1"/>
  <c r="AN495" i="1"/>
  <c r="AM495" i="1" s="1"/>
  <c r="AK495" i="1"/>
  <c r="U495" i="1"/>
  <c r="AR493" i="1"/>
  <c r="AQ493" i="1"/>
  <c r="AP493" i="1"/>
  <c r="AO493" i="1"/>
  <c r="AN493" i="1"/>
  <c r="AM493" i="1" s="1"/>
  <c r="AK493" i="1"/>
  <c r="U493" i="1"/>
  <c r="AR491" i="1"/>
  <c r="AQ491" i="1"/>
  <c r="AP491" i="1"/>
  <c r="AO491" i="1"/>
  <c r="AN491" i="1"/>
  <c r="AM491" i="1" s="1"/>
  <c r="AK491" i="1"/>
  <c r="U491" i="1"/>
  <c r="AR489" i="1"/>
  <c r="AQ489" i="1"/>
  <c r="AP489" i="1"/>
  <c r="AO489" i="1"/>
  <c r="AN489" i="1"/>
  <c r="AM489" i="1" s="1"/>
  <c r="AK489" i="1"/>
  <c r="U489" i="1"/>
  <c r="AR487" i="1"/>
  <c r="AQ487" i="1"/>
  <c r="AP487" i="1"/>
  <c r="AO487" i="1"/>
  <c r="AN487" i="1"/>
  <c r="AM487" i="1" s="1"/>
  <c r="AK487" i="1"/>
  <c r="U487" i="1"/>
  <c r="AR485" i="1"/>
  <c r="AQ485" i="1"/>
  <c r="AP485" i="1"/>
  <c r="AO485" i="1"/>
  <c r="AN485" i="1"/>
  <c r="AM485" i="1" s="1"/>
  <c r="AK485" i="1"/>
  <c r="U485" i="1"/>
  <c r="AR483" i="1"/>
  <c r="AQ483" i="1"/>
  <c r="AP483" i="1"/>
  <c r="AO483" i="1"/>
  <c r="AN483" i="1"/>
  <c r="AM483" i="1" s="1"/>
  <c r="AK483" i="1"/>
  <c r="U483" i="1"/>
  <c r="AR481" i="1"/>
  <c r="AQ481" i="1"/>
  <c r="AP481" i="1"/>
  <c r="AO481" i="1"/>
  <c r="AN481" i="1"/>
  <c r="AM481" i="1" s="1"/>
  <c r="AK481" i="1"/>
  <c r="U481" i="1"/>
  <c r="AR479" i="1"/>
  <c r="AQ479" i="1"/>
  <c r="AP479" i="1"/>
  <c r="AO479" i="1"/>
  <c r="AN479" i="1"/>
  <c r="AM479" i="1" s="1"/>
  <c r="AK479" i="1"/>
  <c r="U479" i="1"/>
  <c r="AR477" i="1"/>
  <c r="AQ477" i="1"/>
  <c r="AP477" i="1"/>
  <c r="AO477" i="1"/>
  <c r="AN477" i="1"/>
  <c r="AM477" i="1" s="1"/>
  <c r="AK477" i="1"/>
  <c r="U477" i="1"/>
  <c r="AR475" i="1"/>
  <c r="AQ475" i="1"/>
  <c r="AP475" i="1"/>
  <c r="AO475" i="1"/>
  <c r="AN475" i="1"/>
  <c r="AM475" i="1" s="1"/>
  <c r="AK475" i="1"/>
  <c r="U475" i="1"/>
  <c r="AR473" i="1"/>
  <c r="AQ473" i="1"/>
  <c r="AP473" i="1"/>
  <c r="AO473" i="1"/>
  <c r="AN473" i="1"/>
  <c r="AM473" i="1" s="1"/>
  <c r="AK473" i="1"/>
  <c r="U473" i="1"/>
  <c r="AR471" i="1"/>
  <c r="AQ471" i="1"/>
  <c r="AP471" i="1"/>
  <c r="AO471" i="1"/>
  <c r="AN471" i="1"/>
  <c r="AM471" i="1" s="1"/>
  <c r="AK471" i="1"/>
  <c r="U471" i="1"/>
  <c r="AR469" i="1"/>
  <c r="AQ469" i="1"/>
  <c r="AP469" i="1"/>
  <c r="AO469" i="1"/>
  <c r="AN469" i="1"/>
  <c r="AM469" i="1" s="1"/>
  <c r="AK469" i="1"/>
  <c r="U469" i="1"/>
  <c r="AR467" i="1"/>
  <c r="AQ467" i="1"/>
  <c r="AP467" i="1"/>
  <c r="AO467" i="1"/>
  <c r="AN467" i="1"/>
  <c r="AM467" i="1" s="1"/>
  <c r="AK467" i="1"/>
  <c r="U467" i="1"/>
  <c r="AR465" i="1"/>
  <c r="AQ465" i="1"/>
  <c r="AP465" i="1"/>
  <c r="AO465" i="1"/>
  <c r="AN465" i="1"/>
  <c r="AM465" i="1" s="1"/>
  <c r="AK465" i="1"/>
  <c r="U465" i="1"/>
  <c r="AR463" i="1"/>
  <c r="AQ463" i="1"/>
  <c r="AP463" i="1"/>
  <c r="AO463" i="1"/>
  <c r="AN463" i="1"/>
  <c r="AM463" i="1" s="1"/>
  <c r="AK463" i="1"/>
  <c r="U463" i="1"/>
  <c r="AR461" i="1"/>
  <c r="AQ461" i="1"/>
  <c r="AP461" i="1"/>
  <c r="AO461" i="1"/>
  <c r="AN461" i="1"/>
  <c r="AM461" i="1" s="1"/>
  <c r="AK461" i="1"/>
  <c r="U461" i="1"/>
  <c r="AR459" i="1"/>
  <c r="AQ459" i="1"/>
  <c r="AP459" i="1"/>
  <c r="AO459" i="1"/>
  <c r="AN459" i="1"/>
  <c r="AM459" i="1" s="1"/>
  <c r="AK459" i="1"/>
  <c r="U459" i="1"/>
  <c r="AR429" i="1"/>
  <c r="AQ429" i="1"/>
  <c r="AP429" i="1"/>
  <c r="AO429" i="1"/>
  <c r="AN429" i="1"/>
  <c r="AM429" i="1" s="1"/>
  <c r="AR427" i="1"/>
  <c r="AQ427" i="1"/>
  <c r="AP427" i="1"/>
  <c r="AO427" i="1"/>
  <c r="AN427" i="1"/>
  <c r="AM427" i="1" s="1"/>
  <c r="AR425" i="1"/>
  <c r="AQ425" i="1"/>
  <c r="AP425" i="1"/>
  <c r="AO425" i="1"/>
  <c r="AN425" i="1"/>
  <c r="AM425" i="1" s="1"/>
  <c r="AR423" i="1"/>
  <c r="AQ423" i="1"/>
  <c r="AP423" i="1"/>
  <c r="AO423" i="1"/>
  <c r="AN423" i="1"/>
  <c r="AM423" i="1" s="1"/>
  <c r="AR421" i="1"/>
  <c r="AQ421" i="1"/>
  <c r="AP421" i="1"/>
  <c r="AO421" i="1"/>
  <c r="AN421" i="1"/>
  <c r="AM421" i="1" s="1"/>
  <c r="AR419" i="1"/>
  <c r="AQ419" i="1"/>
  <c r="AP419" i="1"/>
  <c r="AO419" i="1"/>
  <c r="AN419" i="1"/>
  <c r="AM419" i="1" s="1"/>
  <c r="AR417" i="1"/>
  <c r="AQ417" i="1"/>
  <c r="AP417" i="1"/>
  <c r="AO417" i="1"/>
  <c r="AN417" i="1"/>
  <c r="AM417" i="1" s="1"/>
  <c r="AR415" i="1"/>
  <c r="AQ415" i="1"/>
  <c r="AP415" i="1"/>
  <c r="AO415" i="1"/>
  <c r="AN415" i="1"/>
  <c r="AM415" i="1" s="1"/>
  <c r="AR413" i="1"/>
  <c r="AQ413" i="1"/>
  <c r="AP413" i="1"/>
  <c r="AO413" i="1"/>
  <c r="AN413" i="1"/>
  <c r="AM413" i="1" s="1"/>
  <c r="AR411" i="1"/>
  <c r="AQ411" i="1"/>
  <c r="AP411" i="1"/>
  <c r="AO411" i="1"/>
  <c r="AN411" i="1"/>
  <c r="AM411" i="1" s="1"/>
  <c r="AR409" i="1"/>
  <c r="AQ409" i="1"/>
  <c r="AP409" i="1"/>
  <c r="AO409" i="1"/>
  <c r="AN409" i="1"/>
  <c r="AM409" i="1" s="1"/>
  <c r="AR407" i="1"/>
  <c r="AQ407" i="1"/>
  <c r="AP407" i="1"/>
  <c r="AO407" i="1"/>
  <c r="AN407" i="1"/>
  <c r="AM407" i="1" s="1"/>
  <c r="AR405" i="1"/>
  <c r="AQ405" i="1"/>
  <c r="AP405" i="1"/>
  <c r="AO405" i="1"/>
  <c r="AN405" i="1"/>
  <c r="AM405" i="1" s="1"/>
  <c r="AR403" i="1"/>
  <c r="AQ403" i="1"/>
  <c r="AP403" i="1"/>
  <c r="AO403" i="1"/>
  <c r="AN403" i="1"/>
  <c r="AM403" i="1" s="1"/>
  <c r="AR401" i="1"/>
  <c r="AQ401" i="1"/>
  <c r="AP401" i="1"/>
  <c r="AO401" i="1"/>
  <c r="AN401" i="1"/>
  <c r="AM401" i="1" s="1"/>
  <c r="AR399" i="1"/>
  <c r="AQ399" i="1"/>
  <c r="AP399" i="1"/>
  <c r="AO399" i="1"/>
  <c r="AN399" i="1"/>
  <c r="AM399" i="1" s="1"/>
  <c r="AR397" i="1"/>
  <c r="AQ397" i="1"/>
  <c r="AP397" i="1"/>
  <c r="AO397" i="1"/>
  <c r="AN397" i="1"/>
  <c r="AM397" i="1" s="1"/>
  <c r="AR395" i="1"/>
  <c r="AQ395" i="1"/>
  <c r="AP395" i="1"/>
  <c r="AO395" i="1"/>
  <c r="AN395" i="1"/>
  <c r="AM395" i="1" s="1"/>
  <c r="AR393" i="1"/>
  <c r="AQ393" i="1"/>
  <c r="AP393" i="1"/>
  <c r="AO393" i="1"/>
  <c r="AN393" i="1"/>
  <c r="AM393" i="1" s="1"/>
  <c r="AR391" i="1"/>
  <c r="AQ391" i="1"/>
  <c r="AP391" i="1"/>
  <c r="AO391" i="1"/>
  <c r="AN391" i="1"/>
  <c r="AM391" i="1" s="1"/>
  <c r="AR389" i="1"/>
  <c r="AQ389" i="1"/>
  <c r="AP389" i="1"/>
  <c r="AO389" i="1"/>
  <c r="AN389" i="1"/>
  <c r="AM389" i="1" s="1"/>
  <c r="AR387" i="1"/>
  <c r="AQ387" i="1"/>
  <c r="AP387" i="1"/>
  <c r="AO387" i="1"/>
  <c r="AN387" i="1"/>
  <c r="AM387" i="1" s="1"/>
  <c r="AR385" i="1"/>
  <c r="AQ385" i="1"/>
  <c r="AP385" i="1"/>
  <c r="AO385" i="1"/>
  <c r="AN385" i="1"/>
  <c r="AM385" i="1" s="1"/>
  <c r="U359" i="1"/>
  <c r="U357" i="1"/>
  <c r="AR355" i="1"/>
  <c r="AQ355" i="1"/>
  <c r="AP355" i="1"/>
  <c r="AO355" i="1"/>
  <c r="AN355" i="1"/>
  <c r="AM355" i="1" s="1"/>
  <c r="U355" i="1"/>
  <c r="AR353" i="1"/>
  <c r="AQ353" i="1"/>
  <c r="AP353" i="1"/>
  <c r="AO353" i="1"/>
  <c r="AN353" i="1"/>
  <c r="AM353" i="1" s="1"/>
  <c r="AK353" i="1"/>
  <c r="U353" i="1"/>
  <c r="AR351" i="1"/>
  <c r="AQ351" i="1"/>
  <c r="AP351" i="1"/>
  <c r="AO351" i="1"/>
  <c r="AN351" i="1"/>
  <c r="AM351" i="1" s="1"/>
  <c r="AK351" i="1"/>
  <c r="U351" i="1"/>
  <c r="AR349" i="1"/>
  <c r="AQ349" i="1"/>
  <c r="AP349" i="1"/>
  <c r="AO349" i="1"/>
  <c r="AN349" i="1"/>
  <c r="AM349" i="1" s="1"/>
  <c r="AK349" i="1"/>
  <c r="U349" i="1"/>
  <c r="AR347" i="1"/>
  <c r="AQ347" i="1"/>
  <c r="AP347" i="1"/>
  <c r="AO347" i="1"/>
  <c r="AN347" i="1"/>
  <c r="AM347" i="1" s="1"/>
  <c r="AK347" i="1"/>
  <c r="U347" i="1"/>
  <c r="AR345" i="1"/>
  <c r="AQ345" i="1"/>
  <c r="AP345" i="1"/>
  <c r="AO345" i="1"/>
  <c r="AN345" i="1"/>
  <c r="AM345" i="1" s="1"/>
  <c r="AK345" i="1"/>
  <c r="U345" i="1"/>
  <c r="AR343" i="1"/>
  <c r="AQ343" i="1"/>
  <c r="AP343" i="1"/>
  <c r="AO343" i="1"/>
  <c r="AN343" i="1"/>
  <c r="AM343" i="1" s="1"/>
  <c r="AK343" i="1"/>
  <c r="U343" i="1"/>
  <c r="AR341" i="1"/>
  <c r="AQ341" i="1"/>
  <c r="AP341" i="1"/>
  <c r="AO341" i="1"/>
  <c r="AN341" i="1"/>
  <c r="AM341" i="1" s="1"/>
  <c r="AK341" i="1"/>
  <c r="U341" i="1"/>
  <c r="AR339" i="1"/>
  <c r="AQ339" i="1"/>
  <c r="AP339" i="1"/>
  <c r="AO339" i="1"/>
  <c r="AN339" i="1"/>
  <c r="AM339" i="1" s="1"/>
  <c r="AK339" i="1"/>
  <c r="U339" i="1"/>
  <c r="AR337" i="1"/>
  <c r="AQ337" i="1"/>
  <c r="AP337" i="1"/>
  <c r="AO337" i="1"/>
  <c r="AN337" i="1"/>
  <c r="AM337" i="1" s="1"/>
  <c r="AK337" i="1"/>
  <c r="U337" i="1"/>
  <c r="AR335" i="1"/>
  <c r="AQ335" i="1"/>
  <c r="AP335" i="1"/>
  <c r="AO335" i="1"/>
  <c r="AN335" i="1"/>
  <c r="AM335" i="1" s="1"/>
  <c r="AK335" i="1"/>
  <c r="U335" i="1"/>
  <c r="AR333" i="1"/>
  <c r="AQ333" i="1"/>
  <c r="AP333" i="1"/>
  <c r="AO333" i="1"/>
  <c r="AN333" i="1"/>
  <c r="AM333" i="1" s="1"/>
  <c r="AK333" i="1"/>
  <c r="U333" i="1"/>
  <c r="AR331" i="1"/>
  <c r="AQ331" i="1"/>
  <c r="AP331" i="1"/>
  <c r="AO331" i="1"/>
  <c r="AN331" i="1"/>
  <c r="AM331" i="1" s="1"/>
  <c r="AK331" i="1"/>
  <c r="U331" i="1"/>
  <c r="AR329" i="1"/>
  <c r="AQ329" i="1"/>
  <c r="AP329" i="1"/>
  <c r="AO329" i="1"/>
  <c r="AN329" i="1"/>
  <c r="AM329" i="1" s="1"/>
  <c r="AK329" i="1"/>
  <c r="U329" i="1"/>
  <c r="AR327" i="1"/>
  <c r="AQ327" i="1"/>
  <c r="AP327" i="1"/>
  <c r="AO327" i="1"/>
  <c r="AN327" i="1"/>
  <c r="AM327" i="1" s="1"/>
  <c r="AK327" i="1"/>
  <c r="U327" i="1"/>
  <c r="AR325" i="1"/>
  <c r="AQ325" i="1"/>
  <c r="AP325" i="1"/>
  <c r="AO325" i="1"/>
  <c r="AN325" i="1"/>
  <c r="AM325" i="1" s="1"/>
  <c r="AK325" i="1"/>
  <c r="U325" i="1"/>
  <c r="AR323" i="1"/>
  <c r="AQ323" i="1"/>
  <c r="AP323" i="1"/>
  <c r="AO323" i="1"/>
  <c r="AN323" i="1"/>
  <c r="AM323" i="1" s="1"/>
  <c r="AK323" i="1"/>
  <c r="U323" i="1"/>
  <c r="AR321" i="1"/>
  <c r="AQ321" i="1"/>
  <c r="AP321" i="1"/>
  <c r="AO321" i="1"/>
  <c r="AN321" i="1"/>
  <c r="AM321" i="1" s="1"/>
  <c r="AK321" i="1"/>
  <c r="U321" i="1"/>
  <c r="AR319" i="1"/>
  <c r="AQ319" i="1"/>
  <c r="AP319" i="1"/>
  <c r="AO319" i="1"/>
  <c r="AN319" i="1"/>
  <c r="AM319" i="1" s="1"/>
  <c r="AK319" i="1"/>
  <c r="U319" i="1"/>
  <c r="AR317" i="1"/>
  <c r="AQ317" i="1"/>
  <c r="AP317" i="1"/>
  <c r="AO317" i="1"/>
  <c r="AN317" i="1"/>
  <c r="AM317" i="1" s="1"/>
  <c r="AK317" i="1"/>
  <c r="U317" i="1"/>
  <c r="AR315" i="1"/>
  <c r="AQ315" i="1"/>
  <c r="AP315" i="1"/>
  <c r="AO315" i="1"/>
  <c r="AN315" i="1"/>
  <c r="AM315" i="1" s="1"/>
  <c r="AK315" i="1"/>
  <c r="U315" i="1"/>
  <c r="AR313" i="1"/>
  <c r="AQ313" i="1"/>
  <c r="AP313" i="1"/>
  <c r="AO313" i="1"/>
  <c r="AN313" i="1"/>
  <c r="AM313" i="1" s="1"/>
  <c r="AK313" i="1"/>
  <c r="U313" i="1"/>
  <c r="AR311" i="1"/>
  <c r="AQ311" i="1"/>
  <c r="AP311" i="1"/>
  <c r="AO311" i="1"/>
  <c r="AN311" i="1"/>
  <c r="AM311" i="1" s="1"/>
  <c r="AK311" i="1"/>
  <c r="U311" i="1"/>
  <c r="AR281" i="1"/>
  <c r="AQ281" i="1"/>
  <c r="AP281" i="1"/>
  <c r="AO281" i="1"/>
  <c r="AN281" i="1"/>
  <c r="AM281" i="1" s="1"/>
  <c r="AR279" i="1"/>
  <c r="AQ279" i="1"/>
  <c r="AP279" i="1"/>
  <c r="AO279" i="1"/>
  <c r="AN279" i="1"/>
  <c r="AM279" i="1" s="1"/>
  <c r="AR277" i="1"/>
  <c r="AQ277" i="1"/>
  <c r="AP277" i="1"/>
  <c r="AO277" i="1"/>
  <c r="AN277" i="1"/>
  <c r="AM277" i="1" s="1"/>
  <c r="AR275" i="1"/>
  <c r="AQ275" i="1"/>
  <c r="AP275" i="1"/>
  <c r="AO275" i="1"/>
  <c r="AN275" i="1"/>
  <c r="AM275" i="1" s="1"/>
  <c r="AR273" i="1"/>
  <c r="AQ273" i="1"/>
  <c r="AP273" i="1"/>
  <c r="AO273" i="1"/>
  <c r="AN273" i="1"/>
  <c r="AM273" i="1" s="1"/>
  <c r="AR271" i="1"/>
  <c r="AQ271" i="1"/>
  <c r="AP271" i="1"/>
  <c r="AO271" i="1"/>
  <c r="AN271" i="1"/>
  <c r="AM271" i="1" s="1"/>
  <c r="AR269" i="1"/>
  <c r="AQ269" i="1"/>
  <c r="AP269" i="1"/>
  <c r="AO269" i="1"/>
  <c r="AN269" i="1"/>
  <c r="AM269" i="1" s="1"/>
  <c r="AR267" i="1"/>
  <c r="AQ267" i="1"/>
  <c r="AP267" i="1"/>
  <c r="AO267" i="1"/>
  <c r="AN267" i="1"/>
  <c r="AM267" i="1" s="1"/>
  <c r="AR265" i="1"/>
  <c r="AQ265" i="1"/>
  <c r="AP265" i="1"/>
  <c r="AO265" i="1"/>
  <c r="AN265" i="1"/>
  <c r="AM265" i="1" s="1"/>
  <c r="AR263" i="1"/>
  <c r="AQ263" i="1"/>
  <c r="AP263" i="1"/>
  <c r="AO263" i="1"/>
  <c r="AN263" i="1"/>
  <c r="AM263" i="1" s="1"/>
  <c r="AR261" i="1"/>
  <c r="AQ261" i="1"/>
  <c r="AP261" i="1"/>
  <c r="AO261" i="1"/>
  <c r="AN261" i="1"/>
  <c r="AM261" i="1" s="1"/>
  <c r="AR259" i="1"/>
  <c r="AQ259" i="1"/>
  <c r="AP259" i="1"/>
  <c r="AO259" i="1"/>
  <c r="AN259" i="1"/>
  <c r="AM259" i="1" s="1"/>
  <c r="AR257" i="1"/>
  <c r="AQ257" i="1"/>
  <c r="AP257" i="1"/>
  <c r="AO257" i="1"/>
  <c r="AN257" i="1"/>
  <c r="AM257" i="1" s="1"/>
  <c r="AR255" i="1"/>
  <c r="AQ255" i="1"/>
  <c r="AP255" i="1"/>
  <c r="AO255" i="1"/>
  <c r="AN255" i="1"/>
  <c r="AM255" i="1" s="1"/>
  <c r="AR253" i="1"/>
  <c r="AQ253" i="1"/>
  <c r="AP253" i="1"/>
  <c r="AO253" i="1"/>
  <c r="AN253" i="1"/>
  <c r="AM253" i="1" s="1"/>
  <c r="AR251" i="1"/>
  <c r="AQ251" i="1"/>
  <c r="AP251" i="1"/>
  <c r="AO251" i="1"/>
  <c r="AN251" i="1"/>
  <c r="AM251" i="1" s="1"/>
  <c r="AR249" i="1"/>
  <c r="AQ249" i="1"/>
  <c r="AP249" i="1"/>
  <c r="AO249" i="1"/>
  <c r="AN249" i="1"/>
  <c r="AM249" i="1" s="1"/>
  <c r="AR247" i="1"/>
  <c r="AQ247" i="1"/>
  <c r="AP247" i="1"/>
  <c r="AO247" i="1"/>
  <c r="AN247" i="1"/>
  <c r="AM247" i="1" s="1"/>
  <c r="AR245" i="1"/>
  <c r="AQ245" i="1"/>
  <c r="AP245" i="1"/>
  <c r="AO245" i="1"/>
  <c r="AN245" i="1"/>
  <c r="AM245" i="1" s="1"/>
  <c r="AR243" i="1"/>
  <c r="AQ243" i="1"/>
  <c r="AP243" i="1"/>
  <c r="AO243" i="1"/>
  <c r="AN243" i="1"/>
  <c r="AM243" i="1" s="1"/>
  <c r="AR241" i="1"/>
  <c r="AQ241" i="1"/>
  <c r="AP241" i="1"/>
  <c r="AO241" i="1"/>
  <c r="AN241" i="1"/>
  <c r="AM241" i="1" s="1"/>
  <c r="AR239" i="1"/>
  <c r="AQ239" i="1"/>
  <c r="AP239" i="1"/>
  <c r="AO239" i="1"/>
  <c r="AN239" i="1"/>
  <c r="AM239" i="1" s="1"/>
  <c r="AR237" i="1"/>
  <c r="AQ237" i="1"/>
  <c r="AP237" i="1"/>
  <c r="AO237" i="1"/>
  <c r="AN237" i="1"/>
  <c r="AM237" i="1" s="1"/>
  <c r="AR207" i="1"/>
  <c r="AQ207" i="1"/>
  <c r="AP207" i="1"/>
  <c r="AO207" i="1"/>
  <c r="AN207" i="1"/>
  <c r="AM207" i="1" s="1"/>
  <c r="AR205" i="1"/>
  <c r="AQ205" i="1"/>
  <c r="AP205" i="1"/>
  <c r="AO205" i="1"/>
  <c r="AN205" i="1"/>
  <c r="AM205" i="1" s="1"/>
  <c r="AK205" i="1"/>
  <c r="AR203" i="1"/>
  <c r="AQ203" i="1"/>
  <c r="AP203" i="1"/>
  <c r="AO203" i="1"/>
  <c r="AN203" i="1"/>
  <c r="AM203" i="1" s="1"/>
  <c r="AK203" i="1"/>
  <c r="AR201" i="1"/>
  <c r="AQ201" i="1"/>
  <c r="AP201" i="1"/>
  <c r="AO201" i="1"/>
  <c r="AN201" i="1"/>
  <c r="AM201" i="1" s="1"/>
  <c r="AK201" i="1"/>
  <c r="AR199" i="1"/>
  <c r="AQ199" i="1"/>
  <c r="AP199" i="1"/>
  <c r="AO199" i="1"/>
  <c r="AN199" i="1"/>
  <c r="AM199" i="1" s="1"/>
  <c r="AK199" i="1"/>
  <c r="AR197" i="1"/>
  <c r="AQ197" i="1"/>
  <c r="AP197" i="1"/>
  <c r="AO197" i="1"/>
  <c r="AN197" i="1"/>
  <c r="AM197" i="1" s="1"/>
  <c r="AK197" i="1"/>
  <c r="AR195" i="1"/>
  <c r="AQ195" i="1"/>
  <c r="AP195" i="1"/>
  <c r="AO195" i="1"/>
  <c r="AN195" i="1"/>
  <c r="AM195" i="1" s="1"/>
  <c r="AK195" i="1"/>
  <c r="AR193" i="1"/>
  <c r="AQ193" i="1"/>
  <c r="AP193" i="1"/>
  <c r="AO193" i="1"/>
  <c r="AN193" i="1"/>
  <c r="AM193" i="1" s="1"/>
  <c r="AK193" i="1"/>
  <c r="AR191" i="1"/>
  <c r="AQ191" i="1"/>
  <c r="AP191" i="1"/>
  <c r="AO191" i="1"/>
  <c r="AN191" i="1"/>
  <c r="AM191" i="1" s="1"/>
  <c r="AK191" i="1"/>
  <c r="AR189" i="1"/>
  <c r="AQ189" i="1"/>
  <c r="AP189" i="1"/>
  <c r="AO189" i="1"/>
  <c r="AN189" i="1"/>
  <c r="AM189" i="1" s="1"/>
  <c r="AK189" i="1"/>
  <c r="AR187" i="1"/>
  <c r="AQ187" i="1"/>
  <c r="AP187" i="1"/>
  <c r="AO187" i="1"/>
  <c r="AN187" i="1"/>
  <c r="AM187" i="1" s="1"/>
  <c r="AK187" i="1"/>
  <c r="AR185" i="1"/>
  <c r="AQ185" i="1"/>
  <c r="AP185" i="1"/>
  <c r="AO185" i="1"/>
  <c r="AN185" i="1"/>
  <c r="AM185" i="1" s="1"/>
  <c r="AK185" i="1"/>
  <c r="AR183" i="1"/>
  <c r="AQ183" i="1"/>
  <c r="AP183" i="1"/>
  <c r="AO183" i="1"/>
  <c r="AN183" i="1"/>
  <c r="AM183" i="1" s="1"/>
  <c r="AK183" i="1"/>
  <c r="AR181" i="1"/>
  <c r="AQ181" i="1"/>
  <c r="AP181" i="1"/>
  <c r="AO181" i="1"/>
  <c r="AN181" i="1"/>
  <c r="AM181" i="1" s="1"/>
  <c r="AK181" i="1"/>
  <c r="AR179" i="1"/>
  <c r="AQ179" i="1"/>
  <c r="AP179" i="1"/>
  <c r="AO179" i="1"/>
  <c r="AN179" i="1"/>
  <c r="AM179" i="1" s="1"/>
  <c r="AK179" i="1"/>
  <c r="AR177" i="1"/>
  <c r="AQ177" i="1"/>
  <c r="AP177" i="1"/>
  <c r="AO177" i="1"/>
  <c r="AN177" i="1"/>
  <c r="AM177" i="1" s="1"/>
  <c r="AK177" i="1"/>
  <c r="AR175" i="1"/>
  <c r="AQ175" i="1"/>
  <c r="AP175" i="1"/>
  <c r="AO175" i="1"/>
  <c r="AN175" i="1"/>
  <c r="AM175" i="1" s="1"/>
  <c r="AK175" i="1"/>
  <c r="AR173" i="1"/>
  <c r="AQ173" i="1"/>
  <c r="AP173" i="1"/>
  <c r="AO173" i="1"/>
  <c r="AN173" i="1"/>
  <c r="AM173" i="1" s="1"/>
  <c r="AK173" i="1"/>
  <c r="AR171" i="1"/>
  <c r="AQ171" i="1"/>
  <c r="AP171" i="1"/>
  <c r="AO171" i="1"/>
  <c r="AN171" i="1"/>
  <c r="AM171" i="1" s="1"/>
  <c r="AK171" i="1"/>
  <c r="AR169" i="1"/>
  <c r="AQ169" i="1"/>
  <c r="AP169" i="1"/>
  <c r="AO169" i="1"/>
  <c r="AN169" i="1"/>
  <c r="AM169" i="1" s="1"/>
  <c r="AK169" i="1"/>
  <c r="AR167" i="1"/>
  <c r="AQ167" i="1"/>
  <c r="AP167" i="1"/>
  <c r="AO167" i="1"/>
  <c r="AN167" i="1"/>
  <c r="AM167" i="1" s="1"/>
  <c r="AK167" i="1"/>
  <c r="AR165" i="1"/>
  <c r="AQ165" i="1"/>
  <c r="AP165" i="1"/>
  <c r="AO165" i="1"/>
  <c r="AN165" i="1"/>
  <c r="AM165" i="1" s="1"/>
  <c r="AK165" i="1"/>
  <c r="AR163" i="1"/>
  <c r="AQ163" i="1"/>
  <c r="AP163" i="1"/>
  <c r="AO163" i="1"/>
  <c r="AN163" i="1"/>
  <c r="AM163" i="1" s="1"/>
  <c r="AK163" i="1"/>
  <c r="U137" i="1"/>
  <c r="U135" i="1"/>
  <c r="AR133" i="1"/>
  <c r="AQ133" i="1"/>
  <c r="AP133" i="1"/>
  <c r="AO133" i="1"/>
  <c r="AN133" i="1"/>
  <c r="AM133" i="1" s="1"/>
  <c r="AR131" i="1"/>
  <c r="AQ131" i="1"/>
  <c r="AP131" i="1"/>
  <c r="AO131" i="1"/>
  <c r="AN131" i="1"/>
  <c r="AM131" i="1" s="1"/>
  <c r="AK131" i="1"/>
  <c r="AR129" i="1"/>
  <c r="AQ129" i="1"/>
  <c r="AP129" i="1"/>
  <c r="AO129" i="1"/>
  <c r="AN129" i="1"/>
  <c r="AM129" i="1" s="1"/>
  <c r="AK129" i="1"/>
  <c r="AR127" i="1"/>
  <c r="AQ127" i="1"/>
  <c r="AP127" i="1"/>
  <c r="AO127" i="1"/>
  <c r="AN127" i="1"/>
  <c r="AM127" i="1" s="1"/>
  <c r="AK127" i="1"/>
  <c r="AR125" i="1"/>
  <c r="AQ125" i="1"/>
  <c r="AP125" i="1"/>
  <c r="AO125" i="1"/>
  <c r="AN125" i="1"/>
  <c r="AM125" i="1" s="1"/>
  <c r="AK125" i="1"/>
  <c r="AR123" i="1"/>
  <c r="AQ123" i="1"/>
  <c r="AP123" i="1"/>
  <c r="AO123" i="1"/>
  <c r="AN123" i="1"/>
  <c r="AM123" i="1" s="1"/>
  <c r="AK123" i="1"/>
  <c r="AR121" i="1"/>
  <c r="AQ121" i="1"/>
  <c r="AP121" i="1"/>
  <c r="AO121" i="1"/>
  <c r="AN121" i="1"/>
  <c r="AM121" i="1" s="1"/>
  <c r="AK121" i="1"/>
  <c r="AR119" i="1"/>
  <c r="AQ119" i="1"/>
  <c r="AP119" i="1"/>
  <c r="AO119" i="1"/>
  <c r="AN119" i="1"/>
  <c r="AM119" i="1" s="1"/>
  <c r="AK119" i="1"/>
  <c r="AR117" i="1"/>
  <c r="AQ117" i="1"/>
  <c r="AP117" i="1"/>
  <c r="AO117" i="1"/>
  <c r="AN117" i="1"/>
  <c r="AM117" i="1" s="1"/>
  <c r="AK117" i="1"/>
  <c r="AR115" i="1"/>
  <c r="AQ115" i="1"/>
  <c r="AP115" i="1"/>
  <c r="AO115" i="1"/>
  <c r="AN115" i="1"/>
  <c r="AM115" i="1" s="1"/>
  <c r="AK115" i="1"/>
  <c r="AR113" i="1"/>
  <c r="AQ113" i="1"/>
  <c r="AP113" i="1"/>
  <c r="AO113" i="1"/>
  <c r="AN113" i="1"/>
  <c r="AM113" i="1" s="1"/>
  <c r="AK113" i="1"/>
  <c r="AR111" i="1"/>
  <c r="AQ111" i="1"/>
  <c r="AP111" i="1"/>
  <c r="AO111" i="1"/>
  <c r="AN111" i="1"/>
  <c r="AM111" i="1" s="1"/>
  <c r="AK111" i="1"/>
  <c r="AR109" i="1"/>
  <c r="AQ109" i="1"/>
  <c r="AP109" i="1"/>
  <c r="AO109" i="1"/>
  <c r="AN109" i="1"/>
  <c r="AM109" i="1" s="1"/>
  <c r="AK109" i="1"/>
  <c r="AR107" i="1"/>
  <c r="AQ107" i="1"/>
  <c r="AP107" i="1"/>
  <c r="AO107" i="1"/>
  <c r="AN107" i="1"/>
  <c r="AM107" i="1" s="1"/>
  <c r="AK107" i="1"/>
  <c r="AR105" i="1"/>
  <c r="AQ105" i="1"/>
  <c r="AP105" i="1"/>
  <c r="AO105" i="1"/>
  <c r="AN105" i="1"/>
  <c r="AM105" i="1" s="1"/>
  <c r="AK105" i="1"/>
  <c r="AR103" i="1"/>
  <c r="AQ103" i="1"/>
  <c r="AP103" i="1"/>
  <c r="AO103" i="1"/>
  <c r="AN103" i="1"/>
  <c r="AM103" i="1" s="1"/>
  <c r="AK103" i="1"/>
  <c r="AR101" i="1"/>
  <c r="AQ101" i="1"/>
  <c r="AP101" i="1"/>
  <c r="AO101" i="1"/>
  <c r="AN101" i="1"/>
  <c r="AM101" i="1" s="1"/>
  <c r="AK101" i="1"/>
  <c r="AR99" i="1"/>
  <c r="AQ99" i="1"/>
  <c r="AP99" i="1"/>
  <c r="AO99" i="1"/>
  <c r="AN99" i="1"/>
  <c r="AM99" i="1" s="1"/>
  <c r="AK99" i="1"/>
  <c r="AR97" i="1"/>
  <c r="AQ97" i="1"/>
  <c r="AP97" i="1"/>
  <c r="AO97" i="1"/>
  <c r="AN97" i="1"/>
  <c r="AM97" i="1" s="1"/>
  <c r="AK97" i="1"/>
  <c r="AR95" i="1"/>
  <c r="AQ95" i="1"/>
  <c r="AP95" i="1"/>
  <c r="AO95" i="1"/>
  <c r="AN95" i="1"/>
  <c r="AM95" i="1" s="1"/>
  <c r="AK95" i="1"/>
  <c r="AR93" i="1"/>
  <c r="AQ93" i="1"/>
  <c r="AP93" i="1"/>
  <c r="AO93" i="1"/>
  <c r="AN93" i="1"/>
  <c r="AM93" i="1" s="1"/>
  <c r="AK93" i="1"/>
  <c r="AR91" i="1"/>
  <c r="AQ91" i="1"/>
  <c r="AP91" i="1"/>
  <c r="AO91" i="1"/>
  <c r="AN91" i="1"/>
  <c r="AM91" i="1" s="1"/>
  <c r="AK91" i="1"/>
  <c r="AR89" i="1"/>
  <c r="AQ89" i="1"/>
  <c r="AP89" i="1"/>
  <c r="AO89" i="1"/>
  <c r="AN89" i="1"/>
  <c r="AM89" i="1" s="1"/>
  <c r="AK89" i="1"/>
  <c r="AU89" i="1"/>
  <c r="AU91" i="1"/>
  <c r="AU93" i="1"/>
  <c r="AU95" i="1"/>
  <c r="AU97" i="1"/>
  <c r="AU99" i="1"/>
  <c r="AU101" i="1"/>
  <c r="AU103" i="1"/>
  <c r="AU105" i="1"/>
  <c r="AU107" i="1"/>
  <c r="AU109" i="1"/>
  <c r="AU111" i="1"/>
  <c r="AU113" i="1"/>
  <c r="AU115" i="1"/>
  <c r="AU117" i="1"/>
  <c r="AU119" i="1"/>
  <c r="AU121" i="1"/>
  <c r="AU123" i="1"/>
  <c r="AU125" i="1"/>
  <c r="AU127" i="1"/>
  <c r="AU129" i="1"/>
  <c r="AU131" i="1"/>
  <c r="BC132" i="1"/>
  <c r="BC133" i="1" s="1"/>
  <c r="BC134" i="1" s="1"/>
  <c r="BC135" i="1" s="1"/>
  <c r="BC136" i="1" s="1"/>
  <c r="BC137" i="1" s="1"/>
  <c r="BD132" i="1"/>
  <c r="BD133" i="1" s="1"/>
  <c r="BD134" i="1" s="1"/>
  <c r="BD135" i="1" s="1"/>
  <c r="BD136" i="1" s="1"/>
  <c r="BD137" i="1" s="1"/>
  <c r="AU133" i="1"/>
  <c r="AU135" i="1"/>
  <c r="AU137" i="1"/>
  <c r="AS181" i="1" l="1"/>
  <c r="AS1095" i="1"/>
  <c r="AS1093" i="1"/>
  <c r="AS1129" i="1"/>
  <c r="AS1203" i="1"/>
  <c r="AS1277" i="1"/>
  <c r="AS1313" i="1"/>
  <c r="AS1351" i="1"/>
  <c r="AS89" i="1"/>
  <c r="AS95" i="1"/>
  <c r="AS107" i="1"/>
  <c r="AS119" i="1"/>
  <c r="AS131" i="1"/>
  <c r="AS1391" i="1"/>
  <c r="AS331" i="1"/>
  <c r="AS405" i="1"/>
  <c r="AS417" i="1"/>
  <c r="AS467" i="1"/>
  <c r="AS479" i="1"/>
  <c r="AS539" i="1"/>
  <c r="AS563" i="1"/>
  <c r="AS757" i="1"/>
  <c r="AS133" i="1"/>
  <c r="AS193" i="1"/>
  <c r="AS205" i="1"/>
  <c r="AS1683" i="1"/>
  <c r="AS1721" i="1"/>
  <c r="AS1795" i="1"/>
  <c r="AS1869" i="1"/>
  <c r="AS1881" i="1"/>
  <c r="AS1893" i="1"/>
  <c r="AS1905" i="1"/>
  <c r="AS863" i="1"/>
  <c r="AS937" i="1"/>
  <c r="AS1011" i="1"/>
  <c r="AS1085" i="1"/>
  <c r="AS1425" i="1"/>
  <c r="AS1461" i="1"/>
  <c r="AS1499" i="1"/>
  <c r="AS1535" i="1"/>
  <c r="AS1573" i="1"/>
  <c r="AS1609" i="1"/>
  <c r="AS1647" i="1"/>
  <c r="AS1761" i="1"/>
  <c r="AS1835" i="1"/>
  <c r="AS1871" i="1"/>
  <c r="AS1883" i="1"/>
  <c r="AS1895" i="1"/>
  <c r="AS1907" i="1"/>
  <c r="AS1381" i="1"/>
  <c r="AS1831" i="1"/>
  <c r="AS1833" i="1"/>
  <c r="AS1797" i="1"/>
  <c r="AS1819" i="1"/>
  <c r="AS1809" i="1"/>
  <c r="AS1821" i="1"/>
  <c r="AS1807" i="1"/>
  <c r="AS1745" i="1"/>
  <c r="AS1759" i="1"/>
  <c r="AS1757" i="1"/>
  <c r="AS1733" i="1"/>
  <c r="AS1671" i="1"/>
  <c r="AS1659" i="1"/>
  <c r="AS1597" i="1"/>
  <c r="AS1585" i="1"/>
  <c r="AS1523" i="1"/>
  <c r="AS1511" i="1"/>
  <c r="AS1449" i="1"/>
  <c r="AS1437" i="1"/>
  <c r="AS1389" i="1"/>
  <c r="AS1373" i="1"/>
  <c r="AS1363" i="1"/>
  <c r="AS1227" i="1"/>
  <c r="AS1301" i="1"/>
  <c r="AS253" i="1"/>
  <c r="AS273" i="1"/>
  <c r="AS261" i="1"/>
  <c r="AS207" i="1"/>
  <c r="AS169" i="1"/>
  <c r="AS343" i="1"/>
  <c r="AS319" i="1"/>
  <c r="AS1215" i="1"/>
  <c r="AS1239" i="1"/>
  <c r="AS1289" i="1"/>
  <c r="AS1153" i="1"/>
  <c r="AS1165" i="1"/>
  <c r="AS1161" i="1"/>
  <c r="AS1157" i="1"/>
  <c r="AS1141" i="1"/>
  <c r="AS1089" i="1"/>
  <c r="AS1069" i="1"/>
  <c r="AS1057" i="1"/>
  <c r="AS1087" i="1"/>
  <c r="AS1081" i="1"/>
  <c r="AS1073" i="1"/>
  <c r="AS1063" i="1"/>
  <c r="AS1061" i="1"/>
  <c r="AS999" i="1"/>
  <c r="AS987" i="1"/>
  <c r="AS925" i="1"/>
  <c r="AS913" i="1"/>
  <c r="AS851" i="1"/>
  <c r="AS839" i="1"/>
  <c r="AS791" i="1"/>
  <c r="AS781" i="1"/>
  <c r="AS769" i="1"/>
  <c r="AS719" i="1"/>
  <c r="AS707" i="1"/>
  <c r="AS683" i="1"/>
  <c r="AS695" i="1"/>
  <c r="AS617" i="1"/>
  <c r="AS645" i="1"/>
  <c r="AS633" i="1"/>
  <c r="AS621" i="1"/>
  <c r="AS571" i="1"/>
  <c r="AS555" i="1"/>
  <c r="AS547" i="1"/>
  <c r="AS491" i="1"/>
  <c r="AS393" i="1"/>
  <c r="AS265" i="1"/>
  <c r="AS243" i="1"/>
  <c r="AS347" i="1"/>
  <c r="AS459" i="1"/>
  <c r="AS533" i="1"/>
  <c r="AS241" i="1"/>
  <c r="AS281" i="1"/>
  <c r="AS99" i="1"/>
  <c r="AS111" i="1"/>
  <c r="AS123" i="1"/>
  <c r="AS173" i="1"/>
  <c r="AS185" i="1"/>
  <c r="AS197" i="1"/>
  <c r="AS311" i="1"/>
  <c r="AS335" i="1"/>
  <c r="AS397" i="1"/>
  <c r="AS421" i="1"/>
  <c r="AS471" i="1"/>
  <c r="AS495" i="1"/>
  <c r="AS535" i="1"/>
  <c r="AS557" i="1"/>
  <c r="AS573" i="1"/>
  <c r="AS609" i="1"/>
  <c r="AS257" i="1"/>
  <c r="AS277" i="1"/>
  <c r="AS795" i="1"/>
  <c r="AS323" i="1"/>
  <c r="AS385" i="1"/>
  <c r="AS409" i="1"/>
  <c r="AS483" i="1"/>
  <c r="AS541" i="1"/>
  <c r="AS549" i="1"/>
  <c r="AS565" i="1"/>
  <c r="AS249" i="1"/>
  <c r="AS269" i="1"/>
  <c r="AS113" i="1"/>
  <c r="AS163" i="1"/>
  <c r="AS187" i="1"/>
  <c r="AS199" i="1"/>
  <c r="AS237" i="1"/>
  <c r="AS325" i="1"/>
  <c r="AS411" i="1"/>
  <c r="AS461" i="1"/>
  <c r="AS93" i="1"/>
  <c r="AS105" i="1"/>
  <c r="AS117" i="1"/>
  <c r="AS129" i="1"/>
  <c r="AS167" i="1"/>
  <c r="AS179" i="1"/>
  <c r="AS191" i="1"/>
  <c r="AS203" i="1"/>
  <c r="AS239" i="1"/>
  <c r="AS317" i="1"/>
  <c r="AS329" i="1"/>
  <c r="AS341" i="1"/>
  <c r="AS353" i="1"/>
  <c r="AS355" i="1"/>
  <c r="AS391" i="1"/>
  <c r="AS403" i="1"/>
  <c r="AS415" i="1"/>
  <c r="AS427" i="1"/>
  <c r="AS429" i="1"/>
  <c r="AS465" i="1"/>
  <c r="AS477" i="1"/>
  <c r="AS489" i="1"/>
  <c r="AS501" i="1"/>
  <c r="AS503" i="1"/>
  <c r="AS537" i="1"/>
  <c r="AS545" i="1"/>
  <c r="AS553" i="1"/>
  <c r="AS561" i="1"/>
  <c r="AS569" i="1"/>
  <c r="AS615" i="1"/>
  <c r="AS627" i="1"/>
  <c r="AS639" i="1"/>
  <c r="AS689" i="1"/>
  <c r="AS701" i="1"/>
  <c r="AS713" i="1"/>
  <c r="AS763" i="1"/>
  <c r="AS775" i="1"/>
  <c r="AS787" i="1"/>
  <c r="AS833" i="1"/>
  <c r="AS845" i="1"/>
  <c r="AS857" i="1"/>
  <c r="AS869" i="1"/>
  <c r="AS907" i="1"/>
  <c r="AS919" i="1"/>
  <c r="AS931" i="1"/>
  <c r="AS943" i="1"/>
  <c r="AS981" i="1"/>
  <c r="AS993" i="1"/>
  <c r="AS1005" i="1"/>
  <c r="AS1017" i="1"/>
  <c r="AS1055" i="1"/>
  <c r="AS1079" i="1"/>
  <c r="AS691" i="1"/>
  <c r="AS715" i="1"/>
  <c r="AS765" i="1"/>
  <c r="AS777" i="1"/>
  <c r="AS789" i="1"/>
  <c r="AS797" i="1"/>
  <c r="AS835" i="1"/>
  <c r="AS873" i="1"/>
  <c r="AS909" i="1"/>
  <c r="AS921" i="1"/>
  <c r="AS933" i="1"/>
  <c r="AS945" i="1"/>
  <c r="AS947" i="1"/>
  <c r="AS983" i="1"/>
  <c r="AS995" i="1"/>
  <c r="AS1007" i="1"/>
  <c r="AS1019" i="1"/>
  <c r="AS1021" i="1"/>
  <c r="AS629" i="1"/>
  <c r="AS641" i="1"/>
  <c r="AS703" i="1"/>
  <c r="AS799" i="1"/>
  <c r="AS847" i="1"/>
  <c r="AS859" i="1"/>
  <c r="AS871" i="1"/>
  <c r="AS97" i="1"/>
  <c r="AS109" i="1"/>
  <c r="AS121" i="1"/>
  <c r="AS171" i="1"/>
  <c r="AS183" i="1"/>
  <c r="AS195" i="1"/>
  <c r="AS251" i="1"/>
  <c r="AS259" i="1"/>
  <c r="AS267" i="1"/>
  <c r="AS275" i="1"/>
  <c r="AS321" i="1"/>
  <c r="AS333" i="1"/>
  <c r="AS345" i="1"/>
  <c r="AS395" i="1"/>
  <c r="AS407" i="1"/>
  <c r="AS419" i="1"/>
  <c r="AS469" i="1"/>
  <c r="AS481" i="1"/>
  <c r="AS493" i="1"/>
  <c r="AS607" i="1"/>
  <c r="AS619" i="1"/>
  <c r="AS631" i="1"/>
  <c r="AS643" i="1"/>
  <c r="AS681" i="1"/>
  <c r="AS693" i="1"/>
  <c r="AS705" i="1"/>
  <c r="AS717" i="1"/>
  <c r="AS755" i="1"/>
  <c r="AS767" i="1"/>
  <c r="AS779" i="1"/>
  <c r="AS837" i="1"/>
  <c r="AS849" i="1"/>
  <c r="AS861" i="1"/>
  <c r="AS911" i="1"/>
  <c r="AS923" i="1"/>
  <c r="AS935" i="1"/>
  <c r="AS985" i="1"/>
  <c r="AS1071" i="1"/>
  <c r="AS1131" i="1"/>
  <c r="AS1143" i="1"/>
  <c r="AS1155" i="1"/>
  <c r="AS1909" i="1"/>
  <c r="AS175" i="1"/>
  <c r="AS245" i="1"/>
  <c r="AS313" i="1"/>
  <c r="AS337" i="1"/>
  <c r="AS387" i="1"/>
  <c r="AS473" i="1"/>
  <c r="AS485" i="1"/>
  <c r="AS497" i="1"/>
  <c r="AS543" i="1"/>
  <c r="AS551" i="1"/>
  <c r="AS559" i="1"/>
  <c r="AS567" i="1"/>
  <c r="AS575" i="1"/>
  <c r="AS611" i="1"/>
  <c r="AS623" i="1"/>
  <c r="AS635" i="1"/>
  <c r="AS647" i="1"/>
  <c r="AS685" i="1"/>
  <c r="AS697" i="1"/>
  <c r="AS709" i="1"/>
  <c r="AS721" i="1"/>
  <c r="AS759" i="1"/>
  <c r="AS771" i="1"/>
  <c r="AS783" i="1"/>
  <c r="AS793" i="1"/>
  <c r="AS829" i="1"/>
  <c r="AS841" i="1"/>
  <c r="AS853" i="1"/>
  <c r="AS865" i="1"/>
  <c r="AS903" i="1"/>
  <c r="AS915" i="1"/>
  <c r="AS927" i="1"/>
  <c r="AS939" i="1"/>
  <c r="AS977" i="1"/>
  <c r="AS989" i="1"/>
  <c r="AS1135" i="1"/>
  <c r="AS1147" i="1"/>
  <c r="AS1209" i="1"/>
  <c r="AS1221" i="1"/>
  <c r="AS1233" i="1"/>
  <c r="AS1283" i="1"/>
  <c r="AS1295" i="1"/>
  <c r="AS1307" i="1"/>
  <c r="AS1357" i="1"/>
  <c r="AS1369" i="1"/>
  <c r="AS1377" i="1"/>
  <c r="AS1385" i="1"/>
  <c r="AS1431" i="1"/>
  <c r="AS1443" i="1"/>
  <c r="AS1455" i="1"/>
  <c r="AS1505" i="1"/>
  <c r="AS1517" i="1"/>
  <c r="AS1529" i="1"/>
  <c r="AS1579" i="1"/>
  <c r="AS1591" i="1"/>
  <c r="AS1603" i="1"/>
  <c r="AS1653" i="1"/>
  <c r="AS1665" i="1"/>
  <c r="AS1677" i="1"/>
  <c r="AS1727" i="1"/>
  <c r="AS101" i="1"/>
  <c r="AS125" i="1"/>
  <c r="AS349" i="1"/>
  <c r="AS399" i="1"/>
  <c r="AS423" i="1"/>
  <c r="AS91" i="1"/>
  <c r="AS103" i="1"/>
  <c r="AS115" i="1"/>
  <c r="AS127" i="1"/>
  <c r="AS165" i="1"/>
  <c r="AS177" i="1"/>
  <c r="AS189" i="1"/>
  <c r="AS201" i="1"/>
  <c r="AS247" i="1"/>
  <c r="AS255" i="1"/>
  <c r="AS263" i="1"/>
  <c r="AS271" i="1"/>
  <c r="AS279" i="1"/>
  <c r="AS315" i="1"/>
  <c r="AS327" i="1"/>
  <c r="AS339" i="1"/>
  <c r="AS351" i="1"/>
  <c r="AS389" i="1"/>
  <c r="AS401" i="1"/>
  <c r="AS413" i="1"/>
  <c r="AS425" i="1"/>
  <c r="AS463" i="1"/>
  <c r="AS475" i="1"/>
  <c r="AS487" i="1"/>
  <c r="AS499" i="1"/>
  <c r="AS577" i="1"/>
  <c r="AS613" i="1"/>
  <c r="AS625" i="1"/>
  <c r="AS637" i="1"/>
  <c r="AS649" i="1"/>
  <c r="AS651" i="1"/>
  <c r="AS687" i="1"/>
  <c r="AS699" i="1"/>
  <c r="AS711" i="1"/>
  <c r="AS723" i="1"/>
  <c r="AS725" i="1"/>
  <c r="AS761" i="1"/>
  <c r="AS773" i="1"/>
  <c r="AS785" i="1"/>
  <c r="AS831" i="1"/>
  <c r="AS843" i="1"/>
  <c r="AS855" i="1"/>
  <c r="AS867" i="1"/>
  <c r="AS905" i="1"/>
  <c r="AS917" i="1"/>
  <c r="AS929" i="1"/>
  <c r="AS941" i="1"/>
  <c r="AS979" i="1"/>
  <c r="AS1053" i="1"/>
  <c r="AS1065" i="1"/>
  <c r="AS1077" i="1"/>
  <c r="AS1001" i="1"/>
  <c r="AS1013" i="1"/>
  <c r="AS1051" i="1"/>
  <c r="AS1059" i="1"/>
  <c r="AS1067" i="1"/>
  <c r="AS1075" i="1"/>
  <c r="AS1083" i="1"/>
  <c r="AS1091" i="1"/>
  <c r="AS1125" i="1"/>
  <c r="AS1137" i="1"/>
  <c r="AS1149" i="1"/>
  <c r="AS1159" i="1"/>
  <c r="AS1167" i="1"/>
  <c r="AS1169" i="1"/>
  <c r="AS1205" i="1"/>
  <c r="AS1217" i="1"/>
  <c r="AS1229" i="1"/>
  <c r="AS1241" i="1"/>
  <c r="AS1243" i="1"/>
  <c r="AS1279" i="1"/>
  <c r="AS1291" i="1"/>
  <c r="AS1303" i="1"/>
  <c r="AS1315" i="1"/>
  <c r="AS1317" i="1"/>
  <c r="AS1353" i="1"/>
  <c r="AS1365" i="1"/>
  <c r="AS1375" i="1"/>
  <c r="AS1383" i="1"/>
  <c r="AS1427" i="1"/>
  <c r="AS1439" i="1"/>
  <c r="AS1451" i="1"/>
  <c r="AS1463" i="1"/>
  <c r="AS1465" i="1"/>
  <c r="AS1501" i="1"/>
  <c r="AS1513" i="1"/>
  <c r="AS1525" i="1"/>
  <c r="AS1537" i="1"/>
  <c r="AS1539" i="1"/>
  <c r="AS1575" i="1"/>
  <c r="AS1587" i="1"/>
  <c r="AS1599" i="1"/>
  <c r="AS1611" i="1"/>
  <c r="AS1613" i="1"/>
  <c r="AS1649" i="1"/>
  <c r="AS1661" i="1"/>
  <c r="AS1673" i="1"/>
  <c r="AS1685" i="1"/>
  <c r="AS1687" i="1"/>
  <c r="AS1723" i="1"/>
  <c r="AS1735" i="1"/>
  <c r="AS1747" i="1"/>
  <c r="AS991" i="1"/>
  <c r="AS1003" i="1"/>
  <c r="AS1015" i="1"/>
  <c r="AS1127" i="1"/>
  <c r="AS1139" i="1"/>
  <c r="AS1151" i="1"/>
  <c r="AS1207" i="1"/>
  <c r="AS1219" i="1"/>
  <c r="AS1231" i="1"/>
  <c r="AS1281" i="1"/>
  <c r="AS1293" i="1"/>
  <c r="AS1305" i="1"/>
  <c r="AS1355" i="1"/>
  <c r="AS1367" i="1"/>
  <c r="AS1429" i="1"/>
  <c r="AS1441" i="1"/>
  <c r="AS1453" i="1"/>
  <c r="AS1503" i="1"/>
  <c r="AS1515" i="1"/>
  <c r="AS1527" i="1"/>
  <c r="AS1577" i="1"/>
  <c r="AS1589" i="1"/>
  <c r="AS1601" i="1"/>
  <c r="AS1651" i="1"/>
  <c r="AS1663" i="1"/>
  <c r="AS1675" i="1"/>
  <c r="AS1725" i="1"/>
  <c r="AS1737" i="1"/>
  <c r="AS1749" i="1"/>
  <c r="AS1799" i="1"/>
  <c r="AS1811" i="1"/>
  <c r="AS1823" i="1"/>
  <c r="AS1873" i="1"/>
  <c r="AS1885" i="1"/>
  <c r="AS1897" i="1"/>
  <c r="AS1739" i="1"/>
  <c r="AS1751" i="1"/>
  <c r="AS1801" i="1"/>
  <c r="AS1813" i="1"/>
  <c r="AS1825" i="1"/>
  <c r="AS1875" i="1"/>
  <c r="AS1887" i="1"/>
  <c r="AS1899" i="1"/>
  <c r="AS1163" i="1"/>
  <c r="AS1199" i="1"/>
  <c r="AS1211" i="1"/>
  <c r="AS1223" i="1"/>
  <c r="AS1235" i="1"/>
  <c r="AS1273" i="1"/>
  <c r="AS1285" i="1"/>
  <c r="AS1297" i="1"/>
  <c r="AS1309" i="1"/>
  <c r="AS1347" i="1"/>
  <c r="AS1359" i="1"/>
  <c r="AS1371" i="1"/>
  <c r="AS1379" i="1"/>
  <c r="AS1387" i="1"/>
  <c r="AS1421" i="1"/>
  <c r="AS1433" i="1"/>
  <c r="AS1445" i="1"/>
  <c r="AS1457" i="1"/>
  <c r="AS1495" i="1"/>
  <c r="AS1507" i="1"/>
  <c r="AS1519" i="1"/>
  <c r="AS1531" i="1"/>
  <c r="AS1569" i="1"/>
  <c r="AS1581" i="1"/>
  <c r="AS1593" i="1"/>
  <c r="AS1605" i="1"/>
  <c r="AS1643" i="1"/>
  <c r="AS1655" i="1"/>
  <c r="AS1667" i="1"/>
  <c r="AS1679" i="1"/>
  <c r="AS1717" i="1"/>
  <c r="AS1729" i="1"/>
  <c r="AS1741" i="1"/>
  <c r="AS1753" i="1"/>
  <c r="AS1791" i="1"/>
  <c r="AS1803" i="1"/>
  <c r="AS1815" i="1"/>
  <c r="AS1827" i="1"/>
  <c r="AS1865" i="1"/>
  <c r="AS1877" i="1"/>
  <c r="AS1889" i="1"/>
  <c r="AS1901" i="1"/>
  <c r="AS997" i="1"/>
  <c r="AS1009" i="1"/>
  <c r="AS1133" i="1"/>
  <c r="AS1145" i="1"/>
  <c r="AS1201" i="1"/>
  <c r="AS1213" i="1"/>
  <c r="AS1225" i="1"/>
  <c r="AS1237" i="1"/>
  <c r="AS1275" i="1"/>
  <c r="AS1287" i="1"/>
  <c r="AS1299" i="1"/>
  <c r="AS1311" i="1"/>
  <c r="AS1349" i="1"/>
  <c r="AS1361" i="1"/>
  <c r="AS1423" i="1"/>
  <c r="AS1435" i="1"/>
  <c r="AS1447" i="1"/>
  <c r="AS1459" i="1"/>
  <c r="AS1497" i="1"/>
  <c r="AS1509" i="1"/>
  <c r="AS1521" i="1"/>
  <c r="AS1533" i="1"/>
  <c r="AS1571" i="1"/>
  <c r="AS1583" i="1"/>
  <c r="AS1595" i="1"/>
  <c r="AS1607" i="1"/>
  <c r="AS1645" i="1"/>
  <c r="AS1657" i="1"/>
  <c r="AS1669" i="1"/>
  <c r="AS1681" i="1"/>
  <c r="AS1719" i="1"/>
  <c r="AS1731" i="1"/>
  <c r="AS1743" i="1"/>
  <c r="AS1755" i="1"/>
  <c r="AS1793" i="1"/>
  <c r="AS1805" i="1"/>
  <c r="AS1817" i="1"/>
  <c r="AS1829" i="1"/>
  <c r="AS1867" i="1"/>
  <c r="AS1879" i="1"/>
  <c r="AS1891" i="1"/>
  <c r="AS1903" i="1"/>
  <c r="BC138" i="1" l="1"/>
  <c r="BC139" i="1" s="1"/>
  <c r="BC140" i="1" s="1"/>
  <c r="BC141" i="1" s="1"/>
  <c r="BC142" i="1" s="1"/>
  <c r="BC143" i="1" s="1"/>
  <c r="BC144" i="1" s="1"/>
  <c r="BC145" i="1" s="1"/>
  <c r="BC146" i="1" s="1"/>
  <c r="BC147" i="1" s="1"/>
  <c r="BC148" i="1" s="1"/>
  <c r="BC149" i="1" s="1"/>
  <c r="BC150" i="1" s="1"/>
  <c r="BC151" i="1" s="1"/>
  <c r="BC152" i="1" s="1"/>
  <c r="BC153" i="1" s="1"/>
  <c r="BC154" i="1" s="1"/>
  <c r="BC155" i="1" s="1"/>
  <c r="BC156" i="1" s="1"/>
  <c r="BC157" i="1" s="1"/>
  <c r="BC158" i="1" s="1"/>
  <c r="BC159" i="1" s="1"/>
  <c r="BC160" i="1" s="1"/>
  <c r="BC161" i="1" s="1"/>
  <c r="BC162" i="1" s="1"/>
  <c r="BC163" i="1" s="1"/>
  <c r="BC164" i="1" s="1"/>
  <c r="BC165" i="1" s="1"/>
  <c r="BC166" i="1" s="1"/>
  <c r="BC167" i="1" s="1"/>
  <c r="BC168" i="1" s="1"/>
  <c r="BC169" i="1" s="1"/>
  <c r="BC170" i="1" s="1"/>
  <c r="BC171" i="1" s="1"/>
  <c r="BC172" i="1" s="1"/>
  <c r="BC173" i="1" s="1"/>
  <c r="BC174" i="1" s="1"/>
  <c r="BC175" i="1" s="1"/>
  <c r="BC176" i="1" s="1"/>
  <c r="BC177" i="1" s="1"/>
  <c r="BC178" i="1" s="1"/>
  <c r="BC179" i="1" s="1"/>
  <c r="BC180" i="1" s="1"/>
  <c r="BC181" i="1" s="1"/>
  <c r="BC182" i="1" s="1"/>
  <c r="BC183" i="1" s="1"/>
  <c r="BC184" i="1" s="1"/>
  <c r="BC185" i="1" s="1"/>
  <c r="BC186" i="1" s="1"/>
  <c r="BC187" i="1" s="1"/>
  <c r="BC188" i="1" s="1"/>
  <c r="BC189" i="1" s="1"/>
  <c r="BC190" i="1" s="1"/>
  <c r="BC191" i="1" s="1"/>
  <c r="BC192" i="1" s="1"/>
  <c r="BC193" i="1" s="1"/>
  <c r="BC194" i="1" s="1"/>
  <c r="BC195" i="1" s="1"/>
  <c r="BC196" i="1" s="1"/>
  <c r="BC197" i="1" s="1"/>
  <c r="BC198" i="1" s="1"/>
  <c r="BC199" i="1" s="1"/>
  <c r="BC200" i="1" s="1"/>
  <c r="BC201" i="1" s="1"/>
  <c r="BC202" i="1" s="1"/>
  <c r="BC203" i="1" s="1"/>
  <c r="BC204" i="1" s="1"/>
  <c r="BC205" i="1" s="1"/>
  <c r="BC206" i="1" s="1"/>
  <c r="BC207" i="1" s="1"/>
  <c r="BC208" i="1" s="1"/>
  <c r="BC209" i="1" s="1"/>
  <c r="BC210" i="1" s="1"/>
  <c r="BC211" i="1" s="1"/>
  <c r="BC212" i="1" s="1"/>
  <c r="BC213" i="1" s="1"/>
  <c r="BC214" i="1" s="1"/>
  <c r="BC215" i="1" s="1"/>
  <c r="BC216" i="1" s="1"/>
  <c r="BC217" i="1" s="1"/>
  <c r="BC218" i="1" s="1"/>
  <c r="BC219" i="1" s="1"/>
  <c r="BC220" i="1" s="1"/>
  <c r="BC221" i="1" s="1"/>
  <c r="BC222" i="1" s="1"/>
  <c r="BC223" i="1" s="1"/>
  <c r="BC224" i="1" s="1"/>
  <c r="BC225" i="1" s="1"/>
  <c r="BC226" i="1" s="1"/>
  <c r="BC227" i="1" s="1"/>
  <c r="BC228" i="1" s="1"/>
  <c r="BC229" i="1" s="1"/>
  <c r="BC230" i="1" s="1"/>
  <c r="BC231" i="1" s="1"/>
  <c r="BC232" i="1" s="1"/>
  <c r="BC233" i="1" s="1"/>
  <c r="BC234" i="1" s="1"/>
  <c r="BC235" i="1" s="1"/>
  <c r="BC236" i="1" s="1"/>
  <c r="BC237" i="1" s="1"/>
  <c r="BC238" i="1" s="1"/>
  <c r="BC239" i="1" s="1"/>
  <c r="BC240" i="1" s="1"/>
  <c r="BC241" i="1" s="1"/>
  <c r="BC242" i="1" s="1"/>
  <c r="BC243" i="1" s="1"/>
  <c r="BC244" i="1" s="1"/>
  <c r="BC245" i="1" s="1"/>
  <c r="BC246" i="1" s="1"/>
  <c r="BC247" i="1" s="1"/>
  <c r="BC248" i="1" s="1"/>
  <c r="BC249" i="1" s="1"/>
  <c r="BC250" i="1" s="1"/>
  <c r="BC251" i="1" s="1"/>
  <c r="BC252" i="1" s="1"/>
  <c r="BC253" i="1" s="1"/>
  <c r="BC254" i="1" s="1"/>
  <c r="BC255" i="1" s="1"/>
  <c r="BC256" i="1" s="1"/>
  <c r="BC257" i="1" s="1"/>
  <c r="BC258" i="1" s="1"/>
  <c r="BC259" i="1" s="1"/>
  <c r="BC260" i="1" s="1"/>
  <c r="BC261" i="1" s="1"/>
  <c r="BD138" i="1"/>
  <c r="BD139" i="1" s="1"/>
  <c r="BD140" i="1" s="1"/>
  <c r="BD141" i="1" s="1"/>
  <c r="BD142" i="1" l="1"/>
  <c r="BD143" i="1" l="1"/>
  <c r="BD144" i="1" s="1"/>
  <c r="BD145" i="1" s="1"/>
  <c r="BD146" i="1" s="1"/>
  <c r="BD147" i="1" s="1"/>
  <c r="BD148" i="1" s="1"/>
  <c r="BD149" i="1" s="1"/>
  <c r="BD150" i="1" s="1"/>
  <c r="BD151" i="1" s="1"/>
  <c r="BD152" i="1" s="1"/>
  <c r="BD153" i="1" s="1"/>
  <c r="BD154" i="1" s="1"/>
  <c r="BD155" i="1" s="1"/>
  <c r="BD156" i="1" s="1"/>
  <c r="BD157" i="1" s="1"/>
  <c r="BD158" i="1" s="1"/>
  <c r="BD159" i="1" s="1"/>
  <c r="BD160" i="1" s="1"/>
  <c r="BD161" i="1" s="1"/>
  <c r="BD162" i="1" s="1"/>
  <c r="BD163" i="1" s="1"/>
  <c r="BD164" i="1" s="1"/>
  <c r="BD165" i="1" s="1"/>
  <c r="BD166" i="1" s="1"/>
  <c r="BD167" i="1" s="1"/>
  <c r="BD168" i="1" l="1"/>
  <c r="BD169" i="1" s="1"/>
  <c r="BD170" i="1" s="1"/>
  <c r="BD171" i="1" s="1"/>
  <c r="BD172" i="1" s="1"/>
  <c r="BD173" i="1" s="1"/>
  <c r="BD174" i="1" s="1"/>
  <c r="BD175" i="1" s="1"/>
  <c r="BD176" i="1" s="1"/>
  <c r="BD177" i="1" s="1"/>
  <c r="BD178" i="1" s="1"/>
  <c r="BD179" i="1" s="1"/>
  <c r="BD180" i="1" s="1"/>
  <c r="BD181" i="1" s="1"/>
  <c r="BD182" i="1" s="1"/>
  <c r="BD183" i="1" s="1"/>
  <c r="BD184" i="1" s="1"/>
  <c r="BD185" i="1" s="1"/>
  <c r="BD186" i="1" s="1"/>
  <c r="BD187" i="1" s="1"/>
  <c r="BD188" i="1" s="1"/>
  <c r="BD189" i="1" s="1"/>
  <c r="BD190" i="1" s="1"/>
  <c r="BD191" i="1" s="1"/>
  <c r="BD192" i="1" s="1"/>
  <c r="BD193" i="1" s="1"/>
  <c r="BD194" i="1" s="1"/>
  <c r="BD195" i="1" s="1"/>
  <c r="BD196" i="1" s="1"/>
  <c r="BD197" i="1" s="1"/>
  <c r="BD198" i="1" s="1"/>
  <c r="BD199" i="1" s="1"/>
  <c r="BD200" i="1" s="1"/>
  <c r="BD201" i="1" s="1"/>
  <c r="BD202" i="1" s="1"/>
  <c r="BD203" i="1" s="1"/>
  <c r="BD204" i="1" s="1"/>
  <c r="BD205" i="1" s="1"/>
  <c r="BD206" i="1" s="1"/>
  <c r="BD207" i="1" s="1"/>
  <c r="BD208" i="1" s="1"/>
  <c r="BD209" i="1" s="1"/>
  <c r="BD210" i="1" s="1"/>
  <c r="BD211" i="1" s="1"/>
  <c r="BD212" i="1" s="1"/>
  <c r="BD213" i="1" s="1"/>
  <c r="BD214" i="1" s="1"/>
  <c r="BD215" i="1" s="1"/>
  <c r="BD216" i="1" s="1"/>
  <c r="BD217" i="1" s="1"/>
  <c r="BD218" i="1" s="1"/>
  <c r="BD219" i="1" s="1"/>
  <c r="BD220" i="1" s="1"/>
  <c r="BD221" i="1" s="1"/>
  <c r="BD222" i="1" s="1"/>
  <c r="BD223" i="1" s="1"/>
  <c r="BD224" i="1" s="1"/>
  <c r="BD225" i="1" s="1"/>
  <c r="BD226" i="1" s="1"/>
  <c r="BD227" i="1" s="1"/>
  <c r="BD228" i="1" s="1"/>
  <c r="BD229" i="1" s="1"/>
  <c r="BD230" i="1" s="1"/>
  <c r="BD231" i="1" s="1"/>
  <c r="BD232" i="1" s="1"/>
  <c r="BD233" i="1" s="1"/>
  <c r="BD234" i="1" s="1"/>
  <c r="BD235" i="1" s="1"/>
  <c r="BD236" i="1" s="1"/>
  <c r="BD237" i="1" s="1"/>
  <c r="BD238" i="1" s="1"/>
  <c r="BD239" i="1" s="1"/>
  <c r="BD240" i="1" s="1"/>
  <c r="BD241" i="1" s="1"/>
  <c r="BD242" i="1" s="1"/>
  <c r="BD243" i="1" s="1"/>
  <c r="BD244" i="1" s="1"/>
  <c r="BD245" i="1" s="1"/>
  <c r="BD246" i="1" s="1"/>
  <c r="BD247" i="1" s="1"/>
  <c r="BD248" i="1" s="1"/>
  <c r="BD249" i="1" s="1"/>
  <c r="BD250" i="1" s="1"/>
  <c r="BD251" i="1" s="1"/>
  <c r="BD252" i="1" s="1"/>
  <c r="BD253" i="1" s="1"/>
  <c r="BD254" i="1" s="1"/>
  <c r="BD255" i="1" s="1"/>
  <c r="BD256" i="1" s="1"/>
  <c r="BD257" i="1" s="1"/>
  <c r="BD258" i="1" s="1"/>
  <c r="BD259" i="1" s="1"/>
  <c r="BD260" i="1" s="1"/>
  <c r="BD261" i="1" s="1"/>
  <c r="J8" i="2"/>
  <c r="AK57" i="1" l="1"/>
  <c r="AK45" i="1"/>
  <c r="U33" i="1"/>
  <c r="U63" i="1" l="1"/>
  <c r="U61" i="1"/>
  <c r="U59" i="1"/>
  <c r="U57" i="1"/>
  <c r="U55" i="1"/>
  <c r="U53" i="1"/>
  <c r="U51" i="1"/>
  <c r="U45" i="1"/>
  <c r="U43" i="1"/>
  <c r="U41" i="1"/>
  <c r="U39" i="1"/>
  <c r="U37" i="1"/>
  <c r="U35" i="1"/>
  <c r="U31" i="1"/>
  <c r="U29" i="1"/>
  <c r="U27" i="1"/>
  <c r="U25" i="1"/>
  <c r="U23" i="1"/>
  <c r="U21" i="1"/>
  <c r="U19" i="1"/>
  <c r="U17" i="1"/>
  <c r="N1922" i="1" l="1"/>
  <c r="N1920" i="1"/>
  <c r="AI1914" i="1"/>
  <c r="AG1914" i="1"/>
  <c r="AE1914" i="1"/>
  <c r="AC1914" i="1"/>
  <c r="AA1914" i="1"/>
  <c r="Y1914" i="1"/>
  <c r="W1914" i="1"/>
  <c r="S1914" i="1"/>
  <c r="Q1914" i="1"/>
  <c r="O1914" i="1"/>
  <c r="M1914" i="1"/>
  <c r="K1914" i="1"/>
  <c r="I1914" i="1"/>
  <c r="G1914" i="1"/>
  <c r="AU1913" i="1"/>
  <c r="AU1911" i="1"/>
  <c r="AU1909" i="1"/>
  <c r="AU1907" i="1"/>
  <c r="AU1905" i="1"/>
  <c r="AU1901" i="1"/>
  <c r="AU1899" i="1"/>
  <c r="AU1897" i="1"/>
  <c r="AU1895" i="1"/>
  <c r="AU1893" i="1"/>
  <c r="AU1891" i="1"/>
  <c r="AU1889" i="1"/>
  <c r="AU1887" i="1"/>
  <c r="AU1885" i="1"/>
  <c r="AU1883" i="1"/>
  <c r="AU1881" i="1"/>
  <c r="AU1879" i="1"/>
  <c r="AU1877" i="1"/>
  <c r="AU1875" i="1"/>
  <c r="AU1873" i="1"/>
  <c r="AU1871" i="1"/>
  <c r="AU1869" i="1"/>
  <c r="AU1867" i="1"/>
  <c r="AU1865" i="1"/>
  <c r="U1914" i="1"/>
  <c r="N1848" i="1"/>
  <c r="N1846" i="1"/>
  <c r="AI1840" i="1"/>
  <c r="AG1840" i="1"/>
  <c r="AE1840" i="1"/>
  <c r="AC1840" i="1"/>
  <c r="AA1840" i="1"/>
  <c r="Y1840" i="1"/>
  <c r="W1840" i="1"/>
  <c r="S1840" i="1"/>
  <c r="Q1840" i="1"/>
  <c r="O1840" i="1"/>
  <c r="M1840" i="1"/>
  <c r="K1840" i="1"/>
  <c r="I1840" i="1"/>
  <c r="G1840" i="1"/>
  <c r="AU1839" i="1"/>
  <c r="AU1837" i="1"/>
  <c r="AU1835" i="1"/>
  <c r="AU1833" i="1"/>
  <c r="AU1831" i="1"/>
  <c r="AU1829" i="1"/>
  <c r="AU1827" i="1"/>
  <c r="AU1825" i="1"/>
  <c r="AU1823" i="1"/>
  <c r="AU1821" i="1"/>
  <c r="AU1819" i="1"/>
  <c r="AU1817" i="1"/>
  <c r="AU1815" i="1"/>
  <c r="AU1813" i="1"/>
  <c r="AU1811" i="1"/>
  <c r="AU1809" i="1"/>
  <c r="AU1807" i="1"/>
  <c r="AU1805" i="1"/>
  <c r="AU1803" i="1"/>
  <c r="AU1801" i="1"/>
  <c r="AU1799" i="1"/>
  <c r="AU1797" i="1"/>
  <c r="AU1795" i="1"/>
  <c r="AU1793" i="1"/>
  <c r="AU1791" i="1"/>
  <c r="U1840" i="1"/>
  <c r="N1774" i="1"/>
  <c r="N1772" i="1"/>
  <c r="AI1766" i="1"/>
  <c r="AG1766" i="1"/>
  <c r="AE1766" i="1"/>
  <c r="AC1766" i="1"/>
  <c r="AA1766" i="1"/>
  <c r="Y1766" i="1"/>
  <c r="W1766" i="1"/>
  <c r="S1766" i="1"/>
  <c r="Q1766" i="1"/>
  <c r="O1766" i="1"/>
  <c r="M1766" i="1"/>
  <c r="K1766" i="1"/>
  <c r="I1766" i="1"/>
  <c r="G1766" i="1"/>
  <c r="AU1765" i="1"/>
  <c r="AU1763" i="1"/>
  <c r="AU1761" i="1"/>
  <c r="AU1759" i="1"/>
  <c r="AU1757" i="1"/>
  <c r="AU1755" i="1"/>
  <c r="AU1753" i="1"/>
  <c r="AU1751" i="1"/>
  <c r="AU1749" i="1"/>
  <c r="AU1747" i="1"/>
  <c r="AU1745" i="1"/>
  <c r="AU1743" i="1"/>
  <c r="AU1741" i="1"/>
  <c r="AU1739" i="1"/>
  <c r="AU1737" i="1"/>
  <c r="AU1735" i="1"/>
  <c r="AU1733" i="1"/>
  <c r="AU1731" i="1"/>
  <c r="AU1729" i="1"/>
  <c r="AU1727" i="1"/>
  <c r="AU1725" i="1"/>
  <c r="AU1723" i="1"/>
  <c r="AU1721" i="1"/>
  <c r="AU1719" i="1"/>
  <c r="AU1717" i="1"/>
  <c r="U1766" i="1"/>
  <c r="N1700" i="1"/>
  <c r="N1698" i="1"/>
  <c r="AI1692" i="1"/>
  <c r="AG1692" i="1"/>
  <c r="AE1692" i="1"/>
  <c r="AC1692" i="1"/>
  <c r="AA1692" i="1"/>
  <c r="Y1692" i="1"/>
  <c r="W1692" i="1"/>
  <c r="S1692" i="1"/>
  <c r="Q1692" i="1"/>
  <c r="O1692" i="1"/>
  <c r="M1692" i="1"/>
  <c r="K1692" i="1"/>
  <c r="I1692" i="1"/>
  <c r="G1692" i="1"/>
  <c r="AU1691" i="1"/>
  <c r="AU1689" i="1"/>
  <c r="AU1687" i="1"/>
  <c r="AU1685" i="1"/>
  <c r="AU1683" i="1"/>
  <c r="AU1681" i="1"/>
  <c r="AU1679" i="1"/>
  <c r="AU1677" i="1"/>
  <c r="AU1675" i="1"/>
  <c r="AU1673" i="1"/>
  <c r="AU1671" i="1"/>
  <c r="AU1669" i="1"/>
  <c r="AU1667" i="1"/>
  <c r="AU1665" i="1"/>
  <c r="AU1663" i="1"/>
  <c r="AU1661" i="1"/>
  <c r="AU1659" i="1"/>
  <c r="AU1657" i="1"/>
  <c r="AU1655" i="1"/>
  <c r="AU1653" i="1"/>
  <c r="AU1651" i="1"/>
  <c r="AU1649" i="1"/>
  <c r="AU1647" i="1"/>
  <c r="AU1645" i="1"/>
  <c r="AU1643" i="1"/>
  <c r="U1692" i="1"/>
  <c r="N1626" i="1"/>
  <c r="N1624" i="1"/>
  <c r="AI1618" i="1"/>
  <c r="AG1618" i="1"/>
  <c r="AE1618" i="1"/>
  <c r="AC1618" i="1"/>
  <c r="AA1618" i="1"/>
  <c r="Y1618" i="1"/>
  <c r="W1618" i="1"/>
  <c r="S1618" i="1"/>
  <c r="Q1618" i="1"/>
  <c r="O1618" i="1"/>
  <c r="M1618" i="1"/>
  <c r="K1618" i="1"/>
  <c r="I1618" i="1"/>
  <c r="G1618" i="1"/>
  <c r="AU1617" i="1"/>
  <c r="AU1615" i="1"/>
  <c r="AU1613" i="1"/>
  <c r="AU1611" i="1"/>
  <c r="AU1609" i="1"/>
  <c r="AU1607" i="1"/>
  <c r="AU1605" i="1"/>
  <c r="AU1603" i="1"/>
  <c r="AU1601" i="1"/>
  <c r="AU1599" i="1"/>
  <c r="AU1597" i="1"/>
  <c r="AU1595" i="1"/>
  <c r="AU1593" i="1"/>
  <c r="AU1591" i="1"/>
  <c r="AU1589" i="1"/>
  <c r="AU1587" i="1"/>
  <c r="AU1585" i="1"/>
  <c r="AU1583" i="1"/>
  <c r="AU1581" i="1"/>
  <c r="AU1579" i="1"/>
  <c r="AU1577" i="1"/>
  <c r="AU1575" i="1"/>
  <c r="AU1573" i="1"/>
  <c r="AU1571" i="1"/>
  <c r="AU1569" i="1"/>
  <c r="U1618" i="1"/>
  <c r="N1552" i="1"/>
  <c r="N1550" i="1"/>
  <c r="AI1544" i="1"/>
  <c r="AG1544" i="1"/>
  <c r="AE1544" i="1"/>
  <c r="AC1544" i="1"/>
  <c r="AA1544" i="1"/>
  <c r="Y1544" i="1"/>
  <c r="W1544" i="1"/>
  <c r="S1544" i="1"/>
  <c r="Q1544" i="1"/>
  <c r="O1544" i="1"/>
  <c r="M1544" i="1"/>
  <c r="K1544" i="1"/>
  <c r="I1544" i="1"/>
  <c r="G1544" i="1"/>
  <c r="AU1543" i="1"/>
  <c r="AU1541" i="1"/>
  <c r="AU1539" i="1"/>
  <c r="AU1537" i="1"/>
  <c r="AU1535" i="1"/>
  <c r="AU1533" i="1"/>
  <c r="AU1531" i="1"/>
  <c r="AU1529" i="1"/>
  <c r="AU1527" i="1"/>
  <c r="AU1525" i="1"/>
  <c r="AU1523" i="1"/>
  <c r="AU1521" i="1"/>
  <c r="AU1519" i="1"/>
  <c r="AU1517" i="1"/>
  <c r="AU1515" i="1"/>
  <c r="AU1513" i="1"/>
  <c r="AU1511" i="1"/>
  <c r="AU1509" i="1"/>
  <c r="AU1507" i="1"/>
  <c r="AU1505" i="1"/>
  <c r="AU1503" i="1"/>
  <c r="AU1501" i="1"/>
  <c r="AU1499" i="1"/>
  <c r="AU1497" i="1"/>
  <c r="AU1495" i="1"/>
  <c r="U1544" i="1"/>
  <c r="N1478" i="1"/>
  <c r="N1476" i="1"/>
  <c r="AI1470" i="1"/>
  <c r="AG1470" i="1"/>
  <c r="AE1470" i="1"/>
  <c r="AC1470" i="1"/>
  <c r="AA1470" i="1"/>
  <c r="Y1470" i="1"/>
  <c r="W1470" i="1"/>
  <c r="S1470" i="1"/>
  <c r="Q1470" i="1"/>
  <c r="O1470" i="1"/>
  <c r="M1470" i="1"/>
  <c r="K1470" i="1"/>
  <c r="I1470" i="1"/>
  <c r="G1470" i="1"/>
  <c r="AU1469" i="1"/>
  <c r="AU1467" i="1"/>
  <c r="AU1465" i="1"/>
  <c r="AU1463" i="1"/>
  <c r="AU1461" i="1"/>
  <c r="AU1459" i="1"/>
  <c r="AU1457" i="1"/>
  <c r="AU1455" i="1"/>
  <c r="AU1453" i="1"/>
  <c r="AU1451" i="1"/>
  <c r="AU1449" i="1"/>
  <c r="AU1447" i="1"/>
  <c r="AU1445" i="1"/>
  <c r="AU1443" i="1"/>
  <c r="AU1441" i="1"/>
  <c r="AU1439" i="1"/>
  <c r="AU1437" i="1"/>
  <c r="AU1435" i="1"/>
  <c r="AU1433" i="1"/>
  <c r="AU1431" i="1"/>
  <c r="AU1429" i="1"/>
  <c r="AU1427" i="1"/>
  <c r="AU1425" i="1"/>
  <c r="AU1423" i="1"/>
  <c r="AU1421" i="1"/>
  <c r="U1470" i="1"/>
  <c r="N1404" i="1"/>
  <c r="N1402" i="1"/>
  <c r="AI1396" i="1"/>
  <c r="AG1396" i="1"/>
  <c r="AE1396" i="1"/>
  <c r="AC1396" i="1"/>
  <c r="AA1396" i="1"/>
  <c r="Y1396" i="1"/>
  <c r="W1396" i="1"/>
  <c r="S1396" i="1"/>
  <c r="Q1396" i="1"/>
  <c r="O1396" i="1"/>
  <c r="M1396" i="1"/>
  <c r="K1396" i="1"/>
  <c r="I1396" i="1"/>
  <c r="G1396" i="1"/>
  <c r="AU1395" i="1"/>
  <c r="AU1393" i="1"/>
  <c r="AU1391" i="1"/>
  <c r="AU1389" i="1"/>
  <c r="AU1387" i="1"/>
  <c r="AU1385" i="1"/>
  <c r="AU1383" i="1"/>
  <c r="AU1381" i="1"/>
  <c r="AU1379" i="1"/>
  <c r="AU1377" i="1"/>
  <c r="AU1375" i="1"/>
  <c r="AU1373" i="1"/>
  <c r="AU1371" i="1"/>
  <c r="AU1369" i="1"/>
  <c r="AU1367" i="1"/>
  <c r="AU1365" i="1"/>
  <c r="AU1363" i="1"/>
  <c r="AU1361" i="1"/>
  <c r="AU1359" i="1"/>
  <c r="AU1357" i="1"/>
  <c r="AU1355" i="1"/>
  <c r="AU1353" i="1"/>
  <c r="AU1351" i="1"/>
  <c r="AU1349" i="1"/>
  <c r="AU1347" i="1"/>
  <c r="U1396" i="1"/>
  <c r="D1415" i="1"/>
  <c r="D1489" i="1" s="1"/>
  <c r="D1563" i="1" s="1"/>
  <c r="D1637" i="1" s="1"/>
  <c r="D1711" i="1" s="1"/>
  <c r="D1785" i="1" s="1"/>
  <c r="D1859" i="1" s="1"/>
  <c r="B1341" i="1"/>
  <c r="F1392" i="1" s="1"/>
  <c r="N1330" i="1"/>
  <c r="N1328" i="1"/>
  <c r="AI1322" i="1"/>
  <c r="AG1322" i="1"/>
  <c r="AE1322" i="1"/>
  <c r="AC1322" i="1"/>
  <c r="AA1322" i="1"/>
  <c r="Y1322" i="1"/>
  <c r="W1322" i="1"/>
  <c r="S1322" i="1"/>
  <c r="Q1322" i="1"/>
  <c r="O1322" i="1"/>
  <c r="M1322" i="1"/>
  <c r="K1322" i="1"/>
  <c r="I1322" i="1"/>
  <c r="G1322" i="1"/>
  <c r="AU1321" i="1"/>
  <c r="F1320" i="1"/>
  <c r="AU1319" i="1"/>
  <c r="F1319" i="1"/>
  <c r="AU1317" i="1"/>
  <c r="AU1315" i="1"/>
  <c r="AU1313" i="1"/>
  <c r="F1312" i="1"/>
  <c r="AU1311" i="1"/>
  <c r="F1310" i="1"/>
  <c r="AU1309" i="1"/>
  <c r="F1308" i="1"/>
  <c r="AU1307" i="1"/>
  <c r="AU1305" i="1"/>
  <c r="AU1303" i="1"/>
  <c r="F1303" i="1"/>
  <c r="AU1301" i="1"/>
  <c r="F1300" i="1"/>
  <c r="AU1299" i="1"/>
  <c r="AU1297" i="1"/>
  <c r="AU1295" i="1"/>
  <c r="F1295" i="1"/>
  <c r="AU1293" i="1"/>
  <c r="F1292" i="1"/>
  <c r="AU1291" i="1"/>
  <c r="AU1289" i="1"/>
  <c r="AU1287" i="1"/>
  <c r="F1287" i="1"/>
  <c r="AU1285" i="1"/>
  <c r="F1284" i="1"/>
  <c r="AU1283" i="1"/>
  <c r="AU1281" i="1"/>
  <c r="AU1279" i="1"/>
  <c r="F1279" i="1"/>
  <c r="AU1277" i="1"/>
  <c r="F1276" i="1"/>
  <c r="AU1275" i="1"/>
  <c r="AU1273" i="1"/>
  <c r="U1322" i="1"/>
  <c r="F1318" i="1"/>
  <c r="N1256" i="1"/>
  <c r="N1254" i="1"/>
  <c r="AI1248" i="1"/>
  <c r="AG1248" i="1"/>
  <c r="AE1248" i="1"/>
  <c r="AC1248" i="1"/>
  <c r="AA1248" i="1"/>
  <c r="Y1248" i="1"/>
  <c r="W1248" i="1"/>
  <c r="S1248" i="1"/>
  <c r="Q1248" i="1"/>
  <c r="O1248" i="1"/>
  <c r="M1248" i="1"/>
  <c r="K1248" i="1"/>
  <c r="I1248" i="1"/>
  <c r="G1248" i="1"/>
  <c r="AU1247" i="1"/>
  <c r="AU1245" i="1"/>
  <c r="AU1243" i="1"/>
  <c r="AU1241" i="1"/>
  <c r="AU1239" i="1"/>
  <c r="AU1237" i="1"/>
  <c r="AU1235" i="1"/>
  <c r="AU1233" i="1"/>
  <c r="AU1231" i="1"/>
  <c r="AU1229" i="1"/>
  <c r="AU1227" i="1"/>
  <c r="AU1225" i="1"/>
  <c r="AU1223" i="1"/>
  <c r="AU1221" i="1"/>
  <c r="AU1219" i="1"/>
  <c r="AU1217" i="1"/>
  <c r="AU1215" i="1"/>
  <c r="AU1213" i="1"/>
  <c r="AU1211" i="1"/>
  <c r="AU1209" i="1"/>
  <c r="AU1207" i="1"/>
  <c r="AU1205" i="1"/>
  <c r="AU1203" i="1"/>
  <c r="AU1201" i="1"/>
  <c r="AU1199" i="1"/>
  <c r="U1248" i="1"/>
  <c r="N1182" i="1"/>
  <c r="N1180" i="1"/>
  <c r="AI1174" i="1"/>
  <c r="AG1174" i="1"/>
  <c r="AE1174" i="1"/>
  <c r="AC1174" i="1"/>
  <c r="AA1174" i="1"/>
  <c r="Y1174" i="1"/>
  <c r="W1174" i="1"/>
  <c r="S1174" i="1"/>
  <c r="Q1174" i="1"/>
  <c r="O1174" i="1"/>
  <c r="M1174" i="1"/>
  <c r="K1174" i="1"/>
  <c r="I1174" i="1"/>
  <c r="G1174" i="1"/>
  <c r="AU1173" i="1"/>
  <c r="AU1171" i="1"/>
  <c r="AU1169" i="1"/>
  <c r="AU1167" i="1"/>
  <c r="AU1165" i="1"/>
  <c r="AU1163" i="1"/>
  <c r="AU1161" i="1"/>
  <c r="AU1159" i="1"/>
  <c r="AU1157" i="1"/>
  <c r="AU1155" i="1"/>
  <c r="AU1153" i="1"/>
  <c r="AU1151" i="1"/>
  <c r="AU1149" i="1"/>
  <c r="AU1147" i="1"/>
  <c r="AU1145" i="1"/>
  <c r="AU1143" i="1"/>
  <c r="AU1141" i="1"/>
  <c r="AU1139" i="1"/>
  <c r="AU1137" i="1"/>
  <c r="AU1135" i="1"/>
  <c r="AU1133" i="1"/>
  <c r="AU1131" i="1"/>
  <c r="AU1129" i="1"/>
  <c r="AU1127" i="1"/>
  <c r="AU1125" i="1"/>
  <c r="U1174" i="1"/>
  <c r="N1108" i="1"/>
  <c r="N1106" i="1"/>
  <c r="AI1100" i="1"/>
  <c r="AG1100" i="1"/>
  <c r="AE1100" i="1"/>
  <c r="AC1100" i="1"/>
  <c r="AA1100" i="1"/>
  <c r="Y1100" i="1"/>
  <c r="W1100" i="1"/>
  <c r="S1100" i="1"/>
  <c r="Q1100" i="1"/>
  <c r="O1100" i="1"/>
  <c r="M1100" i="1"/>
  <c r="K1100" i="1"/>
  <c r="I1100" i="1"/>
  <c r="G1100" i="1"/>
  <c r="AU1099" i="1"/>
  <c r="AU1097" i="1"/>
  <c r="AU1095" i="1"/>
  <c r="AU1093" i="1"/>
  <c r="AU1091" i="1"/>
  <c r="AU1089" i="1"/>
  <c r="AU1087" i="1"/>
  <c r="AU1085" i="1"/>
  <c r="AU1083" i="1"/>
  <c r="AU1081" i="1"/>
  <c r="AU1079" i="1"/>
  <c r="AU1077" i="1"/>
  <c r="AU1075" i="1"/>
  <c r="AU1073" i="1"/>
  <c r="AU1071" i="1"/>
  <c r="AU1069" i="1"/>
  <c r="AU1067" i="1"/>
  <c r="AU1065" i="1"/>
  <c r="AU1063" i="1"/>
  <c r="AU1061" i="1"/>
  <c r="AU1059" i="1"/>
  <c r="AU1057" i="1"/>
  <c r="AU1055" i="1"/>
  <c r="AU1053" i="1"/>
  <c r="AU1051" i="1"/>
  <c r="U1100" i="1"/>
  <c r="N1034" i="1"/>
  <c r="N1032" i="1"/>
  <c r="AI1026" i="1"/>
  <c r="AG1026" i="1"/>
  <c r="AE1026" i="1"/>
  <c r="AC1026" i="1"/>
  <c r="AA1026" i="1"/>
  <c r="Y1026" i="1"/>
  <c r="W1026" i="1"/>
  <c r="S1026" i="1"/>
  <c r="Q1026" i="1"/>
  <c r="O1026" i="1"/>
  <c r="M1026" i="1"/>
  <c r="K1026" i="1"/>
  <c r="I1026" i="1"/>
  <c r="G1026" i="1"/>
  <c r="AU1025" i="1"/>
  <c r="AU1023" i="1"/>
  <c r="AU1021" i="1"/>
  <c r="AU1019" i="1"/>
  <c r="AU1017" i="1"/>
  <c r="AU1015" i="1"/>
  <c r="AU1013" i="1"/>
  <c r="AU1011" i="1"/>
  <c r="AU1009" i="1"/>
  <c r="AU1007" i="1"/>
  <c r="AU1005" i="1"/>
  <c r="AU1003" i="1"/>
  <c r="AU1001" i="1"/>
  <c r="AU999" i="1"/>
  <c r="AU997" i="1"/>
  <c r="AU995" i="1"/>
  <c r="AU993" i="1"/>
  <c r="AU991" i="1"/>
  <c r="AU989" i="1"/>
  <c r="AU987" i="1"/>
  <c r="AU985" i="1"/>
  <c r="AU983" i="1"/>
  <c r="AU981" i="1"/>
  <c r="AU979" i="1"/>
  <c r="AU977" i="1"/>
  <c r="U1026" i="1"/>
  <c r="N960" i="1"/>
  <c r="N958" i="1"/>
  <c r="AI952" i="1"/>
  <c r="AG952" i="1"/>
  <c r="AE952" i="1"/>
  <c r="AC952" i="1"/>
  <c r="AA952" i="1"/>
  <c r="Y952" i="1"/>
  <c r="W952" i="1"/>
  <c r="S952" i="1"/>
  <c r="Q952" i="1"/>
  <c r="O952" i="1"/>
  <c r="M952" i="1"/>
  <c r="K952" i="1"/>
  <c r="I952" i="1"/>
  <c r="G952" i="1"/>
  <c r="AU951" i="1"/>
  <c r="AU949" i="1"/>
  <c r="AU947" i="1"/>
  <c r="AU945" i="1"/>
  <c r="AU943" i="1"/>
  <c r="AU941" i="1"/>
  <c r="AU939" i="1"/>
  <c r="AU937" i="1"/>
  <c r="AU935" i="1"/>
  <c r="AU933" i="1"/>
  <c r="AU931" i="1"/>
  <c r="AU929" i="1"/>
  <c r="AU927" i="1"/>
  <c r="AU925" i="1"/>
  <c r="AU923" i="1"/>
  <c r="AU921" i="1"/>
  <c r="AU919" i="1"/>
  <c r="AU917" i="1"/>
  <c r="AU915" i="1"/>
  <c r="AU913" i="1"/>
  <c r="AU911" i="1"/>
  <c r="AU909" i="1"/>
  <c r="AU907" i="1"/>
  <c r="AU905" i="1"/>
  <c r="AU903" i="1"/>
  <c r="U952" i="1"/>
  <c r="N886" i="1"/>
  <c r="N884" i="1"/>
  <c r="AI878" i="1"/>
  <c r="AG878" i="1"/>
  <c r="AE878" i="1"/>
  <c r="AC878" i="1"/>
  <c r="AA878" i="1"/>
  <c r="Y878" i="1"/>
  <c r="W878" i="1"/>
  <c r="S878" i="1"/>
  <c r="Q878" i="1"/>
  <c r="O878" i="1"/>
  <c r="M878" i="1"/>
  <c r="K878" i="1"/>
  <c r="I878" i="1"/>
  <c r="G878" i="1"/>
  <c r="AU877" i="1"/>
  <c r="AU875" i="1"/>
  <c r="AU873" i="1"/>
  <c r="AU871" i="1"/>
  <c r="AU869" i="1"/>
  <c r="AU867" i="1"/>
  <c r="AU865" i="1"/>
  <c r="AU863" i="1"/>
  <c r="AU861" i="1"/>
  <c r="AU859" i="1"/>
  <c r="AU857" i="1"/>
  <c r="AU855" i="1"/>
  <c r="AU853" i="1"/>
  <c r="AU851" i="1"/>
  <c r="AU849" i="1"/>
  <c r="AU847" i="1"/>
  <c r="AU845" i="1"/>
  <c r="AU843" i="1"/>
  <c r="AU841" i="1"/>
  <c r="AU839" i="1"/>
  <c r="AU837" i="1"/>
  <c r="AU835" i="1"/>
  <c r="AU833" i="1"/>
  <c r="AU831" i="1"/>
  <c r="AU829" i="1"/>
  <c r="U878" i="1"/>
  <c r="N812" i="1"/>
  <c r="N810" i="1"/>
  <c r="AI804" i="1"/>
  <c r="AG804" i="1"/>
  <c r="AE804" i="1"/>
  <c r="AC804" i="1"/>
  <c r="AA804" i="1"/>
  <c r="Y804" i="1"/>
  <c r="W804" i="1"/>
  <c r="S804" i="1"/>
  <c r="Q804" i="1"/>
  <c r="O804" i="1"/>
  <c r="M804" i="1"/>
  <c r="K804" i="1"/>
  <c r="I804" i="1"/>
  <c r="G804" i="1"/>
  <c r="AU803" i="1"/>
  <c r="AU801" i="1"/>
  <c r="AU799" i="1"/>
  <c r="AU797" i="1"/>
  <c r="AU795" i="1"/>
  <c r="AU793" i="1"/>
  <c r="AU791" i="1"/>
  <c r="AU789" i="1"/>
  <c r="AU787" i="1"/>
  <c r="AU785" i="1"/>
  <c r="AU783" i="1"/>
  <c r="AU781" i="1"/>
  <c r="AU779" i="1"/>
  <c r="AU777" i="1"/>
  <c r="AU775" i="1"/>
  <c r="AU773" i="1"/>
  <c r="AU771" i="1"/>
  <c r="AU769" i="1"/>
  <c r="AU767" i="1"/>
  <c r="AU765" i="1"/>
  <c r="AU763" i="1"/>
  <c r="AU761" i="1"/>
  <c r="AU759" i="1"/>
  <c r="AU757" i="1"/>
  <c r="AU755" i="1"/>
  <c r="U804" i="1"/>
  <c r="N738" i="1"/>
  <c r="N736" i="1"/>
  <c r="AI730" i="1"/>
  <c r="AG730" i="1"/>
  <c r="AE730" i="1"/>
  <c r="AC730" i="1"/>
  <c r="AA730" i="1"/>
  <c r="Y730" i="1"/>
  <c r="W730" i="1"/>
  <c r="S730" i="1"/>
  <c r="Q730" i="1"/>
  <c r="O730" i="1"/>
  <c r="M730" i="1"/>
  <c r="K730" i="1"/>
  <c r="I730" i="1"/>
  <c r="G730" i="1"/>
  <c r="AU729" i="1"/>
  <c r="AU727" i="1"/>
  <c r="AU725" i="1"/>
  <c r="AU723" i="1"/>
  <c r="AU721" i="1"/>
  <c r="AU719" i="1"/>
  <c r="AU717" i="1"/>
  <c r="AU715" i="1"/>
  <c r="AU713" i="1"/>
  <c r="AU711" i="1"/>
  <c r="AU709" i="1"/>
  <c r="AU707" i="1"/>
  <c r="AU705" i="1"/>
  <c r="AU703" i="1"/>
  <c r="AU701" i="1"/>
  <c r="AU699" i="1"/>
  <c r="AU697" i="1"/>
  <c r="AU695" i="1"/>
  <c r="AU693" i="1"/>
  <c r="AU691" i="1"/>
  <c r="AU689" i="1"/>
  <c r="AU687" i="1"/>
  <c r="AU685" i="1"/>
  <c r="AU683" i="1"/>
  <c r="U730" i="1"/>
  <c r="N664" i="1"/>
  <c r="N662" i="1"/>
  <c r="AI656" i="1"/>
  <c r="AG656" i="1"/>
  <c r="AE656" i="1"/>
  <c r="AC656" i="1"/>
  <c r="AA656" i="1"/>
  <c r="Y656" i="1"/>
  <c r="W656" i="1"/>
  <c r="S656" i="1"/>
  <c r="Q656" i="1"/>
  <c r="O656" i="1"/>
  <c r="M656" i="1"/>
  <c r="K656" i="1"/>
  <c r="I656" i="1"/>
  <c r="G656" i="1"/>
  <c r="AU655" i="1"/>
  <c r="AU653" i="1"/>
  <c r="AU651" i="1"/>
  <c r="AU649" i="1"/>
  <c r="AU647" i="1"/>
  <c r="AU645" i="1"/>
  <c r="AU643" i="1"/>
  <c r="AU641" i="1"/>
  <c r="AU639" i="1"/>
  <c r="AU637" i="1"/>
  <c r="AU635" i="1"/>
  <c r="AU633" i="1"/>
  <c r="AU631" i="1"/>
  <c r="AU629" i="1"/>
  <c r="AU627" i="1"/>
  <c r="AU625" i="1"/>
  <c r="AU623" i="1"/>
  <c r="AU621" i="1"/>
  <c r="AU619" i="1"/>
  <c r="AU617" i="1"/>
  <c r="AU615" i="1"/>
  <c r="AU613" i="1"/>
  <c r="AU611" i="1"/>
  <c r="AU609" i="1"/>
  <c r="AU607" i="1"/>
  <c r="U656" i="1"/>
  <c r="N590" i="1"/>
  <c r="N588" i="1"/>
  <c r="AI582" i="1"/>
  <c r="AG582" i="1"/>
  <c r="AE582" i="1"/>
  <c r="AC582" i="1"/>
  <c r="AA582" i="1"/>
  <c r="Y582" i="1"/>
  <c r="W582" i="1"/>
  <c r="S582" i="1"/>
  <c r="Q582" i="1"/>
  <c r="O582" i="1"/>
  <c r="M582" i="1"/>
  <c r="K582" i="1"/>
  <c r="I582" i="1"/>
  <c r="G582" i="1"/>
  <c r="AU581" i="1"/>
  <c r="AU579" i="1"/>
  <c r="AU577" i="1"/>
  <c r="AU575" i="1"/>
  <c r="AU573" i="1"/>
  <c r="AU571" i="1"/>
  <c r="AU569" i="1"/>
  <c r="AU567" i="1"/>
  <c r="AU565" i="1"/>
  <c r="AU563" i="1"/>
  <c r="AU561" i="1"/>
  <c r="AU559" i="1"/>
  <c r="AU557" i="1"/>
  <c r="AU555" i="1"/>
  <c r="AU553" i="1"/>
  <c r="AU551" i="1"/>
  <c r="AU549" i="1"/>
  <c r="AU547" i="1"/>
  <c r="AU545" i="1"/>
  <c r="AU543" i="1"/>
  <c r="AU541" i="1"/>
  <c r="AU539" i="1"/>
  <c r="AU537" i="1"/>
  <c r="AU535" i="1"/>
  <c r="AU533" i="1"/>
  <c r="U582" i="1"/>
  <c r="N516" i="1"/>
  <c r="N514" i="1"/>
  <c r="AI508" i="1"/>
  <c r="AG508" i="1"/>
  <c r="AE508" i="1"/>
  <c r="AC508" i="1"/>
  <c r="AA508" i="1"/>
  <c r="Y508" i="1"/>
  <c r="W508" i="1"/>
  <c r="S508" i="1"/>
  <c r="Q508" i="1"/>
  <c r="O508" i="1"/>
  <c r="M508" i="1"/>
  <c r="K508" i="1"/>
  <c r="I508" i="1"/>
  <c r="G508" i="1"/>
  <c r="AU507" i="1"/>
  <c r="AU505" i="1"/>
  <c r="AU503" i="1"/>
  <c r="AU501" i="1"/>
  <c r="AU499" i="1"/>
  <c r="AU497" i="1"/>
  <c r="AU495" i="1"/>
  <c r="AU493" i="1"/>
  <c r="AU491" i="1"/>
  <c r="AU489" i="1"/>
  <c r="AU487" i="1"/>
  <c r="AU485" i="1"/>
  <c r="AU483" i="1"/>
  <c r="AU481" i="1"/>
  <c r="AU479" i="1"/>
  <c r="AU477" i="1"/>
  <c r="AU475" i="1"/>
  <c r="AU473" i="1"/>
  <c r="AU471" i="1"/>
  <c r="AU469" i="1"/>
  <c r="AU467" i="1"/>
  <c r="AU465" i="1"/>
  <c r="AU463" i="1"/>
  <c r="AU461" i="1"/>
  <c r="AU459" i="1"/>
  <c r="U508" i="1"/>
  <c r="N442" i="1"/>
  <c r="N440" i="1"/>
  <c r="AI434" i="1"/>
  <c r="AG434" i="1"/>
  <c r="AE434" i="1"/>
  <c r="AC434" i="1"/>
  <c r="AA434" i="1"/>
  <c r="Y434" i="1"/>
  <c r="W434" i="1"/>
  <c r="S434" i="1"/>
  <c r="Q434" i="1"/>
  <c r="O434" i="1"/>
  <c r="M434" i="1"/>
  <c r="K434" i="1"/>
  <c r="I434" i="1"/>
  <c r="G434" i="1"/>
  <c r="AU433" i="1"/>
  <c r="AU431" i="1"/>
  <c r="AU429" i="1"/>
  <c r="AU427" i="1"/>
  <c r="AU425" i="1"/>
  <c r="AU423" i="1"/>
  <c r="AU421" i="1"/>
  <c r="AU419" i="1"/>
  <c r="AU417" i="1"/>
  <c r="AU415" i="1"/>
  <c r="AU413" i="1"/>
  <c r="AU411" i="1"/>
  <c r="AU409" i="1"/>
  <c r="AU407" i="1"/>
  <c r="AU405" i="1"/>
  <c r="AU403" i="1"/>
  <c r="AU401" i="1"/>
  <c r="AU399" i="1"/>
  <c r="AU397" i="1"/>
  <c r="AU395" i="1"/>
  <c r="AU393" i="1"/>
  <c r="AU391" i="1"/>
  <c r="AU389" i="1"/>
  <c r="AU387" i="1"/>
  <c r="AU385" i="1"/>
  <c r="U434" i="1"/>
  <c r="N368" i="1"/>
  <c r="N366" i="1"/>
  <c r="AI360" i="1"/>
  <c r="AG360" i="1"/>
  <c r="AE360" i="1"/>
  <c r="AC360" i="1"/>
  <c r="AA360" i="1"/>
  <c r="Y360" i="1"/>
  <c r="W360" i="1"/>
  <c r="S360" i="1"/>
  <c r="Q360" i="1"/>
  <c r="O360" i="1"/>
  <c r="M360" i="1"/>
  <c r="K360" i="1"/>
  <c r="I360" i="1"/>
  <c r="G360" i="1"/>
  <c r="AU359" i="1"/>
  <c r="AU357" i="1"/>
  <c r="AU355" i="1"/>
  <c r="AU353" i="1"/>
  <c r="AU351" i="1"/>
  <c r="AU349" i="1"/>
  <c r="AU347" i="1"/>
  <c r="AU345" i="1"/>
  <c r="AU343" i="1"/>
  <c r="AU341" i="1"/>
  <c r="AU339" i="1"/>
  <c r="AU337" i="1"/>
  <c r="AU335" i="1"/>
  <c r="AU333" i="1"/>
  <c r="AU331" i="1"/>
  <c r="AU329" i="1"/>
  <c r="AU327" i="1"/>
  <c r="AU325" i="1"/>
  <c r="AU323" i="1"/>
  <c r="AU321" i="1"/>
  <c r="AU319" i="1"/>
  <c r="AU317" i="1"/>
  <c r="AU315" i="1"/>
  <c r="AU313" i="1"/>
  <c r="AU311" i="1"/>
  <c r="U360" i="1"/>
  <c r="N294" i="1"/>
  <c r="N292" i="1"/>
  <c r="AU285" i="1"/>
  <c r="AU283" i="1"/>
  <c r="AU281" i="1"/>
  <c r="AU279" i="1"/>
  <c r="AU277" i="1"/>
  <c r="AU275" i="1"/>
  <c r="AU273" i="1"/>
  <c r="AU271" i="1"/>
  <c r="AU269" i="1"/>
  <c r="AU267" i="1"/>
  <c r="AU265" i="1"/>
  <c r="AU263" i="1"/>
  <c r="AU261" i="1"/>
  <c r="AU259" i="1"/>
  <c r="AU257" i="1"/>
  <c r="AU255" i="1"/>
  <c r="AU253" i="1"/>
  <c r="AU251" i="1"/>
  <c r="AU249" i="1"/>
  <c r="AU247" i="1"/>
  <c r="AU245" i="1"/>
  <c r="AU243" i="1"/>
  <c r="AU241" i="1"/>
  <c r="AU239" i="1"/>
  <c r="AU237" i="1"/>
  <c r="N220" i="1"/>
  <c r="N218" i="1"/>
  <c r="AU211" i="1"/>
  <c r="AU209" i="1"/>
  <c r="AU207" i="1"/>
  <c r="AU205" i="1"/>
  <c r="AU203" i="1"/>
  <c r="AU201" i="1"/>
  <c r="AU199" i="1"/>
  <c r="AU197" i="1"/>
  <c r="AU195" i="1"/>
  <c r="AU193" i="1"/>
  <c r="AU191" i="1"/>
  <c r="AU189" i="1"/>
  <c r="AU187" i="1"/>
  <c r="AU185" i="1"/>
  <c r="AU183" i="1"/>
  <c r="AU181" i="1"/>
  <c r="AU179" i="1"/>
  <c r="AU177" i="1"/>
  <c r="AU175" i="1"/>
  <c r="AU173" i="1"/>
  <c r="AU171" i="1"/>
  <c r="AU169" i="1"/>
  <c r="AU167" i="1"/>
  <c r="AU165" i="1"/>
  <c r="AU163" i="1"/>
  <c r="AO1174" i="1" l="1"/>
  <c r="AK878" i="1"/>
  <c r="AK508" i="1"/>
  <c r="AK1026" i="1"/>
  <c r="B1415" i="1"/>
  <c r="F1455" i="1" s="1"/>
  <c r="AU1026" i="1"/>
  <c r="AP878" i="1"/>
  <c r="AO1026" i="1"/>
  <c r="AQ1100" i="1"/>
  <c r="AK1840" i="1"/>
  <c r="AK1100" i="1"/>
  <c r="AP1766" i="1"/>
  <c r="AK1174" i="1"/>
  <c r="AO1544" i="1"/>
  <c r="AU1174" i="1"/>
  <c r="AP1248" i="1"/>
  <c r="AK1396" i="1"/>
  <c r="AK1470" i="1"/>
  <c r="AK1914" i="1"/>
  <c r="AK1544" i="1"/>
  <c r="AQ1692" i="1"/>
  <c r="AU1544" i="1"/>
  <c r="AK1692" i="1"/>
  <c r="AP804" i="1"/>
  <c r="AK730" i="1"/>
  <c r="AO656" i="1"/>
  <c r="AU656" i="1"/>
  <c r="AO582" i="1"/>
  <c r="AU582" i="1"/>
  <c r="AK582" i="1"/>
  <c r="AU286" i="1"/>
  <c r="AQ1840" i="1"/>
  <c r="AK1766" i="1"/>
  <c r="AR1766" i="1"/>
  <c r="AR1618" i="1"/>
  <c r="AK1618" i="1"/>
  <c r="AR1470" i="1"/>
  <c r="AK1322" i="1"/>
  <c r="AR1248" i="1"/>
  <c r="AK1248" i="1"/>
  <c r="AK952" i="1"/>
  <c r="AO878" i="1"/>
  <c r="AU878" i="1"/>
  <c r="AQ878" i="1"/>
  <c r="AK804" i="1"/>
  <c r="AR804" i="1"/>
  <c r="AK656" i="1"/>
  <c r="AK434" i="1"/>
  <c r="AK360" i="1"/>
  <c r="AP360" i="1"/>
  <c r="AK212" i="1"/>
  <c r="AO212" i="1"/>
  <c r="AU212" i="1"/>
  <c r="AP1914" i="1"/>
  <c r="AQ1914" i="1"/>
  <c r="AO1914" i="1"/>
  <c r="AU1914" i="1"/>
  <c r="AR1914" i="1"/>
  <c r="AO1840" i="1"/>
  <c r="AU1840" i="1"/>
  <c r="AP1840" i="1"/>
  <c r="AR1840" i="1"/>
  <c r="AO1766" i="1"/>
  <c r="AU1766" i="1"/>
  <c r="AQ1766" i="1"/>
  <c r="AR1692" i="1"/>
  <c r="AO1692" i="1"/>
  <c r="AU1692" i="1"/>
  <c r="AP1692" i="1"/>
  <c r="AO1618" i="1"/>
  <c r="AU1618" i="1"/>
  <c r="AP1618" i="1"/>
  <c r="AQ1618" i="1"/>
  <c r="AQ1544" i="1"/>
  <c r="AR1544" i="1"/>
  <c r="AP1544" i="1"/>
  <c r="AP1470" i="1"/>
  <c r="AQ1470" i="1"/>
  <c r="AO1470" i="1"/>
  <c r="AU1470" i="1"/>
  <c r="AR1396" i="1"/>
  <c r="AP1396" i="1"/>
  <c r="AQ1396" i="1"/>
  <c r="AO1396" i="1"/>
  <c r="AU1396" i="1"/>
  <c r="AO1322" i="1"/>
  <c r="AU1322" i="1"/>
  <c r="AR1322" i="1"/>
  <c r="AQ1322" i="1"/>
  <c r="AP1322" i="1"/>
  <c r="AO1248" i="1"/>
  <c r="AU1248" i="1"/>
  <c r="AQ1248" i="1"/>
  <c r="AQ1174" i="1"/>
  <c r="AR1174" i="1"/>
  <c r="AP1174" i="1"/>
  <c r="AP1100" i="1"/>
  <c r="AR1100" i="1"/>
  <c r="AO1100" i="1"/>
  <c r="AU1100" i="1"/>
  <c r="AQ1026" i="1"/>
  <c r="AR1026" i="1"/>
  <c r="AP1026" i="1"/>
  <c r="AQ952" i="1"/>
  <c r="AO952" i="1"/>
  <c r="AU952" i="1"/>
  <c r="AP952" i="1"/>
  <c r="AR952" i="1"/>
  <c r="AM952" i="1"/>
  <c r="AR878" i="1"/>
  <c r="AO804" i="1"/>
  <c r="AU804" i="1"/>
  <c r="AQ804" i="1"/>
  <c r="AO730" i="1"/>
  <c r="AU730" i="1"/>
  <c r="AR730" i="1"/>
  <c r="AP730" i="1"/>
  <c r="AQ730" i="1"/>
  <c r="AP656" i="1"/>
  <c r="AQ656" i="1"/>
  <c r="AR656" i="1"/>
  <c r="AQ582" i="1"/>
  <c r="AR582" i="1"/>
  <c r="AP582" i="1"/>
  <c r="AP508" i="1"/>
  <c r="AQ508" i="1"/>
  <c r="AR508" i="1"/>
  <c r="AO508" i="1"/>
  <c r="AU508" i="1"/>
  <c r="AQ434" i="1"/>
  <c r="AR434" i="1"/>
  <c r="AP434" i="1"/>
  <c r="AO434" i="1"/>
  <c r="AU434" i="1"/>
  <c r="AO360" i="1"/>
  <c r="AU360" i="1"/>
  <c r="AQ360" i="1"/>
  <c r="AR360" i="1"/>
  <c r="AR286" i="1"/>
  <c r="AP286" i="1"/>
  <c r="AQ286" i="1"/>
  <c r="AO286" i="1"/>
  <c r="AR212" i="1"/>
  <c r="AP212" i="1"/>
  <c r="AQ212" i="1"/>
  <c r="AM1914" i="1"/>
  <c r="AN1914" i="1"/>
  <c r="AM1840" i="1"/>
  <c r="AN1840" i="1"/>
  <c r="AM1766" i="1"/>
  <c r="AN1766" i="1"/>
  <c r="AM1692" i="1"/>
  <c r="AN1692" i="1"/>
  <c r="AM1618" i="1"/>
  <c r="AN1618" i="1"/>
  <c r="AM1544" i="1"/>
  <c r="AN1544" i="1"/>
  <c r="AM1470" i="1"/>
  <c r="AN1470" i="1"/>
  <c r="F1358" i="1"/>
  <c r="F1374" i="1"/>
  <c r="F1353" i="1"/>
  <c r="F1369" i="1"/>
  <c r="F1393" i="1"/>
  <c r="F1361" i="1"/>
  <c r="F1377" i="1"/>
  <c r="F1350" i="1"/>
  <c r="F1366" i="1"/>
  <c r="F1382" i="1"/>
  <c r="F1384" i="1"/>
  <c r="F1386" i="1"/>
  <c r="F1394" i="1"/>
  <c r="AM1396" i="1"/>
  <c r="AN1396" i="1"/>
  <c r="F1347" i="1"/>
  <c r="F1352" i="1"/>
  <c r="F1355" i="1"/>
  <c r="F1360" i="1"/>
  <c r="F1363" i="1"/>
  <c r="F1368" i="1"/>
  <c r="F1371" i="1"/>
  <c r="F1376" i="1"/>
  <c r="F1379" i="1"/>
  <c r="F1388" i="1"/>
  <c r="F1395" i="1"/>
  <c r="F1346" i="1"/>
  <c r="F1349" i="1"/>
  <c r="F1354" i="1"/>
  <c r="F1357" i="1"/>
  <c r="F1362" i="1"/>
  <c r="F1365" i="1"/>
  <c r="F1370" i="1"/>
  <c r="F1373" i="1"/>
  <c r="F1378" i="1"/>
  <c r="F1381" i="1"/>
  <c r="F1389" i="1"/>
  <c r="F1390" i="1"/>
  <c r="F1348" i="1"/>
  <c r="F1351" i="1"/>
  <c r="F1356" i="1"/>
  <c r="F1359" i="1"/>
  <c r="F1364" i="1"/>
  <c r="F1367" i="1"/>
  <c r="F1372" i="1"/>
  <c r="F1375" i="1"/>
  <c r="F1380" i="1"/>
  <c r="F1383" i="1"/>
  <c r="F1385" i="1"/>
  <c r="F1387" i="1"/>
  <c r="F1391" i="1"/>
  <c r="AM1322" i="1"/>
  <c r="F1273" i="1"/>
  <c r="F1278" i="1"/>
  <c r="F1281" i="1"/>
  <c r="F1286" i="1"/>
  <c r="F1289" i="1"/>
  <c r="F1294" i="1"/>
  <c r="F1297" i="1"/>
  <c r="F1302" i="1"/>
  <c r="F1305" i="1"/>
  <c r="F1314" i="1"/>
  <c r="F1321" i="1"/>
  <c r="AN1322" i="1"/>
  <c r="F1272" i="1"/>
  <c r="F1275" i="1"/>
  <c r="F1280" i="1"/>
  <c r="F1283" i="1"/>
  <c r="F1288" i="1"/>
  <c r="F1291" i="1"/>
  <c r="F1296" i="1"/>
  <c r="F1299" i="1"/>
  <c r="F1304" i="1"/>
  <c r="F1307" i="1"/>
  <c r="F1315" i="1"/>
  <c r="F1316" i="1"/>
  <c r="F1274" i="1"/>
  <c r="F1277" i="1"/>
  <c r="F1282" i="1"/>
  <c r="F1285" i="1"/>
  <c r="F1290" i="1"/>
  <c r="F1293" i="1"/>
  <c r="F1298" i="1"/>
  <c r="F1301" i="1"/>
  <c r="F1306" i="1"/>
  <c r="F1309" i="1"/>
  <c r="F1311" i="1"/>
  <c r="F1313" i="1"/>
  <c r="F1317" i="1"/>
  <c r="AM1248" i="1"/>
  <c r="AN1248" i="1"/>
  <c r="AM1174" i="1"/>
  <c r="AN1174" i="1"/>
  <c r="AM1100" i="1"/>
  <c r="AN1100" i="1"/>
  <c r="AM1026" i="1"/>
  <c r="AN1026" i="1"/>
  <c r="AN952" i="1"/>
  <c r="AM878" i="1"/>
  <c r="AN878" i="1"/>
  <c r="AM804" i="1"/>
  <c r="AN804" i="1"/>
  <c r="AM730" i="1"/>
  <c r="AN730" i="1"/>
  <c r="AM656" i="1"/>
  <c r="AN656" i="1"/>
  <c r="AM582" i="1"/>
  <c r="AN582" i="1"/>
  <c r="AM508" i="1"/>
  <c r="AN508" i="1"/>
  <c r="AM434" i="1"/>
  <c r="AN434" i="1"/>
  <c r="AM360" i="1"/>
  <c r="AN360" i="1"/>
  <c r="AM286" i="1"/>
  <c r="AN286" i="1"/>
  <c r="AM212" i="1"/>
  <c r="AN212" i="1"/>
  <c r="AB8" i="2"/>
  <c r="F1459" i="1" l="1"/>
  <c r="F1469" i="1"/>
  <c r="F1457" i="1"/>
  <c r="F1463" i="1"/>
  <c r="AS1618" i="1"/>
  <c r="AS1100" i="1"/>
  <c r="F1466" i="1"/>
  <c r="B1489" i="1"/>
  <c r="F1460" i="1"/>
  <c r="F1448" i="1"/>
  <c r="F1468" i="1"/>
  <c r="F1458" i="1"/>
  <c r="F1451" i="1"/>
  <c r="F1435" i="1"/>
  <c r="F1443" i="1"/>
  <c r="F1432" i="1"/>
  <c r="F1424" i="1"/>
  <c r="F1467" i="1"/>
  <c r="F1440" i="1"/>
  <c r="F1427" i="1"/>
  <c r="F1456" i="1"/>
  <c r="F1421" i="1"/>
  <c r="F1445" i="1"/>
  <c r="F1420" i="1"/>
  <c r="F1439" i="1"/>
  <c r="F1464" i="1"/>
  <c r="F1441" i="1"/>
  <c r="F1461" i="1"/>
  <c r="F1429" i="1"/>
  <c r="F1453" i="1"/>
  <c r="F1423" i="1"/>
  <c r="F1447" i="1"/>
  <c r="F1425" i="1"/>
  <c r="F1449" i="1"/>
  <c r="F1434" i="1"/>
  <c r="F1462" i="1"/>
  <c r="F1428" i="1"/>
  <c r="F1452" i="1"/>
  <c r="F1430" i="1"/>
  <c r="F1454" i="1"/>
  <c r="F1446" i="1"/>
  <c r="F1444" i="1"/>
  <c r="F1450" i="1"/>
  <c r="AS1914" i="1"/>
  <c r="F1438" i="1"/>
  <c r="F1436" i="1"/>
  <c r="F1442" i="1"/>
  <c r="F1433" i="1"/>
  <c r="AS656" i="1"/>
  <c r="F1431" i="1"/>
  <c r="F1437" i="1"/>
  <c r="F1465" i="1"/>
  <c r="F1422" i="1"/>
  <c r="AS1470" i="1"/>
  <c r="F1426" i="1"/>
  <c r="AS878" i="1"/>
  <c r="AS952" i="1"/>
  <c r="AS1026" i="1"/>
  <c r="AS1840" i="1"/>
  <c r="AS1248" i="1"/>
  <c r="AS1396" i="1"/>
  <c r="AS804" i="1"/>
  <c r="AS730" i="1"/>
  <c r="AS434" i="1"/>
  <c r="AS286" i="1"/>
  <c r="AS1692" i="1"/>
  <c r="AS360" i="1"/>
  <c r="AS1766" i="1"/>
  <c r="AS1544" i="1"/>
  <c r="AS1322" i="1"/>
  <c r="AS1174" i="1"/>
  <c r="AS582" i="1"/>
  <c r="AS508" i="1"/>
  <c r="AS212" i="1"/>
  <c r="E355" i="1"/>
  <c r="E429" i="1" s="1"/>
  <c r="E503" i="1" s="1"/>
  <c r="E577" i="1" s="1"/>
  <c r="E651" i="1" s="1"/>
  <c r="E725" i="1" s="1"/>
  <c r="E799" i="1" s="1"/>
  <c r="E873" i="1" s="1"/>
  <c r="E947" i="1" s="1"/>
  <c r="E1021" i="1" s="1"/>
  <c r="E1095" i="1" s="1"/>
  <c r="E1169" i="1" s="1"/>
  <c r="E1243" i="1" s="1"/>
  <c r="E1317" i="1" s="1"/>
  <c r="E1391" i="1" s="1"/>
  <c r="E1465" i="1" s="1"/>
  <c r="E1539" i="1" s="1"/>
  <c r="E1613" i="1" s="1"/>
  <c r="E1687" i="1" s="1"/>
  <c r="E354" i="1"/>
  <c r="E428" i="1" s="1"/>
  <c r="E502" i="1" s="1"/>
  <c r="E576" i="1" s="1"/>
  <c r="E650" i="1" s="1"/>
  <c r="E724" i="1" s="1"/>
  <c r="E798" i="1" s="1"/>
  <c r="E872" i="1" s="1"/>
  <c r="E946" i="1" s="1"/>
  <c r="E1020" i="1" s="1"/>
  <c r="E1094" i="1" s="1"/>
  <c r="E1168" i="1" s="1"/>
  <c r="E1242" i="1" s="1"/>
  <c r="E1316" i="1" s="1"/>
  <c r="E1390" i="1" s="1"/>
  <c r="E1464" i="1" s="1"/>
  <c r="E1538" i="1" s="1"/>
  <c r="E1612" i="1" s="1"/>
  <c r="E1686" i="1" s="1"/>
  <c r="D354" i="1"/>
  <c r="D428" i="1" s="1"/>
  <c r="D502" i="1" s="1"/>
  <c r="D576" i="1" s="1"/>
  <c r="D650" i="1" s="1"/>
  <c r="D724" i="1" s="1"/>
  <c r="D798" i="1" s="1"/>
  <c r="D872" i="1" s="1"/>
  <c r="D946" i="1" s="1"/>
  <c r="D1020" i="1" s="1"/>
  <c r="D1094" i="1" s="1"/>
  <c r="D1168" i="1" s="1"/>
  <c r="D1242" i="1" s="1"/>
  <c r="D1316" i="1" s="1"/>
  <c r="D1390" i="1" s="1"/>
  <c r="D1464" i="1" s="1"/>
  <c r="D1538" i="1" s="1"/>
  <c r="D1612" i="1" s="1"/>
  <c r="D1686" i="1" s="1"/>
  <c r="E353" i="1"/>
  <c r="E427" i="1" s="1"/>
  <c r="E501" i="1" s="1"/>
  <c r="E575" i="1" s="1"/>
  <c r="E649" i="1" s="1"/>
  <c r="E723" i="1" s="1"/>
  <c r="E797" i="1" s="1"/>
  <c r="E871" i="1" s="1"/>
  <c r="E945" i="1" s="1"/>
  <c r="E1019" i="1" s="1"/>
  <c r="E1093" i="1" s="1"/>
  <c r="E1167" i="1" s="1"/>
  <c r="E1315" i="1" s="1"/>
  <c r="E1389" i="1" s="1"/>
  <c r="E1537" i="1" s="1"/>
  <c r="E1611" i="1" s="1"/>
  <c r="E1685" i="1" s="1"/>
  <c r="E352" i="1"/>
  <c r="E426" i="1" s="1"/>
  <c r="E500" i="1" s="1"/>
  <c r="E574" i="1" s="1"/>
  <c r="E648" i="1" s="1"/>
  <c r="E722" i="1" s="1"/>
  <c r="E796" i="1" s="1"/>
  <c r="E870" i="1" s="1"/>
  <c r="E944" i="1" s="1"/>
  <c r="E1018" i="1" s="1"/>
  <c r="E1092" i="1" s="1"/>
  <c r="E1166" i="1" s="1"/>
  <c r="E1240" i="1" s="1"/>
  <c r="E1314" i="1" s="1"/>
  <c r="E1388" i="1" s="1"/>
  <c r="E1462" i="1" s="1"/>
  <c r="E1536" i="1" s="1"/>
  <c r="E1610" i="1" s="1"/>
  <c r="E1684" i="1" s="1"/>
  <c r="D352" i="1"/>
  <c r="D426" i="1" s="1"/>
  <c r="D500" i="1" s="1"/>
  <c r="D574" i="1" s="1"/>
  <c r="D648" i="1" s="1"/>
  <c r="D722" i="1" s="1"/>
  <c r="D796" i="1" s="1"/>
  <c r="D870" i="1" s="1"/>
  <c r="D944" i="1" s="1"/>
  <c r="D1018" i="1" s="1"/>
  <c r="D1092" i="1" s="1"/>
  <c r="D1166" i="1" s="1"/>
  <c r="D1240" i="1" s="1"/>
  <c r="D1314" i="1" s="1"/>
  <c r="D1388" i="1" s="1"/>
  <c r="D1462" i="1" s="1"/>
  <c r="D1610" i="1" s="1"/>
  <c r="D1684" i="1" s="1"/>
  <c r="E351" i="1"/>
  <c r="E425" i="1" s="1"/>
  <c r="E499" i="1" s="1"/>
  <c r="E573" i="1" s="1"/>
  <c r="E647" i="1" s="1"/>
  <c r="E721" i="1" s="1"/>
  <c r="E943" i="1" s="1"/>
  <c r="E1017" i="1" s="1"/>
  <c r="E1091" i="1" s="1"/>
  <c r="E1165" i="1" s="1"/>
  <c r="E1239" i="1" s="1"/>
  <c r="E1313" i="1" s="1"/>
  <c r="E1387" i="1" s="1"/>
  <c r="E1461" i="1" s="1"/>
  <c r="E1535" i="1" s="1"/>
  <c r="E1609" i="1" s="1"/>
  <c r="E1683" i="1" s="1"/>
  <c r="E350" i="1"/>
  <c r="E424" i="1" s="1"/>
  <c r="E498" i="1" s="1"/>
  <c r="E572" i="1" s="1"/>
  <c r="E646" i="1" s="1"/>
  <c r="E720" i="1" s="1"/>
  <c r="E794" i="1" s="1"/>
  <c r="E868" i="1" s="1"/>
  <c r="E942" i="1" s="1"/>
  <c r="E1016" i="1" s="1"/>
  <c r="E1090" i="1" s="1"/>
  <c r="E1164" i="1" s="1"/>
  <c r="E1238" i="1" s="1"/>
  <c r="E1312" i="1" s="1"/>
  <c r="E1386" i="1" s="1"/>
  <c r="E1460" i="1" s="1"/>
  <c r="E1534" i="1" s="1"/>
  <c r="E1608" i="1" s="1"/>
  <c r="E1682" i="1" s="1"/>
  <c r="D350" i="1"/>
  <c r="D424" i="1" s="1"/>
  <c r="D498" i="1" s="1"/>
  <c r="D572" i="1" s="1"/>
  <c r="D646" i="1" s="1"/>
  <c r="D720" i="1" s="1"/>
  <c r="D794" i="1" s="1"/>
  <c r="D868" i="1" s="1"/>
  <c r="D942" i="1" s="1"/>
  <c r="D1016" i="1" s="1"/>
  <c r="D1090" i="1" s="1"/>
  <c r="D1164" i="1" s="1"/>
  <c r="D1238" i="1" s="1"/>
  <c r="D1312" i="1" s="1"/>
  <c r="D1386" i="1" s="1"/>
  <c r="D1460" i="1" s="1"/>
  <c r="D1534" i="1" s="1"/>
  <c r="D1608" i="1" s="1"/>
  <c r="D1682" i="1" s="1"/>
  <c r="E349" i="1"/>
  <c r="E423" i="1" s="1"/>
  <c r="E497" i="1" s="1"/>
  <c r="E571" i="1" s="1"/>
  <c r="E645" i="1" s="1"/>
  <c r="E719" i="1" s="1"/>
  <c r="E793" i="1" s="1"/>
  <c r="E867" i="1" s="1"/>
  <c r="E941" i="1" s="1"/>
  <c r="E1015" i="1" s="1"/>
  <c r="E1089" i="1" s="1"/>
  <c r="E1163" i="1" s="1"/>
  <c r="E1237" i="1" s="1"/>
  <c r="E1311" i="1" s="1"/>
  <c r="E1385" i="1" s="1"/>
  <c r="E1459" i="1" s="1"/>
  <c r="E1533" i="1" s="1"/>
  <c r="E1607" i="1" s="1"/>
  <c r="E1681" i="1" s="1"/>
  <c r="E348" i="1"/>
  <c r="E422" i="1" s="1"/>
  <c r="E496" i="1" s="1"/>
  <c r="E570" i="1" s="1"/>
  <c r="E644" i="1" s="1"/>
  <c r="E718" i="1" s="1"/>
  <c r="E792" i="1" s="1"/>
  <c r="E866" i="1" s="1"/>
  <c r="E940" i="1" s="1"/>
  <c r="E1014" i="1" s="1"/>
  <c r="E1088" i="1" s="1"/>
  <c r="E1162" i="1" s="1"/>
  <c r="E1236" i="1" s="1"/>
  <c r="E1310" i="1" s="1"/>
  <c r="E1384" i="1" s="1"/>
  <c r="E1458" i="1" s="1"/>
  <c r="E1532" i="1" s="1"/>
  <c r="E1606" i="1" s="1"/>
  <c r="E1680" i="1" s="1"/>
  <c r="D348" i="1"/>
  <c r="D422" i="1" s="1"/>
  <c r="D496" i="1" s="1"/>
  <c r="D570" i="1" s="1"/>
  <c r="D644" i="1" s="1"/>
  <c r="D718" i="1" s="1"/>
  <c r="D792" i="1" s="1"/>
  <c r="D866" i="1" s="1"/>
  <c r="D940" i="1" s="1"/>
  <c r="D1014" i="1" s="1"/>
  <c r="D1088" i="1" s="1"/>
  <c r="D1162" i="1" s="1"/>
  <c r="D1236" i="1" s="1"/>
  <c r="D1310" i="1" s="1"/>
  <c r="D1384" i="1" s="1"/>
  <c r="D1458" i="1" s="1"/>
  <c r="D1532" i="1" s="1"/>
  <c r="D1606" i="1" s="1"/>
  <c r="D1680" i="1" s="1"/>
  <c r="E421" i="1"/>
  <c r="E495" i="1" s="1"/>
  <c r="E569" i="1" s="1"/>
  <c r="E643" i="1" s="1"/>
  <c r="E717" i="1" s="1"/>
  <c r="E791" i="1" s="1"/>
  <c r="E865" i="1" s="1"/>
  <c r="E939" i="1" s="1"/>
  <c r="E1013" i="1" s="1"/>
  <c r="E1161" i="1" s="1"/>
  <c r="E1235" i="1" s="1"/>
  <c r="E1309" i="1" s="1"/>
  <c r="E1383" i="1" s="1"/>
  <c r="E1457" i="1" s="1"/>
  <c r="E1531" i="1" s="1"/>
  <c r="E1605" i="1" s="1"/>
  <c r="E1679" i="1" s="1"/>
  <c r="E346" i="1"/>
  <c r="E420" i="1" s="1"/>
  <c r="E494" i="1" s="1"/>
  <c r="E568" i="1" s="1"/>
  <c r="E642" i="1" s="1"/>
  <c r="E716" i="1" s="1"/>
  <c r="E790" i="1" s="1"/>
  <c r="E864" i="1" s="1"/>
  <c r="E938" i="1" s="1"/>
  <c r="E1012" i="1" s="1"/>
  <c r="E1086" i="1" s="1"/>
  <c r="E1160" i="1" s="1"/>
  <c r="E1234" i="1" s="1"/>
  <c r="E1308" i="1" s="1"/>
  <c r="E1382" i="1" s="1"/>
  <c r="E1456" i="1" s="1"/>
  <c r="E1530" i="1" s="1"/>
  <c r="E1604" i="1" s="1"/>
  <c r="E1678" i="1" s="1"/>
  <c r="D420" i="1"/>
  <c r="D494" i="1" s="1"/>
  <c r="D568" i="1" s="1"/>
  <c r="D642" i="1" s="1"/>
  <c r="D716" i="1" s="1"/>
  <c r="D790" i="1" s="1"/>
  <c r="D864" i="1" s="1"/>
  <c r="D938" i="1" s="1"/>
  <c r="D1012" i="1" s="1"/>
  <c r="D1086" i="1" s="1"/>
  <c r="D1160" i="1" s="1"/>
  <c r="D1234" i="1" s="1"/>
  <c r="D1308" i="1" s="1"/>
  <c r="D1382" i="1" s="1"/>
  <c r="D1456" i="1" s="1"/>
  <c r="D1530" i="1" s="1"/>
  <c r="D1604" i="1" s="1"/>
  <c r="D1678" i="1" s="1"/>
  <c r="E345" i="1"/>
  <c r="E419" i="1" s="1"/>
  <c r="E493" i="1" s="1"/>
  <c r="E567" i="1" s="1"/>
  <c r="E641" i="1" s="1"/>
  <c r="E715" i="1" s="1"/>
  <c r="E789" i="1" s="1"/>
  <c r="E863" i="1" s="1"/>
  <c r="E937" i="1" s="1"/>
  <c r="E1011" i="1" s="1"/>
  <c r="E1085" i="1" s="1"/>
  <c r="E1159" i="1" s="1"/>
  <c r="E1233" i="1" s="1"/>
  <c r="E1307" i="1" s="1"/>
  <c r="E1381" i="1" s="1"/>
  <c r="E1455" i="1" s="1"/>
  <c r="E1529" i="1" s="1"/>
  <c r="E1603" i="1" s="1"/>
  <c r="E1677" i="1" s="1"/>
  <c r="E344" i="1"/>
  <c r="E418" i="1" s="1"/>
  <c r="E492" i="1" s="1"/>
  <c r="E566" i="1" s="1"/>
  <c r="E640" i="1" s="1"/>
  <c r="E714" i="1" s="1"/>
  <c r="E788" i="1" s="1"/>
  <c r="E862" i="1" s="1"/>
  <c r="E936" i="1" s="1"/>
  <c r="E1010" i="1" s="1"/>
  <c r="E1084" i="1" s="1"/>
  <c r="E1158" i="1" s="1"/>
  <c r="E1232" i="1" s="1"/>
  <c r="E1306" i="1" s="1"/>
  <c r="E1380" i="1" s="1"/>
  <c r="E1454" i="1" s="1"/>
  <c r="E1528" i="1" s="1"/>
  <c r="E1602" i="1" s="1"/>
  <c r="E1676" i="1" s="1"/>
  <c r="D344" i="1"/>
  <c r="D418" i="1" s="1"/>
  <c r="D492" i="1" s="1"/>
  <c r="D566" i="1" s="1"/>
  <c r="D640" i="1" s="1"/>
  <c r="D714" i="1" s="1"/>
  <c r="D788" i="1" s="1"/>
  <c r="D862" i="1" s="1"/>
  <c r="D936" i="1" s="1"/>
  <c r="D1010" i="1" s="1"/>
  <c r="D1084" i="1" s="1"/>
  <c r="D1158" i="1" s="1"/>
  <c r="D1232" i="1" s="1"/>
  <c r="D1306" i="1" s="1"/>
  <c r="D1380" i="1" s="1"/>
  <c r="D1454" i="1" s="1"/>
  <c r="D1528" i="1" s="1"/>
  <c r="D1602" i="1" s="1"/>
  <c r="D1676" i="1" s="1"/>
  <c r="E343" i="1"/>
  <c r="E417" i="1" s="1"/>
  <c r="E491" i="1" s="1"/>
  <c r="E565" i="1" s="1"/>
  <c r="E639" i="1" s="1"/>
  <c r="E713" i="1" s="1"/>
  <c r="E787" i="1" s="1"/>
  <c r="E861" i="1" s="1"/>
  <c r="E935" i="1" s="1"/>
  <c r="E1009" i="1" s="1"/>
  <c r="E1083" i="1" s="1"/>
  <c r="E1157" i="1" s="1"/>
  <c r="E1231" i="1" s="1"/>
  <c r="E1305" i="1" s="1"/>
  <c r="E1379" i="1" s="1"/>
  <c r="E1453" i="1" s="1"/>
  <c r="E1527" i="1" s="1"/>
  <c r="E1601" i="1" s="1"/>
  <c r="E1675" i="1" s="1"/>
  <c r="E342" i="1"/>
  <c r="E416" i="1" s="1"/>
  <c r="E490" i="1" s="1"/>
  <c r="E564" i="1" s="1"/>
  <c r="E638" i="1" s="1"/>
  <c r="E712" i="1" s="1"/>
  <c r="E786" i="1" s="1"/>
  <c r="E860" i="1" s="1"/>
  <c r="E934" i="1" s="1"/>
  <c r="E1008" i="1" s="1"/>
  <c r="E1082" i="1" s="1"/>
  <c r="E1156" i="1" s="1"/>
  <c r="E1230" i="1" s="1"/>
  <c r="E1304" i="1" s="1"/>
  <c r="E1378" i="1" s="1"/>
  <c r="E1452" i="1" s="1"/>
  <c r="E1526" i="1" s="1"/>
  <c r="E1600" i="1" s="1"/>
  <c r="E1674" i="1" s="1"/>
  <c r="D342" i="1"/>
  <c r="D416" i="1" s="1"/>
  <c r="D490" i="1" s="1"/>
  <c r="D564" i="1" s="1"/>
  <c r="D638" i="1" s="1"/>
  <c r="D712" i="1" s="1"/>
  <c r="D786" i="1" s="1"/>
  <c r="D860" i="1" s="1"/>
  <c r="D934" i="1" s="1"/>
  <c r="D1008" i="1" s="1"/>
  <c r="D1082" i="1" s="1"/>
  <c r="D1156" i="1" s="1"/>
  <c r="D1230" i="1" s="1"/>
  <c r="D1304" i="1" s="1"/>
  <c r="D1378" i="1" s="1"/>
  <c r="D1452" i="1" s="1"/>
  <c r="D1526" i="1" s="1"/>
  <c r="D1600" i="1" s="1"/>
  <c r="D1674" i="1" s="1"/>
  <c r="E341" i="1"/>
  <c r="E415" i="1" s="1"/>
  <c r="E489" i="1" s="1"/>
  <c r="E563" i="1" s="1"/>
  <c r="E637" i="1" s="1"/>
  <c r="E711" i="1" s="1"/>
  <c r="E785" i="1" s="1"/>
  <c r="E859" i="1" s="1"/>
  <c r="E933" i="1" s="1"/>
  <c r="E1007" i="1" s="1"/>
  <c r="E1081" i="1" s="1"/>
  <c r="E1155" i="1" s="1"/>
  <c r="E1229" i="1" s="1"/>
  <c r="E1303" i="1" s="1"/>
  <c r="E1377" i="1" s="1"/>
  <c r="E1451" i="1" s="1"/>
  <c r="E1525" i="1" s="1"/>
  <c r="E1599" i="1" s="1"/>
  <c r="E1673" i="1" s="1"/>
  <c r="E340" i="1"/>
  <c r="E414" i="1" s="1"/>
  <c r="E488" i="1" s="1"/>
  <c r="E562" i="1" s="1"/>
  <c r="E636" i="1" s="1"/>
  <c r="E710" i="1" s="1"/>
  <c r="E784" i="1" s="1"/>
  <c r="E858" i="1" s="1"/>
  <c r="E932" i="1" s="1"/>
  <c r="E1006" i="1" s="1"/>
  <c r="E1080" i="1" s="1"/>
  <c r="E1154" i="1" s="1"/>
  <c r="E1228" i="1" s="1"/>
  <c r="E1302" i="1" s="1"/>
  <c r="E1376" i="1" s="1"/>
  <c r="E1450" i="1" s="1"/>
  <c r="E1524" i="1" s="1"/>
  <c r="E1598" i="1" s="1"/>
  <c r="E1672" i="1" s="1"/>
  <c r="D340" i="1"/>
  <c r="D414" i="1" s="1"/>
  <c r="D488" i="1" s="1"/>
  <c r="D562" i="1" s="1"/>
  <c r="D636" i="1" s="1"/>
  <c r="D710" i="1" s="1"/>
  <c r="D784" i="1" s="1"/>
  <c r="D858" i="1" s="1"/>
  <c r="D932" i="1" s="1"/>
  <c r="D1006" i="1" s="1"/>
  <c r="D1080" i="1" s="1"/>
  <c r="D1154" i="1" s="1"/>
  <c r="D1228" i="1" s="1"/>
  <c r="D1302" i="1" s="1"/>
  <c r="D1376" i="1" s="1"/>
  <c r="D1450" i="1" s="1"/>
  <c r="D1524" i="1" s="1"/>
  <c r="D1598" i="1" s="1"/>
  <c r="D1672" i="1" s="1"/>
  <c r="E339" i="1"/>
  <c r="E413" i="1" s="1"/>
  <c r="E487" i="1" s="1"/>
  <c r="E561" i="1" s="1"/>
  <c r="E635" i="1" s="1"/>
  <c r="E709" i="1" s="1"/>
  <c r="E783" i="1" s="1"/>
  <c r="E857" i="1" s="1"/>
  <c r="E931" i="1" s="1"/>
  <c r="E1227" i="1" s="1"/>
  <c r="E1301" i="1" s="1"/>
  <c r="E1375" i="1" s="1"/>
  <c r="E1449" i="1" s="1"/>
  <c r="E1523" i="1" s="1"/>
  <c r="E1597" i="1" s="1"/>
  <c r="E1671" i="1" s="1"/>
  <c r="E338" i="1"/>
  <c r="E412" i="1" s="1"/>
  <c r="E486" i="1" s="1"/>
  <c r="E560" i="1" s="1"/>
  <c r="E634" i="1" s="1"/>
  <c r="E708" i="1" s="1"/>
  <c r="E782" i="1" s="1"/>
  <c r="E856" i="1" s="1"/>
  <c r="E930" i="1" s="1"/>
  <c r="E1004" i="1" s="1"/>
  <c r="E1078" i="1" s="1"/>
  <c r="E1152" i="1" s="1"/>
  <c r="E1226" i="1" s="1"/>
  <c r="E1300" i="1" s="1"/>
  <c r="E1374" i="1" s="1"/>
  <c r="E1448" i="1" s="1"/>
  <c r="E1522" i="1" s="1"/>
  <c r="E1596" i="1" s="1"/>
  <c r="E1670" i="1" s="1"/>
  <c r="D338" i="1"/>
  <c r="D412" i="1" s="1"/>
  <c r="D486" i="1" s="1"/>
  <c r="D560" i="1" s="1"/>
  <c r="D634" i="1" s="1"/>
  <c r="D708" i="1" s="1"/>
  <c r="D782" i="1" s="1"/>
  <c r="D856" i="1" s="1"/>
  <c r="D930" i="1" s="1"/>
  <c r="D1078" i="1" s="1"/>
  <c r="D1226" i="1" s="1"/>
  <c r="D1300" i="1" s="1"/>
  <c r="D1374" i="1" s="1"/>
  <c r="D1448" i="1" s="1"/>
  <c r="D1522" i="1" s="1"/>
  <c r="D1596" i="1" s="1"/>
  <c r="D1670" i="1" s="1"/>
  <c r="E337" i="1"/>
  <c r="E411" i="1" s="1"/>
  <c r="E485" i="1" s="1"/>
  <c r="E559" i="1" s="1"/>
  <c r="E633" i="1" s="1"/>
  <c r="E707" i="1" s="1"/>
  <c r="E781" i="1" s="1"/>
  <c r="E855" i="1" s="1"/>
  <c r="E929" i="1" s="1"/>
  <c r="E1003" i="1" s="1"/>
  <c r="E1077" i="1" s="1"/>
  <c r="E1151" i="1" s="1"/>
  <c r="E1225" i="1" s="1"/>
  <c r="E1299" i="1" s="1"/>
  <c r="E1373" i="1" s="1"/>
  <c r="E1447" i="1" s="1"/>
  <c r="E1521" i="1" s="1"/>
  <c r="E1595" i="1" s="1"/>
  <c r="E1669" i="1" s="1"/>
  <c r="E336" i="1"/>
  <c r="E410" i="1" s="1"/>
  <c r="E484" i="1" s="1"/>
  <c r="E558" i="1" s="1"/>
  <c r="E632" i="1" s="1"/>
  <c r="E706" i="1" s="1"/>
  <c r="E780" i="1" s="1"/>
  <c r="E854" i="1" s="1"/>
  <c r="E928" i="1" s="1"/>
  <c r="E1002" i="1" s="1"/>
  <c r="E1076" i="1" s="1"/>
  <c r="E1150" i="1" s="1"/>
  <c r="E1224" i="1" s="1"/>
  <c r="E1298" i="1" s="1"/>
  <c r="E1372" i="1" s="1"/>
  <c r="E1446" i="1" s="1"/>
  <c r="E1520" i="1" s="1"/>
  <c r="E1594" i="1" s="1"/>
  <c r="E1668" i="1" s="1"/>
  <c r="D336" i="1"/>
  <c r="D410" i="1" s="1"/>
  <c r="D484" i="1" s="1"/>
  <c r="D558" i="1" s="1"/>
  <c r="D632" i="1" s="1"/>
  <c r="D706" i="1" s="1"/>
  <c r="D780" i="1" s="1"/>
  <c r="D854" i="1" s="1"/>
  <c r="D928" i="1" s="1"/>
  <c r="D1002" i="1" s="1"/>
  <c r="D1076" i="1" s="1"/>
  <c r="D1150" i="1" s="1"/>
  <c r="D1224" i="1" s="1"/>
  <c r="D1298" i="1" s="1"/>
  <c r="D1372" i="1" s="1"/>
  <c r="D1446" i="1" s="1"/>
  <c r="D1520" i="1" s="1"/>
  <c r="D1594" i="1" s="1"/>
  <c r="D1668" i="1" s="1"/>
  <c r="E335" i="1"/>
  <c r="E409" i="1" s="1"/>
  <c r="E483" i="1" s="1"/>
  <c r="E557" i="1" s="1"/>
  <c r="E631" i="1" s="1"/>
  <c r="E705" i="1" s="1"/>
  <c r="E779" i="1" s="1"/>
  <c r="E853" i="1" s="1"/>
  <c r="E927" i="1" s="1"/>
  <c r="E1001" i="1" s="1"/>
  <c r="E1075" i="1" s="1"/>
  <c r="E1149" i="1" s="1"/>
  <c r="E1223" i="1" s="1"/>
  <c r="E1297" i="1" s="1"/>
  <c r="E1371" i="1" s="1"/>
  <c r="E1445" i="1" s="1"/>
  <c r="E1519" i="1" s="1"/>
  <c r="E1593" i="1" s="1"/>
  <c r="E1667" i="1" s="1"/>
  <c r="E334" i="1"/>
  <c r="E408" i="1" s="1"/>
  <c r="E482" i="1" s="1"/>
  <c r="E556" i="1" s="1"/>
  <c r="E630" i="1" s="1"/>
  <c r="E704" i="1" s="1"/>
  <c r="E778" i="1" s="1"/>
  <c r="E852" i="1" s="1"/>
  <c r="E926" i="1" s="1"/>
  <c r="E1000" i="1" s="1"/>
  <c r="E1074" i="1" s="1"/>
  <c r="E1148" i="1" s="1"/>
  <c r="E1222" i="1" s="1"/>
  <c r="E1296" i="1" s="1"/>
  <c r="E1370" i="1" s="1"/>
  <c r="E1444" i="1" s="1"/>
  <c r="E1518" i="1" s="1"/>
  <c r="E1592" i="1" s="1"/>
  <c r="E1666" i="1" s="1"/>
  <c r="D334" i="1"/>
  <c r="D408" i="1" s="1"/>
  <c r="D482" i="1" s="1"/>
  <c r="D556" i="1" s="1"/>
  <c r="D630" i="1" s="1"/>
  <c r="D704" i="1" s="1"/>
  <c r="D778" i="1" s="1"/>
  <c r="D852" i="1" s="1"/>
  <c r="D926" i="1" s="1"/>
  <c r="D1000" i="1" s="1"/>
  <c r="D1074" i="1" s="1"/>
  <c r="D1148" i="1" s="1"/>
  <c r="D1222" i="1" s="1"/>
  <c r="D1296" i="1" s="1"/>
  <c r="D1370" i="1" s="1"/>
  <c r="D1444" i="1" s="1"/>
  <c r="D1518" i="1" s="1"/>
  <c r="D1592" i="1" s="1"/>
  <c r="D1666" i="1" s="1"/>
  <c r="E333" i="1"/>
  <c r="E407" i="1" s="1"/>
  <c r="E481" i="1" s="1"/>
  <c r="E555" i="1" s="1"/>
  <c r="E629" i="1" s="1"/>
  <c r="E703" i="1" s="1"/>
  <c r="E777" i="1" s="1"/>
  <c r="E851" i="1" s="1"/>
  <c r="E925" i="1" s="1"/>
  <c r="E999" i="1" s="1"/>
  <c r="E1073" i="1" s="1"/>
  <c r="E1147" i="1" s="1"/>
  <c r="E1221" i="1" s="1"/>
  <c r="E1295" i="1" s="1"/>
  <c r="E1369" i="1" s="1"/>
  <c r="E1443" i="1" s="1"/>
  <c r="E1517" i="1" s="1"/>
  <c r="E1591" i="1" s="1"/>
  <c r="E1665" i="1" s="1"/>
  <c r="E332" i="1"/>
  <c r="E406" i="1" s="1"/>
  <c r="E480" i="1" s="1"/>
  <c r="E554" i="1" s="1"/>
  <c r="E628" i="1" s="1"/>
  <c r="E702" i="1" s="1"/>
  <c r="E776" i="1" s="1"/>
  <c r="E850" i="1" s="1"/>
  <c r="E924" i="1" s="1"/>
  <c r="E998" i="1" s="1"/>
  <c r="E1072" i="1" s="1"/>
  <c r="E1146" i="1" s="1"/>
  <c r="E1220" i="1" s="1"/>
  <c r="E1294" i="1" s="1"/>
  <c r="E1368" i="1" s="1"/>
  <c r="E1442" i="1" s="1"/>
  <c r="E1516" i="1" s="1"/>
  <c r="E1590" i="1" s="1"/>
  <c r="E1664" i="1" s="1"/>
  <c r="D332" i="1"/>
  <c r="D406" i="1" s="1"/>
  <c r="D480" i="1" s="1"/>
  <c r="D554" i="1" s="1"/>
  <c r="D628" i="1" s="1"/>
  <c r="D702" i="1" s="1"/>
  <c r="D776" i="1" s="1"/>
  <c r="D850" i="1" s="1"/>
  <c r="D924" i="1" s="1"/>
  <c r="D998" i="1" s="1"/>
  <c r="D1072" i="1" s="1"/>
  <c r="D1146" i="1" s="1"/>
  <c r="D1220" i="1" s="1"/>
  <c r="D1294" i="1" s="1"/>
  <c r="D1368" i="1" s="1"/>
  <c r="D1442" i="1" s="1"/>
  <c r="D1516" i="1" s="1"/>
  <c r="D1590" i="1" s="1"/>
  <c r="D1664" i="1" s="1"/>
  <c r="E331" i="1"/>
  <c r="E405" i="1" s="1"/>
  <c r="E479" i="1" s="1"/>
  <c r="E553" i="1" s="1"/>
  <c r="E627" i="1" s="1"/>
  <c r="E701" i="1" s="1"/>
  <c r="E775" i="1" s="1"/>
  <c r="E849" i="1" s="1"/>
  <c r="E923" i="1" s="1"/>
  <c r="E997" i="1" s="1"/>
  <c r="E1071" i="1" s="1"/>
  <c r="E1145" i="1" s="1"/>
  <c r="E1219" i="1" s="1"/>
  <c r="E1293" i="1" s="1"/>
  <c r="E1367" i="1" s="1"/>
  <c r="E1441" i="1" s="1"/>
  <c r="E1515" i="1" s="1"/>
  <c r="E1589" i="1" s="1"/>
  <c r="E1663" i="1" s="1"/>
  <c r="E330" i="1"/>
  <c r="E404" i="1" s="1"/>
  <c r="E478" i="1" s="1"/>
  <c r="E552" i="1" s="1"/>
  <c r="E626" i="1" s="1"/>
  <c r="E700" i="1" s="1"/>
  <c r="E774" i="1" s="1"/>
  <c r="E848" i="1" s="1"/>
  <c r="E922" i="1" s="1"/>
  <c r="E996" i="1" s="1"/>
  <c r="E1070" i="1" s="1"/>
  <c r="E1144" i="1" s="1"/>
  <c r="E1218" i="1" s="1"/>
  <c r="E1292" i="1" s="1"/>
  <c r="E1366" i="1" s="1"/>
  <c r="E1440" i="1" s="1"/>
  <c r="E1514" i="1" s="1"/>
  <c r="E1588" i="1" s="1"/>
  <c r="E1662" i="1" s="1"/>
  <c r="D330" i="1"/>
  <c r="D404" i="1" s="1"/>
  <c r="D478" i="1" s="1"/>
  <c r="D552" i="1" s="1"/>
  <c r="D626" i="1" s="1"/>
  <c r="D700" i="1" s="1"/>
  <c r="D774" i="1" s="1"/>
  <c r="D848" i="1" s="1"/>
  <c r="D922" i="1" s="1"/>
  <c r="D996" i="1" s="1"/>
  <c r="D1070" i="1" s="1"/>
  <c r="D1144" i="1" s="1"/>
  <c r="D1218" i="1" s="1"/>
  <c r="D1292" i="1" s="1"/>
  <c r="D1366" i="1" s="1"/>
  <c r="D1440" i="1" s="1"/>
  <c r="D1514" i="1" s="1"/>
  <c r="D1588" i="1" s="1"/>
  <c r="D1662" i="1" s="1"/>
  <c r="E329" i="1"/>
  <c r="E403" i="1" s="1"/>
  <c r="E477" i="1" s="1"/>
  <c r="E551" i="1" s="1"/>
  <c r="E625" i="1" s="1"/>
  <c r="E699" i="1" s="1"/>
  <c r="E773" i="1" s="1"/>
  <c r="E847" i="1" s="1"/>
  <c r="E921" i="1" s="1"/>
  <c r="E995" i="1" s="1"/>
  <c r="E328" i="1"/>
  <c r="E402" i="1" s="1"/>
  <c r="E476" i="1" s="1"/>
  <c r="E550" i="1" s="1"/>
  <c r="E624" i="1" s="1"/>
  <c r="E698" i="1" s="1"/>
  <c r="E772" i="1" s="1"/>
  <c r="E846" i="1" s="1"/>
  <c r="E920" i="1" s="1"/>
  <c r="E994" i="1" s="1"/>
  <c r="E1068" i="1" s="1"/>
  <c r="E1142" i="1" s="1"/>
  <c r="E1216" i="1" s="1"/>
  <c r="E1290" i="1" s="1"/>
  <c r="E1364" i="1" s="1"/>
  <c r="E1438" i="1" s="1"/>
  <c r="E1512" i="1" s="1"/>
  <c r="E1586" i="1" s="1"/>
  <c r="E1660" i="1" s="1"/>
  <c r="D328" i="1"/>
  <c r="D402" i="1" s="1"/>
  <c r="D476" i="1" s="1"/>
  <c r="D550" i="1" s="1"/>
  <c r="D624" i="1" s="1"/>
  <c r="D698" i="1" s="1"/>
  <c r="D772" i="1" s="1"/>
  <c r="D846" i="1" s="1"/>
  <c r="D920" i="1" s="1"/>
  <c r="D994" i="1" s="1"/>
  <c r="D1068" i="1" s="1"/>
  <c r="D1142" i="1" s="1"/>
  <c r="D1216" i="1" s="1"/>
  <c r="D1290" i="1" s="1"/>
  <c r="D1364" i="1" s="1"/>
  <c r="D1438" i="1" s="1"/>
  <c r="D1512" i="1" s="1"/>
  <c r="D1586" i="1" s="1"/>
  <c r="D1660" i="1" s="1"/>
  <c r="E327" i="1"/>
  <c r="E401" i="1" s="1"/>
  <c r="E475" i="1" s="1"/>
  <c r="E549" i="1" s="1"/>
  <c r="E623" i="1" s="1"/>
  <c r="E697" i="1" s="1"/>
  <c r="E771" i="1" s="1"/>
  <c r="E845" i="1" s="1"/>
  <c r="E919" i="1" s="1"/>
  <c r="E993" i="1" s="1"/>
  <c r="E1067" i="1" s="1"/>
  <c r="E1141" i="1" s="1"/>
  <c r="E1215" i="1" s="1"/>
  <c r="E1289" i="1" s="1"/>
  <c r="E1363" i="1" s="1"/>
  <c r="E1437" i="1" s="1"/>
  <c r="E1511" i="1" s="1"/>
  <c r="E1585" i="1" s="1"/>
  <c r="E1659" i="1" s="1"/>
  <c r="E326" i="1"/>
  <c r="E400" i="1" s="1"/>
  <c r="E474" i="1" s="1"/>
  <c r="E548" i="1" s="1"/>
  <c r="E622" i="1" s="1"/>
  <c r="E696" i="1" s="1"/>
  <c r="E770" i="1" s="1"/>
  <c r="E844" i="1" s="1"/>
  <c r="E918" i="1" s="1"/>
  <c r="E992" i="1" s="1"/>
  <c r="E1066" i="1" s="1"/>
  <c r="E1140" i="1" s="1"/>
  <c r="E1214" i="1" s="1"/>
  <c r="E1288" i="1" s="1"/>
  <c r="E1362" i="1" s="1"/>
  <c r="E1436" i="1" s="1"/>
  <c r="E1510" i="1" s="1"/>
  <c r="E1584" i="1" s="1"/>
  <c r="E1658" i="1" s="1"/>
  <c r="D326" i="1"/>
  <c r="D400" i="1" s="1"/>
  <c r="D474" i="1" s="1"/>
  <c r="D548" i="1" s="1"/>
  <c r="D622" i="1" s="1"/>
  <c r="D696" i="1" s="1"/>
  <c r="D770" i="1" s="1"/>
  <c r="D844" i="1" s="1"/>
  <c r="D918" i="1" s="1"/>
  <c r="D992" i="1" s="1"/>
  <c r="D1066" i="1" s="1"/>
  <c r="D1140" i="1" s="1"/>
  <c r="D1214" i="1" s="1"/>
  <c r="D1288" i="1" s="1"/>
  <c r="D1362" i="1" s="1"/>
  <c r="D1436" i="1" s="1"/>
  <c r="D1510" i="1" s="1"/>
  <c r="D1584" i="1" s="1"/>
  <c r="D1658" i="1" s="1"/>
  <c r="E325" i="1"/>
  <c r="E399" i="1" s="1"/>
  <c r="E473" i="1" s="1"/>
  <c r="E547" i="1" s="1"/>
  <c r="E621" i="1" s="1"/>
  <c r="E695" i="1" s="1"/>
  <c r="E769" i="1" s="1"/>
  <c r="E843" i="1" s="1"/>
  <c r="E917" i="1" s="1"/>
  <c r="E991" i="1" s="1"/>
  <c r="E1065" i="1" s="1"/>
  <c r="E1139" i="1" s="1"/>
  <c r="E1213" i="1" s="1"/>
  <c r="E1287" i="1" s="1"/>
  <c r="E1361" i="1" s="1"/>
  <c r="E1435" i="1" s="1"/>
  <c r="E1509" i="1" s="1"/>
  <c r="E1583" i="1" s="1"/>
  <c r="E1657" i="1" s="1"/>
  <c r="E324" i="1"/>
  <c r="E398" i="1" s="1"/>
  <c r="E472" i="1" s="1"/>
  <c r="E546" i="1" s="1"/>
  <c r="E620" i="1" s="1"/>
  <c r="E694" i="1" s="1"/>
  <c r="E768" i="1" s="1"/>
  <c r="E842" i="1" s="1"/>
  <c r="E916" i="1" s="1"/>
  <c r="E990" i="1" s="1"/>
  <c r="E1064" i="1" s="1"/>
  <c r="E1138" i="1" s="1"/>
  <c r="E1212" i="1" s="1"/>
  <c r="E1286" i="1" s="1"/>
  <c r="E1360" i="1" s="1"/>
  <c r="E1434" i="1" s="1"/>
  <c r="E1508" i="1" s="1"/>
  <c r="E1582" i="1" s="1"/>
  <c r="E1656" i="1" s="1"/>
  <c r="D324" i="1"/>
  <c r="D398" i="1" s="1"/>
  <c r="D472" i="1" s="1"/>
  <c r="D546" i="1" s="1"/>
  <c r="D620" i="1" s="1"/>
  <c r="D694" i="1" s="1"/>
  <c r="D768" i="1" s="1"/>
  <c r="D842" i="1" s="1"/>
  <c r="D916" i="1" s="1"/>
  <c r="D990" i="1" s="1"/>
  <c r="D1064" i="1" s="1"/>
  <c r="D1138" i="1" s="1"/>
  <c r="D1212" i="1" s="1"/>
  <c r="D1286" i="1" s="1"/>
  <c r="D1360" i="1" s="1"/>
  <c r="D1434" i="1" s="1"/>
  <c r="D1508" i="1" s="1"/>
  <c r="D1582" i="1" s="1"/>
  <c r="D1656" i="1" s="1"/>
  <c r="E323" i="1"/>
  <c r="E397" i="1" s="1"/>
  <c r="E471" i="1" s="1"/>
  <c r="E545" i="1" s="1"/>
  <c r="E619" i="1" s="1"/>
  <c r="E693" i="1" s="1"/>
  <c r="E767" i="1" s="1"/>
  <c r="E841" i="1" s="1"/>
  <c r="E915" i="1" s="1"/>
  <c r="E989" i="1" s="1"/>
  <c r="E1063" i="1" s="1"/>
  <c r="E1137" i="1" s="1"/>
  <c r="E1211" i="1" s="1"/>
  <c r="E1285" i="1" s="1"/>
  <c r="E1359" i="1" s="1"/>
  <c r="E1433" i="1" s="1"/>
  <c r="E1507" i="1" s="1"/>
  <c r="E1581" i="1" s="1"/>
  <c r="E1655" i="1" s="1"/>
  <c r="E322" i="1"/>
  <c r="E396" i="1" s="1"/>
  <c r="E470" i="1" s="1"/>
  <c r="E544" i="1" s="1"/>
  <c r="E618" i="1" s="1"/>
  <c r="E692" i="1" s="1"/>
  <c r="E766" i="1" s="1"/>
  <c r="E840" i="1" s="1"/>
  <c r="E914" i="1" s="1"/>
  <c r="E988" i="1" s="1"/>
  <c r="E1062" i="1" s="1"/>
  <c r="E1136" i="1" s="1"/>
  <c r="E1210" i="1" s="1"/>
  <c r="E1284" i="1" s="1"/>
  <c r="E1358" i="1" s="1"/>
  <c r="E1432" i="1" s="1"/>
  <c r="E1506" i="1" s="1"/>
  <c r="E1580" i="1" s="1"/>
  <c r="E1654" i="1" s="1"/>
  <c r="D322" i="1"/>
  <c r="D396" i="1" s="1"/>
  <c r="D470" i="1" s="1"/>
  <c r="D544" i="1" s="1"/>
  <c r="D618" i="1" s="1"/>
  <c r="D692" i="1" s="1"/>
  <c r="D766" i="1" s="1"/>
  <c r="D840" i="1" s="1"/>
  <c r="D914" i="1" s="1"/>
  <c r="D988" i="1" s="1"/>
  <c r="D1062" i="1" s="1"/>
  <c r="D1136" i="1" s="1"/>
  <c r="D1210" i="1" s="1"/>
  <c r="D1284" i="1" s="1"/>
  <c r="D1358" i="1" s="1"/>
  <c r="D1432" i="1" s="1"/>
  <c r="D1506" i="1" s="1"/>
  <c r="D1580" i="1" s="1"/>
  <c r="D1654" i="1" s="1"/>
  <c r="E321" i="1"/>
  <c r="E395" i="1" s="1"/>
  <c r="E469" i="1" s="1"/>
  <c r="E543" i="1" s="1"/>
  <c r="E617" i="1" s="1"/>
  <c r="E691" i="1" s="1"/>
  <c r="E765" i="1" s="1"/>
  <c r="E839" i="1" s="1"/>
  <c r="E987" i="1" s="1"/>
  <c r="E1061" i="1" s="1"/>
  <c r="E1135" i="1" s="1"/>
  <c r="E1209" i="1" s="1"/>
  <c r="E1283" i="1" s="1"/>
  <c r="E1357" i="1" s="1"/>
  <c r="E1431" i="1" s="1"/>
  <c r="E1505" i="1" s="1"/>
  <c r="E1579" i="1" s="1"/>
  <c r="E1653" i="1" s="1"/>
  <c r="E320" i="1"/>
  <c r="E394" i="1" s="1"/>
  <c r="E468" i="1" s="1"/>
  <c r="E542" i="1" s="1"/>
  <c r="E616" i="1" s="1"/>
  <c r="E690" i="1" s="1"/>
  <c r="E764" i="1" s="1"/>
  <c r="E838" i="1" s="1"/>
  <c r="E912" i="1" s="1"/>
  <c r="E986" i="1" s="1"/>
  <c r="E1060" i="1" s="1"/>
  <c r="E1134" i="1" s="1"/>
  <c r="E1208" i="1" s="1"/>
  <c r="E1282" i="1" s="1"/>
  <c r="E1356" i="1" s="1"/>
  <c r="E1430" i="1" s="1"/>
  <c r="E1504" i="1" s="1"/>
  <c r="E1578" i="1" s="1"/>
  <c r="E1652" i="1" s="1"/>
  <c r="D320" i="1"/>
  <c r="D394" i="1" s="1"/>
  <c r="D468" i="1" s="1"/>
  <c r="D542" i="1" s="1"/>
  <c r="D616" i="1" s="1"/>
  <c r="D690" i="1" s="1"/>
  <c r="D764" i="1" s="1"/>
  <c r="D838" i="1" s="1"/>
  <c r="D986" i="1" s="1"/>
  <c r="D1060" i="1" s="1"/>
  <c r="D1134" i="1" s="1"/>
  <c r="D1208" i="1" s="1"/>
  <c r="D1282" i="1" s="1"/>
  <c r="D1356" i="1" s="1"/>
  <c r="D1430" i="1" s="1"/>
  <c r="D1504" i="1" s="1"/>
  <c r="D1578" i="1" s="1"/>
  <c r="D1652" i="1" s="1"/>
  <c r="D1726" i="1" s="1"/>
  <c r="D1800" i="1" s="1"/>
  <c r="E319" i="1"/>
  <c r="E393" i="1" s="1"/>
  <c r="E467" i="1" s="1"/>
  <c r="E541" i="1" s="1"/>
  <c r="E615" i="1" s="1"/>
  <c r="E689" i="1" s="1"/>
  <c r="E763" i="1" s="1"/>
  <c r="E837" i="1" s="1"/>
  <c r="E911" i="1" s="1"/>
  <c r="E985" i="1" s="1"/>
  <c r="E1059" i="1" s="1"/>
  <c r="E1133" i="1" s="1"/>
  <c r="E1207" i="1" s="1"/>
  <c r="E1281" i="1" s="1"/>
  <c r="E1355" i="1" s="1"/>
  <c r="E1429" i="1" s="1"/>
  <c r="E1503" i="1" s="1"/>
  <c r="E1577" i="1" s="1"/>
  <c r="E1651" i="1" s="1"/>
  <c r="E318" i="1"/>
  <c r="E392" i="1" s="1"/>
  <c r="E466" i="1" s="1"/>
  <c r="E540" i="1" s="1"/>
  <c r="E614" i="1" s="1"/>
  <c r="E688" i="1" s="1"/>
  <c r="E762" i="1" s="1"/>
  <c r="E836" i="1" s="1"/>
  <c r="E910" i="1" s="1"/>
  <c r="E984" i="1" s="1"/>
  <c r="E1058" i="1" s="1"/>
  <c r="E1132" i="1" s="1"/>
  <c r="E1206" i="1" s="1"/>
  <c r="E1280" i="1" s="1"/>
  <c r="E1354" i="1" s="1"/>
  <c r="E1428" i="1" s="1"/>
  <c r="E1502" i="1" s="1"/>
  <c r="E1576" i="1" s="1"/>
  <c r="E1650" i="1" s="1"/>
  <c r="D318" i="1"/>
  <c r="D392" i="1" s="1"/>
  <c r="D466" i="1" s="1"/>
  <c r="D540" i="1" s="1"/>
  <c r="D614" i="1" s="1"/>
  <c r="D688" i="1" s="1"/>
  <c r="D762" i="1" s="1"/>
  <c r="D836" i="1" s="1"/>
  <c r="D910" i="1" s="1"/>
  <c r="D984" i="1" s="1"/>
  <c r="D1058" i="1" s="1"/>
  <c r="D1132" i="1" s="1"/>
  <c r="D1206" i="1" s="1"/>
  <c r="D1280" i="1" s="1"/>
  <c r="D1354" i="1" s="1"/>
  <c r="D1428" i="1" s="1"/>
  <c r="D1502" i="1" s="1"/>
  <c r="D1576" i="1" s="1"/>
  <c r="D1650" i="1" s="1"/>
  <c r="E317" i="1"/>
  <c r="E391" i="1" s="1"/>
  <c r="E465" i="1" s="1"/>
  <c r="E539" i="1" s="1"/>
  <c r="E613" i="1" s="1"/>
  <c r="E687" i="1" s="1"/>
  <c r="E761" i="1" s="1"/>
  <c r="E835" i="1" s="1"/>
  <c r="E909" i="1" s="1"/>
  <c r="E983" i="1" s="1"/>
  <c r="E1057" i="1" s="1"/>
  <c r="E1131" i="1" s="1"/>
  <c r="E1205" i="1" s="1"/>
  <c r="E1279" i="1" s="1"/>
  <c r="E1353" i="1" s="1"/>
  <c r="E1427" i="1" s="1"/>
  <c r="E1501" i="1" s="1"/>
  <c r="E1575" i="1" s="1"/>
  <c r="E1649" i="1" s="1"/>
  <c r="E316" i="1"/>
  <c r="E390" i="1" s="1"/>
  <c r="E464" i="1" s="1"/>
  <c r="E538" i="1" s="1"/>
  <c r="E612" i="1" s="1"/>
  <c r="E686" i="1" s="1"/>
  <c r="E760" i="1" s="1"/>
  <c r="E834" i="1" s="1"/>
  <c r="E908" i="1" s="1"/>
  <c r="E982" i="1" s="1"/>
  <c r="E1056" i="1" s="1"/>
  <c r="E1130" i="1" s="1"/>
  <c r="E1204" i="1" s="1"/>
  <c r="E1278" i="1" s="1"/>
  <c r="E1352" i="1" s="1"/>
  <c r="E1426" i="1" s="1"/>
  <c r="E1500" i="1" s="1"/>
  <c r="E1574" i="1" s="1"/>
  <c r="E1648" i="1" s="1"/>
  <c r="D316" i="1"/>
  <c r="D390" i="1" s="1"/>
  <c r="D464" i="1" s="1"/>
  <c r="D538" i="1" s="1"/>
  <c r="D612" i="1" s="1"/>
  <c r="D686" i="1" s="1"/>
  <c r="D760" i="1" s="1"/>
  <c r="D834" i="1" s="1"/>
  <c r="D908" i="1" s="1"/>
  <c r="D982" i="1" s="1"/>
  <c r="D1056" i="1" s="1"/>
  <c r="D1130" i="1" s="1"/>
  <c r="D1204" i="1" s="1"/>
  <c r="D1278" i="1" s="1"/>
  <c r="D1352" i="1" s="1"/>
  <c r="D1426" i="1" s="1"/>
  <c r="D1500" i="1" s="1"/>
  <c r="D1574" i="1" s="1"/>
  <c r="D1648" i="1" s="1"/>
  <c r="E315" i="1"/>
  <c r="E389" i="1" s="1"/>
  <c r="E463" i="1" s="1"/>
  <c r="E537" i="1" s="1"/>
  <c r="E611" i="1" s="1"/>
  <c r="E685" i="1" s="1"/>
  <c r="E759" i="1" s="1"/>
  <c r="E833" i="1" s="1"/>
  <c r="E907" i="1" s="1"/>
  <c r="E981" i="1" s="1"/>
  <c r="E1055" i="1" s="1"/>
  <c r="E1129" i="1" s="1"/>
  <c r="E1203" i="1" s="1"/>
  <c r="E1277" i="1" s="1"/>
  <c r="E1351" i="1" s="1"/>
  <c r="E1425" i="1" s="1"/>
  <c r="E1499" i="1" s="1"/>
  <c r="E1573" i="1" s="1"/>
  <c r="E1647" i="1" s="1"/>
  <c r="E314" i="1"/>
  <c r="E388" i="1" s="1"/>
  <c r="E462" i="1" s="1"/>
  <c r="E536" i="1" s="1"/>
  <c r="E610" i="1" s="1"/>
  <c r="E684" i="1" s="1"/>
  <c r="E758" i="1" s="1"/>
  <c r="E832" i="1" s="1"/>
  <c r="E906" i="1" s="1"/>
  <c r="E980" i="1" s="1"/>
  <c r="E1054" i="1" s="1"/>
  <c r="E1128" i="1" s="1"/>
  <c r="E1202" i="1" s="1"/>
  <c r="E1276" i="1" s="1"/>
  <c r="E1350" i="1" s="1"/>
  <c r="E1424" i="1" s="1"/>
  <c r="E1498" i="1" s="1"/>
  <c r="E1572" i="1" s="1"/>
  <c r="E1646" i="1" s="1"/>
  <c r="D314" i="1"/>
  <c r="D388" i="1" s="1"/>
  <c r="D462" i="1" s="1"/>
  <c r="D536" i="1" s="1"/>
  <c r="D610" i="1" s="1"/>
  <c r="D684" i="1" s="1"/>
  <c r="D758" i="1" s="1"/>
  <c r="D832" i="1" s="1"/>
  <c r="D906" i="1" s="1"/>
  <c r="D980" i="1" s="1"/>
  <c r="D1054" i="1" s="1"/>
  <c r="D1128" i="1" s="1"/>
  <c r="D1202" i="1" s="1"/>
  <c r="D1276" i="1" s="1"/>
  <c r="D1350" i="1" s="1"/>
  <c r="D1424" i="1" s="1"/>
  <c r="D1498" i="1" s="1"/>
  <c r="D1572" i="1" s="1"/>
  <c r="D1646" i="1" s="1"/>
  <c r="E313" i="1"/>
  <c r="E387" i="1" s="1"/>
  <c r="E461" i="1" s="1"/>
  <c r="E535" i="1" s="1"/>
  <c r="E609" i="1" s="1"/>
  <c r="E683" i="1" s="1"/>
  <c r="E757" i="1" s="1"/>
  <c r="E831" i="1" s="1"/>
  <c r="E905" i="1" s="1"/>
  <c r="E979" i="1" s="1"/>
  <c r="E1053" i="1" s="1"/>
  <c r="E1127" i="1" s="1"/>
  <c r="E1201" i="1" s="1"/>
  <c r="E1275" i="1" s="1"/>
  <c r="E1349" i="1" s="1"/>
  <c r="E1423" i="1" s="1"/>
  <c r="E1497" i="1" s="1"/>
  <c r="E1571" i="1" s="1"/>
  <c r="E1645" i="1" s="1"/>
  <c r="E312" i="1"/>
  <c r="E386" i="1" s="1"/>
  <c r="E460" i="1" s="1"/>
  <c r="E534" i="1" s="1"/>
  <c r="E608" i="1" s="1"/>
  <c r="E682" i="1" s="1"/>
  <c r="E756" i="1" s="1"/>
  <c r="E830" i="1" s="1"/>
  <c r="E904" i="1" s="1"/>
  <c r="E978" i="1" s="1"/>
  <c r="E1052" i="1" s="1"/>
  <c r="E1126" i="1" s="1"/>
  <c r="E1200" i="1" s="1"/>
  <c r="E1274" i="1" s="1"/>
  <c r="E1348" i="1" s="1"/>
  <c r="E1422" i="1" s="1"/>
  <c r="E1496" i="1" s="1"/>
  <c r="E1570" i="1" s="1"/>
  <c r="E1644" i="1" s="1"/>
  <c r="D312" i="1"/>
  <c r="D386" i="1" s="1"/>
  <c r="D460" i="1" s="1"/>
  <c r="D534" i="1" s="1"/>
  <c r="D608" i="1" s="1"/>
  <c r="D682" i="1" s="1"/>
  <c r="D756" i="1" s="1"/>
  <c r="D830" i="1" s="1"/>
  <c r="D904" i="1" s="1"/>
  <c r="D978" i="1" s="1"/>
  <c r="D1052" i="1" s="1"/>
  <c r="D1126" i="1" s="1"/>
  <c r="D1200" i="1" s="1"/>
  <c r="D1274" i="1" s="1"/>
  <c r="D1348" i="1" s="1"/>
  <c r="D1422" i="1" s="1"/>
  <c r="D1496" i="1" s="1"/>
  <c r="D1570" i="1" s="1"/>
  <c r="D1644" i="1" s="1"/>
  <c r="E311" i="1"/>
  <c r="E385" i="1" s="1"/>
  <c r="E459" i="1" s="1"/>
  <c r="E533" i="1" s="1"/>
  <c r="E607" i="1" s="1"/>
  <c r="E681" i="1" s="1"/>
  <c r="E755" i="1" s="1"/>
  <c r="E829" i="1" s="1"/>
  <c r="E903" i="1" s="1"/>
  <c r="E977" i="1" s="1"/>
  <c r="E1051" i="1" s="1"/>
  <c r="E1125" i="1" s="1"/>
  <c r="E1199" i="1" s="1"/>
  <c r="E1273" i="1" s="1"/>
  <c r="E1347" i="1" s="1"/>
  <c r="E1421" i="1" s="1"/>
  <c r="E1495" i="1" s="1"/>
  <c r="E1569" i="1" s="1"/>
  <c r="E1643" i="1" s="1"/>
  <c r="E310" i="1"/>
  <c r="E384" i="1" s="1"/>
  <c r="E458" i="1" s="1"/>
  <c r="E532" i="1" s="1"/>
  <c r="E606" i="1" s="1"/>
  <c r="E680" i="1" s="1"/>
  <c r="E754" i="1" s="1"/>
  <c r="E828" i="1" s="1"/>
  <c r="E902" i="1" s="1"/>
  <c r="E976" i="1" s="1"/>
  <c r="E1050" i="1" s="1"/>
  <c r="E1124" i="1" s="1"/>
  <c r="E1198" i="1" s="1"/>
  <c r="E1272" i="1" s="1"/>
  <c r="E1346" i="1" s="1"/>
  <c r="E1420" i="1" s="1"/>
  <c r="E1494" i="1" s="1"/>
  <c r="E1568" i="1" s="1"/>
  <c r="E1642" i="1" s="1"/>
  <c r="D310" i="1"/>
  <c r="D384" i="1" s="1"/>
  <c r="D458" i="1" s="1"/>
  <c r="D532" i="1" s="1"/>
  <c r="D606" i="1" s="1"/>
  <c r="D680" i="1" s="1"/>
  <c r="D754" i="1" s="1"/>
  <c r="D828" i="1" s="1"/>
  <c r="D902" i="1" s="1"/>
  <c r="D976" i="1" s="1"/>
  <c r="D1050" i="1" s="1"/>
  <c r="D1124" i="1" s="1"/>
  <c r="D1198" i="1" s="1"/>
  <c r="D1272" i="1" s="1"/>
  <c r="D1346" i="1" s="1"/>
  <c r="D1420" i="1" s="1"/>
  <c r="D1494" i="1" s="1"/>
  <c r="D1568" i="1" s="1"/>
  <c r="D1642" i="1" s="1"/>
  <c r="D83" i="1"/>
  <c r="D157" i="1" s="1"/>
  <c r="D231" i="1" s="1"/>
  <c r="D305" i="1" s="1"/>
  <c r="D379" i="1" s="1"/>
  <c r="D453" i="1" s="1"/>
  <c r="D527" i="1" s="1"/>
  <c r="D601" i="1" s="1"/>
  <c r="D675" i="1" s="1"/>
  <c r="D749" i="1" s="1"/>
  <c r="D823" i="1" s="1"/>
  <c r="D897" i="1" s="1"/>
  <c r="D971" i="1" s="1"/>
  <c r="D1045" i="1" s="1"/>
  <c r="D1119" i="1" s="1"/>
  <c r="D1193" i="1" s="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E209" i="1" l="1"/>
  <c r="E283" i="1" s="1"/>
  <c r="E357" i="1" s="1"/>
  <c r="E431" i="1" s="1"/>
  <c r="E505" i="1" s="1"/>
  <c r="E579" i="1" s="1"/>
  <c r="E653" i="1" s="1"/>
  <c r="E727" i="1" s="1"/>
  <c r="E801" i="1" s="1"/>
  <c r="E875" i="1" s="1"/>
  <c r="E949" i="1" s="1"/>
  <c r="E1023" i="1" s="1"/>
  <c r="E1097" i="1" s="1"/>
  <c r="E1171" i="1" s="1"/>
  <c r="E1245" i="1" s="1"/>
  <c r="E1319" i="1" s="1"/>
  <c r="E1393" i="1" s="1"/>
  <c r="E1467" i="1" s="1"/>
  <c r="E1541" i="1" s="1"/>
  <c r="E1615" i="1" s="1"/>
  <c r="E1689" i="1" s="1"/>
  <c r="E1763" i="1" s="1"/>
  <c r="E1837" i="1" s="1"/>
  <c r="E1911" i="1" s="1"/>
  <c r="D210" i="1"/>
  <c r="D284" i="1" s="1"/>
  <c r="D358" i="1" s="1"/>
  <c r="D432" i="1" s="1"/>
  <c r="D506" i="1" s="1"/>
  <c r="D580" i="1" s="1"/>
  <c r="D654" i="1" s="1"/>
  <c r="D728" i="1" s="1"/>
  <c r="D802" i="1" s="1"/>
  <c r="D876" i="1" s="1"/>
  <c r="D950" i="1" s="1"/>
  <c r="D1024" i="1" s="1"/>
  <c r="D1098" i="1" s="1"/>
  <c r="D1172" i="1" s="1"/>
  <c r="D1246" i="1" s="1"/>
  <c r="D1320" i="1" s="1"/>
  <c r="D1394" i="1" s="1"/>
  <c r="D1468" i="1" s="1"/>
  <c r="D1542" i="1" s="1"/>
  <c r="D1616" i="1" s="1"/>
  <c r="D1690" i="1" s="1"/>
  <c r="D1764" i="1" s="1"/>
  <c r="D1838" i="1" s="1"/>
  <c r="D1912" i="1" s="1"/>
  <c r="E210" i="1"/>
  <c r="E284" i="1" s="1"/>
  <c r="E358" i="1" s="1"/>
  <c r="E432" i="1" s="1"/>
  <c r="E506" i="1" s="1"/>
  <c r="E580" i="1" s="1"/>
  <c r="E654" i="1" s="1"/>
  <c r="E728" i="1" s="1"/>
  <c r="E802" i="1" s="1"/>
  <c r="E876" i="1" s="1"/>
  <c r="E950" i="1" s="1"/>
  <c r="E1024" i="1" s="1"/>
  <c r="E1098" i="1" s="1"/>
  <c r="E1172" i="1" s="1"/>
  <c r="E1246" i="1" s="1"/>
  <c r="E1320" i="1" s="1"/>
  <c r="E1394" i="1" s="1"/>
  <c r="E1468" i="1" s="1"/>
  <c r="E1542" i="1" s="1"/>
  <c r="E1616" i="1" s="1"/>
  <c r="E1690" i="1" s="1"/>
  <c r="E1764" i="1" s="1"/>
  <c r="E1838" i="1" s="1"/>
  <c r="E1912" i="1" s="1"/>
  <c r="E211" i="1"/>
  <c r="E285" i="1" s="1"/>
  <c r="E359" i="1" s="1"/>
  <c r="E433" i="1" s="1"/>
  <c r="E507" i="1" s="1"/>
  <c r="E581" i="1" s="1"/>
  <c r="E655" i="1" s="1"/>
  <c r="E729" i="1" s="1"/>
  <c r="E803" i="1" s="1"/>
  <c r="E877" i="1" s="1"/>
  <c r="E951" i="1" s="1"/>
  <c r="E1025" i="1" s="1"/>
  <c r="E1099" i="1" s="1"/>
  <c r="E1173" i="1" s="1"/>
  <c r="E1247" i="1" s="1"/>
  <c r="E1321" i="1" s="1"/>
  <c r="E1395" i="1" s="1"/>
  <c r="E1469" i="1" s="1"/>
  <c r="E1543" i="1" s="1"/>
  <c r="E1617" i="1" s="1"/>
  <c r="E1691" i="1" s="1"/>
  <c r="E1765" i="1" s="1"/>
  <c r="E1839" i="1" s="1"/>
  <c r="E1913" i="1" s="1"/>
  <c r="D208" i="1"/>
  <c r="D282" i="1" s="1"/>
  <c r="D356" i="1" s="1"/>
  <c r="D430" i="1" s="1"/>
  <c r="D504" i="1" s="1"/>
  <c r="D578" i="1" s="1"/>
  <c r="D652" i="1" s="1"/>
  <c r="D726" i="1" s="1"/>
  <c r="D800" i="1" s="1"/>
  <c r="D874" i="1" s="1"/>
  <c r="D948" i="1" s="1"/>
  <c r="D1022" i="1" s="1"/>
  <c r="D1096" i="1" s="1"/>
  <c r="D1170" i="1" s="1"/>
  <c r="D1244" i="1" s="1"/>
  <c r="D1318" i="1" s="1"/>
  <c r="D1392" i="1" s="1"/>
  <c r="D1466" i="1" s="1"/>
  <c r="D1540" i="1" s="1"/>
  <c r="D1614" i="1" s="1"/>
  <c r="D1688" i="1" s="1"/>
  <c r="D1762" i="1" s="1"/>
  <c r="D1836" i="1" s="1"/>
  <c r="D1910" i="1" s="1"/>
  <c r="E208" i="1"/>
  <c r="E282" i="1" s="1"/>
  <c r="E356" i="1" s="1"/>
  <c r="E430" i="1" s="1"/>
  <c r="E504" i="1" s="1"/>
  <c r="E578" i="1" s="1"/>
  <c r="E652" i="1" s="1"/>
  <c r="E726" i="1" s="1"/>
  <c r="E800" i="1" s="1"/>
  <c r="E874" i="1" s="1"/>
  <c r="E948" i="1" s="1"/>
  <c r="E1022" i="1" s="1"/>
  <c r="E1096" i="1" s="1"/>
  <c r="E1170" i="1" s="1"/>
  <c r="E1244" i="1" s="1"/>
  <c r="E1318" i="1" s="1"/>
  <c r="E1392" i="1" s="1"/>
  <c r="E1466" i="1" s="1"/>
  <c r="E1540" i="1" s="1"/>
  <c r="E1614" i="1" s="1"/>
  <c r="E1688" i="1" s="1"/>
  <c r="E1762" i="1" s="1"/>
  <c r="E1836" i="1" s="1"/>
  <c r="E1910" i="1" s="1"/>
  <c r="E1069" i="1"/>
  <c r="E1143" i="1" s="1"/>
  <c r="E1217" i="1" s="1"/>
  <c r="E1291" i="1" s="1"/>
  <c r="E1365" i="1" s="1"/>
  <c r="E1439" i="1" s="1"/>
  <c r="E1513" i="1" s="1"/>
  <c r="E1587" i="1" s="1"/>
  <c r="E1661" i="1" s="1"/>
  <c r="E1735" i="1" s="1"/>
  <c r="E1809" i="1" s="1"/>
  <c r="E1883" i="1" s="1"/>
  <c r="E1729" i="1"/>
  <c r="E1803" i="1" s="1"/>
  <c r="E1877" i="1" s="1"/>
  <c r="E1741" i="1"/>
  <c r="E1815" i="1" s="1"/>
  <c r="E1889" i="1" s="1"/>
  <c r="E1753" i="1"/>
  <c r="E1827" i="1" s="1"/>
  <c r="D1718" i="1"/>
  <c r="D1792" i="1" s="1"/>
  <c r="D1866" i="1" s="1"/>
  <c r="D1734" i="1"/>
  <c r="D1808" i="1" s="1"/>
  <c r="D1882" i="1" s="1"/>
  <c r="E1719" i="1"/>
  <c r="E1793" i="1" s="1"/>
  <c r="E1867" i="1" s="1"/>
  <c r="E1723" i="1"/>
  <c r="E1797" i="1" s="1"/>
  <c r="E1871" i="1" s="1"/>
  <c r="E1727" i="1"/>
  <c r="E1801" i="1" s="1"/>
  <c r="E1875" i="1" s="1"/>
  <c r="E1731" i="1"/>
  <c r="E1805" i="1" s="1"/>
  <c r="E1879" i="1" s="1"/>
  <c r="E1739" i="1"/>
  <c r="E1813" i="1" s="1"/>
  <c r="E1887" i="1" s="1"/>
  <c r="E1743" i="1"/>
  <c r="E1817" i="1" s="1"/>
  <c r="E1891" i="1" s="1"/>
  <c r="E1747" i="1"/>
  <c r="E1821" i="1" s="1"/>
  <c r="E1895" i="1" s="1"/>
  <c r="E1751" i="1"/>
  <c r="E1825" i="1" s="1"/>
  <c r="E1899" i="1" s="1"/>
  <c r="E1755" i="1"/>
  <c r="E1829" i="1" s="1"/>
  <c r="E1903" i="1" s="1"/>
  <c r="E1759" i="1"/>
  <c r="E1833" i="1" s="1"/>
  <c r="E1907" i="1" s="1"/>
  <c r="E1721" i="1"/>
  <c r="E1795" i="1" s="1"/>
  <c r="E1869" i="1" s="1"/>
  <c r="E1811" i="1"/>
  <c r="E1885" i="1" s="1"/>
  <c r="E1757" i="1"/>
  <c r="E1831" i="1" s="1"/>
  <c r="E1905" i="1" s="1"/>
  <c r="D1730" i="1"/>
  <c r="D1804" i="1" s="1"/>
  <c r="D1878" i="1" s="1"/>
  <c r="D1746" i="1"/>
  <c r="D1820" i="1" s="1"/>
  <c r="D1894" i="1" s="1"/>
  <c r="D1754" i="1"/>
  <c r="D1828" i="1" s="1"/>
  <c r="D1902" i="1" s="1"/>
  <c r="D1716" i="1"/>
  <c r="D1790" i="1" s="1"/>
  <c r="D1864" i="1" s="1"/>
  <c r="D1720" i="1"/>
  <c r="D1794" i="1" s="1"/>
  <c r="D1868" i="1" s="1"/>
  <c r="D1724" i="1"/>
  <c r="D1798" i="1" s="1"/>
  <c r="D1872" i="1" s="1"/>
  <c r="D1728" i="1"/>
  <c r="D1802" i="1" s="1"/>
  <c r="D1876" i="1" s="1"/>
  <c r="D1732" i="1"/>
  <c r="D1806" i="1" s="1"/>
  <c r="D1880" i="1" s="1"/>
  <c r="D1810" i="1"/>
  <c r="D1884" i="1" s="1"/>
  <c r="D1740" i="1"/>
  <c r="D1814" i="1" s="1"/>
  <c r="D1888" i="1" s="1"/>
  <c r="D1744" i="1"/>
  <c r="D1818" i="1" s="1"/>
  <c r="D1892" i="1" s="1"/>
  <c r="D1748" i="1"/>
  <c r="D1822" i="1" s="1"/>
  <c r="D1896" i="1" s="1"/>
  <c r="D1752" i="1"/>
  <c r="D1826" i="1" s="1"/>
  <c r="D1756" i="1"/>
  <c r="D1830" i="1" s="1"/>
  <c r="D1904" i="1" s="1"/>
  <c r="D1760" i="1"/>
  <c r="D1834" i="1" s="1"/>
  <c r="D1908" i="1" s="1"/>
  <c r="E1717" i="1"/>
  <c r="E1791" i="1" s="1"/>
  <c r="E1865" i="1" s="1"/>
  <c r="E1733" i="1"/>
  <c r="E1807" i="1" s="1"/>
  <c r="E1881" i="1" s="1"/>
  <c r="E1749" i="1"/>
  <c r="E1823" i="1" s="1"/>
  <c r="E1897" i="1" s="1"/>
  <c r="D1722" i="1"/>
  <c r="D1796" i="1" s="1"/>
  <c r="D1870" i="1" s="1"/>
  <c r="D1738" i="1"/>
  <c r="D1812" i="1" s="1"/>
  <c r="D1886" i="1" s="1"/>
  <c r="D1758" i="1"/>
  <c r="D1832" i="1" s="1"/>
  <c r="D1906" i="1" s="1"/>
  <c r="E1716" i="1"/>
  <c r="E1790" i="1" s="1"/>
  <c r="E1864" i="1" s="1"/>
  <c r="E1720" i="1"/>
  <c r="E1794" i="1" s="1"/>
  <c r="E1868" i="1" s="1"/>
  <c r="E1724" i="1"/>
  <c r="E1798" i="1" s="1"/>
  <c r="E1872" i="1" s="1"/>
  <c r="E1728" i="1"/>
  <c r="E1802" i="1" s="1"/>
  <c r="E1876" i="1" s="1"/>
  <c r="E1732" i="1"/>
  <c r="E1806" i="1" s="1"/>
  <c r="E1880" i="1" s="1"/>
  <c r="E1736" i="1"/>
  <c r="E1810" i="1" s="1"/>
  <c r="E1884" i="1" s="1"/>
  <c r="E1740" i="1"/>
  <c r="E1814" i="1" s="1"/>
  <c r="E1888" i="1" s="1"/>
  <c r="E1744" i="1"/>
  <c r="E1818" i="1" s="1"/>
  <c r="E1892" i="1" s="1"/>
  <c r="E1748" i="1"/>
  <c r="E1822" i="1" s="1"/>
  <c r="E1896" i="1" s="1"/>
  <c r="E1752" i="1"/>
  <c r="E1826" i="1" s="1"/>
  <c r="E1900" i="1" s="1"/>
  <c r="E1756" i="1"/>
  <c r="E1830" i="1" s="1"/>
  <c r="E1904" i="1" s="1"/>
  <c r="E1760" i="1"/>
  <c r="E1834" i="1" s="1"/>
  <c r="E1908" i="1" s="1"/>
  <c r="E1725" i="1"/>
  <c r="E1799" i="1" s="1"/>
  <c r="E1873" i="1" s="1"/>
  <c r="E1745" i="1"/>
  <c r="E1819" i="1" s="1"/>
  <c r="E1893" i="1" s="1"/>
  <c r="E1761" i="1"/>
  <c r="E1835" i="1" s="1"/>
  <c r="E1909" i="1" s="1"/>
  <c r="D1742" i="1"/>
  <c r="D1816" i="1" s="1"/>
  <c r="D1890" i="1" s="1"/>
  <c r="D1750" i="1"/>
  <c r="D1824" i="1" s="1"/>
  <c r="D1898" i="1" s="1"/>
  <c r="E1718" i="1"/>
  <c r="E1792" i="1" s="1"/>
  <c r="E1866" i="1" s="1"/>
  <c r="E1722" i="1"/>
  <c r="E1796" i="1" s="1"/>
  <c r="E1870" i="1" s="1"/>
  <c r="E1726" i="1"/>
  <c r="E1800" i="1" s="1"/>
  <c r="E1874" i="1" s="1"/>
  <c r="E1730" i="1"/>
  <c r="E1804" i="1" s="1"/>
  <c r="E1878" i="1" s="1"/>
  <c r="E1734" i="1"/>
  <c r="E1808" i="1" s="1"/>
  <c r="E1882" i="1" s="1"/>
  <c r="E1738" i="1"/>
  <c r="E1812" i="1" s="1"/>
  <c r="E1886" i="1" s="1"/>
  <c r="E1742" i="1"/>
  <c r="E1816" i="1" s="1"/>
  <c r="E1890" i="1" s="1"/>
  <c r="E1746" i="1"/>
  <c r="E1820" i="1" s="1"/>
  <c r="E1894" i="1" s="1"/>
  <c r="E1750" i="1"/>
  <c r="E1824" i="1" s="1"/>
  <c r="E1898" i="1" s="1"/>
  <c r="E1754" i="1"/>
  <c r="E1828" i="1" s="1"/>
  <c r="E1902" i="1" s="1"/>
  <c r="E1758" i="1"/>
  <c r="E1832" i="1" s="1"/>
  <c r="E1906" i="1" s="1"/>
  <c r="F1540" i="1"/>
  <c r="F1525" i="1"/>
  <c r="B1563" i="1"/>
  <c r="F1534" i="1"/>
  <c r="F1522" i="1"/>
  <c r="F1514" i="1"/>
  <c r="F1501" i="1"/>
  <c r="F1509" i="1"/>
  <c r="F1530" i="1"/>
  <c r="F1498" i="1"/>
  <c r="F1542" i="1"/>
  <c r="F1541" i="1"/>
  <c r="F1517" i="1"/>
  <c r="F1506" i="1"/>
  <c r="F1532" i="1"/>
  <c r="F1508" i="1"/>
  <c r="F1536" i="1"/>
  <c r="F1505" i="1"/>
  <c r="F1529" i="1"/>
  <c r="F1507" i="1"/>
  <c r="F1531" i="1"/>
  <c r="F1516" i="1"/>
  <c r="F1494" i="1"/>
  <c r="F1513" i="1"/>
  <c r="F1538" i="1"/>
  <c r="F1515" i="1"/>
  <c r="F1535" i="1"/>
  <c r="F1495" i="1"/>
  <c r="F1519" i="1"/>
  <c r="F1518" i="1"/>
  <c r="F1496" i="1"/>
  <c r="F1520" i="1"/>
  <c r="F1539" i="1"/>
  <c r="F1524" i="1"/>
  <c r="F1510" i="1"/>
  <c r="F1512" i="1"/>
  <c r="F1521" i="1"/>
  <c r="F1527" i="1"/>
  <c r="F1523" i="1"/>
  <c r="F1499" i="1"/>
  <c r="F1543" i="1"/>
  <c r="F1526" i="1"/>
  <c r="F1528" i="1"/>
  <c r="F1500" i="1"/>
  <c r="F1537" i="1"/>
  <c r="F1533" i="1"/>
  <c r="F1503" i="1"/>
  <c r="F1502" i="1"/>
  <c r="F1497" i="1"/>
  <c r="F1504" i="1"/>
  <c r="F1511" i="1"/>
  <c r="F1614" i="1" l="1"/>
  <c r="B1637" i="1"/>
  <c r="B1711" i="1" s="1"/>
  <c r="F1608" i="1"/>
  <c r="F1596" i="1"/>
  <c r="F1599" i="1"/>
  <c r="F1616" i="1"/>
  <c r="F1604" i="1"/>
  <c r="F1583" i="1"/>
  <c r="F1591" i="1"/>
  <c r="F1580" i="1"/>
  <c r="F1615" i="1"/>
  <c r="F1606" i="1"/>
  <c r="F1588" i="1"/>
  <c r="F1572" i="1"/>
  <c r="F1575" i="1"/>
  <c r="F1577" i="1"/>
  <c r="F1601" i="1"/>
  <c r="F1576" i="1"/>
  <c r="F1600" i="1"/>
  <c r="F1573" i="1"/>
  <c r="F1597" i="1"/>
  <c r="F1585" i="1"/>
  <c r="F1617" i="1"/>
  <c r="F1584" i="1"/>
  <c r="F1611" i="1"/>
  <c r="F1581" i="1"/>
  <c r="F1605" i="1"/>
  <c r="F1590" i="1"/>
  <c r="F1568" i="1"/>
  <c r="F1587" i="1"/>
  <c r="F1612" i="1"/>
  <c r="F1586" i="1"/>
  <c r="F1607" i="1"/>
  <c r="F1574" i="1"/>
  <c r="F1571" i="1"/>
  <c r="F1570" i="1"/>
  <c r="F1613" i="1"/>
  <c r="F1582" i="1"/>
  <c r="F1579" i="1"/>
  <c r="F1578" i="1"/>
  <c r="F1602" i="1"/>
  <c r="F1569" i="1"/>
  <c r="F1593" i="1"/>
  <c r="F1592" i="1"/>
  <c r="F1589" i="1"/>
  <c r="F1598" i="1"/>
  <c r="F1595" i="1"/>
  <c r="F1594" i="1"/>
  <c r="F1603" i="1"/>
  <c r="F1610" i="1"/>
  <c r="F1609" i="1"/>
  <c r="AN53" i="1"/>
  <c r="AM53" i="1" s="1"/>
  <c r="AK55" i="1"/>
  <c r="AK43" i="1"/>
  <c r="AK49" i="1"/>
  <c r="AK47" i="1"/>
  <c r="AK37" i="1"/>
  <c r="AK35" i="1"/>
  <c r="AK33" i="1"/>
  <c r="AK31" i="1"/>
  <c r="AK25" i="1"/>
  <c r="AN29" i="1"/>
  <c r="AM29" i="1" s="1"/>
  <c r="AK27" i="1"/>
  <c r="AK21" i="1"/>
  <c r="AR59" i="1"/>
  <c r="AQ59" i="1"/>
  <c r="AP59" i="1"/>
  <c r="AO59" i="1"/>
  <c r="AN59" i="1"/>
  <c r="AM59" i="1" s="1"/>
  <c r="AR57" i="1"/>
  <c r="AQ57" i="1"/>
  <c r="AP57" i="1"/>
  <c r="AO57" i="1"/>
  <c r="AN57" i="1"/>
  <c r="AM57" i="1" s="1"/>
  <c r="AR55" i="1"/>
  <c r="AQ55" i="1"/>
  <c r="AP55" i="1"/>
  <c r="AO55" i="1"/>
  <c r="AN55" i="1"/>
  <c r="AM55" i="1" s="1"/>
  <c r="AR53" i="1"/>
  <c r="AQ53" i="1"/>
  <c r="AP53" i="1"/>
  <c r="AO53" i="1"/>
  <c r="AR51" i="1"/>
  <c r="AQ51" i="1"/>
  <c r="AP51" i="1"/>
  <c r="AO51" i="1"/>
  <c r="AR49" i="1"/>
  <c r="AQ49" i="1"/>
  <c r="AP49" i="1"/>
  <c r="AO49" i="1"/>
  <c r="AN49" i="1"/>
  <c r="AM49" i="1" s="1"/>
  <c r="AR47" i="1"/>
  <c r="AQ47" i="1"/>
  <c r="AP47" i="1"/>
  <c r="AO47" i="1"/>
  <c r="AN47" i="1"/>
  <c r="AM47" i="1" s="1"/>
  <c r="AR45" i="1"/>
  <c r="AQ45" i="1"/>
  <c r="AP45" i="1"/>
  <c r="AO45" i="1"/>
  <c r="AN45" i="1"/>
  <c r="AM45" i="1" s="1"/>
  <c r="AR43" i="1"/>
  <c r="AQ43" i="1"/>
  <c r="AP43" i="1"/>
  <c r="AO43" i="1"/>
  <c r="AN43" i="1"/>
  <c r="AM43" i="1" s="1"/>
  <c r="AR41" i="1"/>
  <c r="AQ41" i="1"/>
  <c r="AP41" i="1"/>
  <c r="AO41" i="1"/>
  <c r="AN41" i="1"/>
  <c r="AM41" i="1" s="1"/>
  <c r="AR39" i="1"/>
  <c r="AQ39" i="1"/>
  <c r="AP39" i="1"/>
  <c r="AO39" i="1"/>
  <c r="AR37" i="1"/>
  <c r="AQ37" i="1"/>
  <c r="AP37" i="1"/>
  <c r="AO37" i="1"/>
  <c r="AN37" i="1"/>
  <c r="AM37" i="1" s="1"/>
  <c r="AR35" i="1"/>
  <c r="AQ35" i="1"/>
  <c r="AP35" i="1"/>
  <c r="AO35" i="1"/>
  <c r="AN35" i="1"/>
  <c r="AM35" i="1" s="1"/>
  <c r="AR33" i="1"/>
  <c r="AQ33" i="1"/>
  <c r="AP33" i="1"/>
  <c r="AO33" i="1"/>
  <c r="AN33" i="1"/>
  <c r="AM33" i="1" s="1"/>
  <c r="AR31" i="1"/>
  <c r="AQ31" i="1"/>
  <c r="AP31" i="1"/>
  <c r="AO31" i="1"/>
  <c r="AN31" i="1"/>
  <c r="AM31" i="1" s="1"/>
  <c r="AR29" i="1"/>
  <c r="AQ29" i="1"/>
  <c r="AP29" i="1"/>
  <c r="AO29" i="1"/>
  <c r="AR27" i="1"/>
  <c r="AQ27" i="1"/>
  <c r="AP27" i="1"/>
  <c r="AO27" i="1"/>
  <c r="AR25" i="1"/>
  <c r="AQ25" i="1"/>
  <c r="AP25" i="1"/>
  <c r="AO25" i="1"/>
  <c r="AN25" i="1"/>
  <c r="AM25" i="1" s="1"/>
  <c r="AR23" i="1"/>
  <c r="AQ23" i="1"/>
  <c r="AP23" i="1"/>
  <c r="AO23" i="1"/>
  <c r="AN23" i="1"/>
  <c r="AM23" i="1" s="1"/>
  <c r="AR21" i="1"/>
  <c r="AQ21" i="1"/>
  <c r="AP21" i="1"/>
  <c r="AO21" i="1"/>
  <c r="AK29" i="1"/>
  <c r="AK23" i="1"/>
  <c r="AK17" i="1"/>
  <c r="AR19" i="1"/>
  <c r="AQ19" i="1"/>
  <c r="AP19" i="1"/>
  <c r="AO19" i="1"/>
  <c r="AR17" i="1"/>
  <c r="AQ17" i="1"/>
  <c r="AP17" i="1"/>
  <c r="AO17" i="1"/>
  <c r="AN17" i="1"/>
  <c r="AM17" i="1" s="1"/>
  <c r="AR15" i="1"/>
  <c r="AQ15" i="1"/>
  <c r="AP15" i="1"/>
  <c r="AO15" i="1"/>
  <c r="AS41" i="1" l="1"/>
  <c r="F1688" i="1"/>
  <c r="F1673" i="1"/>
  <c r="F1659" i="1"/>
  <c r="F1657" i="1"/>
  <c r="F1689" i="1"/>
  <c r="F1682" i="1"/>
  <c r="F1670" i="1"/>
  <c r="F1656" i="1"/>
  <c r="F1675" i="1"/>
  <c r="F1665" i="1"/>
  <c r="F1651" i="1"/>
  <c r="F1649" i="1"/>
  <c r="F1690" i="1"/>
  <c r="F1680" i="1"/>
  <c r="F1664" i="1"/>
  <c r="F1643" i="1"/>
  <c r="F1684" i="1"/>
  <c r="F1667" i="1"/>
  <c r="F1678" i="1"/>
  <c r="F1662" i="1"/>
  <c r="F1672" i="1"/>
  <c r="F1654" i="1"/>
  <c r="F1648" i="1"/>
  <c r="F1646" i="1"/>
  <c r="F1642" i="1"/>
  <c r="F1661" i="1"/>
  <c r="F1686" i="1"/>
  <c r="F1663" i="1"/>
  <c r="F1683" i="1"/>
  <c r="F1645" i="1"/>
  <c r="F1669" i="1"/>
  <c r="F1647" i="1"/>
  <c r="F1671" i="1"/>
  <c r="F1650" i="1"/>
  <c r="F1674" i="1"/>
  <c r="F1652" i="1"/>
  <c r="F1676" i="1"/>
  <c r="F1666" i="1"/>
  <c r="F1668" i="1"/>
  <c r="F1677" i="1"/>
  <c r="F1679" i="1"/>
  <c r="F1655" i="1"/>
  <c r="F1658" i="1"/>
  <c r="F1691" i="1"/>
  <c r="F1685" i="1"/>
  <c r="F1681" i="1"/>
  <c r="F1644" i="1"/>
  <c r="F1687" i="1"/>
  <c r="F1653" i="1"/>
  <c r="F1660" i="1"/>
  <c r="AS29" i="1"/>
  <c r="AS17" i="1"/>
  <c r="AS45" i="1"/>
  <c r="AN51" i="1"/>
  <c r="AM51" i="1" s="1"/>
  <c r="AS51" i="1" s="1"/>
  <c r="AK51" i="1"/>
  <c r="AK15" i="1"/>
  <c r="AN19" i="1"/>
  <c r="AM19" i="1" s="1"/>
  <c r="AS19" i="1" s="1"/>
  <c r="AK39" i="1"/>
  <c r="AN15" i="1"/>
  <c r="AM15" i="1" s="1"/>
  <c r="AS15" i="1" s="1"/>
  <c r="AK19" i="1"/>
  <c r="AS31" i="1"/>
  <c r="AN39" i="1"/>
  <c r="AM39" i="1" s="1"/>
  <c r="AS39" i="1" s="1"/>
  <c r="AS47" i="1"/>
  <c r="AS35" i="1"/>
  <c r="AN27" i="1"/>
  <c r="AM27" i="1" s="1"/>
  <c r="AS27" i="1" s="1"/>
  <c r="AS57" i="1"/>
  <c r="U15" i="1"/>
  <c r="AS55" i="1"/>
  <c r="AS23" i="1"/>
  <c r="AS33" i="1"/>
  <c r="AS49" i="1"/>
  <c r="AS43" i="1"/>
  <c r="AS59" i="1"/>
  <c r="AK53" i="1"/>
  <c r="AS37" i="1"/>
  <c r="AS53" i="1"/>
  <c r="AK41" i="1"/>
  <c r="AS25" i="1"/>
  <c r="AN21" i="1"/>
  <c r="AM21" i="1" s="1"/>
  <c r="AS21" i="1" s="1"/>
  <c r="F1762" i="1" l="1"/>
  <c r="F1763" i="1"/>
  <c r="F1754" i="1"/>
  <c r="F1723" i="1"/>
  <c r="F1739" i="1"/>
  <c r="F1728" i="1"/>
  <c r="F1720" i="1"/>
  <c r="B1785" i="1"/>
  <c r="F1756" i="1"/>
  <c r="F1744" i="1"/>
  <c r="F1736" i="1"/>
  <c r="F1752" i="1"/>
  <c r="F1764" i="1"/>
  <c r="F1731" i="1"/>
  <c r="F1747" i="1"/>
  <c r="F1717" i="1"/>
  <c r="F1741" i="1"/>
  <c r="F1716" i="1"/>
  <c r="F1735" i="1"/>
  <c r="F1760" i="1"/>
  <c r="F1737" i="1"/>
  <c r="F1757" i="1"/>
  <c r="F1725" i="1"/>
  <c r="F1749" i="1"/>
  <c r="F1719" i="1"/>
  <c r="F1743" i="1"/>
  <c r="F1721" i="1"/>
  <c r="F1745" i="1"/>
  <c r="F1730" i="1"/>
  <c r="F1758" i="1"/>
  <c r="F1724" i="1"/>
  <c r="F1748" i="1"/>
  <c r="F1726" i="1"/>
  <c r="F1750" i="1"/>
  <c r="F1738" i="1"/>
  <c r="F1732" i="1"/>
  <c r="F1734" i="1"/>
  <c r="F1746" i="1"/>
  <c r="F1740" i="1"/>
  <c r="F1742" i="1"/>
  <c r="F1733" i="1"/>
  <c r="F1765" i="1"/>
  <c r="F1751" i="1"/>
  <c r="F1753" i="1"/>
  <c r="F1759" i="1"/>
  <c r="F1755" i="1"/>
  <c r="F1722" i="1"/>
  <c r="F1718" i="1"/>
  <c r="F1761" i="1"/>
  <c r="F1729" i="1"/>
  <c r="F1727" i="1"/>
  <c r="F1836" i="1" l="1"/>
  <c r="F1813" i="1"/>
  <c r="F1802" i="1"/>
  <c r="F1794" i="1"/>
  <c r="B1859" i="1"/>
  <c r="F1830" i="1"/>
  <c r="F1837" i="1"/>
  <c r="F1828" i="1"/>
  <c r="F1821" i="1"/>
  <c r="F1838" i="1"/>
  <c r="F1826" i="1"/>
  <c r="F1805" i="1"/>
  <c r="F1797" i="1"/>
  <c r="F1810" i="1"/>
  <c r="F1818" i="1"/>
  <c r="F1804" i="1"/>
  <c r="F1832" i="1"/>
  <c r="F1801" i="1"/>
  <c r="F1825" i="1"/>
  <c r="F1803" i="1"/>
  <c r="F1827" i="1"/>
  <c r="F1812" i="1"/>
  <c r="F1790" i="1"/>
  <c r="F1809" i="1"/>
  <c r="F1834" i="1"/>
  <c r="F1811" i="1"/>
  <c r="F1831" i="1"/>
  <c r="F1791" i="1"/>
  <c r="F1815" i="1"/>
  <c r="F1814" i="1"/>
  <c r="F1792" i="1"/>
  <c r="F1816" i="1"/>
  <c r="F1835" i="1"/>
  <c r="F1839" i="1"/>
  <c r="F1822" i="1"/>
  <c r="F1824" i="1"/>
  <c r="F1796" i="1"/>
  <c r="F1833" i="1"/>
  <c r="F1829" i="1"/>
  <c r="F1806" i="1"/>
  <c r="F1817" i="1"/>
  <c r="F1799" i="1"/>
  <c r="F1793" i="1"/>
  <c r="F1795" i="1"/>
  <c r="F1807" i="1"/>
  <c r="F1798" i="1"/>
  <c r="F1800" i="1"/>
  <c r="F1820" i="1"/>
  <c r="F1823" i="1"/>
  <c r="F1819" i="1"/>
  <c r="F1808" i="1"/>
  <c r="K9" i="1"/>
  <c r="G83" i="1" s="1"/>
  <c r="F1910" i="1" l="1"/>
  <c r="F1884" i="1"/>
  <c r="F1871" i="1"/>
  <c r="F1911" i="1"/>
  <c r="F1902" i="1"/>
  <c r="F1895" i="1"/>
  <c r="F1912" i="1"/>
  <c r="F1900" i="1"/>
  <c r="F1879" i="1"/>
  <c r="F1868" i="1"/>
  <c r="F1887" i="1"/>
  <c r="F1876" i="1"/>
  <c r="F1904" i="1"/>
  <c r="F1892" i="1"/>
  <c r="F1873" i="1"/>
  <c r="F1897" i="1"/>
  <c r="F1872" i="1"/>
  <c r="F1896" i="1"/>
  <c r="F1869" i="1"/>
  <c r="F1893" i="1"/>
  <c r="F1881" i="1"/>
  <c r="F1913" i="1"/>
  <c r="F1880" i="1"/>
  <c r="F1907" i="1"/>
  <c r="F1877" i="1"/>
  <c r="F1901" i="1"/>
  <c r="F1886" i="1"/>
  <c r="F1864" i="1"/>
  <c r="F1883" i="1"/>
  <c r="F1908" i="1"/>
  <c r="F1882" i="1"/>
  <c r="F1903" i="1"/>
  <c r="F1889" i="1"/>
  <c r="F1888" i="1"/>
  <c r="F1885" i="1"/>
  <c r="F1894" i="1"/>
  <c r="F1891" i="1"/>
  <c r="F1890" i="1"/>
  <c r="F1866" i="1"/>
  <c r="F1878" i="1"/>
  <c r="F1906" i="1"/>
  <c r="F1899" i="1"/>
  <c r="F1898" i="1"/>
  <c r="F1865" i="1"/>
  <c r="F1905" i="1"/>
  <c r="F1867" i="1"/>
  <c r="F1875" i="1"/>
  <c r="F1870" i="1"/>
  <c r="F1909" i="1"/>
  <c r="F1874" i="1"/>
  <c r="B211" i="1"/>
  <c r="B285" i="1" s="1"/>
  <c r="B209" i="1"/>
  <c r="B283" i="1" s="1"/>
  <c r="AW167" i="1" l="1"/>
  <c r="AW93" i="1"/>
  <c r="AW131" i="1"/>
  <c r="AW133" i="1"/>
  <c r="AW181" i="1"/>
  <c r="AW107" i="1"/>
  <c r="AW97" i="1"/>
  <c r="AW111" i="1"/>
  <c r="AW123" i="1"/>
  <c r="AW135" i="1"/>
  <c r="AW95" i="1"/>
  <c r="AW121" i="1"/>
  <c r="AW101" i="1"/>
  <c r="AW125" i="1"/>
  <c r="AW211" i="1"/>
  <c r="AW137" i="1"/>
  <c r="AW119" i="1"/>
  <c r="AW109" i="1"/>
  <c r="AW99" i="1"/>
  <c r="AW113" i="1"/>
  <c r="AW165" i="1"/>
  <c r="AW91" i="1"/>
  <c r="AW177" i="1"/>
  <c r="AW103" i="1"/>
  <c r="AW115" i="1"/>
  <c r="AW201" i="1"/>
  <c r="AW127" i="1"/>
  <c r="AW179" i="1"/>
  <c r="AW105" i="1"/>
  <c r="AW117" i="1"/>
  <c r="AW203" i="1"/>
  <c r="AW129" i="1"/>
  <c r="AW169" i="1"/>
  <c r="AW171" i="1"/>
  <c r="AW209" i="1"/>
  <c r="AW175" i="1"/>
  <c r="AW189" i="1"/>
  <c r="AW197" i="1"/>
  <c r="AW191" i="1"/>
  <c r="AW199" i="1"/>
  <c r="AW207" i="1"/>
  <c r="AW185" i="1"/>
  <c r="AW193" i="1"/>
  <c r="AW187" i="1"/>
  <c r="AW195" i="1"/>
  <c r="AW205" i="1"/>
  <c r="AW173" i="1" l="1"/>
  <c r="AW251" i="1"/>
  <c r="AW183" i="1"/>
  <c r="B329" i="1"/>
  <c r="AW285" i="1"/>
  <c r="AW239" i="1"/>
  <c r="AW241" i="1"/>
  <c r="B315" i="1"/>
  <c r="AW247" i="1"/>
  <c r="B321" i="1"/>
  <c r="B319" i="1"/>
  <c r="AW245" i="1"/>
  <c r="AW249" i="1"/>
  <c r="B323" i="1"/>
  <c r="AW283" i="1"/>
  <c r="B357" i="1"/>
  <c r="AW243" i="1"/>
  <c r="B317" i="1"/>
  <c r="B327" i="1"/>
  <c r="AW253" i="1"/>
  <c r="AW277" i="1"/>
  <c r="B351" i="1"/>
  <c r="AW267" i="1"/>
  <c r="B341" i="1"/>
  <c r="AW281" i="1"/>
  <c r="B355" i="1"/>
  <c r="AW265" i="1"/>
  <c r="B339" i="1"/>
  <c r="AW271" i="1"/>
  <c r="B345" i="1"/>
  <c r="B335" i="1"/>
  <c r="AW261" i="1"/>
  <c r="AW269" i="1"/>
  <c r="B343" i="1"/>
  <c r="AW275" i="1"/>
  <c r="B349" i="1"/>
  <c r="AW259" i="1"/>
  <c r="B333" i="1"/>
  <c r="AW273" i="1"/>
  <c r="AW263" i="1"/>
  <c r="B337" i="1"/>
  <c r="B331" i="1"/>
  <c r="AW257" i="1"/>
  <c r="AW279" i="1"/>
  <c r="B353" i="1"/>
  <c r="AN138" i="1"/>
  <c r="B313" i="1" l="1"/>
  <c r="AW313" i="1" s="1"/>
  <c r="B325" i="1"/>
  <c r="AW325" i="1" s="1"/>
  <c r="B359" i="1"/>
  <c r="AW359" i="1" s="1"/>
  <c r="AW255" i="1"/>
  <c r="AW357" i="1"/>
  <c r="B431" i="1"/>
  <c r="B393" i="1"/>
  <c r="AW319" i="1"/>
  <c r="AW315" i="1"/>
  <c r="B389" i="1"/>
  <c r="AW317" i="1"/>
  <c r="B391" i="1"/>
  <c r="AW323" i="1"/>
  <c r="B397" i="1"/>
  <c r="AW321" i="1"/>
  <c r="B395" i="1"/>
  <c r="B401" i="1"/>
  <c r="AW327" i="1"/>
  <c r="AW329" i="1"/>
  <c r="B403" i="1"/>
  <c r="B409" i="1"/>
  <c r="AW335" i="1"/>
  <c r="B405" i="1"/>
  <c r="AW331" i="1"/>
  <c r="AW347" i="1"/>
  <c r="B421" i="1"/>
  <c r="AW349" i="1"/>
  <c r="B423" i="1"/>
  <c r="B413" i="1"/>
  <c r="AW339" i="1"/>
  <c r="AW341" i="1"/>
  <c r="B415" i="1"/>
  <c r="AW337" i="1"/>
  <c r="B411" i="1"/>
  <c r="AW333" i="1"/>
  <c r="B407" i="1"/>
  <c r="AW343" i="1"/>
  <c r="B417" i="1"/>
  <c r="AW345" i="1"/>
  <c r="B419" i="1"/>
  <c r="AW355" i="1"/>
  <c r="B429" i="1"/>
  <c r="AW351" i="1"/>
  <c r="B425" i="1"/>
  <c r="AW353" i="1"/>
  <c r="B427" i="1"/>
  <c r="AN64" i="1"/>
  <c r="K7" i="2"/>
  <c r="B387" i="1" l="1"/>
  <c r="AW387" i="1" s="1"/>
  <c r="K8" i="2"/>
  <c r="B433" i="1"/>
  <c r="AW433" i="1" s="1"/>
  <c r="B399" i="1"/>
  <c r="B473" i="1" s="1"/>
  <c r="AW391" i="1"/>
  <c r="B465" i="1"/>
  <c r="B471" i="1"/>
  <c r="AW397" i="1"/>
  <c r="AW395" i="1"/>
  <c r="B469" i="1"/>
  <c r="B463" i="1"/>
  <c r="AW389" i="1"/>
  <c r="AW431" i="1"/>
  <c r="B505" i="1"/>
  <c r="B467" i="1"/>
  <c r="AW393" i="1"/>
  <c r="B475" i="1"/>
  <c r="AW401" i="1"/>
  <c r="AW403" i="1"/>
  <c r="B477" i="1"/>
  <c r="AW425" i="1"/>
  <c r="B499" i="1"/>
  <c r="AW415" i="1"/>
  <c r="B489" i="1"/>
  <c r="AW423" i="1"/>
  <c r="B497" i="1"/>
  <c r="AW429" i="1"/>
  <c r="B503" i="1"/>
  <c r="B491" i="1"/>
  <c r="AW417" i="1"/>
  <c r="AW411" i="1"/>
  <c r="B485" i="1"/>
  <c r="AW405" i="1"/>
  <c r="B479" i="1"/>
  <c r="AW421" i="1"/>
  <c r="B495" i="1"/>
  <c r="AW419" i="1"/>
  <c r="B493" i="1"/>
  <c r="AW407" i="1"/>
  <c r="B481" i="1"/>
  <c r="B487" i="1"/>
  <c r="AW413" i="1"/>
  <c r="AW409" i="1"/>
  <c r="B483" i="1"/>
  <c r="AW427" i="1"/>
  <c r="B501" i="1"/>
  <c r="L7" i="2"/>
  <c r="B83" i="1"/>
  <c r="B461" i="1" l="1"/>
  <c r="AW461" i="1" s="1"/>
  <c r="B507" i="1"/>
  <c r="AW507" i="1" s="1"/>
  <c r="B157" i="1"/>
  <c r="B231" i="1" s="1"/>
  <c r="F128" i="1"/>
  <c r="F123" i="1"/>
  <c r="F116" i="1"/>
  <c r="F111" i="1"/>
  <c r="F104" i="1"/>
  <c r="F99" i="1"/>
  <c r="F92" i="1"/>
  <c r="F133" i="1"/>
  <c r="F126" i="1"/>
  <c r="F121" i="1"/>
  <c r="F114" i="1"/>
  <c r="F109" i="1"/>
  <c r="F102" i="1"/>
  <c r="F97" i="1"/>
  <c r="F90" i="1"/>
  <c r="F131" i="1"/>
  <c r="F124" i="1"/>
  <c r="F119" i="1"/>
  <c r="F112" i="1"/>
  <c r="F107" i="1"/>
  <c r="F100" i="1"/>
  <c r="F95" i="1"/>
  <c r="F88" i="1"/>
  <c r="F125" i="1"/>
  <c r="F94" i="1"/>
  <c r="F129" i="1"/>
  <c r="F122" i="1"/>
  <c r="F117" i="1"/>
  <c r="F110" i="1"/>
  <c r="F105" i="1"/>
  <c r="F98" i="1"/>
  <c r="F93" i="1"/>
  <c r="F130" i="1"/>
  <c r="F113" i="1"/>
  <c r="F89" i="1"/>
  <c r="F132" i="1"/>
  <c r="F127" i="1"/>
  <c r="F120" i="1"/>
  <c r="F115" i="1"/>
  <c r="F108" i="1"/>
  <c r="F103" i="1"/>
  <c r="F96" i="1"/>
  <c r="F91" i="1"/>
  <c r="F118" i="1"/>
  <c r="F106" i="1"/>
  <c r="F101" i="1"/>
  <c r="AW399" i="1"/>
  <c r="AW467" i="1"/>
  <c r="B541" i="1"/>
  <c r="AW505" i="1"/>
  <c r="B579" i="1"/>
  <c r="AW469" i="1"/>
  <c r="B543" i="1"/>
  <c r="AW465" i="1"/>
  <c r="B539" i="1"/>
  <c r="AW473" i="1"/>
  <c r="B547" i="1"/>
  <c r="B549" i="1"/>
  <c r="AW475" i="1"/>
  <c r="AW463" i="1"/>
  <c r="B537" i="1"/>
  <c r="AW471" i="1"/>
  <c r="B545" i="1"/>
  <c r="AW477" i="1"/>
  <c r="B551" i="1"/>
  <c r="AW485" i="1"/>
  <c r="B559" i="1"/>
  <c r="AW503" i="1"/>
  <c r="B577" i="1"/>
  <c r="AW489" i="1"/>
  <c r="B563" i="1"/>
  <c r="AW493" i="1"/>
  <c r="B567" i="1"/>
  <c r="B561" i="1"/>
  <c r="AW487" i="1"/>
  <c r="B553" i="1"/>
  <c r="AW479" i="1"/>
  <c r="AW497" i="1"/>
  <c r="B571" i="1"/>
  <c r="AW499" i="1"/>
  <c r="B573" i="1"/>
  <c r="B557" i="1"/>
  <c r="AW483" i="1"/>
  <c r="AW481" i="1"/>
  <c r="B555" i="1"/>
  <c r="AW495" i="1"/>
  <c r="B569" i="1"/>
  <c r="AW491" i="1"/>
  <c r="B565" i="1"/>
  <c r="AW501" i="1"/>
  <c r="B575" i="1"/>
  <c r="F135" i="1"/>
  <c r="F136" i="1"/>
  <c r="F134" i="1"/>
  <c r="F137" i="1"/>
  <c r="M7" i="2"/>
  <c r="L8" i="2"/>
  <c r="K83" i="1"/>
  <c r="G157" i="1" s="1"/>
  <c r="B535" i="1" l="1"/>
  <c r="AW535" i="1" s="1"/>
  <c r="B581" i="1"/>
  <c r="AW581" i="1" s="1"/>
  <c r="F285" i="1"/>
  <c r="F278" i="1"/>
  <c r="F272" i="1"/>
  <c r="F269" i="1"/>
  <c r="F262" i="1"/>
  <c r="F259" i="1"/>
  <c r="F252" i="1"/>
  <c r="F249" i="1"/>
  <c r="F246" i="1"/>
  <c r="F242" i="1"/>
  <c r="F236" i="1"/>
  <c r="F268" i="1"/>
  <c r="F255" i="1"/>
  <c r="F283" i="1"/>
  <c r="F281" i="1"/>
  <c r="F274" i="1"/>
  <c r="F271" i="1"/>
  <c r="F264" i="1"/>
  <c r="F261" i="1"/>
  <c r="F258" i="1"/>
  <c r="F254" i="1"/>
  <c r="F248" i="1"/>
  <c r="F245" i="1"/>
  <c r="F238" i="1"/>
  <c r="F284" i="1"/>
  <c r="F280" i="1"/>
  <c r="F277" i="1"/>
  <c r="F267" i="1"/>
  <c r="F251" i="1"/>
  <c r="F244" i="1"/>
  <c r="F241" i="1"/>
  <c r="F279" i="1"/>
  <c r="F263" i="1"/>
  <c r="F256" i="1"/>
  <c r="F243" i="1"/>
  <c r="F275" i="1"/>
  <c r="F282" i="1"/>
  <c r="F276" i="1"/>
  <c r="F273" i="1"/>
  <c r="F270" i="1"/>
  <c r="F266" i="1"/>
  <c r="F260" i="1"/>
  <c r="F257" i="1"/>
  <c r="F250" i="1"/>
  <c r="F247" i="1"/>
  <c r="F240" i="1"/>
  <c r="F237" i="1"/>
  <c r="F253" i="1"/>
  <c r="F265" i="1"/>
  <c r="F239" i="1"/>
  <c r="F207" i="1"/>
  <c r="F205" i="1"/>
  <c r="F203" i="1"/>
  <c r="F169" i="1"/>
  <c r="F178" i="1"/>
  <c r="F165" i="1"/>
  <c r="F208" i="1"/>
  <c r="F195" i="1"/>
  <c r="F193" i="1"/>
  <c r="F191" i="1"/>
  <c r="F172" i="1"/>
  <c r="F209" i="1"/>
  <c r="F194" i="1"/>
  <c r="F192" i="1"/>
  <c r="F188" i="1"/>
  <c r="F186" i="1"/>
  <c r="F210" i="1"/>
  <c r="F206" i="1"/>
  <c r="F204" i="1"/>
  <c r="F202" i="1"/>
  <c r="F200" i="1"/>
  <c r="F198" i="1"/>
  <c r="F189" i="1"/>
  <c r="F187" i="1"/>
  <c r="F185" i="1"/>
  <c r="F170" i="1"/>
  <c r="F168" i="1"/>
  <c r="F166" i="1"/>
  <c r="F164" i="1"/>
  <c r="F162" i="1"/>
  <c r="F173" i="1"/>
  <c r="F201" i="1"/>
  <c r="F180" i="1"/>
  <c r="F174" i="1"/>
  <c r="F211" i="1"/>
  <c r="F196" i="1"/>
  <c r="F183" i="1"/>
  <c r="F181" i="1"/>
  <c r="F179" i="1"/>
  <c r="F190" i="1"/>
  <c r="F177" i="1"/>
  <c r="F175" i="1"/>
  <c r="F184" i="1"/>
  <c r="F171" i="1"/>
  <c r="F167" i="1"/>
  <c r="F199" i="1"/>
  <c r="F197" i="1"/>
  <c r="F182" i="1"/>
  <c r="F176" i="1"/>
  <c r="F163" i="1"/>
  <c r="AW89" i="1"/>
  <c r="G159" i="1"/>
  <c r="I159" i="1" s="1"/>
  <c r="K159" i="1" s="1"/>
  <c r="M159" i="1" s="1"/>
  <c r="O159" i="1" s="1"/>
  <c r="Q159" i="1" s="1"/>
  <c r="S159" i="1" s="1"/>
  <c r="W159" i="1" s="1"/>
  <c r="Y159" i="1" s="1"/>
  <c r="AA159" i="1" s="1"/>
  <c r="AC159" i="1" s="1"/>
  <c r="AE159" i="1" s="1"/>
  <c r="AG159" i="1" s="1"/>
  <c r="AI159" i="1" s="1"/>
  <c r="K157" i="1"/>
  <c r="G231" i="1" s="1"/>
  <c r="B619" i="1"/>
  <c r="AW545" i="1"/>
  <c r="AW547" i="1"/>
  <c r="B621" i="1"/>
  <c r="AW543" i="1"/>
  <c r="B617" i="1"/>
  <c r="B623" i="1"/>
  <c r="AW549" i="1"/>
  <c r="AW163" i="1"/>
  <c r="AW212" i="1" s="1"/>
  <c r="B615" i="1"/>
  <c r="AW541" i="1"/>
  <c r="AW537" i="1"/>
  <c r="B611" i="1"/>
  <c r="AW579" i="1"/>
  <c r="B653" i="1"/>
  <c r="B305" i="1"/>
  <c r="AW539" i="1"/>
  <c r="B613" i="1"/>
  <c r="AW551" i="1"/>
  <c r="B625" i="1"/>
  <c r="AW553" i="1"/>
  <c r="B627" i="1"/>
  <c r="AW567" i="1"/>
  <c r="B641" i="1"/>
  <c r="AW577" i="1"/>
  <c r="B651" i="1"/>
  <c r="AW569" i="1"/>
  <c r="B643" i="1"/>
  <c r="AW571" i="1"/>
  <c r="B645" i="1"/>
  <c r="B631" i="1"/>
  <c r="AW557" i="1"/>
  <c r="B635" i="1"/>
  <c r="AW561" i="1"/>
  <c r="AW563" i="1"/>
  <c r="B637" i="1"/>
  <c r="AW559" i="1"/>
  <c r="B633" i="1"/>
  <c r="B639" i="1"/>
  <c r="AW565" i="1"/>
  <c r="AW555" i="1"/>
  <c r="B629" i="1"/>
  <c r="AW573" i="1"/>
  <c r="B647" i="1"/>
  <c r="AW575" i="1"/>
  <c r="B649" i="1"/>
  <c r="N7" i="2"/>
  <c r="M8" i="2"/>
  <c r="G85" i="1"/>
  <c r="I85" i="1" s="1"/>
  <c r="K85" i="1" s="1"/>
  <c r="M85" i="1" s="1"/>
  <c r="O85" i="1" s="1"/>
  <c r="Q85" i="1" s="1"/>
  <c r="S85" i="1" s="1"/>
  <c r="W85" i="1" s="1"/>
  <c r="Y85" i="1" s="1"/>
  <c r="AA85" i="1" s="1"/>
  <c r="AC85" i="1" s="1"/>
  <c r="AE85" i="1" s="1"/>
  <c r="AG85" i="1" s="1"/>
  <c r="AI85" i="1" s="1"/>
  <c r="B609" i="1" l="1"/>
  <c r="B683" i="1" s="1"/>
  <c r="B655" i="1"/>
  <c r="AW655" i="1" s="1"/>
  <c r="AW653" i="1"/>
  <c r="B727" i="1"/>
  <c r="AW611" i="1"/>
  <c r="B685" i="1"/>
  <c r="AW621" i="1"/>
  <c r="B695" i="1"/>
  <c r="AW613" i="1"/>
  <c r="B687" i="1"/>
  <c r="F356" i="1"/>
  <c r="F358" i="1"/>
  <c r="F346" i="1"/>
  <c r="F338" i="1"/>
  <c r="F330" i="1"/>
  <c r="F317" i="1"/>
  <c r="B379" i="1"/>
  <c r="F350" i="1"/>
  <c r="F325" i="1"/>
  <c r="F357" i="1"/>
  <c r="F348" i="1"/>
  <c r="F341" i="1"/>
  <c r="F333" i="1"/>
  <c r="F322" i="1"/>
  <c r="F314" i="1"/>
  <c r="F327" i="1"/>
  <c r="F359" i="1"/>
  <c r="F326" i="1"/>
  <c r="F353" i="1"/>
  <c r="F328" i="1"/>
  <c r="F349" i="1"/>
  <c r="F332" i="1"/>
  <c r="F310" i="1"/>
  <c r="F354" i="1"/>
  <c r="F331" i="1"/>
  <c r="F351" i="1"/>
  <c r="F329" i="1"/>
  <c r="F319" i="1"/>
  <c r="F343" i="1"/>
  <c r="F342" i="1"/>
  <c r="F320" i="1"/>
  <c r="F324" i="1"/>
  <c r="F321" i="1"/>
  <c r="F347" i="1"/>
  <c r="F311" i="1"/>
  <c r="F335" i="1"/>
  <c r="F334" i="1"/>
  <c r="F312" i="1"/>
  <c r="F336" i="1"/>
  <c r="F355" i="1"/>
  <c r="F316" i="1"/>
  <c r="F340" i="1"/>
  <c r="F313" i="1"/>
  <c r="F337" i="1"/>
  <c r="F315" i="1"/>
  <c r="F339" i="1"/>
  <c r="F318" i="1"/>
  <c r="F344" i="1"/>
  <c r="F352" i="1"/>
  <c r="F323" i="1"/>
  <c r="F345" i="1"/>
  <c r="B689" i="1"/>
  <c r="AW615" i="1"/>
  <c r="B697" i="1"/>
  <c r="AW623" i="1"/>
  <c r="AW619" i="1"/>
  <c r="B693" i="1"/>
  <c r="B311" i="1"/>
  <c r="AW237" i="1"/>
  <c r="AW286" i="1" s="1"/>
  <c r="AW617" i="1"/>
  <c r="B691" i="1"/>
  <c r="G233" i="1"/>
  <c r="I233" i="1" s="1"/>
  <c r="K233" i="1" s="1"/>
  <c r="M233" i="1" s="1"/>
  <c r="O233" i="1" s="1"/>
  <c r="Q233" i="1" s="1"/>
  <c r="S233" i="1" s="1"/>
  <c r="W233" i="1" s="1"/>
  <c r="Y233" i="1" s="1"/>
  <c r="AA233" i="1" s="1"/>
  <c r="AC233" i="1" s="1"/>
  <c r="AE233" i="1" s="1"/>
  <c r="AG233" i="1" s="1"/>
  <c r="AI233" i="1" s="1"/>
  <c r="K231" i="1"/>
  <c r="G305" i="1" s="1"/>
  <c r="AW625" i="1"/>
  <c r="B699" i="1"/>
  <c r="B713" i="1"/>
  <c r="AW639" i="1"/>
  <c r="B705" i="1"/>
  <c r="AW631" i="1"/>
  <c r="AW643" i="1"/>
  <c r="B717" i="1"/>
  <c r="AW641" i="1"/>
  <c r="B715" i="1"/>
  <c r="AW629" i="1"/>
  <c r="B703" i="1"/>
  <c r="AW633" i="1"/>
  <c r="B707" i="1"/>
  <c r="AW635" i="1"/>
  <c r="B709" i="1"/>
  <c r="AW645" i="1"/>
  <c r="B719" i="1"/>
  <c r="AW651" i="1"/>
  <c r="B725" i="1"/>
  <c r="AW627" i="1"/>
  <c r="B701" i="1"/>
  <c r="AW647" i="1"/>
  <c r="B721" i="1"/>
  <c r="AW637" i="1"/>
  <c r="B711" i="1"/>
  <c r="AW649" i="1"/>
  <c r="B723" i="1"/>
  <c r="O7" i="2"/>
  <c r="N8" i="2"/>
  <c r="N146" i="1"/>
  <c r="N144" i="1"/>
  <c r="AI138" i="1"/>
  <c r="AG138" i="1"/>
  <c r="AE138" i="1"/>
  <c r="AC138" i="1"/>
  <c r="AA138" i="1"/>
  <c r="Y138" i="1"/>
  <c r="W138" i="1"/>
  <c r="S138" i="1"/>
  <c r="Q138" i="1"/>
  <c r="O138" i="1"/>
  <c r="M138" i="1"/>
  <c r="K138" i="1"/>
  <c r="I138" i="1"/>
  <c r="G138" i="1"/>
  <c r="AW609" i="1" l="1"/>
  <c r="B729" i="1"/>
  <c r="AW729" i="1" s="1"/>
  <c r="B385" i="1"/>
  <c r="AW311" i="1"/>
  <c r="AW360" i="1" s="1"/>
  <c r="AW689" i="1"/>
  <c r="B763" i="1"/>
  <c r="AW695" i="1"/>
  <c r="B769" i="1"/>
  <c r="AW693" i="1"/>
  <c r="B767" i="1"/>
  <c r="AW685" i="1"/>
  <c r="B759" i="1"/>
  <c r="G307" i="1"/>
  <c r="I307" i="1" s="1"/>
  <c r="K307" i="1" s="1"/>
  <c r="M307" i="1" s="1"/>
  <c r="O307" i="1" s="1"/>
  <c r="Q307" i="1" s="1"/>
  <c r="S307" i="1" s="1"/>
  <c r="W307" i="1" s="1"/>
  <c r="Y307" i="1" s="1"/>
  <c r="AA307" i="1" s="1"/>
  <c r="AC307" i="1" s="1"/>
  <c r="AE307" i="1" s="1"/>
  <c r="AG307" i="1" s="1"/>
  <c r="AI307" i="1" s="1"/>
  <c r="K305" i="1"/>
  <c r="G379" i="1" s="1"/>
  <c r="AW683" i="1"/>
  <c r="B757" i="1"/>
  <c r="F430" i="1"/>
  <c r="F432" i="1"/>
  <c r="F420" i="1"/>
  <c r="F412" i="1"/>
  <c r="F404" i="1"/>
  <c r="F407" i="1"/>
  <c r="B453" i="1"/>
  <c r="F424" i="1"/>
  <c r="F391" i="1"/>
  <c r="F388" i="1"/>
  <c r="F431" i="1"/>
  <c r="F422" i="1"/>
  <c r="F415" i="1"/>
  <c r="F399" i="1"/>
  <c r="F396" i="1"/>
  <c r="F393" i="1"/>
  <c r="F417" i="1"/>
  <c r="F392" i="1"/>
  <c r="F416" i="1"/>
  <c r="F394" i="1"/>
  <c r="F418" i="1"/>
  <c r="F426" i="1"/>
  <c r="F419" i="1"/>
  <c r="F397" i="1"/>
  <c r="F398" i="1"/>
  <c r="F395" i="1"/>
  <c r="F421" i="1"/>
  <c r="F409" i="1"/>
  <c r="F408" i="1"/>
  <c r="F386" i="1"/>
  <c r="F414" i="1"/>
  <c r="F413" i="1"/>
  <c r="F401" i="1"/>
  <c r="F433" i="1"/>
  <c r="F400" i="1"/>
  <c r="F427" i="1"/>
  <c r="F402" i="1"/>
  <c r="F423" i="1"/>
  <c r="F406" i="1"/>
  <c r="F384" i="1"/>
  <c r="F403" i="1"/>
  <c r="F428" i="1"/>
  <c r="F405" i="1"/>
  <c r="F425" i="1"/>
  <c r="F429" i="1"/>
  <c r="F411" i="1"/>
  <c r="F385" i="1"/>
  <c r="F410" i="1"/>
  <c r="F390" i="1"/>
  <c r="F389" i="1"/>
  <c r="F387" i="1"/>
  <c r="B771" i="1"/>
  <c r="AW697" i="1"/>
  <c r="AW687" i="1"/>
  <c r="B761" i="1"/>
  <c r="AW727" i="1"/>
  <c r="B801" i="1"/>
  <c r="AW691" i="1"/>
  <c r="B765" i="1"/>
  <c r="AW699" i="1"/>
  <c r="B773" i="1"/>
  <c r="AW715" i="1"/>
  <c r="B789" i="1"/>
  <c r="AW721" i="1"/>
  <c r="B783" i="1"/>
  <c r="AW709" i="1"/>
  <c r="B779" i="1"/>
  <c r="AW705" i="1"/>
  <c r="AW703" i="1"/>
  <c r="B777" i="1"/>
  <c r="AW717" i="1"/>
  <c r="B791" i="1"/>
  <c r="AW707" i="1"/>
  <c r="B781" i="1"/>
  <c r="AW725" i="1"/>
  <c r="B799" i="1"/>
  <c r="AW711" i="1"/>
  <c r="B785" i="1"/>
  <c r="AW701" i="1"/>
  <c r="B775" i="1"/>
  <c r="AW719" i="1"/>
  <c r="B793" i="1"/>
  <c r="B787" i="1"/>
  <c r="AW713" i="1"/>
  <c r="AW723" i="1"/>
  <c r="B797" i="1"/>
  <c r="P7" i="2"/>
  <c r="O8" i="2"/>
  <c r="AO138" i="1"/>
  <c r="AR138" i="1"/>
  <c r="AU138" i="1"/>
  <c r="U138" i="1"/>
  <c r="AP138" i="1"/>
  <c r="AK138" i="1"/>
  <c r="AQ138" i="1"/>
  <c r="AI64" i="1"/>
  <c r="AG64" i="1"/>
  <c r="AE64" i="1"/>
  <c r="AC64" i="1"/>
  <c r="AA64" i="1"/>
  <c r="Y64" i="1"/>
  <c r="W64" i="1"/>
  <c r="S64" i="1"/>
  <c r="Q64" i="1"/>
  <c r="O64" i="1"/>
  <c r="M64" i="1"/>
  <c r="K64" i="1"/>
  <c r="I64" i="1"/>
  <c r="G64" i="1"/>
  <c r="B803" i="1" l="1"/>
  <c r="B877" i="1" s="1"/>
  <c r="AW757" i="1"/>
  <c r="B831" i="1"/>
  <c r="AW767" i="1"/>
  <c r="B841" i="1"/>
  <c r="B837" i="1"/>
  <c r="AW763" i="1"/>
  <c r="B833" i="1"/>
  <c r="AW759" i="1"/>
  <c r="AW765" i="1"/>
  <c r="B839" i="1"/>
  <c r="AW769" i="1"/>
  <c r="B843" i="1"/>
  <c r="AW761" i="1"/>
  <c r="B835" i="1"/>
  <c r="F504" i="1"/>
  <c r="F506" i="1"/>
  <c r="F494" i="1"/>
  <c r="F486" i="1"/>
  <c r="F478" i="1"/>
  <c r="B527" i="1"/>
  <c r="F498" i="1"/>
  <c r="F473" i="1"/>
  <c r="F481" i="1"/>
  <c r="F505" i="1"/>
  <c r="F489" i="1"/>
  <c r="F496" i="1"/>
  <c r="F462" i="1"/>
  <c r="F470" i="1"/>
  <c r="F465" i="1"/>
  <c r="F459" i="1"/>
  <c r="F483" i="1"/>
  <c r="F482" i="1"/>
  <c r="F460" i="1"/>
  <c r="F484" i="1"/>
  <c r="F503" i="1"/>
  <c r="F464" i="1"/>
  <c r="F488" i="1"/>
  <c r="F461" i="1"/>
  <c r="F463" i="1"/>
  <c r="F487" i="1"/>
  <c r="F485" i="1"/>
  <c r="F475" i="1"/>
  <c r="F474" i="1"/>
  <c r="F501" i="1"/>
  <c r="F497" i="1"/>
  <c r="F480" i="1"/>
  <c r="F479" i="1"/>
  <c r="F467" i="1"/>
  <c r="F491" i="1"/>
  <c r="F466" i="1"/>
  <c r="F490" i="1"/>
  <c r="F468" i="1"/>
  <c r="F492" i="1"/>
  <c r="F472" i="1"/>
  <c r="F500" i="1"/>
  <c r="F469" i="1"/>
  <c r="F493" i="1"/>
  <c r="F471" i="1"/>
  <c r="F495" i="1"/>
  <c r="F507" i="1"/>
  <c r="F476" i="1"/>
  <c r="F458" i="1"/>
  <c r="F502" i="1"/>
  <c r="F499" i="1"/>
  <c r="F477" i="1"/>
  <c r="B845" i="1"/>
  <c r="AW771" i="1"/>
  <c r="G381" i="1"/>
  <c r="I381" i="1" s="1"/>
  <c r="K381" i="1" s="1"/>
  <c r="M381" i="1" s="1"/>
  <c r="O381" i="1" s="1"/>
  <c r="Q381" i="1" s="1"/>
  <c r="S381" i="1" s="1"/>
  <c r="W381" i="1" s="1"/>
  <c r="Y381" i="1" s="1"/>
  <c r="AA381" i="1" s="1"/>
  <c r="AC381" i="1" s="1"/>
  <c r="AE381" i="1" s="1"/>
  <c r="AG381" i="1" s="1"/>
  <c r="AI381" i="1" s="1"/>
  <c r="K379" i="1"/>
  <c r="G453" i="1" s="1"/>
  <c r="AW801" i="1"/>
  <c r="B875" i="1"/>
  <c r="B459" i="1"/>
  <c r="AW385" i="1"/>
  <c r="AW434" i="1" s="1"/>
  <c r="AW773" i="1"/>
  <c r="B847" i="1"/>
  <c r="B861" i="1"/>
  <c r="AW787" i="1"/>
  <c r="AW795" i="1"/>
  <c r="AW793" i="1"/>
  <c r="B867" i="1"/>
  <c r="AW785" i="1"/>
  <c r="B859" i="1"/>
  <c r="AW781" i="1"/>
  <c r="B855" i="1"/>
  <c r="AW777" i="1"/>
  <c r="B851" i="1"/>
  <c r="B853" i="1"/>
  <c r="AW779" i="1"/>
  <c r="AW789" i="1"/>
  <c r="B863" i="1"/>
  <c r="AW775" i="1"/>
  <c r="B849" i="1"/>
  <c r="AW799" i="1"/>
  <c r="B873" i="1"/>
  <c r="AW791" i="1"/>
  <c r="B865" i="1"/>
  <c r="B857" i="1"/>
  <c r="AW783" i="1"/>
  <c r="AW797" i="1"/>
  <c r="B871" i="1"/>
  <c r="Q7" i="2"/>
  <c r="P8" i="2"/>
  <c r="AW138" i="1"/>
  <c r="AW803" i="1" l="1"/>
  <c r="G455" i="1"/>
  <c r="I455" i="1" s="1"/>
  <c r="K455" i="1" s="1"/>
  <c r="M455" i="1" s="1"/>
  <c r="O455" i="1" s="1"/>
  <c r="Q455" i="1" s="1"/>
  <c r="S455" i="1" s="1"/>
  <c r="W455" i="1" s="1"/>
  <c r="Y455" i="1" s="1"/>
  <c r="AA455" i="1" s="1"/>
  <c r="AC455" i="1" s="1"/>
  <c r="AE455" i="1" s="1"/>
  <c r="AG455" i="1" s="1"/>
  <c r="AI455" i="1" s="1"/>
  <c r="K453" i="1"/>
  <c r="G527" i="1" s="1"/>
  <c r="AW845" i="1"/>
  <c r="B919" i="1"/>
  <c r="AW843" i="1"/>
  <c r="B917" i="1"/>
  <c r="B951" i="1"/>
  <c r="AW877" i="1"/>
  <c r="B911" i="1"/>
  <c r="AW837" i="1"/>
  <c r="AW839" i="1"/>
  <c r="AW841" i="1"/>
  <c r="B915" i="1"/>
  <c r="F578" i="1"/>
  <c r="F580" i="1"/>
  <c r="F568" i="1"/>
  <c r="F555" i="1"/>
  <c r="F544" i="1"/>
  <c r="F536" i="1"/>
  <c r="F560" i="1"/>
  <c r="B601" i="1"/>
  <c r="F572" i="1"/>
  <c r="F552" i="1"/>
  <c r="F539" i="1"/>
  <c r="F579" i="1"/>
  <c r="F570" i="1"/>
  <c r="F563" i="1"/>
  <c r="F547" i="1"/>
  <c r="F538" i="1"/>
  <c r="F562" i="1"/>
  <c r="F556" i="1"/>
  <c r="F534" i="1"/>
  <c r="F558" i="1"/>
  <c r="F533" i="1"/>
  <c r="F565" i="1"/>
  <c r="F535" i="1"/>
  <c r="F564" i="1"/>
  <c r="F545" i="1"/>
  <c r="F571" i="1"/>
  <c r="F541" i="1"/>
  <c r="F574" i="1"/>
  <c r="F540" i="1"/>
  <c r="F550" i="1"/>
  <c r="F573" i="1"/>
  <c r="F567" i="1"/>
  <c r="F532" i="1"/>
  <c r="F566" i="1"/>
  <c r="F559" i="1"/>
  <c r="F546" i="1"/>
  <c r="F581" i="1"/>
  <c r="F543" i="1"/>
  <c r="F575" i="1"/>
  <c r="F553" i="1"/>
  <c r="F577" i="1"/>
  <c r="F549" i="1"/>
  <c r="F548" i="1"/>
  <c r="F576" i="1"/>
  <c r="F561" i="1"/>
  <c r="F537" i="1"/>
  <c r="F557" i="1"/>
  <c r="F542" i="1"/>
  <c r="F554" i="1"/>
  <c r="F551" i="1"/>
  <c r="F569" i="1"/>
  <c r="AW835" i="1"/>
  <c r="B909" i="1"/>
  <c r="AW831" i="1"/>
  <c r="B905" i="1"/>
  <c r="B533" i="1"/>
  <c r="AW459" i="1"/>
  <c r="AW508" i="1" s="1"/>
  <c r="AW875" i="1"/>
  <c r="B949" i="1"/>
  <c r="B907" i="1"/>
  <c r="AW833" i="1"/>
  <c r="AW847" i="1"/>
  <c r="B921" i="1"/>
  <c r="B931" i="1"/>
  <c r="AW857" i="1"/>
  <c r="AW851" i="1"/>
  <c r="B925" i="1"/>
  <c r="AW859" i="1"/>
  <c r="B933" i="1"/>
  <c r="AW869" i="1"/>
  <c r="AW865" i="1"/>
  <c r="B939" i="1"/>
  <c r="AW849" i="1"/>
  <c r="B923" i="1"/>
  <c r="AW855" i="1"/>
  <c r="B929" i="1"/>
  <c r="AW867" i="1"/>
  <c r="B941" i="1"/>
  <c r="AW873" i="1"/>
  <c r="B947" i="1"/>
  <c r="AW863" i="1"/>
  <c r="B937" i="1"/>
  <c r="B927" i="1"/>
  <c r="AW853" i="1"/>
  <c r="B935" i="1"/>
  <c r="AW861" i="1"/>
  <c r="AW871" i="1"/>
  <c r="B945" i="1"/>
  <c r="R7" i="2"/>
  <c r="Q8" i="2"/>
  <c r="AS138" i="1"/>
  <c r="AM138" i="1"/>
  <c r="AW533" i="1" l="1"/>
  <c r="AW582" i="1" s="1"/>
  <c r="B607" i="1"/>
  <c r="F652" i="1"/>
  <c r="F654" i="1"/>
  <c r="F642" i="1"/>
  <c r="F634" i="1"/>
  <c r="F623" i="1"/>
  <c r="F621" i="1"/>
  <c r="F626" i="1"/>
  <c r="F618" i="1"/>
  <c r="F607" i="1"/>
  <c r="B675" i="1"/>
  <c r="F646" i="1"/>
  <c r="F612" i="1"/>
  <c r="F620" i="1"/>
  <c r="F610" i="1"/>
  <c r="F653" i="1"/>
  <c r="F644" i="1"/>
  <c r="F637" i="1"/>
  <c r="F615" i="1"/>
  <c r="F613" i="1"/>
  <c r="F629" i="1"/>
  <c r="F631" i="1"/>
  <c r="F622" i="1"/>
  <c r="F649" i="1"/>
  <c r="F624" i="1"/>
  <c r="F645" i="1"/>
  <c r="F628" i="1"/>
  <c r="F606" i="1"/>
  <c r="F630" i="1"/>
  <c r="F611" i="1"/>
  <c r="F640" i="1"/>
  <c r="F636" i="1"/>
  <c r="F616" i="1"/>
  <c r="F643" i="1"/>
  <c r="F633" i="1"/>
  <c r="F632" i="1"/>
  <c r="F639" i="1"/>
  <c r="F609" i="1"/>
  <c r="F638" i="1"/>
  <c r="F619" i="1"/>
  <c r="F647" i="1"/>
  <c r="F648" i="1"/>
  <c r="F614" i="1"/>
  <c r="F641" i="1"/>
  <c r="F627" i="1"/>
  <c r="F651" i="1"/>
  <c r="F655" i="1"/>
  <c r="F650" i="1"/>
  <c r="F625" i="1"/>
  <c r="F635" i="1"/>
  <c r="F617" i="1"/>
  <c r="F608" i="1"/>
  <c r="AW919" i="1"/>
  <c r="B993" i="1"/>
  <c r="B991" i="1"/>
  <c r="AW917" i="1"/>
  <c r="AW905" i="1"/>
  <c r="B979" i="1"/>
  <c r="AW911" i="1"/>
  <c r="B985" i="1"/>
  <c r="AW913" i="1"/>
  <c r="B987" i="1"/>
  <c r="AW907" i="1"/>
  <c r="B981" i="1"/>
  <c r="AW915" i="1"/>
  <c r="B989" i="1"/>
  <c r="G529" i="1"/>
  <c r="I529" i="1" s="1"/>
  <c r="K529" i="1" s="1"/>
  <c r="M529" i="1" s="1"/>
  <c r="O529" i="1" s="1"/>
  <c r="Q529" i="1" s="1"/>
  <c r="S529" i="1" s="1"/>
  <c r="W529" i="1" s="1"/>
  <c r="Y529" i="1" s="1"/>
  <c r="AA529" i="1" s="1"/>
  <c r="AC529" i="1" s="1"/>
  <c r="AE529" i="1" s="1"/>
  <c r="AG529" i="1" s="1"/>
  <c r="AI529" i="1" s="1"/>
  <c r="K527" i="1"/>
  <c r="G601" i="1" s="1"/>
  <c r="AW949" i="1"/>
  <c r="B1023" i="1"/>
  <c r="B983" i="1"/>
  <c r="AW909" i="1"/>
  <c r="B1025" i="1"/>
  <c r="AW951" i="1"/>
  <c r="AW921" i="1"/>
  <c r="B995" i="1"/>
  <c r="AW935" i="1"/>
  <c r="B1009" i="1"/>
  <c r="AW923" i="1"/>
  <c r="B997" i="1"/>
  <c r="AW943" i="1"/>
  <c r="B1017" i="1"/>
  <c r="AW925" i="1"/>
  <c r="B999" i="1"/>
  <c r="AW947" i="1"/>
  <c r="B1021" i="1"/>
  <c r="AW929" i="1"/>
  <c r="B1003" i="1"/>
  <c r="AW927" i="1"/>
  <c r="B1001" i="1"/>
  <c r="AW939" i="1"/>
  <c r="B1013" i="1"/>
  <c r="B1007" i="1"/>
  <c r="AW933" i="1"/>
  <c r="AW937" i="1"/>
  <c r="B1011" i="1"/>
  <c r="AW941" i="1"/>
  <c r="B1015" i="1"/>
  <c r="AW931" i="1"/>
  <c r="AW945" i="1"/>
  <c r="B1019" i="1"/>
  <c r="S7" i="2"/>
  <c r="R8" i="2"/>
  <c r="AW1023" i="1" l="1"/>
  <c r="B1097" i="1"/>
  <c r="B1055" i="1"/>
  <c r="AW981" i="1"/>
  <c r="AW979" i="1"/>
  <c r="B1053" i="1"/>
  <c r="F726" i="1"/>
  <c r="F728" i="1"/>
  <c r="F716" i="1"/>
  <c r="F708" i="1"/>
  <c r="F700" i="1"/>
  <c r="F687" i="1"/>
  <c r="B749" i="1"/>
  <c r="F720" i="1"/>
  <c r="F727" i="1"/>
  <c r="F718" i="1"/>
  <c r="F711" i="1"/>
  <c r="F695" i="1"/>
  <c r="F684" i="1"/>
  <c r="F703" i="1"/>
  <c r="F692" i="1"/>
  <c r="F686" i="1"/>
  <c r="F710" i="1"/>
  <c r="F683" i="1"/>
  <c r="F694" i="1"/>
  <c r="F722" i="1"/>
  <c r="F691" i="1"/>
  <c r="F715" i="1"/>
  <c r="F693" i="1"/>
  <c r="F717" i="1"/>
  <c r="F697" i="1"/>
  <c r="F713" i="1"/>
  <c r="F699" i="1"/>
  <c r="F682" i="1"/>
  <c r="F709" i="1"/>
  <c r="F729" i="1"/>
  <c r="F704" i="1"/>
  <c r="F685" i="1"/>
  <c r="F714" i="1"/>
  <c r="F688" i="1"/>
  <c r="F725" i="1"/>
  <c r="F705" i="1"/>
  <c r="F724" i="1"/>
  <c r="F681" i="1"/>
  <c r="F680" i="1"/>
  <c r="F707" i="1"/>
  <c r="F690" i="1"/>
  <c r="F719" i="1"/>
  <c r="F689" i="1"/>
  <c r="F712" i="1"/>
  <c r="F698" i="1"/>
  <c r="F721" i="1"/>
  <c r="F702" i="1"/>
  <c r="F701" i="1"/>
  <c r="F706" i="1"/>
  <c r="F723" i="1"/>
  <c r="F696" i="1"/>
  <c r="G603" i="1"/>
  <c r="I603" i="1" s="1"/>
  <c r="K603" i="1" s="1"/>
  <c r="M603" i="1" s="1"/>
  <c r="O603" i="1" s="1"/>
  <c r="Q603" i="1" s="1"/>
  <c r="S603" i="1" s="1"/>
  <c r="W603" i="1" s="1"/>
  <c r="Y603" i="1" s="1"/>
  <c r="AA603" i="1" s="1"/>
  <c r="AC603" i="1" s="1"/>
  <c r="AE603" i="1" s="1"/>
  <c r="AG603" i="1" s="1"/>
  <c r="AI603" i="1" s="1"/>
  <c r="K601" i="1"/>
  <c r="G675" i="1" s="1"/>
  <c r="AW987" i="1"/>
  <c r="B1061" i="1"/>
  <c r="AW983" i="1"/>
  <c r="B1057" i="1"/>
  <c r="B1099" i="1"/>
  <c r="AW1025" i="1"/>
  <c r="AW991" i="1"/>
  <c r="B1065" i="1"/>
  <c r="B681" i="1"/>
  <c r="AW607" i="1"/>
  <c r="AW656" i="1" s="1"/>
  <c r="B1063" i="1"/>
  <c r="AW989" i="1"/>
  <c r="B1059" i="1"/>
  <c r="AW985" i="1"/>
  <c r="AW993" i="1"/>
  <c r="B1067" i="1"/>
  <c r="AW995" i="1"/>
  <c r="B1069" i="1"/>
  <c r="AW1003" i="1"/>
  <c r="B1077" i="1"/>
  <c r="B1071" i="1"/>
  <c r="AW997" i="1"/>
  <c r="AW1007" i="1"/>
  <c r="B1081" i="1"/>
  <c r="AW1021" i="1"/>
  <c r="B1095" i="1"/>
  <c r="AW1017" i="1"/>
  <c r="B1083" i="1"/>
  <c r="AW1009" i="1"/>
  <c r="AW999" i="1"/>
  <c r="B1073" i="1"/>
  <c r="AW1015" i="1"/>
  <c r="B1089" i="1"/>
  <c r="B1075" i="1"/>
  <c r="AW1001" i="1"/>
  <c r="AW1005" i="1"/>
  <c r="AW1011" i="1"/>
  <c r="B1085" i="1"/>
  <c r="AW1013" i="1"/>
  <c r="AW1019" i="1"/>
  <c r="B1093" i="1"/>
  <c r="T7" i="2"/>
  <c r="S8" i="2"/>
  <c r="N72" i="1"/>
  <c r="N70" i="1"/>
  <c r="G677" i="1" l="1"/>
  <c r="I677" i="1" s="1"/>
  <c r="K677" i="1" s="1"/>
  <c r="M677" i="1" s="1"/>
  <c r="O677" i="1" s="1"/>
  <c r="Q677" i="1" s="1"/>
  <c r="S677" i="1" s="1"/>
  <c r="W677" i="1" s="1"/>
  <c r="Y677" i="1" s="1"/>
  <c r="AA677" i="1" s="1"/>
  <c r="AC677" i="1" s="1"/>
  <c r="AE677" i="1" s="1"/>
  <c r="AG677" i="1" s="1"/>
  <c r="AI677" i="1" s="1"/>
  <c r="K675" i="1"/>
  <c r="G749" i="1" s="1"/>
  <c r="AW1063" i="1"/>
  <c r="B1137" i="1"/>
  <c r="B1173" i="1"/>
  <c r="AW1099" i="1"/>
  <c r="B1133" i="1"/>
  <c r="AW1059" i="1"/>
  <c r="B1141" i="1"/>
  <c r="AW1067" i="1"/>
  <c r="AW1057" i="1"/>
  <c r="B1131" i="1"/>
  <c r="AW1055" i="1"/>
  <c r="B1129" i="1"/>
  <c r="AW1053" i="1"/>
  <c r="B1127" i="1"/>
  <c r="AW1097" i="1"/>
  <c r="B1171" i="1"/>
  <c r="B755" i="1"/>
  <c r="AW681" i="1"/>
  <c r="AW730" i="1" s="1"/>
  <c r="AW1065" i="1"/>
  <c r="B1139" i="1"/>
  <c r="AW1061" i="1"/>
  <c r="B1135" i="1"/>
  <c r="F800" i="1"/>
  <c r="B823" i="1"/>
  <c r="F801" i="1"/>
  <c r="F792" i="1"/>
  <c r="F785" i="1"/>
  <c r="F802" i="1"/>
  <c r="F790" i="1"/>
  <c r="F782" i="1"/>
  <c r="F774" i="1"/>
  <c r="F761" i="1"/>
  <c r="F794" i="1"/>
  <c r="F769" i="1"/>
  <c r="F766" i="1"/>
  <c r="F758" i="1"/>
  <c r="F777" i="1"/>
  <c r="F776" i="1"/>
  <c r="F754" i="1"/>
  <c r="F773" i="1"/>
  <c r="F798" i="1"/>
  <c r="F775" i="1"/>
  <c r="F795" i="1"/>
  <c r="F760" i="1"/>
  <c r="F784" i="1"/>
  <c r="F757" i="1"/>
  <c r="F781" i="1"/>
  <c r="F759" i="1"/>
  <c r="F783" i="1"/>
  <c r="F763" i="1"/>
  <c r="F787" i="1"/>
  <c r="F762" i="1"/>
  <c r="F786" i="1"/>
  <c r="F764" i="1"/>
  <c r="F788" i="1"/>
  <c r="F771" i="1"/>
  <c r="F770" i="1"/>
  <c r="F772" i="1"/>
  <c r="F779" i="1"/>
  <c r="F780" i="1"/>
  <c r="F778" i="1"/>
  <c r="F756" i="1"/>
  <c r="F767" i="1"/>
  <c r="F796" i="1"/>
  <c r="F789" i="1"/>
  <c r="F791" i="1"/>
  <c r="F803" i="1"/>
  <c r="F797" i="1"/>
  <c r="F793" i="1"/>
  <c r="F755" i="1"/>
  <c r="F799" i="1"/>
  <c r="F768" i="1"/>
  <c r="F765" i="1"/>
  <c r="AW1069" i="1"/>
  <c r="B1143" i="1"/>
  <c r="AW1087" i="1"/>
  <c r="B1161" i="1"/>
  <c r="B1157" i="1"/>
  <c r="AW1083" i="1"/>
  <c r="AW1085" i="1"/>
  <c r="B1159" i="1"/>
  <c r="AW1073" i="1"/>
  <c r="B1147" i="1"/>
  <c r="AW1091" i="1"/>
  <c r="B1165" i="1"/>
  <c r="AW1081" i="1"/>
  <c r="B1155" i="1"/>
  <c r="AW1071" i="1"/>
  <c r="B1145" i="1"/>
  <c r="AW1075" i="1"/>
  <c r="B1149" i="1"/>
  <c r="AW1077" i="1"/>
  <c r="B1151" i="1"/>
  <c r="AW1079" i="1"/>
  <c r="AW1089" i="1"/>
  <c r="B1163" i="1"/>
  <c r="AW1095" i="1"/>
  <c r="B1169" i="1"/>
  <c r="AW1093" i="1"/>
  <c r="U7" i="2"/>
  <c r="T8" i="2"/>
  <c r="U64" i="1"/>
  <c r="AU64" i="1"/>
  <c r="AO64" i="1"/>
  <c r="AQ64" i="1"/>
  <c r="AP64" i="1"/>
  <c r="AK64" i="1"/>
  <c r="AR64" i="1"/>
  <c r="AW64" i="1"/>
  <c r="AW1171" i="1" l="1"/>
  <c r="B1245" i="1"/>
  <c r="B1247" i="1"/>
  <c r="AW1173" i="1"/>
  <c r="AW1139" i="1"/>
  <c r="B1213" i="1"/>
  <c r="AW1127" i="1"/>
  <c r="B1201" i="1"/>
  <c r="B1211" i="1"/>
  <c r="AW1137" i="1"/>
  <c r="AW1131" i="1"/>
  <c r="B1205" i="1"/>
  <c r="B1215" i="1"/>
  <c r="AW1141" i="1"/>
  <c r="AW1135" i="1"/>
  <c r="B1209" i="1"/>
  <c r="F874" i="1"/>
  <c r="F875" i="1"/>
  <c r="F866" i="1"/>
  <c r="F859" i="1"/>
  <c r="F851" i="1"/>
  <c r="F840" i="1"/>
  <c r="F832" i="1"/>
  <c r="B897" i="1"/>
  <c r="F868" i="1"/>
  <c r="F856" i="1"/>
  <c r="F843" i="1"/>
  <c r="F835" i="1"/>
  <c r="F848" i="1"/>
  <c r="F864" i="1"/>
  <c r="F876" i="1"/>
  <c r="F842" i="1"/>
  <c r="F870" i="1"/>
  <c r="F839" i="1"/>
  <c r="F863" i="1"/>
  <c r="F841" i="1"/>
  <c r="F865" i="1"/>
  <c r="F850" i="1"/>
  <c r="F828" i="1"/>
  <c r="F847" i="1"/>
  <c r="F872" i="1"/>
  <c r="F849" i="1"/>
  <c r="F869" i="1"/>
  <c r="F829" i="1"/>
  <c r="F853" i="1"/>
  <c r="F852" i="1"/>
  <c r="F830" i="1"/>
  <c r="F854" i="1"/>
  <c r="F873" i="1"/>
  <c r="F877" i="1"/>
  <c r="F860" i="1"/>
  <c r="F862" i="1"/>
  <c r="F834" i="1"/>
  <c r="F871" i="1"/>
  <c r="F867" i="1"/>
  <c r="F846" i="1"/>
  <c r="F855" i="1"/>
  <c r="F857" i="1"/>
  <c r="F837" i="1"/>
  <c r="F831" i="1"/>
  <c r="F833" i="1"/>
  <c r="F845" i="1"/>
  <c r="F836" i="1"/>
  <c r="F838" i="1"/>
  <c r="F858" i="1"/>
  <c r="F861" i="1"/>
  <c r="F844" i="1"/>
  <c r="AW1129" i="1"/>
  <c r="B1203" i="1"/>
  <c r="G751" i="1"/>
  <c r="I751" i="1" s="1"/>
  <c r="K751" i="1" s="1"/>
  <c r="M751" i="1" s="1"/>
  <c r="O751" i="1" s="1"/>
  <c r="Q751" i="1" s="1"/>
  <c r="S751" i="1" s="1"/>
  <c r="W751" i="1" s="1"/>
  <c r="Y751" i="1" s="1"/>
  <c r="AA751" i="1" s="1"/>
  <c r="AC751" i="1" s="1"/>
  <c r="AE751" i="1" s="1"/>
  <c r="AG751" i="1" s="1"/>
  <c r="AI751" i="1" s="1"/>
  <c r="K749" i="1"/>
  <c r="G823" i="1" s="1"/>
  <c r="B829" i="1"/>
  <c r="AW755" i="1"/>
  <c r="AW804" i="1" s="1"/>
  <c r="AW1133" i="1"/>
  <c r="B1207" i="1"/>
  <c r="AW1143" i="1"/>
  <c r="B1217" i="1"/>
  <c r="AW1169" i="1"/>
  <c r="B1243" i="1"/>
  <c r="AW1153" i="1"/>
  <c r="B1227" i="1"/>
  <c r="AW1155" i="1"/>
  <c r="B1229" i="1"/>
  <c r="AW1147" i="1"/>
  <c r="B1221" i="1"/>
  <c r="AW1163" i="1"/>
  <c r="B1237" i="1"/>
  <c r="AW1151" i="1"/>
  <c r="B1225" i="1"/>
  <c r="B1231" i="1"/>
  <c r="AW1157" i="1"/>
  <c r="B1219" i="1"/>
  <c r="AW1145" i="1"/>
  <c r="AW1165" i="1"/>
  <c r="B1239" i="1"/>
  <c r="AW1159" i="1"/>
  <c r="B1233" i="1"/>
  <c r="AW1161" i="1"/>
  <c r="B1235" i="1"/>
  <c r="B1223" i="1"/>
  <c r="AW1149" i="1"/>
  <c r="AW1167" i="1"/>
  <c r="B1241" i="1"/>
  <c r="V7" i="2"/>
  <c r="U8" i="2"/>
  <c r="AW829" i="1" l="1"/>
  <c r="AW878" i="1" s="1"/>
  <c r="B903" i="1"/>
  <c r="F948" i="1"/>
  <c r="B971" i="1"/>
  <c r="F938" i="1"/>
  <c r="F933" i="1"/>
  <c r="F928" i="1"/>
  <c r="F919" i="1"/>
  <c r="F911" i="1"/>
  <c r="F942" i="1"/>
  <c r="F932" i="1"/>
  <c r="F923" i="1"/>
  <c r="F917" i="1"/>
  <c r="F915" i="1"/>
  <c r="F909" i="1"/>
  <c r="F949" i="1"/>
  <c r="F936" i="1"/>
  <c r="F927" i="1"/>
  <c r="F922" i="1"/>
  <c r="F940" i="1"/>
  <c r="F931" i="1"/>
  <c r="F914" i="1"/>
  <c r="F903" i="1"/>
  <c r="F950" i="1"/>
  <c r="F935" i="1"/>
  <c r="F930" i="1"/>
  <c r="F925" i="1"/>
  <c r="F920" i="1"/>
  <c r="F916" i="1"/>
  <c r="F908" i="1"/>
  <c r="F904" i="1"/>
  <c r="F924" i="1"/>
  <c r="F912" i="1"/>
  <c r="F907" i="1"/>
  <c r="F906" i="1"/>
  <c r="F939" i="1"/>
  <c r="F913" i="1"/>
  <c r="F937" i="1"/>
  <c r="F902" i="1"/>
  <c r="F921" i="1"/>
  <c r="F946" i="1"/>
  <c r="F926" i="1"/>
  <c r="F941" i="1"/>
  <c r="F929" i="1"/>
  <c r="F934" i="1"/>
  <c r="F944" i="1"/>
  <c r="F951" i="1"/>
  <c r="F945" i="1"/>
  <c r="F905" i="1"/>
  <c r="F943" i="1"/>
  <c r="F947" i="1"/>
  <c r="F910" i="1"/>
  <c r="F918" i="1"/>
  <c r="G825" i="1"/>
  <c r="I825" i="1" s="1"/>
  <c r="K825" i="1" s="1"/>
  <c r="M825" i="1" s="1"/>
  <c r="O825" i="1" s="1"/>
  <c r="Q825" i="1" s="1"/>
  <c r="S825" i="1" s="1"/>
  <c r="W825" i="1" s="1"/>
  <c r="Y825" i="1" s="1"/>
  <c r="AA825" i="1" s="1"/>
  <c r="AC825" i="1" s="1"/>
  <c r="AE825" i="1" s="1"/>
  <c r="AG825" i="1" s="1"/>
  <c r="AI825" i="1" s="1"/>
  <c r="K823" i="1"/>
  <c r="G897" i="1" s="1"/>
  <c r="AW1209" i="1"/>
  <c r="B1283" i="1"/>
  <c r="AW1205" i="1"/>
  <c r="B1279" i="1"/>
  <c r="AW1207" i="1"/>
  <c r="B1281" i="1"/>
  <c r="AW1203" i="1"/>
  <c r="B1277" i="1"/>
  <c r="B1285" i="1"/>
  <c r="AW1211" i="1"/>
  <c r="B1321" i="1"/>
  <c r="AW1247" i="1"/>
  <c r="AW1201" i="1"/>
  <c r="B1275" i="1"/>
  <c r="AW1245" i="1"/>
  <c r="B1319" i="1"/>
  <c r="AW1213" i="1"/>
  <c r="B1287" i="1"/>
  <c r="AW1215" i="1"/>
  <c r="B1289" i="1"/>
  <c r="AW1217" i="1"/>
  <c r="B1291" i="1"/>
  <c r="B1293" i="1"/>
  <c r="AW1219" i="1"/>
  <c r="AW1225" i="1"/>
  <c r="B1299" i="1"/>
  <c r="AW1221" i="1"/>
  <c r="B1295" i="1"/>
  <c r="B1301" i="1"/>
  <c r="AW1227" i="1"/>
  <c r="AW1235" i="1"/>
  <c r="B1309" i="1"/>
  <c r="AW1239" i="1"/>
  <c r="AW1237" i="1"/>
  <c r="B1311" i="1"/>
  <c r="AW1229" i="1"/>
  <c r="B1303" i="1"/>
  <c r="AW1243" i="1"/>
  <c r="B1317" i="1"/>
  <c r="B1391" i="1" s="1"/>
  <c r="AW1223" i="1"/>
  <c r="B1297" i="1"/>
  <c r="AW1233" i="1"/>
  <c r="B1307" i="1"/>
  <c r="B1305" i="1"/>
  <c r="AW1231" i="1"/>
  <c r="AW1241" i="1"/>
  <c r="B1315" i="1"/>
  <c r="W7" i="2"/>
  <c r="V8" i="2"/>
  <c r="AM64" i="1"/>
  <c r="G11" i="1"/>
  <c r="I11" i="1" s="1"/>
  <c r="K11" i="1" s="1"/>
  <c r="M11" i="1" s="1"/>
  <c r="O11" i="1" s="1"/>
  <c r="Q11" i="1" s="1"/>
  <c r="S11" i="1" s="1"/>
  <c r="W11" i="1" s="1"/>
  <c r="Y11" i="1" s="1"/>
  <c r="AA11" i="1" s="1"/>
  <c r="AC11" i="1" s="1"/>
  <c r="AE11" i="1" s="1"/>
  <c r="AG11" i="1" s="1"/>
  <c r="AI11" i="1" s="1"/>
  <c r="AW1285" i="1" l="1"/>
  <c r="B1359" i="1"/>
  <c r="F1022" i="1"/>
  <c r="F1007" i="1"/>
  <c r="F1024" i="1"/>
  <c r="F1012" i="1"/>
  <c r="F991" i="1"/>
  <c r="F999" i="1"/>
  <c r="F988" i="1"/>
  <c r="F980" i="1"/>
  <c r="B1045" i="1"/>
  <c r="F1016" i="1"/>
  <c r="F1004" i="1"/>
  <c r="F996" i="1"/>
  <c r="F983" i="1"/>
  <c r="F1014" i="1"/>
  <c r="F1023" i="1"/>
  <c r="F990" i="1"/>
  <c r="F1018" i="1"/>
  <c r="F987" i="1"/>
  <c r="F1011" i="1"/>
  <c r="F989" i="1"/>
  <c r="F1013" i="1"/>
  <c r="F998" i="1"/>
  <c r="F976" i="1"/>
  <c r="F995" i="1"/>
  <c r="F1020" i="1"/>
  <c r="F997" i="1"/>
  <c r="F1017" i="1"/>
  <c r="F977" i="1"/>
  <c r="F1001" i="1"/>
  <c r="F1000" i="1"/>
  <c r="F978" i="1"/>
  <c r="F1002" i="1"/>
  <c r="F1021" i="1"/>
  <c r="F1006" i="1"/>
  <c r="F992" i="1"/>
  <c r="F994" i="1"/>
  <c r="F1009" i="1"/>
  <c r="F1003" i="1"/>
  <c r="F1005" i="1"/>
  <c r="F984" i="1"/>
  <c r="F986" i="1"/>
  <c r="F1025" i="1"/>
  <c r="F1008" i="1"/>
  <c r="F1010" i="1"/>
  <c r="F982" i="1"/>
  <c r="F1019" i="1"/>
  <c r="F1015" i="1"/>
  <c r="F985" i="1"/>
  <c r="F981" i="1"/>
  <c r="F979" i="1"/>
  <c r="F993" i="1"/>
  <c r="AW1279" i="1"/>
  <c r="B1353" i="1"/>
  <c r="B1363" i="1"/>
  <c r="AW1289" i="1"/>
  <c r="AW1275" i="1"/>
  <c r="B1349" i="1"/>
  <c r="AW1277" i="1"/>
  <c r="B1351" i="1"/>
  <c r="AW1283" i="1"/>
  <c r="B1357" i="1"/>
  <c r="AW903" i="1"/>
  <c r="AW952" i="1" s="1"/>
  <c r="B977" i="1"/>
  <c r="AW1321" i="1"/>
  <c r="B1395" i="1"/>
  <c r="AW1319" i="1"/>
  <c r="B1393" i="1"/>
  <c r="AW1287" i="1"/>
  <c r="B1361" i="1"/>
  <c r="B1355" i="1"/>
  <c r="AW1281" i="1"/>
  <c r="G899" i="1"/>
  <c r="I899" i="1" s="1"/>
  <c r="K899" i="1" s="1"/>
  <c r="M899" i="1" s="1"/>
  <c r="O899" i="1" s="1"/>
  <c r="Q899" i="1" s="1"/>
  <c r="S899" i="1" s="1"/>
  <c r="W899" i="1" s="1"/>
  <c r="Y899" i="1" s="1"/>
  <c r="AA899" i="1" s="1"/>
  <c r="AC899" i="1" s="1"/>
  <c r="AE899" i="1" s="1"/>
  <c r="AG899" i="1" s="1"/>
  <c r="AI899" i="1" s="1"/>
  <c r="K897" i="1"/>
  <c r="G971" i="1" s="1"/>
  <c r="AW1291" i="1"/>
  <c r="B1365" i="1"/>
  <c r="B1379" i="1"/>
  <c r="AW1305" i="1"/>
  <c r="AW1313" i="1"/>
  <c r="B1387" i="1"/>
  <c r="AW1299" i="1"/>
  <c r="B1373" i="1"/>
  <c r="AW1307" i="1"/>
  <c r="B1381" i="1"/>
  <c r="AW1317" i="1"/>
  <c r="AW1311" i="1"/>
  <c r="B1385" i="1"/>
  <c r="AW1301" i="1"/>
  <c r="B1375" i="1"/>
  <c r="AW1309" i="1"/>
  <c r="B1383" i="1"/>
  <c r="AW1295" i="1"/>
  <c r="B1369" i="1"/>
  <c r="B1371" i="1"/>
  <c r="AW1297" i="1"/>
  <c r="AW1303" i="1"/>
  <c r="B1377" i="1"/>
  <c r="AW1293" i="1"/>
  <c r="B1367" i="1"/>
  <c r="AW1315" i="1"/>
  <c r="B1389" i="1"/>
  <c r="X7" i="2"/>
  <c r="W8" i="2"/>
  <c r="AS64" i="1"/>
  <c r="AW1361" i="1" l="1"/>
  <c r="B1435" i="1"/>
  <c r="AW977" i="1"/>
  <c r="AW1026" i="1" s="1"/>
  <c r="B1051" i="1"/>
  <c r="AW1349" i="1"/>
  <c r="B1423" i="1"/>
  <c r="F1096" i="1"/>
  <c r="B1119" i="1"/>
  <c r="F1081" i="1"/>
  <c r="F1097" i="1"/>
  <c r="F1090" i="1"/>
  <c r="F1083" i="1"/>
  <c r="F1073" i="1"/>
  <c r="F1099" i="1"/>
  <c r="F1075" i="1"/>
  <c r="F1064" i="1"/>
  <c r="F1098" i="1"/>
  <c r="F1088" i="1"/>
  <c r="F1080" i="1"/>
  <c r="F1059" i="1"/>
  <c r="F1057" i="1"/>
  <c r="F1072" i="1"/>
  <c r="F1051" i="1"/>
  <c r="F1086" i="1"/>
  <c r="F1078" i="1"/>
  <c r="F1067" i="1"/>
  <c r="F1065" i="1"/>
  <c r="F1092" i="1"/>
  <c r="F1070" i="1"/>
  <c r="F1062" i="1"/>
  <c r="F1056" i="1"/>
  <c r="F1054" i="1"/>
  <c r="F1058" i="1"/>
  <c r="F1082" i="1"/>
  <c r="F1055" i="1"/>
  <c r="F1079" i="1"/>
  <c r="F1066" i="1"/>
  <c r="F1093" i="1"/>
  <c r="F1063" i="1"/>
  <c r="F1087" i="1"/>
  <c r="F1050" i="1"/>
  <c r="F1069" i="1"/>
  <c r="F1094" i="1"/>
  <c r="F1068" i="1"/>
  <c r="F1089" i="1"/>
  <c r="F1053" i="1"/>
  <c r="F1052" i="1"/>
  <c r="F1095" i="1"/>
  <c r="F1061" i="1"/>
  <c r="F1060" i="1"/>
  <c r="F1091" i="1"/>
  <c r="F1074" i="1"/>
  <c r="F1071" i="1"/>
  <c r="F1077" i="1"/>
  <c r="F1076" i="1"/>
  <c r="F1084" i="1"/>
  <c r="F1085" i="1"/>
  <c r="G973" i="1"/>
  <c r="I973" i="1" s="1"/>
  <c r="K973" i="1" s="1"/>
  <c r="M973" i="1" s="1"/>
  <c r="O973" i="1" s="1"/>
  <c r="Q973" i="1" s="1"/>
  <c r="S973" i="1" s="1"/>
  <c r="W973" i="1" s="1"/>
  <c r="Y973" i="1" s="1"/>
  <c r="AA973" i="1" s="1"/>
  <c r="AC973" i="1" s="1"/>
  <c r="AE973" i="1" s="1"/>
  <c r="AG973" i="1" s="1"/>
  <c r="AI973" i="1" s="1"/>
  <c r="K971" i="1"/>
  <c r="G1045" i="1" s="1"/>
  <c r="AW1393" i="1"/>
  <c r="B1467" i="1"/>
  <c r="AW1357" i="1"/>
  <c r="B1431" i="1"/>
  <c r="B1429" i="1"/>
  <c r="AW1355" i="1"/>
  <c r="AW1363" i="1"/>
  <c r="B1437" i="1"/>
  <c r="B1433" i="1"/>
  <c r="AW1359" i="1"/>
  <c r="B1469" i="1"/>
  <c r="AW1395" i="1"/>
  <c r="B1425" i="1"/>
  <c r="AW1351" i="1"/>
  <c r="AW1353" i="1"/>
  <c r="B1427" i="1"/>
  <c r="AW1365" i="1"/>
  <c r="B1439" i="1"/>
  <c r="B1445" i="1"/>
  <c r="AW1371" i="1"/>
  <c r="AW1385" i="1"/>
  <c r="B1459" i="1"/>
  <c r="AW1381" i="1"/>
  <c r="B1455" i="1"/>
  <c r="AW1387" i="1"/>
  <c r="B1461" i="1"/>
  <c r="AW1377" i="1"/>
  <c r="B1451" i="1"/>
  <c r="AW1369" i="1"/>
  <c r="B1443" i="1"/>
  <c r="AW1375" i="1"/>
  <c r="B1449" i="1"/>
  <c r="AW1391" i="1"/>
  <c r="B1465" i="1"/>
  <c r="AW1373" i="1"/>
  <c r="B1447" i="1"/>
  <c r="AW1367" i="1"/>
  <c r="B1441" i="1"/>
  <c r="AW1383" i="1"/>
  <c r="B1457" i="1"/>
  <c r="B1453" i="1"/>
  <c r="AW1379" i="1"/>
  <c r="AW1389" i="1"/>
  <c r="Y7" i="2"/>
  <c r="X8" i="2"/>
  <c r="B1125" i="1" l="1"/>
  <c r="AW1051" i="1"/>
  <c r="AW1100" i="1" s="1"/>
  <c r="B1543" i="1"/>
  <c r="AW1469" i="1"/>
  <c r="AW1427" i="1"/>
  <c r="B1501" i="1"/>
  <c r="AW1431" i="1"/>
  <c r="B1505" i="1"/>
  <c r="B1499" i="1"/>
  <c r="AW1425" i="1"/>
  <c r="K1045" i="1"/>
  <c r="G1119" i="1" s="1"/>
  <c r="G1047" i="1"/>
  <c r="I1047" i="1" s="1"/>
  <c r="K1047" i="1" s="1"/>
  <c r="M1047" i="1" s="1"/>
  <c r="O1047" i="1" s="1"/>
  <c r="Q1047" i="1" s="1"/>
  <c r="S1047" i="1" s="1"/>
  <c r="W1047" i="1" s="1"/>
  <c r="Y1047" i="1" s="1"/>
  <c r="AA1047" i="1" s="1"/>
  <c r="AC1047" i="1" s="1"/>
  <c r="AE1047" i="1" s="1"/>
  <c r="AG1047" i="1" s="1"/>
  <c r="AI1047" i="1" s="1"/>
  <c r="B1503" i="1"/>
  <c r="AW1429" i="1"/>
  <c r="B1507" i="1"/>
  <c r="AW1433" i="1"/>
  <c r="F1170" i="1"/>
  <c r="F1155" i="1"/>
  <c r="F1172" i="1"/>
  <c r="F1160" i="1"/>
  <c r="F1139" i="1"/>
  <c r="B1193" i="1"/>
  <c r="F1164" i="1"/>
  <c r="F1152" i="1"/>
  <c r="F1144" i="1"/>
  <c r="F1131" i="1"/>
  <c r="F1136" i="1"/>
  <c r="F1171" i="1"/>
  <c r="F1128" i="1"/>
  <c r="F1147" i="1"/>
  <c r="F1162" i="1"/>
  <c r="F1130" i="1"/>
  <c r="F1154" i="1"/>
  <c r="F1127" i="1"/>
  <c r="F1151" i="1"/>
  <c r="F1126" i="1"/>
  <c r="F1150" i="1"/>
  <c r="F1169" i="1"/>
  <c r="F1138" i="1"/>
  <c r="F1166" i="1"/>
  <c r="F1135" i="1"/>
  <c r="F1159" i="1"/>
  <c r="F1134" i="1"/>
  <c r="F1158" i="1"/>
  <c r="F1141" i="1"/>
  <c r="F1173" i="1"/>
  <c r="F1140" i="1"/>
  <c r="F1167" i="1"/>
  <c r="F1137" i="1"/>
  <c r="F1161" i="1"/>
  <c r="F1149" i="1"/>
  <c r="F1148" i="1"/>
  <c r="F1145" i="1"/>
  <c r="F1157" i="1"/>
  <c r="F1156" i="1"/>
  <c r="F1153" i="1"/>
  <c r="F1133" i="1"/>
  <c r="F1143" i="1"/>
  <c r="F1124" i="1"/>
  <c r="F1168" i="1"/>
  <c r="F1163" i="1"/>
  <c r="F1125" i="1"/>
  <c r="F1165" i="1"/>
  <c r="F1129" i="1"/>
  <c r="F1146" i="1"/>
  <c r="F1132" i="1"/>
  <c r="F1142" i="1"/>
  <c r="AW1435" i="1"/>
  <c r="B1509" i="1"/>
  <c r="AW1423" i="1"/>
  <c r="B1511" i="1"/>
  <c r="AW1437" i="1"/>
  <c r="AW1467" i="1"/>
  <c r="B1541" i="1"/>
  <c r="AW1439" i="1"/>
  <c r="B1513" i="1"/>
  <c r="AW1453" i="1"/>
  <c r="B1527" i="1"/>
  <c r="AW1443" i="1"/>
  <c r="B1517" i="1"/>
  <c r="AW1461" i="1"/>
  <c r="B1535" i="1"/>
  <c r="AW1459" i="1"/>
  <c r="B1533" i="1"/>
  <c r="AW1457" i="1"/>
  <c r="B1531" i="1"/>
  <c r="AW1447" i="1"/>
  <c r="B1521" i="1"/>
  <c r="B1523" i="1"/>
  <c r="AW1449" i="1"/>
  <c r="AW1451" i="1"/>
  <c r="B1525" i="1"/>
  <c r="AW1455" i="1"/>
  <c r="B1529" i="1"/>
  <c r="B1515" i="1"/>
  <c r="AW1441" i="1"/>
  <c r="AW1465" i="1"/>
  <c r="B1539" i="1"/>
  <c r="B1519" i="1"/>
  <c r="AW1445" i="1"/>
  <c r="AW1463" i="1"/>
  <c r="B1537" i="1"/>
  <c r="Z7" i="2"/>
  <c r="Y8" i="2"/>
  <c r="AW1497" i="1" l="1"/>
  <c r="B1571" i="1"/>
  <c r="G1121" i="1"/>
  <c r="I1121" i="1" s="1"/>
  <c r="K1121" i="1" s="1"/>
  <c r="M1121" i="1" s="1"/>
  <c r="O1121" i="1" s="1"/>
  <c r="Q1121" i="1" s="1"/>
  <c r="S1121" i="1" s="1"/>
  <c r="W1121" i="1" s="1"/>
  <c r="Y1121" i="1" s="1"/>
  <c r="AA1121" i="1" s="1"/>
  <c r="AC1121" i="1" s="1"/>
  <c r="AE1121" i="1" s="1"/>
  <c r="AG1121" i="1" s="1"/>
  <c r="AI1121" i="1" s="1"/>
  <c r="K1119" i="1"/>
  <c r="G1193" i="1" s="1"/>
  <c r="F1244" i="1"/>
  <c r="F1238" i="1"/>
  <c r="F1226" i="1"/>
  <c r="F1218" i="1"/>
  <c r="F1229" i="1"/>
  <c r="F1246" i="1"/>
  <c r="F1234" i="1"/>
  <c r="F1213" i="1"/>
  <c r="F1210" i="1"/>
  <c r="F1245" i="1"/>
  <c r="F1221" i="1"/>
  <c r="F1205" i="1"/>
  <c r="F1236" i="1"/>
  <c r="F1202" i="1"/>
  <c r="F1220" i="1"/>
  <c r="F1214" i="1"/>
  <c r="F1241" i="1"/>
  <c r="F1216" i="1"/>
  <c r="F1237" i="1"/>
  <c r="F1204" i="1"/>
  <c r="F1228" i="1"/>
  <c r="F1222" i="1"/>
  <c r="F1200" i="1"/>
  <c r="F1224" i="1"/>
  <c r="F1243" i="1"/>
  <c r="F1207" i="1"/>
  <c r="F1231" i="1"/>
  <c r="F1201" i="1"/>
  <c r="F1225" i="1"/>
  <c r="F1203" i="1"/>
  <c r="F1227" i="1"/>
  <c r="F1215" i="1"/>
  <c r="F1242" i="1"/>
  <c r="F1239" i="1"/>
  <c r="F1223" i="1"/>
  <c r="F1206" i="1"/>
  <c r="F1208" i="1"/>
  <c r="F1199" i="1"/>
  <c r="T38" i="2" s="1"/>
  <c r="F1212" i="1"/>
  <c r="F1235" i="1"/>
  <c r="F1240" i="1"/>
  <c r="F1209" i="1"/>
  <c r="F1211" i="1"/>
  <c r="F1247" i="1"/>
  <c r="J56" i="2" s="1"/>
  <c r="F1217" i="1"/>
  <c r="F1219" i="1"/>
  <c r="F1232" i="1"/>
  <c r="F1198" i="1"/>
  <c r="Z39" i="2" s="1"/>
  <c r="F1230" i="1"/>
  <c r="F1233" i="1"/>
  <c r="B1585" i="1"/>
  <c r="AW1511" i="1"/>
  <c r="AW1501" i="1"/>
  <c r="B1575" i="1"/>
  <c r="AW1541" i="1"/>
  <c r="B1615" i="1"/>
  <c r="AW1509" i="1"/>
  <c r="B1583" i="1"/>
  <c r="B1581" i="1"/>
  <c r="AW1507" i="1"/>
  <c r="AW1499" i="1"/>
  <c r="B1573" i="1"/>
  <c r="B1617" i="1"/>
  <c r="AW1543" i="1"/>
  <c r="AW1505" i="1"/>
  <c r="B1579" i="1"/>
  <c r="AW1503" i="1"/>
  <c r="B1577" i="1"/>
  <c r="B1199" i="1"/>
  <c r="AW1125" i="1"/>
  <c r="AW1174" i="1" s="1"/>
  <c r="AW1513" i="1"/>
  <c r="B1587" i="1"/>
  <c r="B1589" i="1"/>
  <c r="B1663" i="1" s="1"/>
  <c r="AW1515" i="1"/>
  <c r="AW1521" i="1"/>
  <c r="B1595" i="1"/>
  <c r="AW1517" i="1"/>
  <c r="B1591" i="1"/>
  <c r="AW1531" i="1"/>
  <c r="B1605" i="1"/>
  <c r="AW1535" i="1"/>
  <c r="B1609" i="1"/>
  <c r="AW1527" i="1"/>
  <c r="B1601" i="1"/>
  <c r="B1593" i="1"/>
  <c r="AW1519" i="1"/>
  <c r="AW1533" i="1"/>
  <c r="B1607" i="1"/>
  <c r="AW1539" i="1"/>
  <c r="AW1529" i="1"/>
  <c r="B1603" i="1"/>
  <c r="AW1525" i="1"/>
  <c r="B1599" i="1"/>
  <c r="AW1523" i="1"/>
  <c r="B1597" i="1"/>
  <c r="AW1537" i="1"/>
  <c r="B1611" i="1"/>
  <c r="AA7" i="2"/>
  <c r="Z8" i="2"/>
  <c r="W39" i="2" l="1"/>
  <c r="R53" i="2"/>
  <c r="V39" i="2"/>
  <c r="Y38" i="2"/>
  <c r="AA39" i="2"/>
  <c r="AA38" i="2"/>
  <c r="J35" i="2"/>
  <c r="K39" i="2"/>
  <c r="J38" i="2"/>
  <c r="J62" i="2"/>
  <c r="L39" i="2"/>
  <c r="M38" i="2"/>
  <c r="K38" i="2"/>
  <c r="L38" i="2"/>
  <c r="M39" i="2"/>
  <c r="N39" i="2"/>
  <c r="N38" i="2"/>
  <c r="Q38" i="2"/>
  <c r="R39" i="2"/>
  <c r="P39" i="2"/>
  <c r="O39" i="2"/>
  <c r="O38" i="2"/>
  <c r="R38" i="2"/>
  <c r="P38" i="2"/>
  <c r="S39" i="2"/>
  <c r="Q39" i="2"/>
  <c r="S38" i="2"/>
  <c r="U39" i="2"/>
  <c r="T39" i="2"/>
  <c r="V38" i="2"/>
  <c r="T14" i="2"/>
  <c r="X39" i="2"/>
  <c r="Z38" i="2"/>
  <c r="U14" i="2"/>
  <c r="Y39" i="2"/>
  <c r="W38" i="2"/>
  <c r="X38" i="2"/>
  <c r="U38" i="2"/>
  <c r="B1647" i="1"/>
  <c r="B1721" i="1" s="1"/>
  <c r="B1795" i="1" s="1"/>
  <c r="AW1573" i="1"/>
  <c r="AW1579" i="1"/>
  <c r="B1653" i="1"/>
  <c r="B1727" i="1" s="1"/>
  <c r="B1801" i="1" s="1"/>
  <c r="AW1575" i="1"/>
  <c r="B1649" i="1"/>
  <c r="B1723" i="1" s="1"/>
  <c r="B1797" i="1" s="1"/>
  <c r="G1195" i="1"/>
  <c r="I1195" i="1" s="1"/>
  <c r="K1195" i="1" s="1"/>
  <c r="M1195" i="1" s="1"/>
  <c r="O1195" i="1" s="1"/>
  <c r="Q1195" i="1" s="1"/>
  <c r="S1195" i="1" s="1"/>
  <c r="W1195" i="1" s="1"/>
  <c r="Y1195" i="1" s="1"/>
  <c r="AA1195" i="1" s="1"/>
  <c r="AC1195" i="1" s="1"/>
  <c r="AE1195" i="1" s="1"/>
  <c r="AG1195" i="1" s="1"/>
  <c r="AI1195" i="1" s="1"/>
  <c r="K1193" i="1"/>
  <c r="G1267" i="1" s="1"/>
  <c r="K1267" i="1" s="1"/>
  <c r="B1655" i="1"/>
  <c r="B1729" i="1" s="1"/>
  <c r="B1803" i="1" s="1"/>
  <c r="AW1581" i="1"/>
  <c r="AW1615" i="1"/>
  <c r="B1689" i="1"/>
  <c r="B1763" i="1" s="1"/>
  <c r="B1837" i="1" s="1"/>
  <c r="AW1583" i="1"/>
  <c r="B1657" i="1"/>
  <c r="B1731" i="1" s="1"/>
  <c r="B1805" i="1" s="1"/>
  <c r="AW1571" i="1"/>
  <c r="B1645" i="1"/>
  <c r="B1719" i="1" s="1"/>
  <c r="B1793" i="1" s="1"/>
  <c r="B1651" i="1"/>
  <c r="B1725" i="1" s="1"/>
  <c r="B1799" i="1" s="1"/>
  <c r="AW1577" i="1"/>
  <c r="B1273" i="1"/>
  <c r="AB38" i="2" s="1"/>
  <c r="AW1199" i="1"/>
  <c r="AW1248" i="1" s="1"/>
  <c r="B1691" i="1"/>
  <c r="B1765" i="1" s="1"/>
  <c r="B1839" i="1" s="1"/>
  <c r="AW1617" i="1"/>
  <c r="AW1585" i="1"/>
  <c r="B1659" i="1"/>
  <c r="B1733" i="1" s="1"/>
  <c r="B1807" i="1" s="1"/>
  <c r="AW1587" i="1"/>
  <c r="B1661" i="1"/>
  <c r="B1735" i="1" s="1"/>
  <c r="B1809" i="1" s="1"/>
  <c r="B1671" i="1"/>
  <c r="B1745" i="1" s="1"/>
  <c r="B1819" i="1" s="1"/>
  <c r="AW1597" i="1"/>
  <c r="AW1595" i="1"/>
  <c r="B1669" i="1"/>
  <c r="B1743" i="1" s="1"/>
  <c r="B1817" i="1" s="1"/>
  <c r="AW1599" i="1"/>
  <c r="B1673" i="1"/>
  <c r="B1747" i="1" s="1"/>
  <c r="B1821" i="1" s="1"/>
  <c r="AW1613" i="1"/>
  <c r="B1687" i="1"/>
  <c r="B1761" i="1" s="1"/>
  <c r="B1835" i="1" s="1"/>
  <c r="AW1609" i="1"/>
  <c r="B1683" i="1"/>
  <c r="B1831" i="1" s="1"/>
  <c r="B1667" i="1"/>
  <c r="B1741" i="1" s="1"/>
  <c r="B1815" i="1" s="1"/>
  <c r="AW1593" i="1"/>
  <c r="AW1591" i="1"/>
  <c r="B1665" i="1"/>
  <c r="B1739" i="1" s="1"/>
  <c r="B1813" i="1" s="1"/>
  <c r="AW1603" i="1"/>
  <c r="B1677" i="1"/>
  <c r="B1751" i="1" s="1"/>
  <c r="B1825" i="1" s="1"/>
  <c r="AW1607" i="1"/>
  <c r="B1681" i="1"/>
  <c r="B1755" i="1" s="1"/>
  <c r="B1829" i="1" s="1"/>
  <c r="AW1601" i="1"/>
  <c r="B1675" i="1"/>
  <c r="B1749" i="1" s="1"/>
  <c r="B1823" i="1" s="1"/>
  <c r="AW1605" i="1"/>
  <c r="B1679" i="1"/>
  <c r="B1753" i="1" s="1"/>
  <c r="B1827" i="1" s="1"/>
  <c r="AW1589" i="1"/>
  <c r="AW1611" i="1"/>
  <c r="B1685" i="1"/>
  <c r="B1759" i="1" s="1"/>
  <c r="B1833" i="1" s="1"/>
  <c r="K11" i="2"/>
  <c r="AC7" i="2"/>
  <c r="AA8" i="2"/>
  <c r="AB39" i="2" l="1"/>
  <c r="B1811" i="1"/>
  <c r="AW1659" i="1"/>
  <c r="AW1689" i="1"/>
  <c r="AW1651" i="1"/>
  <c r="AW1645" i="1"/>
  <c r="AW1653" i="1"/>
  <c r="AW1691" i="1"/>
  <c r="AW1655" i="1"/>
  <c r="AW1657" i="1"/>
  <c r="G1269" i="1"/>
  <c r="I1269" i="1" s="1"/>
  <c r="K1269" i="1" s="1"/>
  <c r="M1269" i="1" s="1"/>
  <c r="O1269" i="1" s="1"/>
  <c r="Q1269" i="1" s="1"/>
  <c r="S1269" i="1" s="1"/>
  <c r="W1269" i="1" s="1"/>
  <c r="Y1269" i="1" s="1"/>
  <c r="AA1269" i="1" s="1"/>
  <c r="AC1269" i="1" s="1"/>
  <c r="AE1269" i="1" s="1"/>
  <c r="AG1269" i="1" s="1"/>
  <c r="AI1269" i="1" s="1"/>
  <c r="G1341" i="1"/>
  <c r="AW1649" i="1"/>
  <c r="B1347" i="1"/>
  <c r="AW1273" i="1"/>
  <c r="AW1322" i="1" s="1"/>
  <c r="AW1647" i="1"/>
  <c r="AW1661" i="1"/>
  <c r="AW1663" i="1"/>
  <c r="AW1667" i="1"/>
  <c r="AW1687" i="1"/>
  <c r="AW1669" i="1"/>
  <c r="AW1679" i="1"/>
  <c r="AW1681" i="1"/>
  <c r="AW1665" i="1"/>
  <c r="AW1683" i="1"/>
  <c r="AW1673" i="1"/>
  <c r="AW1675" i="1"/>
  <c r="AW1677" i="1"/>
  <c r="AW1671" i="1"/>
  <c r="AW1685" i="1"/>
  <c r="AD7" i="2"/>
  <c r="AC8" i="2"/>
  <c r="AC39" i="2" l="1"/>
  <c r="AC11" i="2"/>
  <c r="AC38" i="2"/>
  <c r="AW1731" i="1"/>
  <c r="AW1727" i="1"/>
  <c r="AW1763" i="1"/>
  <c r="AW1721" i="1"/>
  <c r="AW1765" i="1"/>
  <c r="B1421" i="1"/>
  <c r="AD38" i="2" s="1"/>
  <c r="AW1347" i="1"/>
  <c r="AW1396" i="1" s="1"/>
  <c r="G1343" i="1"/>
  <c r="I1343" i="1" s="1"/>
  <c r="K1343" i="1" s="1"/>
  <c r="M1343" i="1" s="1"/>
  <c r="O1343" i="1" s="1"/>
  <c r="Q1343" i="1" s="1"/>
  <c r="S1343" i="1" s="1"/>
  <c r="W1343" i="1" s="1"/>
  <c r="Y1343" i="1" s="1"/>
  <c r="AA1343" i="1" s="1"/>
  <c r="AC1343" i="1" s="1"/>
  <c r="AE1343" i="1" s="1"/>
  <c r="AG1343" i="1" s="1"/>
  <c r="AI1343" i="1" s="1"/>
  <c r="K1341" i="1"/>
  <c r="G1415" i="1" s="1"/>
  <c r="AW1725" i="1"/>
  <c r="AW1723" i="1"/>
  <c r="AW1729" i="1"/>
  <c r="AW1719" i="1"/>
  <c r="AW1733" i="1"/>
  <c r="AW1735" i="1"/>
  <c r="AW1755" i="1"/>
  <c r="AW1747" i="1"/>
  <c r="AW1739" i="1"/>
  <c r="AW1753" i="1"/>
  <c r="AW1761" i="1"/>
  <c r="AW1737" i="1"/>
  <c r="AW1743" i="1"/>
  <c r="AW1751" i="1"/>
  <c r="AW1741" i="1"/>
  <c r="AW1745" i="1"/>
  <c r="AW1749" i="1"/>
  <c r="AW1757" i="1"/>
  <c r="AW1759" i="1"/>
  <c r="AE7" i="2"/>
  <c r="AD8" i="2"/>
  <c r="AD39" i="2" l="1"/>
  <c r="AE39" i="2"/>
  <c r="AE38" i="2"/>
  <c r="B1873" i="1"/>
  <c r="AW1873" i="1" s="1"/>
  <c r="AW1799" i="1"/>
  <c r="AW1797" i="1"/>
  <c r="B1871" i="1"/>
  <c r="AW1871" i="1" s="1"/>
  <c r="AW1837" i="1"/>
  <c r="B1911" i="1"/>
  <c r="AW1911" i="1" s="1"/>
  <c r="AW1807" i="1"/>
  <c r="B1881" i="1"/>
  <c r="AW1881" i="1" s="1"/>
  <c r="AW1421" i="1"/>
  <c r="AW1470" i="1" s="1"/>
  <c r="B1495" i="1"/>
  <c r="AW1793" i="1"/>
  <c r="B1867" i="1"/>
  <c r="AW1867" i="1" s="1"/>
  <c r="AW1839" i="1"/>
  <c r="B1913" i="1"/>
  <c r="AW1913" i="1" s="1"/>
  <c r="AW1801" i="1"/>
  <c r="B1875" i="1"/>
  <c r="AW1875" i="1" s="1"/>
  <c r="B1877" i="1"/>
  <c r="AW1877" i="1" s="1"/>
  <c r="AW1803" i="1"/>
  <c r="G1417" i="1"/>
  <c r="I1417" i="1" s="1"/>
  <c r="K1417" i="1" s="1"/>
  <c r="M1417" i="1" s="1"/>
  <c r="O1417" i="1" s="1"/>
  <c r="Q1417" i="1" s="1"/>
  <c r="S1417" i="1" s="1"/>
  <c r="W1417" i="1" s="1"/>
  <c r="Y1417" i="1" s="1"/>
  <c r="AA1417" i="1" s="1"/>
  <c r="AC1417" i="1" s="1"/>
  <c r="AE1417" i="1" s="1"/>
  <c r="AG1417" i="1" s="1"/>
  <c r="AI1417" i="1" s="1"/>
  <c r="K1415" i="1"/>
  <c r="G1489" i="1" s="1"/>
  <c r="AW1805" i="1"/>
  <c r="B1879" i="1"/>
  <c r="AW1879" i="1" s="1"/>
  <c r="AW1795" i="1"/>
  <c r="B1869" i="1"/>
  <c r="AW1869" i="1" s="1"/>
  <c r="AW1809" i="1"/>
  <c r="B1883" i="1"/>
  <c r="AW1883" i="1" s="1"/>
  <c r="AW1829" i="1"/>
  <c r="B1903" i="1"/>
  <c r="AW1903" i="1" s="1"/>
  <c r="B1885" i="1"/>
  <c r="AW1811" i="1"/>
  <c r="AW1821" i="1"/>
  <c r="B1895" i="1"/>
  <c r="AW1895" i="1" s="1"/>
  <c r="AW1823" i="1"/>
  <c r="B1897" i="1"/>
  <c r="AW1897" i="1" s="1"/>
  <c r="AW1817" i="1"/>
  <c r="B1891" i="1"/>
  <c r="AW1891" i="1" s="1"/>
  <c r="AW1835" i="1"/>
  <c r="B1909" i="1"/>
  <c r="AW1909" i="1" s="1"/>
  <c r="AW1813" i="1"/>
  <c r="B1887" i="1"/>
  <c r="AW1887" i="1" s="1"/>
  <c r="B1889" i="1"/>
  <c r="AW1889" i="1" s="1"/>
  <c r="AW1815" i="1"/>
  <c r="AW1831" i="1"/>
  <c r="B1905" i="1"/>
  <c r="AW1905" i="1" s="1"/>
  <c r="AW1819" i="1"/>
  <c r="B1893" i="1"/>
  <c r="AW1893" i="1" s="1"/>
  <c r="AW1825" i="1"/>
  <c r="B1899" i="1"/>
  <c r="AW1899" i="1" s="1"/>
  <c r="AW1827" i="1"/>
  <c r="AW1901" i="1"/>
  <c r="AW1833" i="1"/>
  <c r="B1907" i="1"/>
  <c r="AW1907" i="1" s="1"/>
  <c r="AF7" i="2"/>
  <c r="AE8" i="2"/>
  <c r="AF39" i="2" l="1"/>
  <c r="AF38" i="2"/>
  <c r="AW1885" i="1"/>
  <c r="B1569" i="1"/>
  <c r="AW1495" i="1"/>
  <c r="AW1544" i="1" s="1"/>
  <c r="G1491" i="1"/>
  <c r="I1491" i="1" s="1"/>
  <c r="K1491" i="1" s="1"/>
  <c r="M1491" i="1" s="1"/>
  <c r="O1491" i="1" s="1"/>
  <c r="Q1491" i="1" s="1"/>
  <c r="S1491" i="1" s="1"/>
  <c r="W1491" i="1" s="1"/>
  <c r="Y1491" i="1" s="1"/>
  <c r="AA1491" i="1" s="1"/>
  <c r="AC1491" i="1" s="1"/>
  <c r="AE1491" i="1" s="1"/>
  <c r="AG1491" i="1" s="1"/>
  <c r="AI1491" i="1" s="1"/>
  <c r="K1489" i="1"/>
  <c r="G1563" i="1" s="1"/>
  <c r="AG7" i="2"/>
  <c r="AF8" i="2"/>
  <c r="AG39" i="2" l="1"/>
  <c r="AG38" i="2"/>
  <c r="G1565" i="1"/>
  <c r="I1565" i="1" s="1"/>
  <c r="K1565" i="1" s="1"/>
  <c r="M1565" i="1" s="1"/>
  <c r="O1565" i="1" s="1"/>
  <c r="Q1565" i="1" s="1"/>
  <c r="S1565" i="1" s="1"/>
  <c r="W1565" i="1" s="1"/>
  <c r="Y1565" i="1" s="1"/>
  <c r="AA1565" i="1" s="1"/>
  <c r="AC1565" i="1" s="1"/>
  <c r="AE1565" i="1" s="1"/>
  <c r="AG1565" i="1" s="1"/>
  <c r="AI1565" i="1" s="1"/>
  <c r="K1563" i="1"/>
  <c r="G1637" i="1" s="1"/>
  <c r="B1643" i="1"/>
  <c r="B1717" i="1" s="1"/>
  <c r="B1791" i="1" s="1"/>
  <c r="AW1569" i="1"/>
  <c r="AW1618" i="1" s="1"/>
  <c r="AH7" i="2"/>
  <c r="AG8" i="2"/>
  <c r="AH39" i="2" l="1"/>
  <c r="AH38" i="2"/>
  <c r="AW1643" i="1"/>
  <c r="AW1692" i="1" s="1"/>
  <c r="G1639" i="1"/>
  <c r="I1639" i="1" s="1"/>
  <c r="K1639" i="1" s="1"/>
  <c r="M1639" i="1" s="1"/>
  <c r="O1639" i="1" s="1"/>
  <c r="Q1639" i="1" s="1"/>
  <c r="S1639" i="1" s="1"/>
  <c r="W1639" i="1" s="1"/>
  <c r="Y1639" i="1" s="1"/>
  <c r="AA1639" i="1" s="1"/>
  <c r="AC1639" i="1" s="1"/>
  <c r="AE1639" i="1" s="1"/>
  <c r="AG1639" i="1" s="1"/>
  <c r="AI1639" i="1" s="1"/>
  <c r="K1637" i="1"/>
  <c r="G1711" i="1" s="1"/>
  <c r="AI7" i="2"/>
  <c r="AH8" i="2"/>
  <c r="AI39" i="2" l="1"/>
  <c r="AI38" i="2"/>
  <c r="G1713" i="1"/>
  <c r="I1713" i="1" s="1"/>
  <c r="K1713" i="1" s="1"/>
  <c r="M1713" i="1" s="1"/>
  <c r="O1713" i="1" s="1"/>
  <c r="Q1713" i="1" s="1"/>
  <c r="S1713" i="1" s="1"/>
  <c r="W1713" i="1" s="1"/>
  <c r="Y1713" i="1" s="1"/>
  <c r="AA1713" i="1" s="1"/>
  <c r="AC1713" i="1" s="1"/>
  <c r="AE1713" i="1" s="1"/>
  <c r="AG1713" i="1" s="1"/>
  <c r="AI1713" i="1" s="1"/>
  <c r="K1711" i="1"/>
  <c r="G1785" i="1" s="1"/>
  <c r="AW1717" i="1"/>
  <c r="AW1766" i="1" s="1"/>
  <c r="AJ7" i="2"/>
  <c r="AI8" i="2"/>
  <c r="AJ8" i="2" l="1"/>
  <c r="AJ39" i="2"/>
  <c r="AJ38" i="2"/>
  <c r="AL38" i="2" s="1"/>
  <c r="AM38" i="2" s="1"/>
  <c r="AW1791" i="1"/>
  <c r="AW1840" i="1" s="1"/>
  <c r="B1865" i="1"/>
  <c r="AW1865" i="1" s="1"/>
  <c r="AW1914" i="1" s="1"/>
  <c r="G1787" i="1"/>
  <c r="I1787" i="1" s="1"/>
  <c r="K1787" i="1" s="1"/>
  <c r="M1787" i="1" s="1"/>
  <c r="O1787" i="1" s="1"/>
  <c r="Q1787" i="1" s="1"/>
  <c r="S1787" i="1" s="1"/>
  <c r="W1787" i="1" s="1"/>
  <c r="Y1787" i="1" s="1"/>
  <c r="AA1787" i="1" s="1"/>
  <c r="AC1787" i="1" s="1"/>
  <c r="AE1787" i="1" s="1"/>
  <c r="AG1787" i="1" s="1"/>
  <c r="AI1787" i="1" s="1"/>
  <c r="K1785" i="1"/>
  <c r="G1859" i="1" s="1"/>
  <c r="AC117" i="2"/>
  <c r="G1861" i="1" l="1"/>
  <c r="I1861" i="1" s="1"/>
  <c r="K1861" i="1" s="1"/>
  <c r="M1861" i="1" s="1"/>
  <c r="O1861" i="1" s="1"/>
  <c r="Q1861" i="1" s="1"/>
  <c r="S1861" i="1" s="1"/>
  <c r="W1861" i="1" s="1"/>
  <c r="Y1861" i="1" s="1"/>
  <c r="AA1861" i="1" s="1"/>
  <c r="AC1861" i="1" s="1"/>
  <c r="AE1861" i="1" s="1"/>
  <c r="AG1861" i="1" s="1"/>
  <c r="AI1861" i="1" s="1"/>
  <c r="K1859" i="1"/>
  <c r="AB12" i="2"/>
  <c r="AB15" i="2"/>
  <c r="AB60" i="2"/>
  <c r="AB84" i="2"/>
  <c r="AB48" i="2"/>
  <c r="AB72" i="2"/>
  <c r="AC119" i="2"/>
  <c r="AB35" i="2"/>
  <c r="AB56" i="2"/>
  <c r="AB86" i="2"/>
  <c r="J11" i="2"/>
  <c r="AB23" i="2"/>
  <c r="AB99" i="2"/>
  <c r="AB24" i="2"/>
  <c r="AB36" i="2"/>
  <c r="AB47" i="2"/>
  <c r="AB68" i="2"/>
  <c r="AB104" i="2"/>
  <c r="AB14" i="2"/>
  <c r="AB51" i="2"/>
  <c r="AB75" i="2"/>
  <c r="AB74" i="2"/>
  <c r="AB102" i="2"/>
  <c r="P59" i="2"/>
  <c r="R17" i="2"/>
  <c r="AB18" i="2"/>
  <c r="AB30" i="2"/>
  <c r="AB42" i="2"/>
  <c r="AB17" i="2"/>
  <c r="AB29" i="2"/>
  <c r="AB41" i="2"/>
  <c r="AB54" i="2"/>
  <c r="AB66" i="2"/>
  <c r="AB50" i="2"/>
  <c r="AB62" i="2"/>
  <c r="AB77" i="2"/>
  <c r="AB90" i="2"/>
  <c r="AB80" i="2"/>
  <c r="AB95" i="2"/>
  <c r="AC108" i="2"/>
  <c r="R69" i="2"/>
  <c r="AB27" i="2"/>
  <c r="AB26" i="2"/>
  <c r="AB63" i="2"/>
  <c r="AB59" i="2"/>
  <c r="AB87" i="2"/>
  <c r="AB92" i="2"/>
  <c r="AC120" i="2"/>
  <c r="S101" i="2"/>
  <c r="X75" i="2"/>
  <c r="AB11" i="2"/>
  <c r="AB21" i="2"/>
  <c r="AB33" i="2"/>
  <c r="AB45" i="2"/>
  <c r="AB20" i="2"/>
  <c r="AB32" i="2"/>
  <c r="AB44" i="2"/>
  <c r="AB57" i="2"/>
  <c r="AB69" i="2"/>
  <c r="AB53" i="2"/>
  <c r="AB65" i="2"/>
  <c r="AB78" i="2"/>
  <c r="AB96" i="2"/>
  <c r="AB83" i="2"/>
  <c r="AB98" i="2"/>
  <c r="AC110" i="2"/>
  <c r="AC116" i="2"/>
  <c r="T21" i="2"/>
  <c r="X59" i="2"/>
  <c r="Q75" i="2"/>
  <c r="Q95" i="2"/>
  <c r="Q108" i="2"/>
  <c r="Q72" i="2"/>
  <c r="W119" i="2"/>
  <c r="X66" i="2"/>
  <c r="R36" i="2"/>
  <c r="T95" i="2"/>
  <c r="R63" i="2"/>
  <c r="S110" i="2"/>
  <c r="Q86" i="2"/>
  <c r="S104" i="2"/>
  <c r="AB71" i="2"/>
  <c r="AB81" i="2"/>
  <c r="AB93" i="2"/>
  <c r="AB105" i="2"/>
  <c r="AB89" i="2"/>
  <c r="AB101" i="2"/>
  <c r="AC111" i="2"/>
  <c r="AC113" i="2"/>
  <c r="AC114" i="2"/>
  <c r="AC107" i="2"/>
  <c r="AC123" i="2"/>
  <c r="AC122" i="2"/>
  <c r="T68" i="2"/>
  <c r="S24" i="2"/>
  <c r="S23" i="2"/>
  <c r="S84" i="2"/>
  <c r="T72" i="2"/>
  <c r="X63" i="2"/>
  <c r="Z11" i="2"/>
  <c r="Z14" i="2"/>
  <c r="Z63" i="2"/>
  <c r="Z81" i="2"/>
  <c r="Z101" i="2"/>
  <c r="AA108" i="2"/>
  <c r="X78" i="2"/>
  <c r="Q60" i="2"/>
  <c r="Q51" i="2"/>
  <c r="R18" i="2"/>
  <c r="Z33" i="2"/>
  <c r="Z41" i="2"/>
  <c r="Z62" i="2"/>
  <c r="Z80" i="2"/>
  <c r="AA107" i="2"/>
  <c r="X32" i="2"/>
  <c r="Q78" i="2"/>
  <c r="Z15" i="2"/>
  <c r="Z48" i="2"/>
  <c r="Z57" i="2"/>
  <c r="Z77" i="2"/>
  <c r="Z95" i="2"/>
  <c r="AA117" i="2"/>
  <c r="Y114" i="2"/>
  <c r="P84" i="2"/>
  <c r="U104" i="2"/>
  <c r="Q59" i="2"/>
  <c r="R123" i="2"/>
  <c r="Z35" i="2"/>
  <c r="Z56" i="2"/>
  <c r="Z102" i="2"/>
  <c r="AA120" i="2"/>
  <c r="Y111" i="2"/>
  <c r="T62" i="2"/>
  <c r="Q42" i="2"/>
  <c r="U63" i="2"/>
  <c r="U119" i="2"/>
  <c r="R47" i="2"/>
  <c r="P17" i="2"/>
  <c r="T93" i="2"/>
  <c r="X29" i="2"/>
  <c r="X68" i="2"/>
  <c r="T110" i="2"/>
  <c r="P27" i="2"/>
  <c r="S33" i="2"/>
  <c r="Q14" i="2"/>
  <c r="R107" i="2"/>
  <c r="U57" i="2"/>
  <c r="S120" i="2"/>
  <c r="V66" i="2"/>
  <c r="U47" i="2"/>
  <c r="U80" i="2"/>
  <c r="S83" i="2"/>
  <c r="U81" i="2"/>
  <c r="T87" i="2"/>
  <c r="V86" i="2"/>
  <c r="U33" i="2"/>
  <c r="Q41" i="2"/>
  <c r="V36" i="2"/>
  <c r="U71" i="2"/>
  <c r="V78" i="2"/>
  <c r="U92" i="2"/>
  <c r="V104" i="2"/>
  <c r="Q63" i="2"/>
  <c r="V77" i="2"/>
  <c r="Q30" i="2"/>
  <c r="R90" i="2"/>
  <c r="W90" i="2"/>
  <c r="W41" i="2"/>
  <c r="W87" i="2"/>
  <c r="W45" i="2"/>
  <c r="X123" i="2"/>
  <c r="W18" i="2"/>
  <c r="L123" i="2"/>
  <c r="J69" i="2"/>
  <c r="X83" i="2"/>
  <c r="X44" i="2"/>
  <c r="S86" i="2"/>
  <c r="Q18" i="2"/>
  <c r="Y119" i="2"/>
  <c r="R99" i="2"/>
  <c r="X54" i="2"/>
  <c r="R41" i="2"/>
  <c r="R68" i="2"/>
  <c r="S65" i="2"/>
  <c r="S35" i="2"/>
  <c r="U66" i="2"/>
  <c r="T11" i="2"/>
  <c r="S71" i="2"/>
  <c r="R111" i="2"/>
  <c r="U69" i="2"/>
  <c r="V107" i="2"/>
  <c r="Q114" i="2"/>
  <c r="W120" i="2"/>
  <c r="U122" i="2"/>
  <c r="W27" i="2"/>
  <c r="W54" i="2"/>
  <c r="W56" i="2"/>
  <c r="W60" i="2"/>
  <c r="K123" i="2"/>
  <c r="T116" i="2"/>
  <c r="V122" i="2"/>
  <c r="R98" i="2"/>
  <c r="Q57" i="2"/>
  <c r="Q87" i="2"/>
  <c r="S80" i="2"/>
  <c r="Q99" i="2"/>
  <c r="V29" i="2"/>
  <c r="R57" i="2"/>
  <c r="W78" i="2"/>
  <c r="Q71" i="2"/>
  <c r="X120" i="2"/>
  <c r="T53" i="2"/>
  <c r="L90" i="2"/>
  <c r="T23" i="2"/>
  <c r="Q12" i="2"/>
  <c r="U89" i="2"/>
  <c r="U17" i="2"/>
  <c r="V17" i="2"/>
  <c r="R86" i="2"/>
  <c r="W116" i="2"/>
  <c r="U35" i="2"/>
  <c r="W62" i="2"/>
  <c r="W92" i="2"/>
  <c r="W51" i="2"/>
  <c r="W98" i="2"/>
  <c r="S15" i="2"/>
  <c r="X51" i="2"/>
  <c r="Q111" i="2"/>
  <c r="T42" i="2"/>
  <c r="Q50" i="2"/>
  <c r="T48" i="2"/>
  <c r="S105" i="2"/>
  <c r="S81" i="2"/>
  <c r="Q62" i="2"/>
  <c r="X116" i="2"/>
  <c r="T96" i="2"/>
  <c r="W23" i="2"/>
  <c r="N90" i="2"/>
  <c r="M114" i="2"/>
  <c r="K93" i="2"/>
  <c r="N86" i="2"/>
  <c r="J78" i="2"/>
  <c r="N60" i="2"/>
  <c r="K84" i="2"/>
  <c r="L75" i="2"/>
  <c r="P51" i="2"/>
  <c r="P119" i="2"/>
  <c r="O21" i="2"/>
  <c r="O96" i="2"/>
  <c r="N17" i="2"/>
  <c r="M44" i="2"/>
  <c r="N81" i="2"/>
  <c r="T81" i="2"/>
  <c r="R21" i="2"/>
  <c r="S20" i="2"/>
  <c r="X65" i="2"/>
  <c r="S51" i="2"/>
  <c r="Y110" i="2"/>
  <c r="V110" i="2"/>
  <c r="V62" i="2"/>
  <c r="R65" i="2"/>
  <c r="U44" i="2"/>
  <c r="S95" i="2"/>
  <c r="V80" i="2"/>
  <c r="V99" i="2"/>
  <c r="U114" i="2"/>
  <c r="V27" i="2"/>
  <c r="V98" i="2"/>
  <c r="R110" i="2"/>
  <c r="S41" i="2"/>
  <c r="V89" i="2"/>
  <c r="Q101" i="2"/>
  <c r="T108" i="2"/>
  <c r="Q105" i="2"/>
  <c r="X122" i="2"/>
  <c r="W69" i="2"/>
  <c r="T29" i="2"/>
  <c r="W66" i="2"/>
  <c r="X113" i="2"/>
  <c r="W105" i="2"/>
  <c r="W29" i="2"/>
  <c r="J123" i="2"/>
  <c r="M122" i="2"/>
  <c r="L122" i="2"/>
  <c r="O123" i="2"/>
  <c r="K15" i="2"/>
  <c r="X72" i="2"/>
  <c r="Y122" i="2"/>
  <c r="X87" i="2"/>
  <c r="Q92" i="2"/>
  <c r="P23" i="2"/>
  <c r="Q45" i="2"/>
  <c r="S26" i="2"/>
  <c r="S122" i="2"/>
  <c r="U27" i="2"/>
  <c r="Y107" i="2"/>
  <c r="P71" i="2"/>
  <c r="V116" i="2"/>
  <c r="Q48" i="2"/>
  <c r="T99" i="2"/>
  <c r="W24" i="2"/>
  <c r="W12" i="2"/>
  <c r="W26" i="2"/>
  <c r="W30" i="2"/>
  <c r="Y123" i="2"/>
  <c r="R120" i="2"/>
  <c r="S17" i="2"/>
  <c r="V33" i="2"/>
  <c r="R95" i="2"/>
  <c r="P83" i="2"/>
  <c r="V72" i="2"/>
  <c r="W74" i="2"/>
  <c r="R56" i="2"/>
  <c r="W104" i="2"/>
  <c r="W75" i="2"/>
  <c r="W81" i="2"/>
  <c r="J122" i="2"/>
  <c r="T107" i="2"/>
  <c r="V35" i="2"/>
  <c r="V53" i="2"/>
  <c r="W123" i="2"/>
  <c r="S98" i="2"/>
  <c r="V114" i="2"/>
  <c r="V51" i="2"/>
  <c r="T54" i="2"/>
  <c r="S21" i="2"/>
  <c r="U113" i="2"/>
  <c r="W32" i="2"/>
  <c r="W59" i="2"/>
  <c r="W21" i="2"/>
  <c r="W53" i="2"/>
  <c r="K74" i="2"/>
  <c r="Q98" i="2"/>
  <c r="R105" i="2"/>
  <c r="W108" i="2"/>
  <c r="Q29" i="2"/>
  <c r="V69" i="2"/>
  <c r="V105" i="2"/>
  <c r="V12" i="2"/>
  <c r="W110" i="2"/>
  <c r="S78" i="2"/>
  <c r="W83" i="2"/>
  <c r="T98" i="2"/>
  <c r="X111" i="2"/>
  <c r="W101" i="2"/>
  <c r="X108" i="2"/>
  <c r="M123" i="2"/>
  <c r="N84" i="2"/>
  <c r="K62" i="2"/>
  <c r="L87" i="2"/>
  <c r="L23" i="2"/>
  <c r="K92" i="2"/>
  <c r="L68" i="2"/>
  <c r="L17" i="2"/>
  <c r="M110" i="2"/>
  <c r="M65" i="2"/>
  <c r="O66" i="2"/>
  <c r="J23" i="2"/>
  <c r="J32" i="2"/>
  <c r="J98" i="2"/>
  <c r="N18" i="2"/>
  <c r="P80" i="2"/>
  <c r="O33" i="2"/>
  <c r="M29" i="2"/>
  <c r="O86" i="2"/>
  <c r="O59" i="2"/>
  <c r="O23" i="2"/>
  <c r="M36" i="2"/>
  <c r="J72" i="2"/>
  <c r="O29" i="2"/>
  <c r="P77" i="2"/>
  <c r="U105" i="2"/>
  <c r="U56" i="2"/>
  <c r="X12" i="2"/>
  <c r="P69" i="2"/>
  <c r="Q27" i="2"/>
  <c r="Q26" i="2"/>
  <c r="X14" i="2"/>
  <c r="R45" i="2"/>
  <c r="V102" i="2"/>
  <c r="U93" i="2"/>
  <c r="S74" i="2"/>
  <c r="R93" i="2"/>
  <c r="R33" i="2"/>
  <c r="V95" i="2"/>
  <c r="W111" i="2"/>
  <c r="V30" i="2"/>
  <c r="R78" i="2"/>
  <c r="V83" i="2"/>
  <c r="V101" i="2"/>
  <c r="Q89" i="2"/>
  <c r="V42" i="2"/>
  <c r="V20" i="2"/>
  <c r="W117" i="2"/>
  <c r="T123" i="2"/>
  <c r="U107" i="2"/>
  <c r="R122" i="2"/>
  <c r="U78" i="2"/>
  <c r="W50" i="2"/>
  <c r="W48" i="2"/>
  <c r="W84" i="2"/>
  <c r="W86" i="2"/>
  <c r="K122" i="2"/>
  <c r="L83" i="2"/>
  <c r="K72" i="2"/>
  <c r="X23" i="2"/>
  <c r="R42" i="2"/>
  <c r="R51" i="2"/>
  <c r="Q15" i="2"/>
  <c r="X17" i="2"/>
  <c r="R77" i="2"/>
  <c r="T104" i="2"/>
  <c r="Q81" i="2"/>
  <c r="R104" i="2"/>
  <c r="Q54" i="2"/>
  <c r="R60" i="2"/>
  <c r="T36" i="2"/>
  <c r="Q113" i="2"/>
  <c r="X42" i="2"/>
  <c r="V56" i="2"/>
  <c r="S47" i="2"/>
  <c r="V47" i="2"/>
  <c r="T102" i="2"/>
  <c r="R50" i="2"/>
  <c r="V18" i="2"/>
  <c r="Q69" i="2"/>
  <c r="W102" i="2"/>
  <c r="U116" i="2"/>
  <c r="T12" i="2"/>
  <c r="X119" i="2"/>
  <c r="N123" i="2"/>
  <c r="S96" i="2"/>
  <c r="S68" i="2"/>
  <c r="Q84" i="2"/>
  <c r="V57" i="2"/>
  <c r="T65" i="2"/>
  <c r="W107" i="2"/>
  <c r="T33" i="2"/>
  <c r="T47" i="2"/>
  <c r="W15" i="2"/>
  <c r="W71" i="2"/>
  <c r="W33" i="2"/>
  <c r="W77" i="2"/>
  <c r="N122" i="2"/>
  <c r="L15" i="2"/>
  <c r="S107" i="2"/>
  <c r="R15" i="2"/>
  <c r="X71" i="2"/>
  <c r="R27" i="2"/>
  <c r="W113" i="2"/>
  <c r="S36" i="2"/>
  <c r="U60" i="2"/>
  <c r="Q83" i="2"/>
  <c r="S59" i="2"/>
  <c r="U42" i="2"/>
  <c r="S87" i="2"/>
  <c r="T78" i="2"/>
  <c r="X114" i="2"/>
  <c r="T32" i="2"/>
  <c r="W17" i="2"/>
  <c r="W35" i="2"/>
  <c r="T75" i="2"/>
  <c r="P53" i="2"/>
  <c r="P24" i="2"/>
  <c r="S63" i="2"/>
  <c r="U53" i="2"/>
  <c r="V60" i="2"/>
  <c r="Q23" i="2"/>
  <c r="U101" i="2"/>
  <c r="V84" i="2"/>
  <c r="R74" i="2"/>
  <c r="S119" i="2"/>
  <c r="W80" i="2"/>
  <c r="W68" i="2"/>
  <c r="W72" i="2"/>
  <c r="K29" i="2"/>
  <c r="K117" i="2"/>
  <c r="N107" i="2"/>
  <c r="J29" i="2"/>
  <c r="L71" i="2"/>
  <c r="K107" i="2"/>
  <c r="L95" i="2"/>
  <c r="N101" i="2"/>
  <c r="R35" i="2"/>
  <c r="L99" i="2"/>
  <c r="P104" i="2"/>
  <c r="M101" i="2"/>
  <c r="O107" i="2"/>
  <c r="J20" i="2"/>
  <c r="K23" i="2"/>
  <c r="K57" i="2"/>
  <c r="O116" i="2"/>
  <c r="J47" i="2"/>
  <c r="N50" i="2"/>
  <c r="O54" i="2"/>
  <c r="M42" i="2"/>
  <c r="L96" i="2"/>
  <c r="P92" i="2"/>
  <c r="M119" i="2"/>
  <c r="X53" i="2"/>
  <c r="R84" i="2"/>
  <c r="P90" i="2"/>
  <c r="T84" i="2"/>
  <c r="Q104" i="2"/>
  <c r="S113" i="2"/>
  <c r="X26" i="2"/>
  <c r="Q33" i="2"/>
  <c r="T74" i="2"/>
  <c r="T20" i="2"/>
  <c r="U51" i="2"/>
  <c r="U32" i="2"/>
  <c r="Q53" i="2"/>
  <c r="Q36" i="2"/>
  <c r="T17" i="2"/>
  <c r="T120" i="2"/>
  <c r="Q107" i="2"/>
  <c r="Q77" i="2"/>
  <c r="V15" i="2"/>
  <c r="T66" i="2"/>
  <c r="U72" i="2"/>
  <c r="V26" i="2"/>
  <c r="U108" i="2"/>
  <c r="S32" i="2"/>
  <c r="V90" i="2"/>
  <c r="V50" i="2"/>
  <c r="P105" i="2"/>
  <c r="W44" i="2"/>
  <c r="X107" i="2"/>
  <c r="W63" i="2"/>
  <c r="W65" i="2"/>
  <c r="J57" i="2"/>
  <c r="J41" i="2"/>
  <c r="N41" i="2"/>
  <c r="X48" i="2"/>
  <c r="X98" i="2"/>
  <c r="X77" i="2"/>
  <c r="Q66" i="2"/>
  <c r="X84" i="2"/>
  <c r="S77" i="2"/>
  <c r="X27" i="2"/>
  <c r="U84" i="2"/>
  <c r="S99" i="2"/>
  <c r="T30" i="2"/>
  <c r="T80" i="2"/>
  <c r="S48" i="2"/>
  <c r="T122" i="2"/>
  <c r="U98" i="2"/>
  <c r="T26" i="2"/>
  <c r="S60" i="2"/>
  <c r="T86" i="2"/>
  <c r="S69" i="2"/>
  <c r="V14" i="2"/>
  <c r="V65" i="2"/>
  <c r="T114" i="2"/>
  <c r="V63" i="2"/>
  <c r="R81" i="2"/>
  <c r="V11" i="2"/>
  <c r="V23" i="2"/>
  <c r="S14" i="2"/>
  <c r="U99" i="2"/>
  <c r="W57" i="2"/>
  <c r="W99" i="2"/>
  <c r="W89" i="2"/>
  <c r="W93" i="2"/>
  <c r="M50" i="2"/>
  <c r="T117" i="2"/>
  <c r="V119" i="2"/>
  <c r="X89" i="2"/>
  <c r="S56" i="2"/>
  <c r="V68" i="2"/>
  <c r="R26" i="2"/>
  <c r="V75" i="2"/>
  <c r="S123" i="2"/>
  <c r="T105" i="2"/>
  <c r="V93" i="2"/>
  <c r="U68" i="2"/>
  <c r="W122" i="2"/>
  <c r="X110" i="2"/>
  <c r="T89" i="2"/>
  <c r="T50" i="2"/>
  <c r="W14" i="2"/>
  <c r="W47" i="2"/>
  <c r="U110" i="2"/>
  <c r="S92" i="2"/>
  <c r="Q35" i="2"/>
  <c r="V45" i="2"/>
  <c r="S62" i="2"/>
  <c r="V41" i="2"/>
  <c r="S72" i="2"/>
  <c r="V96" i="2"/>
  <c r="Q93" i="2"/>
  <c r="W95" i="2"/>
  <c r="T24" i="2"/>
  <c r="X117" i="2"/>
  <c r="W96" i="2"/>
  <c r="T60" i="2"/>
  <c r="K111" i="2"/>
  <c r="S11" i="2"/>
  <c r="U23" i="2"/>
  <c r="R102" i="2"/>
  <c r="T69" i="2"/>
  <c r="V81" i="2"/>
  <c r="V54" i="2"/>
  <c r="Q21" i="2"/>
  <c r="V21" i="2"/>
  <c r="V74" i="2"/>
  <c r="U12" i="2"/>
  <c r="V71" i="2"/>
  <c r="R89" i="2"/>
  <c r="W20" i="2"/>
  <c r="W36" i="2"/>
  <c r="W11" i="2"/>
  <c r="W42" i="2"/>
  <c r="N113" i="2"/>
  <c r="J114" i="2"/>
  <c r="J39" i="2"/>
  <c r="K45" i="2"/>
  <c r="L27" i="2"/>
  <c r="J15" i="2"/>
  <c r="L41" i="2"/>
  <c r="K81" i="2"/>
  <c r="P122" i="2"/>
  <c r="K56" i="2"/>
  <c r="L53" i="2"/>
  <c r="L32" i="2"/>
  <c r="O65" i="2"/>
  <c r="M80" i="2"/>
  <c r="L84" i="2"/>
  <c r="P68" i="2"/>
  <c r="O72" i="2"/>
  <c r="N104" i="2"/>
  <c r="Q119" i="2"/>
  <c r="Q32" i="2"/>
  <c r="L35" i="2"/>
  <c r="L36" i="2"/>
  <c r="O71" i="2"/>
  <c r="M78" i="2"/>
  <c r="M90" i="2"/>
  <c r="M104" i="2"/>
  <c r="J48" i="2"/>
  <c r="K63" i="2"/>
  <c r="L30" i="2"/>
  <c r="Z120" i="2"/>
  <c r="Y96" i="2"/>
  <c r="Y75" i="2"/>
  <c r="Y56" i="2"/>
  <c r="Y11" i="2"/>
  <c r="L65" i="2"/>
  <c r="K66" i="2"/>
  <c r="M117" i="2"/>
  <c r="L20" i="2"/>
  <c r="J116" i="2"/>
  <c r="N77" i="2"/>
  <c r="J14" i="2"/>
  <c r="K87" i="2"/>
  <c r="J51" i="2"/>
  <c r="J110" i="2"/>
  <c r="K42" i="2"/>
  <c r="P21" i="2"/>
  <c r="K71" i="2"/>
  <c r="O87" i="2"/>
  <c r="P120" i="2"/>
  <c r="O32" i="2"/>
  <c r="P95" i="2"/>
  <c r="M98" i="2"/>
  <c r="M111" i="2"/>
  <c r="M20" i="2"/>
  <c r="M113" i="2"/>
  <c r="N57" i="2"/>
  <c r="P20" i="2"/>
  <c r="J12" i="2"/>
  <c r="M105" i="2"/>
  <c r="O108" i="2"/>
  <c r="M23" i="2"/>
  <c r="K69" i="2"/>
  <c r="Q122" i="2"/>
  <c r="K114" i="2"/>
  <c r="M57" i="2"/>
  <c r="Q116" i="2"/>
  <c r="Z110" i="2"/>
  <c r="Y81" i="2"/>
  <c r="Y60" i="2"/>
  <c r="Y42" i="2"/>
  <c r="Y35" i="2"/>
  <c r="Y44" i="2"/>
  <c r="J102" i="2"/>
  <c r="L86" i="2"/>
  <c r="N95" i="2"/>
  <c r="N66" i="2"/>
  <c r="K24" i="2"/>
  <c r="O51" i="2"/>
  <c r="L54" i="2"/>
  <c r="N54" i="2"/>
  <c r="N27" i="2"/>
  <c r="K47" i="2"/>
  <c r="L48" i="2"/>
  <c r="J65" i="2"/>
  <c r="N48" i="2"/>
  <c r="O45" i="2"/>
  <c r="M32" i="2"/>
  <c r="J60" i="2"/>
  <c r="O48" i="2"/>
  <c r="M71" i="2"/>
  <c r="M116" i="2"/>
  <c r="M63" i="2"/>
  <c r="N47" i="2"/>
  <c r="K12" i="2"/>
  <c r="P72" i="2"/>
  <c r="O114" i="2"/>
  <c r="O119" i="2"/>
  <c r="Q120" i="2"/>
  <c r="M53" i="2"/>
  <c r="O83" i="2"/>
  <c r="K26" i="2"/>
  <c r="N23" i="2"/>
  <c r="M21" i="2"/>
  <c r="O63" i="2"/>
  <c r="R23" i="2"/>
  <c r="O26" i="2"/>
  <c r="K17" i="2"/>
  <c r="M35" i="2"/>
  <c r="Y102" i="2"/>
  <c r="Y83" i="2"/>
  <c r="Y62" i="2"/>
  <c r="Y32" i="2"/>
  <c r="J104" i="2"/>
  <c r="N11" i="2"/>
  <c r="L60" i="2"/>
  <c r="J107" i="2"/>
  <c r="J68" i="2"/>
  <c r="N71" i="2"/>
  <c r="L72" i="2"/>
  <c r="L114" i="2"/>
  <c r="N65" i="2"/>
  <c r="P111" i="2"/>
  <c r="M87" i="2"/>
  <c r="J27" i="2"/>
  <c r="P87" i="2"/>
  <c r="N21" i="2"/>
  <c r="N111" i="2"/>
  <c r="P108" i="2"/>
  <c r="P114" i="2"/>
  <c r="J105" i="2"/>
  <c r="P116" i="2"/>
  <c r="K33" i="2"/>
  <c r="O122" i="2"/>
  <c r="Q123" i="2"/>
  <c r="K77" i="2"/>
  <c r="O57" i="2"/>
  <c r="N36" i="2"/>
  <c r="M81" i="2"/>
  <c r="O93" i="2"/>
  <c r="P42" i="2"/>
  <c r="O30" i="2"/>
  <c r="J50" i="2"/>
  <c r="K113" i="2"/>
  <c r="O11" i="2"/>
  <c r="Y87" i="2"/>
  <c r="Y66" i="2"/>
  <c r="Y48" i="2"/>
  <c r="Y41" i="2"/>
  <c r="X80" i="2"/>
  <c r="X20" i="2"/>
  <c r="S108" i="2"/>
  <c r="R14" i="2"/>
  <c r="U75" i="2"/>
  <c r="S45" i="2"/>
  <c r="P96" i="2"/>
  <c r="Q96" i="2"/>
  <c r="X18" i="2"/>
  <c r="X95" i="2"/>
  <c r="X35" i="2"/>
  <c r="R48" i="2"/>
  <c r="T111" i="2"/>
  <c r="Q56" i="2"/>
  <c r="U111" i="2"/>
  <c r="U24" i="2"/>
  <c r="R54" i="2"/>
  <c r="P75" i="2"/>
  <c r="X93" i="2"/>
  <c r="X57" i="2"/>
  <c r="Q90" i="2"/>
  <c r="U54" i="2"/>
  <c r="S42" i="2"/>
  <c r="P65" i="2"/>
  <c r="S18" i="2"/>
  <c r="V59" i="2"/>
  <c r="AB114" i="2"/>
  <c r="AA105" i="2"/>
  <c r="AA93" i="2"/>
  <c r="AA81" i="2"/>
  <c r="AA98" i="2"/>
  <c r="AA86" i="2"/>
  <c r="AA72" i="2"/>
  <c r="AA60" i="2"/>
  <c r="AA77" i="2"/>
  <c r="AA65" i="2"/>
  <c r="AA53" i="2"/>
  <c r="AA42" i="2"/>
  <c r="AA30" i="2"/>
  <c r="AA18" i="2"/>
  <c r="AA47" i="2"/>
  <c r="AA35" i="2"/>
  <c r="AA23" i="2"/>
  <c r="J17" i="2"/>
  <c r="O42" i="2"/>
  <c r="K51" i="2"/>
  <c r="N105" i="2"/>
  <c r="N87" i="2"/>
  <c r="O78" i="2"/>
  <c r="N72" i="2"/>
  <c r="Z119" i="2"/>
  <c r="Y84" i="2"/>
  <c r="Y63" i="2"/>
  <c r="Y45" i="2"/>
  <c r="O113" i="2"/>
  <c r="K83" i="2"/>
  <c r="J66" i="2"/>
  <c r="L69" i="2"/>
  <c r="K54" i="2"/>
  <c r="L98" i="2"/>
  <c r="K86" i="2"/>
  <c r="K102" i="2"/>
  <c r="J54" i="2"/>
  <c r="N44" i="2"/>
  <c r="J36" i="2"/>
  <c r="N99" i="2"/>
  <c r="K101" i="2"/>
  <c r="P14" i="2"/>
  <c r="N96" i="2"/>
  <c r="M18" i="2"/>
  <c r="O41" i="2"/>
  <c r="O20" i="2"/>
  <c r="L50" i="2"/>
  <c r="N68" i="2"/>
  <c r="P86" i="2"/>
  <c r="M59" i="2"/>
  <c r="O15" i="2"/>
  <c r="K108" i="2"/>
  <c r="O95" i="2"/>
  <c r="J117" i="2"/>
  <c r="J89" i="2"/>
  <c r="J80" i="2"/>
  <c r="O35" i="2"/>
  <c r="L33" i="2"/>
  <c r="O18" i="2"/>
  <c r="P47" i="2"/>
  <c r="Z114" i="2"/>
  <c r="Y98" i="2"/>
  <c r="Y77" i="2"/>
  <c r="Y30" i="2"/>
  <c r="Y23" i="2"/>
  <c r="Y20" i="2"/>
  <c r="J77" i="2"/>
  <c r="L119" i="2"/>
  <c r="N15" i="2"/>
  <c r="J74" i="2"/>
  <c r="N29" i="2"/>
  <c r="L18" i="2"/>
  <c r="N78" i="2"/>
  <c r="N14" i="2"/>
  <c r="J108" i="2"/>
  <c r="J24" i="2"/>
  <c r="N75" i="2"/>
  <c r="N33" i="2"/>
  <c r="L21" i="2"/>
  <c r="M92" i="2"/>
  <c r="P41" i="2"/>
  <c r="N119" i="2"/>
  <c r="K60" i="2"/>
  <c r="J96" i="2"/>
  <c r="K14" i="2"/>
  <c r="L62" i="2"/>
  <c r="O81" i="2"/>
  <c r="O75" i="2"/>
  <c r="L77" i="2"/>
  <c r="M12" i="2"/>
  <c r="M30" i="2"/>
  <c r="K18" i="2"/>
  <c r="O68" i="2"/>
  <c r="J75" i="2"/>
  <c r="P66" i="2"/>
  <c r="K41" i="2"/>
  <c r="M51" i="2"/>
  <c r="Z122" i="2"/>
  <c r="Z117" i="2"/>
  <c r="Y90" i="2"/>
  <c r="Y69" i="2"/>
  <c r="Y50" i="2"/>
  <c r="L111" i="2"/>
  <c r="N62" i="2"/>
  <c r="L101" i="2"/>
  <c r="O117" i="2"/>
  <c r="L89" i="2"/>
  <c r="N51" i="2"/>
  <c r="N59" i="2"/>
  <c r="N93" i="2"/>
  <c r="M56" i="2"/>
  <c r="J92" i="2"/>
  <c r="J30" i="2"/>
  <c r="P48" i="2"/>
  <c r="P107" i="2"/>
  <c r="O69" i="2"/>
  <c r="J95" i="2"/>
  <c r="O102" i="2"/>
  <c r="L92" i="2"/>
  <c r="L26" i="2"/>
  <c r="N117" i="2"/>
  <c r="K53" i="2"/>
  <c r="O56" i="2"/>
  <c r="J119" i="2"/>
  <c r="M75" i="2"/>
  <c r="J33" i="2"/>
  <c r="K99" i="2"/>
  <c r="M83" i="2"/>
  <c r="Z107" i="2"/>
  <c r="Y104" i="2"/>
  <c r="Y54" i="2"/>
  <c r="Y36" i="2"/>
  <c r="Y29" i="2"/>
  <c r="X62" i="2"/>
  <c r="T59" i="2"/>
  <c r="T83" i="2"/>
  <c r="S29" i="2"/>
  <c r="T44" i="2"/>
  <c r="X36" i="2"/>
  <c r="U41" i="2"/>
  <c r="R113" i="2"/>
  <c r="P44" i="2"/>
  <c r="U86" i="2"/>
  <c r="T41" i="2"/>
  <c r="S50" i="2"/>
  <c r="T90" i="2"/>
  <c r="R80" i="2"/>
  <c r="T18" i="2"/>
  <c r="U21" i="2"/>
  <c r="X56" i="2"/>
  <c r="U74" i="2"/>
  <c r="T15" i="2"/>
  <c r="S111" i="2"/>
  <c r="Y117" i="2"/>
  <c r="V120" i="2"/>
  <c r="U123" i="2"/>
  <c r="Q47" i="2"/>
  <c r="U50" i="2"/>
  <c r="V92" i="2"/>
  <c r="AB110" i="2"/>
  <c r="AB116" i="2"/>
  <c r="AA102" i="2"/>
  <c r="AA90" i="2"/>
  <c r="AA78" i="2"/>
  <c r="AA95" i="2"/>
  <c r="AA83" i="2"/>
  <c r="AA69" i="2"/>
  <c r="AA57" i="2"/>
  <c r="AA74" i="2"/>
  <c r="AA62" i="2"/>
  <c r="AA50" i="2"/>
  <c r="AA27" i="2"/>
  <c r="AA15" i="2"/>
  <c r="AA44" i="2"/>
  <c r="AA32" i="2"/>
  <c r="AA20" i="2"/>
  <c r="O98" i="2"/>
  <c r="M120" i="2"/>
  <c r="O50" i="2"/>
  <c r="N56" i="2"/>
  <c r="P117" i="2"/>
  <c r="O24" i="2"/>
  <c r="Y101" i="2"/>
  <c r="Y51" i="2"/>
  <c r="Y33" i="2"/>
  <c r="J59" i="2"/>
  <c r="J99" i="2"/>
  <c r="L63" i="2"/>
  <c r="J63" i="2"/>
  <c r="L93" i="2"/>
  <c r="K21" i="2"/>
  <c r="J86" i="2"/>
  <c r="K78" i="2"/>
  <c r="K119" i="2"/>
  <c r="L29" i="2"/>
  <c r="J44" i="2"/>
  <c r="O17" i="2"/>
  <c r="N74" i="2"/>
  <c r="M84" i="2"/>
  <c r="N98" i="2"/>
  <c r="J42" i="2"/>
  <c r="O12" i="2"/>
  <c r="L51" i="2"/>
  <c r="L117" i="2"/>
  <c r="O60" i="2"/>
  <c r="K75" i="2"/>
  <c r="P98" i="2"/>
  <c r="P123" i="2"/>
  <c r="M15" i="2"/>
  <c r="M26" i="2"/>
  <c r="J90" i="2"/>
  <c r="M102" i="2"/>
  <c r="J18" i="2"/>
  <c r="M45" i="2"/>
  <c r="L56" i="2"/>
  <c r="O36" i="2"/>
  <c r="O110" i="2"/>
  <c r="M68" i="2"/>
  <c r="Y105" i="2"/>
  <c r="Y86" i="2"/>
  <c r="Y65" i="2"/>
  <c r="Y18" i="2"/>
  <c r="Y17" i="2"/>
  <c r="J101" i="2"/>
  <c r="O14" i="2"/>
  <c r="K120" i="2"/>
  <c r="K90" i="2"/>
  <c r="K105" i="2"/>
  <c r="J93" i="2"/>
  <c r="N32" i="2"/>
  <c r="N83" i="2"/>
  <c r="L66" i="2"/>
  <c r="O53" i="2"/>
  <c r="O62" i="2"/>
  <c r="N42" i="2"/>
  <c r="P26" i="2"/>
  <c r="M48" i="2"/>
  <c r="J81" i="2"/>
  <c r="O27" i="2"/>
  <c r="K65" i="2"/>
  <c r="O90" i="2"/>
  <c r="N24" i="2"/>
  <c r="P101" i="2"/>
  <c r="K110" i="2"/>
  <c r="K36" i="2"/>
  <c r="O89" i="2"/>
  <c r="K80" i="2"/>
  <c r="P81" i="2"/>
  <c r="O74" i="2"/>
  <c r="K59" i="2"/>
  <c r="J71" i="2"/>
  <c r="P12" i="2"/>
  <c r="Z111" i="2"/>
  <c r="Y78" i="2"/>
  <c r="Y57" i="2"/>
  <c r="Y26" i="2"/>
  <c r="L11" i="2"/>
  <c r="N116" i="2"/>
  <c r="L105" i="2"/>
  <c r="K104" i="2"/>
  <c r="J26" i="2"/>
  <c r="L113" i="2"/>
  <c r="L108" i="2"/>
  <c r="L14" i="2"/>
  <c r="Q74" i="2"/>
  <c r="K95" i="2"/>
  <c r="O80" i="2"/>
  <c r="N35" i="2"/>
  <c r="M99" i="2"/>
  <c r="M62" i="2"/>
  <c r="J53" i="2"/>
  <c r="O77" i="2"/>
  <c r="M54" i="2"/>
  <c r="K96" i="2"/>
  <c r="M77" i="2"/>
  <c r="O92" i="2"/>
  <c r="Q117" i="2"/>
  <c r="L59" i="2"/>
  <c r="K50" i="2"/>
  <c r="J83" i="2"/>
  <c r="M17" i="2"/>
  <c r="O120" i="2"/>
  <c r="N30" i="2"/>
  <c r="P60" i="2"/>
  <c r="P36" i="2"/>
  <c r="T51" i="2"/>
  <c r="Z116" i="2"/>
  <c r="Y92" i="2"/>
  <c r="Y71" i="2"/>
  <c r="Y24" i="2"/>
  <c r="X24" i="2"/>
  <c r="X86" i="2"/>
  <c r="V111" i="2"/>
  <c r="V117" i="2"/>
  <c r="U15" i="2"/>
  <c r="P45" i="2"/>
  <c r="X11" i="2"/>
  <c r="X104" i="2"/>
  <c r="R62" i="2"/>
  <c r="U11" i="2"/>
  <c r="S44" i="2"/>
  <c r="R108" i="2"/>
  <c r="S93" i="2"/>
  <c r="T27" i="2"/>
  <c r="Q80" i="2"/>
  <c r="R30" i="2"/>
  <c r="T57" i="2"/>
  <c r="P102" i="2"/>
  <c r="X21" i="2"/>
  <c r="R66" i="2"/>
  <c r="R75" i="2"/>
  <c r="V113" i="2"/>
  <c r="X81" i="2"/>
  <c r="W114" i="2"/>
  <c r="V87" i="2"/>
  <c r="AB123" i="2"/>
  <c r="AB119" i="2"/>
  <c r="AB111" i="2"/>
  <c r="AB108" i="2"/>
  <c r="AB107" i="2"/>
  <c r="AA99" i="2"/>
  <c r="AA87" i="2"/>
  <c r="AA104" i="2"/>
  <c r="AA92" i="2"/>
  <c r="AA80" i="2"/>
  <c r="AA66" i="2"/>
  <c r="AA54" i="2"/>
  <c r="AA71" i="2"/>
  <c r="AA59" i="2"/>
  <c r="AA48" i="2"/>
  <c r="AA36" i="2"/>
  <c r="AA24" i="2"/>
  <c r="AA12" i="2"/>
  <c r="AA41" i="2"/>
  <c r="AA29" i="2"/>
  <c r="AA17" i="2"/>
  <c r="AA21" i="2"/>
  <c r="AA11" i="2"/>
  <c r="AA26" i="2"/>
  <c r="P15" i="2"/>
  <c r="L120" i="2"/>
  <c r="N89" i="2"/>
  <c r="M27" i="2"/>
  <c r="M74" i="2"/>
  <c r="N120" i="2"/>
  <c r="M89" i="2"/>
  <c r="T71" i="2"/>
  <c r="Z113" i="2"/>
  <c r="Y89" i="2"/>
  <c r="Y68" i="2"/>
  <c r="Y21" i="2"/>
  <c r="K98" i="2"/>
  <c r="K116" i="2"/>
  <c r="J87" i="2"/>
  <c r="N108" i="2"/>
  <c r="L80" i="2"/>
  <c r="M108" i="2"/>
  <c r="J84" i="2"/>
  <c r="L116" i="2"/>
  <c r="K44" i="2"/>
  <c r="L12" i="2"/>
  <c r="L81" i="2"/>
  <c r="P74" i="2"/>
  <c r="L102" i="2"/>
  <c r="P57" i="2"/>
  <c r="O105" i="2"/>
  <c r="L47" i="2"/>
  <c r="M66" i="2"/>
  <c r="P78" i="2"/>
  <c r="P62" i="2"/>
  <c r="L104" i="2"/>
  <c r="L74" i="2"/>
  <c r="O99" i="2"/>
  <c r="L45" i="2"/>
  <c r="L110" i="2"/>
  <c r="L42" i="2"/>
  <c r="O44" i="2"/>
  <c r="O111" i="2"/>
  <c r="K68" i="2"/>
  <c r="N69" i="2"/>
  <c r="P110" i="2"/>
  <c r="K48" i="2"/>
  <c r="Z123" i="2"/>
  <c r="Y93" i="2"/>
  <c r="Y72" i="2"/>
  <c r="Y53" i="2"/>
  <c r="Y47" i="2"/>
  <c r="Y27" i="2"/>
  <c r="Y14" i="2"/>
  <c r="J120" i="2"/>
  <c r="N12" i="2"/>
  <c r="N26" i="2"/>
  <c r="O101" i="2"/>
  <c r="N53" i="2"/>
  <c r="N45" i="2"/>
  <c r="L44" i="2"/>
  <c r="M69" i="2"/>
  <c r="J45" i="2"/>
  <c r="M47" i="2"/>
  <c r="P54" i="2"/>
  <c r="L57" i="2"/>
  <c r="K30" i="2"/>
  <c r="J113" i="2"/>
  <c r="M14" i="2"/>
  <c r="O47" i="2"/>
  <c r="M41" i="2"/>
  <c r="P113" i="2"/>
  <c r="J21" i="2"/>
  <c r="P11" i="2"/>
  <c r="K32" i="2"/>
  <c r="M95" i="2"/>
  <c r="K35" i="2"/>
  <c r="M33" i="2"/>
  <c r="M86" i="2"/>
  <c r="M11" i="2"/>
  <c r="T101" i="2"/>
  <c r="Z108" i="2"/>
  <c r="Y95" i="2"/>
  <c r="Y74" i="2"/>
  <c r="Y15" i="2"/>
  <c r="N63" i="2"/>
  <c r="M107" i="2"/>
  <c r="L78" i="2"/>
  <c r="N80" i="2"/>
  <c r="N102" i="2"/>
  <c r="N20" i="2"/>
  <c r="N110" i="2"/>
  <c r="K89" i="2"/>
  <c r="N114" i="2"/>
  <c r="M24" i="2"/>
  <c r="O104" i="2"/>
  <c r="K27" i="2"/>
  <c r="M60" i="2"/>
  <c r="M72" i="2"/>
  <c r="P93" i="2"/>
  <c r="J111" i="2"/>
  <c r="M93" i="2"/>
  <c r="N92" i="2"/>
  <c r="K20" i="2"/>
  <c r="M96" i="2"/>
  <c r="L24" i="2"/>
  <c r="O84" i="2"/>
  <c r="L107" i="2"/>
  <c r="Y99" i="2"/>
  <c r="Y80" i="2"/>
  <c r="Y59" i="2"/>
  <c r="Y12" i="2"/>
  <c r="R72" i="2"/>
  <c r="P89" i="2"/>
  <c r="R59" i="2"/>
  <c r="U77" i="2"/>
  <c r="Y116" i="2"/>
  <c r="R11" i="2"/>
  <c r="P32" i="2"/>
  <c r="U83" i="2"/>
  <c r="R83" i="2"/>
  <c r="S12" i="2"/>
  <c r="X101" i="2"/>
  <c r="R87" i="2"/>
  <c r="V48" i="2"/>
  <c r="V24" i="2"/>
  <c r="S117" i="2"/>
  <c r="P18" i="2"/>
  <c r="U102" i="2"/>
  <c r="U20" i="2"/>
  <c r="T92" i="2"/>
  <c r="X74" i="2"/>
  <c r="P29" i="2"/>
  <c r="R24" i="2"/>
  <c r="P33" i="2"/>
  <c r="R119" i="2"/>
  <c r="V32" i="2"/>
  <c r="AB122" i="2"/>
  <c r="AB117" i="2"/>
  <c r="AB113" i="2"/>
  <c r="AB120" i="2"/>
  <c r="AA96" i="2"/>
  <c r="AA84" i="2"/>
  <c r="AA101" i="2"/>
  <c r="AA89" i="2"/>
  <c r="AA75" i="2"/>
  <c r="AA63" i="2"/>
  <c r="AA51" i="2"/>
  <c r="AA68" i="2"/>
  <c r="AA56" i="2"/>
  <c r="AA45" i="2"/>
  <c r="AA33" i="2"/>
  <c r="AA14" i="2"/>
  <c r="R101" i="2"/>
  <c r="P30" i="2"/>
  <c r="Z18" i="2"/>
  <c r="Z26" i="2"/>
  <c r="Z75" i="2"/>
  <c r="Z93" i="2"/>
  <c r="AA114" i="2"/>
  <c r="X102" i="2"/>
  <c r="R20" i="2"/>
  <c r="Q17" i="2"/>
  <c r="Q65" i="2"/>
  <c r="S57" i="2"/>
  <c r="Z45" i="2"/>
  <c r="Z54" i="2"/>
  <c r="Z74" i="2"/>
  <c r="Z92" i="2"/>
  <c r="R96" i="2"/>
  <c r="U29" i="2"/>
  <c r="P63" i="2"/>
  <c r="R29" i="2"/>
  <c r="S66" i="2"/>
  <c r="V108" i="2"/>
  <c r="T77" i="2"/>
  <c r="Z12" i="2"/>
  <c r="Z20" i="2"/>
  <c r="Z69" i="2"/>
  <c r="Z87" i="2"/>
  <c r="AA122" i="2"/>
  <c r="AA123" i="2"/>
  <c r="X90" i="2"/>
  <c r="X45" i="2"/>
  <c r="S27" i="2"/>
  <c r="X30" i="2"/>
  <c r="Z47" i="2"/>
  <c r="Z68" i="2"/>
  <c r="Z86" i="2"/>
  <c r="AA119" i="2"/>
  <c r="X50" i="2"/>
  <c r="Y113" i="2"/>
  <c r="Q11" i="2"/>
  <c r="R114" i="2"/>
  <c r="U87" i="2"/>
  <c r="T35" i="2"/>
  <c r="V123" i="2"/>
  <c r="X60" i="2"/>
  <c r="U30" i="2"/>
  <c r="U36" i="2"/>
  <c r="X15" i="2"/>
  <c r="R12" i="2"/>
  <c r="Q110" i="2"/>
  <c r="S53" i="2"/>
  <c r="S75" i="2"/>
  <c r="X92" i="2"/>
  <c r="Q68" i="2"/>
  <c r="T113" i="2"/>
  <c r="R44" i="2"/>
  <c r="Z30" i="2"/>
  <c r="Z59" i="2"/>
  <c r="Z105" i="2"/>
  <c r="AA116" i="2"/>
  <c r="S90" i="2"/>
  <c r="U62" i="2"/>
  <c r="U65" i="2"/>
  <c r="Z17" i="2"/>
  <c r="Z66" i="2"/>
  <c r="Z84" i="2"/>
  <c r="Z104" i="2"/>
  <c r="X47" i="2"/>
  <c r="P50" i="2"/>
  <c r="Q102" i="2"/>
  <c r="R32" i="2"/>
  <c r="Z24" i="2"/>
  <c r="Z32" i="2"/>
  <c r="Z53" i="2"/>
  <c r="Z99" i="2"/>
  <c r="X33" i="2"/>
  <c r="R71" i="2"/>
  <c r="S114" i="2"/>
  <c r="P35" i="2"/>
  <c r="Z60" i="2"/>
  <c r="Z78" i="2"/>
  <c r="Z98" i="2"/>
  <c r="AA113" i="2"/>
  <c r="U96" i="2"/>
  <c r="U95" i="2"/>
  <c r="S89" i="2"/>
  <c r="T119" i="2"/>
  <c r="Q44" i="2"/>
  <c r="U48" i="2"/>
  <c r="X105" i="2"/>
  <c r="P56" i="2"/>
  <c r="X96" i="2"/>
  <c r="R92" i="2"/>
  <c r="S30" i="2"/>
  <c r="P99" i="2"/>
  <c r="V44" i="2"/>
  <c r="Z27" i="2"/>
  <c r="Z42" i="2"/>
  <c r="Z51" i="2"/>
  <c r="Z71" i="2"/>
  <c r="Z89" i="2"/>
  <c r="R116" i="2"/>
  <c r="T45" i="2"/>
  <c r="T63" i="2"/>
  <c r="Z21" i="2"/>
  <c r="Z29" i="2"/>
  <c r="Z50" i="2"/>
  <c r="Z96" i="2"/>
  <c r="AA110" i="2"/>
  <c r="S116" i="2"/>
  <c r="T56" i="2"/>
  <c r="S54" i="2"/>
  <c r="Z36" i="2"/>
  <c r="Z44" i="2"/>
  <c r="Z65" i="2"/>
  <c r="Z83" i="2"/>
  <c r="AA111" i="2"/>
  <c r="X41" i="2"/>
  <c r="X99" i="2"/>
  <c r="U18" i="2"/>
  <c r="S102" i="2"/>
  <c r="U117" i="2"/>
  <c r="Q20" i="2"/>
  <c r="U45" i="2"/>
  <c r="Z23" i="2"/>
  <c r="Z72" i="2"/>
  <c r="Z90" i="2"/>
  <c r="Y120" i="2"/>
  <c r="X69" i="2"/>
  <c r="R117" i="2"/>
  <c r="U26" i="2"/>
  <c r="Y108" i="2"/>
  <c r="U120" i="2"/>
  <c r="U90" i="2"/>
  <c r="U59" i="2"/>
  <c r="Q24" i="2"/>
  <c r="AD123" i="2"/>
  <c r="AD122" i="2"/>
  <c r="AD110" i="2"/>
  <c r="AD120" i="2"/>
  <c r="AD108" i="2"/>
  <c r="AD114" i="2"/>
  <c r="AD111" i="2"/>
  <c r="AD116" i="2"/>
  <c r="AD117" i="2"/>
  <c r="AD113" i="2"/>
  <c r="AD107" i="2"/>
  <c r="AD119" i="2"/>
  <c r="AC105" i="2"/>
  <c r="AC102" i="2"/>
  <c r="AC99" i="2"/>
  <c r="AC96" i="2"/>
  <c r="AC93" i="2"/>
  <c r="AC90" i="2"/>
  <c r="AC87" i="2"/>
  <c r="AC84" i="2"/>
  <c r="AC81" i="2"/>
  <c r="AC78" i="2"/>
  <c r="AC104" i="2"/>
  <c r="AC101" i="2"/>
  <c r="AC98" i="2"/>
  <c r="AC95" i="2"/>
  <c r="AC92" i="2"/>
  <c r="AC89" i="2"/>
  <c r="AC86" i="2"/>
  <c r="AC83" i="2"/>
  <c r="AC80" i="2"/>
  <c r="AC75" i="2"/>
  <c r="AC72" i="2"/>
  <c r="AC69" i="2"/>
  <c r="AC66" i="2"/>
  <c r="AC63" i="2"/>
  <c r="AC60" i="2"/>
  <c r="AC57" i="2"/>
  <c r="AC54" i="2"/>
  <c r="AC51" i="2"/>
  <c r="AC77" i="2"/>
  <c r="AC74" i="2"/>
  <c r="AC71" i="2"/>
  <c r="AC68" i="2"/>
  <c r="AC65" i="2"/>
  <c r="AC62" i="2"/>
  <c r="AC59" i="2"/>
  <c r="AC56" i="2"/>
  <c r="AC53" i="2"/>
  <c r="AC50" i="2"/>
  <c r="AC48" i="2"/>
  <c r="AC45" i="2"/>
  <c r="AC42" i="2"/>
  <c r="AC36" i="2"/>
  <c r="AC33" i="2"/>
  <c r="AC30" i="2"/>
  <c r="AC27" i="2"/>
  <c r="AC24" i="2"/>
  <c r="AC21" i="2"/>
  <c r="AC18" i="2"/>
  <c r="AC15" i="2"/>
  <c r="AC12" i="2"/>
  <c r="AC47" i="2"/>
  <c r="AC44" i="2"/>
  <c r="AC41" i="2"/>
  <c r="AC35" i="2"/>
  <c r="AC32" i="2"/>
  <c r="AC29" i="2"/>
  <c r="AC26" i="2"/>
  <c r="AC23" i="2"/>
  <c r="AC20" i="2"/>
  <c r="AC17" i="2"/>
  <c r="AC14" i="2"/>
  <c r="AE123" i="2" l="1"/>
  <c r="AE122" i="2"/>
  <c r="AE111" i="2"/>
  <c r="AE116" i="2"/>
  <c r="AE117" i="2"/>
  <c r="AE110" i="2"/>
  <c r="AE114" i="2"/>
  <c r="AE108" i="2"/>
  <c r="AE120" i="2"/>
  <c r="AE113" i="2"/>
  <c r="AE107" i="2"/>
  <c r="AE119" i="2"/>
  <c r="AD104" i="2"/>
  <c r="AD101" i="2"/>
  <c r="AD98" i="2"/>
  <c r="AD95" i="2"/>
  <c r="AD92" i="2"/>
  <c r="AD89" i="2"/>
  <c r="AD86" i="2"/>
  <c r="AD83" i="2"/>
  <c r="AD80" i="2"/>
  <c r="AD105" i="2"/>
  <c r="AD102" i="2"/>
  <c r="AD99" i="2"/>
  <c r="AD96" i="2"/>
  <c r="AD93" i="2"/>
  <c r="AD90" i="2"/>
  <c r="AD87" i="2"/>
  <c r="AD84" i="2"/>
  <c r="AD81" i="2"/>
  <c r="AD78" i="2"/>
  <c r="AD77" i="2"/>
  <c r="AD74" i="2"/>
  <c r="AD71" i="2"/>
  <c r="AD68" i="2"/>
  <c r="AD65" i="2"/>
  <c r="AD62" i="2"/>
  <c r="AD59" i="2"/>
  <c r="AD56" i="2"/>
  <c r="AD53" i="2"/>
  <c r="AD50" i="2"/>
  <c r="AD75" i="2"/>
  <c r="AD72" i="2"/>
  <c r="AD69" i="2"/>
  <c r="AD66" i="2"/>
  <c r="AD63" i="2"/>
  <c r="AD60" i="2"/>
  <c r="AD57" i="2"/>
  <c r="AD54" i="2"/>
  <c r="AD51" i="2"/>
  <c r="AD47" i="2"/>
  <c r="AD44" i="2"/>
  <c r="AD41" i="2"/>
  <c r="AD35" i="2"/>
  <c r="AD32" i="2"/>
  <c r="AD29" i="2"/>
  <c r="AD26" i="2"/>
  <c r="AD23" i="2"/>
  <c r="AD20" i="2"/>
  <c r="AD17" i="2"/>
  <c r="AD14" i="2"/>
  <c r="AD48" i="2"/>
  <c r="AD45" i="2"/>
  <c r="AD42" i="2"/>
  <c r="AD36" i="2"/>
  <c r="AD33" i="2"/>
  <c r="AD30" i="2"/>
  <c r="AD27" i="2"/>
  <c r="AD24" i="2"/>
  <c r="AD21" i="2"/>
  <c r="AD18" i="2"/>
  <c r="AD15" i="2"/>
  <c r="AD12" i="2"/>
  <c r="AD11" i="2"/>
  <c r="AF122" i="2" l="1"/>
  <c r="AF123" i="2"/>
  <c r="AF111" i="2"/>
  <c r="AF114" i="2"/>
  <c r="AF108" i="2"/>
  <c r="AF113" i="2"/>
  <c r="AF116" i="2"/>
  <c r="AF110" i="2"/>
  <c r="AF117" i="2"/>
  <c r="AF119" i="2"/>
  <c r="AF107" i="2"/>
  <c r="AF120" i="2"/>
  <c r="AE105" i="2"/>
  <c r="AE102" i="2"/>
  <c r="AE99" i="2"/>
  <c r="AE96" i="2"/>
  <c r="AE93" i="2"/>
  <c r="AE90" i="2"/>
  <c r="AE87" i="2"/>
  <c r="AE84" i="2"/>
  <c r="AE81" i="2"/>
  <c r="AE78" i="2"/>
  <c r="AE104" i="2"/>
  <c r="AE101" i="2"/>
  <c r="AE98" i="2"/>
  <c r="AE95" i="2"/>
  <c r="AE92" i="2"/>
  <c r="AE89" i="2"/>
  <c r="AE86" i="2"/>
  <c r="AE83" i="2"/>
  <c r="AE80" i="2"/>
  <c r="AE75" i="2"/>
  <c r="AE72" i="2"/>
  <c r="AE69" i="2"/>
  <c r="AE66" i="2"/>
  <c r="AE63" i="2"/>
  <c r="AE60" i="2"/>
  <c r="AE57" i="2"/>
  <c r="AE54" i="2"/>
  <c r="AE51" i="2"/>
  <c r="AE77" i="2"/>
  <c r="AE74" i="2"/>
  <c r="AE71" i="2"/>
  <c r="AE68" i="2"/>
  <c r="AE65" i="2"/>
  <c r="AE62" i="2"/>
  <c r="AE59" i="2"/>
  <c r="AE53" i="2"/>
  <c r="AE50" i="2"/>
  <c r="AE48" i="2"/>
  <c r="AE45" i="2"/>
  <c r="AE42" i="2"/>
  <c r="AE36" i="2"/>
  <c r="AE33" i="2"/>
  <c r="AE30" i="2"/>
  <c r="AE27" i="2"/>
  <c r="AE24" i="2"/>
  <c r="AE21" i="2"/>
  <c r="AE18" i="2"/>
  <c r="AE15" i="2"/>
  <c r="AE12" i="2"/>
  <c r="AE11" i="2"/>
  <c r="AE47" i="2"/>
  <c r="AE44" i="2"/>
  <c r="AE41" i="2"/>
  <c r="AE35" i="2"/>
  <c r="AE32" i="2"/>
  <c r="AE29" i="2"/>
  <c r="AE26" i="2"/>
  <c r="AE23" i="2"/>
  <c r="AE20" i="2"/>
  <c r="AE17" i="2"/>
  <c r="AE14" i="2"/>
  <c r="AG122" i="2" l="1"/>
  <c r="AG123" i="2"/>
  <c r="AG116" i="2"/>
  <c r="AG107" i="2"/>
  <c r="AG111" i="2"/>
  <c r="AG119" i="2"/>
  <c r="AG113" i="2"/>
  <c r="AG117" i="2"/>
  <c r="AG114" i="2"/>
  <c r="AG120" i="2"/>
  <c r="AG108" i="2"/>
  <c r="AG110" i="2"/>
  <c r="AF104" i="2"/>
  <c r="AF101" i="2"/>
  <c r="AF98" i="2"/>
  <c r="AF95" i="2"/>
  <c r="AF92" i="2"/>
  <c r="AF89" i="2"/>
  <c r="AF86" i="2"/>
  <c r="AF83" i="2"/>
  <c r="AF80" i="2"/>
  <c r="AF105" i="2"/>
  <c r="AF102" i="2"/>
  <c r="AF99" i="2"/>
  <c r="AF96" i="2"/>
  <c r="AF93" i="2"/>
  <c r="AF90" i="2"/>
  <c r="AF87" i="2"/>
  <c r="AF84" i="2"/>
  <c r="AF81" i="2"/>
  <c r="AF78" i="2"/>
  <c r="AF77" i="2"/>
  <c r="AF74" i="2"/>
  <c r="AF71" i="2"/>
  <c r="AF68" i="2"/>
  <c r="AF65" i="2"/>
  <c r="AF62" i="2"/>
  <c r="AF59" i="2"/>
  <c r="AF56" i="2"/>
  <c r="AF53" i="2"/>
  <c r="AF50" i="2"/>
  <c r="AF75" i="2"/>
  <c r="AF72" i="2"/>
  <c r="AF69" i="2"/>
  <c r="AF66" i="2"/>
  <c r="AF63" i="2"/>
  <c r="AF60" i="2"/>
  <c r="AF57" i="2"/>
  <c r="AF54" i="2"/>
  <c r="AF51" i="2"/>
  <c r="AF47" i="2"/>
  <c r="AF44" i="2"/>
  <c r="AF41" i="2"/>
  <c r="AF35" i="2"/>
  <c r="AF32" i="2"/>
  <c r="AF29" i="2"/>
  <c r="AF26" i="2"/>
  <c r="AF23" i="2"/>
  <c r="AF20" i="2"/>
  <c r="AF17" i="2"/>
  <c r="AF14" i="2"/>
  <c r="AF48" i="2"/>
  <c r="AF45" i="2"/>
  <c r="AF42" i="2"/>
  <c r="AF36" i="2"/>
  <c r="AF33" i="2"/>
  <c r="AF30" i="2"/>
  <c r="AF27" i="2"/>
  <c r="AF24" i="2"/>
  <c r="AF21" i="2"/>
  <c r="AF18" i="2"/>
  <c r="AF15" i="2"/>
  <c r="AF12" i="2"/>
  <c r="AH122" i="2" l="1"/>
  <c r="AH123" i="2"/>
  <c r="AH120" i="2"/>
  <c r="AH110" i="2"/>
  <c r="AH113" i="2"/>
  <c r="AH114" i="2"/>
  <c r="AH111" i="2"/>
  <c r="AH108" i="2"/>
  <c r="AH117" i="2"/>
  <c r="AH119" i="2"/>
  <c r="AH107" i="2"/>
  <c r="AH116" i="2"/>
  <c r="AG105" i="2"/>
  <c r="AG102" i="2"/>
  <c r="AG99" i="2"/>
  <c r="AG96" i="2"/>
  <c r="AG93" i="2"/>
  <c r="AG90" i="2"/>
  <c r="AG87" i="2"/>
  <c r="AG84" i="2"/>
  <c r="AG81" i="2"/>
  <c r="AG78" i="2"/>
  <c r="AG104" i="2"/>
  <c r="AG101" i="2"/>
  <c r="AG98" i="2"/>
  <c r="AG95" i="2"/>
  <c r="AG92" i="2"/>
  <c r="AG89" i="2"/>
  <c r="AG86" i="2"/>
  <c r="AG83" i="2"/>
  <c r="AG80" i="2"/>
  <c r="AG75" i="2"/>
  <c r="AG72" i="2"/>
  <c r="AG69" i="2"/>
  <c r="AG66" i="2"/>
  <c r="AG63" i="2"/>
  <c r="AG60" i="2"/>
  <c r="AG57" i="2"/>
  <c r="AG54" i="2"/>
  <c r="AG51" i="2"/>
  <c r="AG77" i="2"/>
  <c r="AG74" i="2"/>
  <c r="AG71" i="2"/>
  <c r="AG68" i="2"/>
  <c r="AG65" i="2"/>
  <c r="AG62" i="2"/>
  <c r="AG59" i="2"/>
  <c r="AG56" i="2"/>
  <c r="AG53" i="2"/>
  <c r="AG50" i="2"/>
  <c r="AG48" i="2"/>
  <c r="AG45" i="2"/>
  <c r="AG42" i="2"/>
  <c r="AG36" i="2"/>
  <c r="AG33" i="2"/>
  <c r="AG30" i="2"/>
  <c r="AG27" i="2"/>
  <c r="AG24" i="2"/>
  <c r="AG21" i="2"/>
  <c r="AG18" i="2"/>
  <c r="AG15" i="2"/>
  <c r="AG12" i="2"/>
  <c r="AG11" i="2"/>
  <c r="AG47" i="2"/>
  <c r="AG44" i="2"/>
  <c r="AG41" i="2"/>
  <c r="AG35" i="2"/>
  <c r="AG32" i="2"/>
  <c r="AG29" i="2"/>
  <c r="AG26" i="2"/>
  <c r="AG23" i="2"/>
  <c r="AG20" i="2"/>
  <c r="AG17" i="2"/>
  <c r="AG14" i="2"/>
  <c r="AI122" i="2" l="1"/>
  <c r="AI123" i="2"/>
  <c r="AI110" i="2"/>
  <c r="AI107" i="2"/>
  <c r="AI120" i="2"/>
  <c r="AI111" i="2"/>
  <c r="AI116" i="2"/>
  <c r="AI108" i="2"/>
  <c r="AI113" i="2"/>
  <c r="AI114" i="2"/>
  <c r="AI117" i="2"/>
  <c r="AI119" i="2"/>
  <c r="AH104" i="2"/>
  <c r="AH101" i="2"/>
  <c r="AH98" i="2"/>
  <c r="AH95" i="2"/>
  <c r="AH92" i="2"/>
  <c r="AH89" i="2"/>
  <c r="AH86" i="2"/>
  <c r="AH83" i="2"/>
  <c r="AH80" i="2"/>
  <c r="AH105" i="2"/>
  <c r="AH102" i="2"/>
  <c r="AH99" i="2"/>
  <c r="AH96" i="2"/>
  <c r="AH93" i="2"/>
  <c r="AH90" i="2"/>
  <c r="AH87" i="2"/>
  <c r="AH84" i="2"/>
  <c r="AH81" i="2"/>
  <c r="AH78" i="2"/>
  <c r="AH77" i="2"/>
  <c r="AH74" i="2"/>
  <c r="AH71" i="2"/>
  <c r="AH68" i="2"/>
  <c r="AH65" i="2"/>
  <c r="AH62" i="2"/>
  <c r="AH59" i="2"/>
  <c r="AH56" i="2"/>
  <c r="AH53" i="2"/>
  <c r="AH50" i="2"/>
  <c r="AH75" i="2"/>
  <c r="AH72" i="2"/>
  <c r="AH69" i="2"/>
  <c r="AH66" i="2"/>
  <c r="AH63" i="2"/>
  <c r="AH60" i="2"/>
  <c r="AH57" i="2"/>
  <c r="AH54" i="2"/>
  <c r="AH51" i="2"/>
  <c r="AH47" i="2"/>
  <c r="AH44" i="2"/>
  <c r="AH41" i="2"/>
  <c r="AH35" i="2"/>
  <c r="AH32" i="2"/>
  <c r="AH29" i="2"/>
  <c r="AH26" i="2"/>
  <c r="AH23" i="2"/>
  <c r="AH20" i="2"/>
  <c r="AH17" i="2"/>
  <c r="AH14" i="2"/>
  <c r="AH11" i="2"/>
  <c r="AH48" i="2"/>
  <c r="AH45" i="2"/>
  <c r="AH42" i="2"/>
  <c r="AH36" i="2"/>
  <c r="AH33" i="2"/>
  <c r="AH30" i="2"/>
  <c r="AH27" i="2"/>
  <c r="AH24" i="2"/>
  <c r="AH21" i="2"/>
  <c r="AH18" i="2"/>
  <c r="AH15" i="2"/>
  <c r="AH12" i="2"/>
  <c r="AJ122" i="2" l="1"/>
  <c r="AL122" i="2" s="1"/>
  <c r="AJ123" i="2"/>
  <c r="AL123" i="2" s="1"/>
  <c r="AJ119" i="2"/>
  <c r="AL119" i="2" s="1"/>
  <c r="AJ120" i="2"/>
  <c r="AL120" i="2" s="1"/>
  <c r="AJ117" i="2"/>
  <c r="AL117" i="2" s="1"/>
  <c r="AJ111" i="2"/>
  <c r="AL111" i="2" s="1"/>
  <c r="AJ113" i="2"/>
  <c r="AL113" i="2" s="1"/>
  <c r="AJ107" i="2"/>
  <c r="AL107" i="2" s="1"/>
  <c r="AJ116" i="2"/>
  <c r="AL116" i="2" s="1"/>
  <c r="AJ108" i="2"/>
  <c r="AL108" i="2" s="1"/>
  <c r="AJ110" i="2"/>
  <c r="AL110" i="2" s="1"/>
  <c r="AJ114" i="2"/>
  <c r="AL114" i="2" s="1"/>
  <c r="AI105" i="2"/>
  <c r="AI102" i="2"/>
  <c r="AI99" i="2"/>
  <c r="AI96" i="2"/>
  <c r="AI93" i="2"/>
  <c r="AI90" i="2"/>
  <c r="AI87" i="2"/>
  <c r="AI84" i="2"/>
  <c r="AI81" i="2"/>
  <c r="AI78" i="2"/>
  <c r="AI104" i="2"/>
  <c r="AI101" i="2"/>
  <c r="AI98" i="2"/>
  <c r="AI95" i="2"/>
  <c r="AI92" i="2"/>
  <c r="AI89" i="2"/>
  <c r="AI86" i="2"/>
  <c r="AI83" i="2"/>
  <c r="AI80" i="2"/>
  <c r="AI75" i="2"/>
  <c r="AI72" i="2"/>
  <c r="AI69" i="2"/>
  <c r="AI66" i="2"/>
  <c r="AI63" i="2"/>
  <c r="AI60" i="2"/>
  <c r="AI57" i="2"/>
  <c r="AI54" i="2"/>
  <c r="AI51" i="2"/>
  <c r="AI77" i="2"/>
  <c r="AI74" i="2"/>
  <c r="AI71" i="2"/>
  <c r="AI68" i="2"/>
  <c r="AI65" i="2"/>
  <c r="AI62" i="2"/>
  <c r="AI59" i="2"/>
  <c r="AI56" i="2"/>
  <c r="AI53" i="2"/>
  <c r="AI50" i="2"/>
  <c r="AI48" i="2"/>
  <c r="AI45" i="2"/>
  <c r="AI42" i="2"/>
  <c r="AI36" i="2"/>
  <c r="AI33" i="2"/>
  <c r="AI30" i="2"/>
  <c r="AI27" i="2"/>
  <c r="AI24" i="2"/>
  <c r="AI21" i="2"/>
  <c r="AI18" i="2"/>
  <c r="AI15" i="2"/>
  <c r="AI12" i="2"/>
  <c r="AI11" i="2"/>
  <c r="AI47" i="2"/>
  <c r="AI44" i="2"/>
  <c r="AI41" i="2"/>
  <c r="AI35" i="2"/>
  <c r="AI32" i="2"/>
  <c r="AI29" i="2"/>
  <c r="AI26" i="2"/>
  <c r="AI23" i="2"/>
  <c r="AI20" i="2"/>
  <c r="AI17" i="2"/>
  <c r="AI14" i="2"/>
  <c r="AJ104" i="2" l="1"/>
  <c r="AL104" i="2" s="1"/>
  <c r="AJ101" i="2"/>
  <c r="AL101" i="2" s="1"/>
  <c r="AJ98" i="2"/>
  <c r="AL98" i="2" s="1"/>
  <c r="AJ95" i="2"/>
  <c r="AL95" i="2" s="1"/>
  <c r="AJ92" i="2"/>
  <c r="AL92" i="2" s="1"/>
  <c r="AJ89" i="2"/>
  <c r="AL89" i="2" s="1"/>
  <c r="AJ86" i="2"/>
  <c r="AL86" i="2" s="1"/>
  <c r="AJ83" i="2"/>
  <c r="AL83" i="2" s="1"/>
  <c r="AJ80" i="2"/>
  <c r="AL80" i="2" s="1"/>
  <c r="AJ105" i="2"/>
  <c r="AL105" i="2" s="1"/>
  <c r="AJ102" i="2"/>
  <c r="AL102" i="2" s="1"/>
  <c r="AJ99" i="2"/>
  <c r="AL99" i="2" s="1"/>
  <c r="AJ96" i="2"/>
  <c r="AL96" i="2" s="1"/>
  <c r="AJ93" i="2"/>
  <c r="AL93" i="2" s="1"/>
  <c r="AJ90" i="2"/>
  <c r="AL90" i="2" s="1"/>
  <c r="AJ87" i="2"/>
  <c r="AL87" i="2" s="1"/>
  <c r="AJ84" i="2"/>
  <c r="AL84" i="2" s="1"/>
  <c r="AJ81" i="2"/>
  <c r="AL81" i="2" s="1"/>
  <c r="AJ78" i="2"/>
  <c r="AL78" i="2" s="1"/>
  <c r="AJ77" i="2"/>
  <c r="AL77" i="2" s="1"/>
  <c r="AJ74" i="2"/>
  <c r="AL74" i="2" s="1"/>
  <c r="AJ71" i="2"/>
  <c r="AL71" i="2" s="1"/>
  <c r="AJ68" i="2"/>
  <c r="AL68" i="2" s="1"/>
  <c r="AJ65" i="2"/>
  <c r="AL65" i="2" s="1"/>
  <c r="AM65" i="2" s="1"/>
  <c r="AJ62" i="2"/>
  <c r="AL62" i="2" s="1"/>
  <c r="AJ59" i="2"/>
  <c r="AL59" i="2" s="1"/>
  <c r="AM59" i="2" s="1"/>
  <c r="AJ56" i="2"/>
  <c r="AM56" i="2" s="1"/>
  <c r="AJ53" i="2"/>
  <c r="AL53" i="2" s="1"/>
  <c r="AM53" i="2" s="1"/>
  <c r="AJ50" i="2"/>
  <c r="AL50" i="2" s="1"/>
  <c r="AM50" i="2" s="1"/>
  <c r="AJ75" i="2"/>
  <c r="AL75" i="2" s="1"/>
  <c r="AJ72" i="2"/>
  <c r="AL72" i="2" s="1"/>
  <c r="AJ69" i="2"/>
  <c r="AL69" i="2" s="1"/>
  <c r="AJ66" i="2"/>
  <c r="AL66" i="2" s="1"/>
  <c r="AJ63" i="2"/>
  <c r="AL63" i="2" s="1"/>
  <c r="AJ60" i="2"/>
  <c r="AL60" i="2" s="1"/>
  <c r="AJ57" i="2"/>
  <c r="AL57" i="2" s="1"/>
  <c r="AJ54" i="2"/>
  <c r="AL54" i="2" s="1"/>
  <c r="AJ51" i="2"/>
  <c r="AL51" i="2" s="1"/>
  <c r="AJ47" i="2"/>
  <c r="AL47" i="2" s="1"/>
  <c r="AM47" i="2" s="1"/>
  <c r="AJ44" i="2"/>
  <c r="AL44" i="2" s="1"/>
  <c r="AM44" i="2" s="1"/>
  <c r="AJ41" i="2"/>
  <c r="AL41" i="2" s="1"/>
  <c r="AM41" i="2" s="1"/>
  <c r="AJ35" i="2"/>
  <c r="AL35" i="2" s="1"/>
  <c r="AM35" i="2" s="1"/>
  <c r="AJ32" i="2"/>
  <c r="AL32" i="2" s="1"/>
  <c r="AM32" i="2" s="1"/>
  <c r="AJ29" i="2"/>
  <c r="AJ26" i="2"/>
  <c r="AL26" i="2" s="1"/>
  <c r="AM26" i="2" s="1"/>
  <c r="AJ23" i="2"/>
  <c r="AL23" i="2" s="1"/>
  <c r="AM23" i="2" s="1"/>
  <c r="AJ20" i="2"/>
  <c r="AL20" i="2" s="1"/>
  <c r="AM20" i="2" s="1"/>
  <c r="AJ17" i="2"/>
  <c r="AL17" i="2" s="1"/>
  <c r="AM17" i="2" s="1"/>
  <c r="AJ14" i="2"/>
  <c r="AL14" i="2" s="1"/>
  <c r="AM14" i="2" s="1"/>
  <c r="AJ48" i="2"/>
  <c r="AL48" i="2" s="1"/>
  <c r="AJ45" i="2"/>
  <c r="AL45" i="2" s="1"/>
  <c r="AJ42" i="2"/>
  <c r="AL42" i="2" s="1"/>
  <c r="AL39" i="2"/>
  <c r="AJ36" i="2"/>
  <c r="AL36" i="2" s="1"/>
  <c r="AJ33" i="2"/>
  <c r="AL33" i="2" s="1"/>
  <c r="AJ30" i="2"/>
  <c r="AL30" i="2" s="1"/>
  <c r="AJ27" i="2"/>
  <c r="AL27" i="2" s="1"/>
  <c r="AJ24" i="2"/>
  <c r="AL24" i="2" s="1"/>
  <c r="AJ21" i="2"/>
  <c r="AL21" i="2" s="1"/>
  <c r="AJ18" i="2"/>
  <c r="AL18" i="2" s="1"/>
  <c r="AJ15" i="2"/>
  <c r="AL15" i="2" s="1"/>
  <c r="AJ12" i="2"/>
  <c r="AL12" i="2" s="1"/>
  <c r="AJ11" i="2"/>
  <c r="AL11" i="2" s="1"/>
  <c r="AM11" i="2" s="1"/>
  <c r="AL29" i="2" l="1"/>
  <c r="AM2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tc={C4C4017A-8014-4E4A-9849-BC4691EF4AE1}</author>
    <author>tc={D9E9D9AF-4F37-49ED-9F17-7F310BE8DDC7}</author>
    <author>tc={48912B4F-2B78-4309-8F43-891CF627E48C}</author>
    <author>tc={169D1953-BF91-4637-A365-6475C36DF2E9}</author>
    <author>Fortin, Veronique</author>
    <author>tc={28BF5DD2-39F7-4E21-89DE-FA8C3CE49FC1}</author>
    <author>tc={0DF7A2A9-28A1-45EE-ACB9-12C76E731137}</author>
    <author>tc={629A8A8B-43C0-4A15-B4F6-46CF88070447}</author>
    <author>tc={DD95BDD8-BB6B-46EE-8B1C-F0F17B626D46}</author>
  </authors>
  <commentList>
    <comment ref="J17" authorId="0" shapeId="0" xr:uid="{C4C4017A-8014-4E4A-9849-BC4691EF4AE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de l'année 2020-2021</t>
      </text>
    </comment>
    <comment ref="K30" authorId="1" shapeId="0" xr:uid="{D9E9D9AF-4F37-49ED-9F17-7F310BE8DDC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8 H de Maladie</t>
      </text>
    </comment>
    <comment ref="J38" authorId="2" shapeId="0" xr:uid="{48912B4F-2B78-4309-8F43-891CF627E4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de 2020-2021</t>
      </text>
    </comment>
    <comment ref="K38" authorId="3" shapeId="0" xr:uid="{169D1953-BF91-4637-A365-6475C36DF2E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qui a été reporté de 2020-2021</t>
      </text>
    </comment>
    <comment ref="J41" authorId="4" shapeId="0" xr:uid="{43774BCE-C10C-4B87-B6CA-F9886C8F765F}">
      <text>
        <r>
          <rPr>
            <b/>
            <sz val="9"/>
            <color indexed="81"/>
            <rFont val="Tahoma"/>
            <family val="2"/>
          </rPr>
          <t>Fortin, Veronique:</t>
        </r>
        <r>
          <rPr>
            <sz val="9"/>
            <color indexed="81"/>
            <rFont val="Tahoma"/>
            <family val="2"/>
          </rPr>
          <t xml:space="preserve">
Vacances de 2020-2021
</t>
        </r>
      </text>
    </comment>
    <comment ref="K41" authorId="5" shapeId="0" xr:uid="{28BF5DD2-39F7-4E21-89DE-FA8C3CE49FC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qui a été reporté de 2020-2021</t>
      </text>
    </comment>
    <comment ref="P41" authorId="6" shapeId="0" xr:uid="{0DF7A2A9-28A1-45EE-ACB9-12C76E73113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 jours qui avait été reporté pour l'année 2020-2021</t>
      </text>
    </comment>
    <comment ref="J44" authorId="7" shapeId="0" xr:uid="{629A8A8B-43C0-4A15-B4F6-46CF8807044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de l'année 2020-2021</t>
      </text>
    </comment>
    <comment ref="K44" authorId="8" shapeId="0" xr:uid="{DD95BDD8-BB6B-46EE-8B1C-F0F17B626D4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Vacances qui a été reporté de 2020-2021</t>
      </text>
    </comment>
  </commentList>
</comments>
</file>

<file path=xl/sharedStrings.xml><?xml version="1.0" encoding="utf-8"?>
<sst xmlns="http://schemas.openxmlformats.org/spreadsheetml/2006/main" count="2973" uniqueCount="112">
  <si>
    <t>Time sheet</t>
  </si>
  <si>
    <t>V</t>
  </si>
  <si>
    <t>A</t>
  </si>
  <si>
    <t>O</t>
  </si>
  <si>
    <t>Total</t>
  </si>
  <si>
    <t>Dept.</t>
  </si>
  <si>
    <t>Absence</t>
  </si>
  <si>
    <t>TOTAL</t>
  </si>
  <si>
    <t>DATE :</t>
  </si>
  <si>
    <t>NOTE :</t>
  </si>
  <si>
    <t>LAKNORD</t>
  </si>
  <si>
    <t>= Maladie</t>
  </si>
  <si>
    <t>M</t>
  </si>
  <si>
    <t>F</t>
  </si>
  <si>
    <t>= Congé férié</t>
  </si>
  <si>
    <t>= Vacances</t>
  </si>
  <si>
    <t>= Absence sans paye</t>
  </si>
  <si>
    <t>= Autre  (spécifier la raison dans les commentaires)</t>
  </si>
  <si>
    <t>Régulier</t>
  </si>
  <si>
    <t>Maladie</t>
  </si>
  <si>
    <t>Congé férié</t>
  </si>
  <si>
    <t>Vacance</t>
  </si>
  <si>
    <t>Autres</t>
  </si>
  <si>
    <t>HEURES À PAYER</t>
  </si>
  <si>
    <t>Reg. Hrs/sem</t>
  </si>
  <si>
    <t>Dim</t>
  </si>
  <si>
    <t>Lun</t>
  </si>
  <si>
    <t>Mar</t>
  </si>
  <si>
    <t>Mer</t>
  </si>
  <si>
    <t>Jeu</t>
  </si>
  <si>
    <t>Ven</t>
  </si>
  <si>
    <t>Sam</t>
  </si>
  <si>
    <t>No. d'employé</t>
  </si>
  <si>
    <t>Nom, Prénom</t>
  </si>
  <si>
    <t>Année</t>
  </si>
  <si>
    <t>Période     de paye</t>
  </si>
  <si>
    <t>Période (jj/mm/aaaa)</t>
  </si>
  <si>
    <t>au</t>
  </si>
  <si>
    <t>du</t>
  </si>
  <si>
    <t>Heures rég./Bi-Hebdo.</t>
  </si>
  <si>
    <t xml:space="preserve">Vacances et </t>
  </si>
  <si>
    <t>maladie</t>
  </si>
  <si>
    <t>HEURES VAC.</t>
  </si>
  <si>
    <t>MALADIE</t>
  </si>
  <si>
    <t>EMPLOYÉS</t>
  </si>
  <si>
    <t>No. Employé</t>
  </si>
  <si>
    <t>Pellerin, Pierre</t>
  </si>
  <si>
    <t>Lelievre, Anik</t>
  </si>
  <si>
    <t>Bourassa, Julie</t>
  </si>
  <si>
    <t>Landry, Bernard</t>
  </si>
  <si>
    <t>Letarte, Martin</t>
  </si>
  <si>
    <t>Rodrigue, Frank</t>
  </si>
  <si>
    <t>COMMENTAIRES:</t>
  </si>
  <si>
    <t>COMPLÉTÉ PAR:</t>
  </si>
  <si>
    <t>APPROUVÉ PAR:</t>
  </si>
  <si>
    <t>Overtime</t>
  </si>
  <si>
    <t>Benoit, Jean-Paul(Avance $1,600.00)</t>
  </si>
  <si>
    <t/>
  </si>
  <si>
    <t>Gadbois, Dominic</t>
  </si>
  <si>
    <t>Charbonneau, Samuel</t>
  </si>
  <si>
    <t>Descoteaux, Gerald</t>
  </si>
  <si>
    <t>St-Georges, Manuel (avance $2,000)</t>
  </si>
  <si>
    <t>Voster, Jean-Michel</t>
  </si>
  <si>
    <t>Martinez Parada, José Francisco</t>
  </si>
  <si>
    <t>Achour, Kheir Eddine</t>
  </si>
  <si>
    <t>De Rose, Natale</t>
  </si>
  <si>
    <t>Curtis, Jason</t>
  </si>
  <si>
    <t>Fortin, Veronique</t>
  </si>
  <si>
    <t>Barrata, Dominic(Avance $500.00)</t>
  </si>
  <si>
    <t>COMM</t>
  </si>
  <si>
    <t>Knox Michaud, Jessy</t>
  </si>
  <si>
    <t>Simard, Pascal</t>
  </si>
  <si>
    <t xml:space="preserve">Anik Vacances de l'Année 2020-2021 </t>
  </si>
  <si>
    <t xml:space="preserve">Eddine O =Terminaison envoyé au RH en date du 03 MAI 2021 // Jean-Michel Voster O= en arret pour congé de paternité </t>
  </si>
  <si>
    <t>Véronique Fortin Sequeira</t>
  </si>
  <si>
    <t>Samuel Vacances de l'année 2020-2021  Martin Vacances de l'année 2020-2021 Bernard Vacances de l'année 2020-2021</t>
  </si>
  <si>
    <t>Gaulin, Francis</t>
  </si>
  <si>
    <t>Véronique Fortin M= Maladie /// Anik Lelièvre= SVP prendre une journée en Vacances pour année antérieure 2020-2021</t>
  </si>
  <si>
    <t>Martin Letarte V= SVP prendre une journée en Vacances pour année antérieure 2020-2021 // Bernard Landry V= SVP prendre une journée en Vacances pour année antérieure 2020-2021</t>
  </si>
  <si>
    <t>Francis Gaulin première journée de travail le 17 mai 2021 // Jose Francisco  M = Obligation Familliale</t>
  </si>
  <si>
    <t>Jean-Michel Voster M= Maladie</t>
  </si>
  <si>
    <t>Francis Gaulin O=CSST</t>
  </si>
  <si>
    <t xml:space="preserve">Martin Letarte M= Obligation Famille // </t>
  </si>
  <si>
    <t>Pascal Simard O= Terminaison Congédiment</t>
  </si>
  <si>
    <t xml:space="preserve">Francis Gaulin O= CSST / retour le 22 juin document envoyé au paye et RH </t>
  </si>
  <si>
    <t xml:space="preserve">Jean-Michel Voster O= RQAP parentalité </t>
  </si>
  <si>
    <t xml:space="preserve">Véronique Fortin Sequeira </t>
  </si>
  <si>
    <t xml:space="preserve">Martin Letarte O= Terminaison RQAP </t>
  </si>
  <si>
    <r>
      <t xml:space="preserve">Anik Lelièvre </t>
    </r>
    <r>
      <rPr>
        <sz val="11"/>
        <rFont val="Calibri"/>
        <family val="2"/>
        <scheme val="minor"/>
      </rPr>
      <t>V en jaune = prendre les 4 jours restants de vacances de l'année 2020-2021</t>
    </r>
  </si>
  <si>
    <t>Jean-Michel Voster = 1 journée en maladie et 1 journée obligation Famille</t>
  </si>
  <si>
    <t>Dominic Gadbois 1M = Obligation Famille</t>
  </si>
  <si>
    <t>Samuel Charbonneau 1X M= obligation Famille</t>
  </si>
  <si>
    <t>NBR Jour</t>
  </si>
  <si>
    <t>Tardif, Elizabeth</t>
  </si>
  <si>
    <t xml:space="preserve">Elizabeth Tardif O= N'avait pas encore commencé a travailler chez nous. </t>
  </si>
  <si>
    <t xml:space="preserve">Jason Curtis O= Terminaison . Document envoyé le 27 sept. </t>
  </si>
  <si>
    <t>Véronique Fortin sequeira</t>
  </si>
  <si>
    <t xml:space="preserve">Finalement Elizabeth Tardif ne travaillera pas chez nous. </t>
  </si>
  <si>
    <t xml:space="preserve">Jean-Michel O= Arret de travail pour parental.  Retour le 01 novembre 2021Document envoyé le 20 oct. </t>
  </si>
  <si>
    <t>Dumont, Steve</t>
  </si>
  <si>
    <t xml:space="preserve">Steve Dumont 0= ne travail pas chez Richelieu. Embauche le 09 et terminaison le 17 </t>
  </si>
  <si>
    <t>Jessy M= Obligation Famille</t>
  </si>
  <si>
    <t xml:space="preserve">Véronique M= Obligation Famille </t>
  </si>
  <si>
    <t>8.75</t>
  </si>
  <si>
    <t>Dupont,Catherine</t>
  </si>
  <si>
    <t xml:space="preserve">Catherine Dupont a commencer le 17 janvier 2022 chez nous. Document envoyé le 18 janvier 2022 paye et RH. </t>
  </si>
  <si>
    <t>Martin Letarte: Maladie Isolement Covid 19. Terminaison envoyé le 31 janvier 2022</t>
  </si>
  <si>
    <t>Martin Letarte O= Arret de travail pour isolement Covid. Document de retour envoyé le 09 février 2022</t>
  </si>
  <si>
    <t>Julie  Bourassa M= Obligation Famille</t>
  </si>
  <si>
    <t>Samuel Charbonneau O= Terminaison Covid 19 16-17-18 isolement \\ 21-22-23 Atteint de la Covid</t>
  </si>
  <si>
    <t>Dominic Gadbois 28 février 2022 = Maladie + Ajouter la maladie qui a pas été payé de la paye 5</t>
  </si>
  <si>
    <t xml:space="preserve">Samuel Charbonneau O= RQAP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</si>
</sst>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_);_(* \(#,##0.0\);_(* &quot;-&quot;?_);_(@_)"/>
    <numFmt numFmtId="166" formatCode="dd/mm/yyyy;@"/>
    <numFmt numFmtId="167" formatCode="0.0"/>
    <numFmt numFmtId="168" formatCode="* #,##0.00;* \(#,##0.00\);* &quot;-&quot;?;@"/>
    <numFmt numFmtId="169" formatCode="_(* #,##0.00_);_(* \(#,##0.00\);_(* &quot;-&quot;?_);_(@_)"/>
    <numFmt numFmtId="170" formatCode="0.0000"/>
  </numFmts>
  <fonts count="16" x14ac:knownFonts="1">
    <font>
      <sz val="11"/>
      <color theme="1"/>
      <name val="Calibri"/>
      <family val="2"/>
      <scheme val="minor"/>
    </font>
    <font>
      <sz val="11"/>
      <color theme="0"/>
      <name val="Calibri"/>
      <family val="2"/>
      <scheme val="minor"/>
    </font>
    <font>
      <b/>
      <sz val="11"/>
      <color rgb="FFFF0000"/>
      <name val="Calibri"/>
      <family val="2"/>
      <scheme val="minor"/>
    </font>
    <font>
      <b/>
      <sz val="22"/>
      <color theme="1"/>
      <name val="Calibri"/>
      <family val="2"/>
      <scheme val="minor"/>
    </font>
    <font>
      <b/>
      <sz val="9"/>
      <name val="Calibri"/>
      <family val="2"/>
      <scheme val="minor"/>
    </font>
    <font>
      <b/>
      <sz val="22"/>
      <name val="Calibri"/>
      <family val="2"/>
      <scheme val="minor"/>
    </font>
    <font>
      <b/>
      <sz val="12"/>
      <name val="Calibri"/>
      <family val="2"/>
      <scheme val="minor"/>
    </font>
    <font>
      <b/>
      <sz val="10"/>
      <name val="Calibri"/>
      <family val="2"/>
      <scheme val="minor"/>
    </font>
    <font>
      <b/>
      <sz val="11"/>
      <name val="Calibri"/>
      <family val="2"/>
      <scheme val="minor"/>
    </font>
    <font>
      <sz val="9"/>
      <name val="Calibri"/>
      <family val="2"/>
      <scheme val="minor"/>
    </font>
    <font>
      <b/>
      <sz val="11"/>
      <color theme="1"/>
      <name val="Calibri"/>
      <family val="2"/>
      <scheme val="minor"/>
    </font>
    <font>
      <sz val="10"/>
      <name val="Arial"/>
      <family val="2"/>
    </font>
    <font>
      <sz val="11"/>
      <color rgb="FFFF0000"/>
      <name val="Calibri"/>
      <family val="2"/>
      <scheme val="minor"/>
    </font>
    <font>
      <sz val="11"/>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1" fillId="0" borderId="0"/>
    <xf numFmtId="164" fontId="11" fillId="0" borderId="0" applyFont="0" applyFill="0" applyBorder="0" applyAlignment="0" applyProtection="0"/>
  </cellStyleXfs>
  <cellXfs count="189">
    <xf numFmtId="0" fontId="0" fillId="0" borderId="0" xfId="0"/>
    <xf numFmtId="0" fontId="0" fillId="2" borderId="0" xfId="0" applyFont="1" applyFill="1"/>
    <xf numFmtId="0" fontId="0" fillId="2" borderId="0" xfId="0" applyFill="1"/>
    <xf numFmtId="0" fontId="4" fillId="2" borderId="0" xfId="0" applyFont="1" applyFill="1" applyProtection="1"/>
    <xf numFmtId="0" fontId="4" fillId="2" borderId="0" xfId="0" applyFont="1" applyFill="1" applyBorder="1" applyProtection="1"/>
    <xf numFmtId="166" fontId="7" fillId="2" borderId="0" xfId="0" applyNumberFormat="1" applyFont="1" applyFill="1" applyBorder="1" applyAlignment="1" applyProtection="1"/>
    <xf numFmtId="0" fontId="4" fillId="3" borderId="1" xfId="0" applyFont="1" applyFill="1" applyBorder="1" applyAlignment="1" applyProtection="1">
      <alignment horizontal="center" vertical="center"/>
      <protection locked="0"/>
    </xf>
    <xf numFmtId="0" fontId="4" fillId="3" borderId="1" xfId="0" applyFont="1" applyFill="1" applyBorder="1" applyAlignment="1" applyProtection="1">
      <alignment horizontal="center" vertical="center"/>
    </xf>
    <xf numFmtId="0" fontId="5" fillId="2" borderId="0" xfId="0" applyFont="1" applyFill="1" applyAlignment="1" applyProtection="1"/>
    <xf numFmtId="0" fontId="6" fillId="2" borderId="0" xfId="0" applyFont="1" applyFill="1" applyAlignment="1" applyProtection="1"/>
    <xf numFmtId="0" fontId="4" fillId="2" borderId="0" xfId="0" applyFont="1" applyFill="1" applyAlignment="1" applyProtection="1">
      <alignment horizontal="left" vertical="center"/>
    </xf>
    <xf numFmtId="0" fontId="9" fillId="2" borderId="0" xfId="0" applyFont="1" applyFill="1" applyBorder="1" applyAlignment="1" applyProtection="1"/>
    <xf numFmtId="0" fontId="4" fillId="2" borderId="1" xfId="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xf>
    <xf numFmtId="0" fontId="8" fillId="2" borderId="2" xfId="0" applyFont="1" applyFill="1" applyBorder="1" applyAlignment="1" applyProtection="1">
      <alignment vertical="center"/>
    </xf>
    <xf numFmtId="0" fontId="8" fillId="2" borderId="3" xfId="0" applyFont="1" applyFill="1" applyBorder="1" applyAlignment="1" applyProtection="1">
      <alignment vertical="center"/>
    </xf>
    <xf numFmtId="0" fontId="8" fillId="2" borderId="4" xfId="0" applyFont="1" applyFill="1" applyBorder="1" applyAlignment="1" applyProtection="1">
      <alignment vertical="center"/>
    </xf>
    <xf numFmtId="0" fontId="6" fillId="2" borderId="5" xfId="0" applyFont="1" applyFill="1" applyBorder="1" applyAlignment="1" applyProtection="1">
      <alignment vertical="center"/>
      <protection locked="0"/>
    </xf>
    <xf numFmtId="0" fontId="6" fillId="2" borderId="6" xfId="0" applyFont="1" applyFill="1" applyBorder="1" applyAlignment="1" applyProtection="1">
      <alignment vertical="center"/>
      <protection locked="0"/>
    </xf>
    <xf numFmtId="0" fontId="6" fillId="2" borderId="7" xfId="0" applyFont="1" applyFill="1" applyBorder="1" applyAlignment="1" applyProtection="1">
      <alignment vertical="center"/>
      <protection locked="0"/>
    </xf>
    <xf numFmtId="0" fontId="6" fillId="2" borderId="8" xfId="0" applyFont="1" applyFill="1" applyBorder="1" applyAlignment="1" applyProtection="1">
      <alignment vertical="center"/>
      <protection locked="0"/>
    </xf>
    <xf numFmtId="0" fontId="6" fillId="2" borderId="9" xfId="0" applyFont="1" applyFill="1" applyBorder="1" applyAlignment="1" applyProtection="1">
      <alignment vertical="center"/>
      <protection locked="0"/>
    </xf>
    <xf numFmtId="0" fontId="6" fillId="2" borderId="10" xfId="0" applyFont="1" applyFill="1" applyBorder="1" applyAlignment="1" applyProtection="1">
      <alignment vertical="center"/>
      <protection locked="0"/>
    </xf>
    <xf numFmtId="0" fontId="9" fillId="2" borderId="3" xfId="0" applyFont="1" applyFill="1" applyBorder="1" applyAlignment="1" applyProtection="1"/>
    <xf numFmtId="0" fontId="0" fillId="3" borderId="1" xfId="0" applyFont="1" applyFill="1" applyBorder="1" applyAlignment="1" applyProtection="1">
      <alignment horizontal="center"/>
      <protection locked="0"/>
    </xf>
    <xf numFmtId="0" fontId="0" fillId="2" borderId="0" xfId="0" applyFont="1" applyFill="1" applyProtection="1">
      <protection locked="0"/>
    </xf>
    <xf numFmtId="0" fontId="0" fillId="2" borderId="5" xfId="0" applyFont="1" applyFill="1" applyBorder="1" applyProtection="1">
      <protection locked="0"/>
    </xf>
    <xf numFmtId="0" fontId="0" fillId="2" borderId="6" xfId="0" applyFont="1" applyFill="1" applyBorder="1" applyProtection="1">
      <protection locked="0"/>
    </xf>
    <xf numFmtId="0" fontId="0" fillId="2" borderId="7" xfId="0" applyFont="1" applyFill="1" applyBorder="1" applyProtection="1">
      <protection locked="0"/>
    </xf>
    <xf numFmtId="0" fontId="0" fillId="2" borderId="11" xfId="0" applyFont="1" applyFill="1" applyBorder="1" applyProtection="1">
      <protection locked="0"/>
    </xf>
    <xf numFmtId="0" fontId="0" fillId="2" borderId="8" xfId="0" applyFill="1" applyBorder="1" applyProtection="1">
      <protection locked="0"/>
    </xf>
    <xf numFmtId="0" fontId="0" fillId="2" borderId="9" xfId="0" applyFont="1" applyFill="1" applyBorder="1" applyProtection="1">
      <protection locked="0"/>
    </xf>
    <xf numFmtId="0" fontId="0" fillId="2" borderId="10" xfId="0" applyFont="1" applyFill="1" applyBorder="1" applyProtection="1">
      <protection locked="0"/>
    </xf>
    <xf numFmtId="0" fontId="0" fillId="2" borderId="12" xfId="0" applyFont="1" applyFill="1" applyBorder="1" applyProtection="1">
      <protection locked="0"/>
    </xf>
    <xf numFmtId="0" fontId="0" fillId="2" borderId="9" xfId="0" applyFont="1" applyFill="1" applyBorder="1" applyAlignment="1" applyProtection="1">
      <protection locked="0"/>
    </xf>
    <xf numFmtId="0" fontId="0" fillId="2" borderId="0" xfId="0" applyFont="1" applyFill="1" applyProtection="1"/>
    <xf numFmtId="14" fontId="0" fillId="2" borderId="0" xfId="0" applyNumberFormat="1" applyFont="1" applyFill="1" applyProtection="1"/>
    <xf numFmtId="0" fontId="0" fillId="2" borderId="0" xfId="0" applyFont="1" applyFill="1" applyAlignment="1" applyProtection="1">
      <alignment horizontal="center"/>
    </xf>
    <xf numFmtId="0" fontId="2" fillId="2" borderId="0" xfId="0" applyFont="1" applyFill="1" applyProtection="1"/>
    <xf numFmtId="0" fontId="0" fillId="2" borderId="1" xfId="0" applyFont="1" applyFill="1" applyBorder="1" applyAlignment="1" applyProtection="1">
      <alignment horizontal="center"/>
    </xf>
    <xf numFmtId="0" fontId="0" fillId="2" borderId="5" xfId="0" applyFont="1" applyFill="1" applyBorder="1" applyProtection="1"/>
    <xf numFmtId="0" fontId="0" fillId="2" borderId="6" xfId="0" applyFont="1" applyFill="1" applyBorder="1" applyProtection="1"/>
    <xf numFmtId="0" fontId="0" fillId="2" borderId="7" xfId="0" applyFont="1" applyFill="1" applyBorder="1" applyProtection="1"/>
    <xf numFmtId="0" fontId="0" fillId="2" borderId="7" xfId="0" applyFont="1" applyFill="1" applyBorder="1" applyAlignment="1" applyProtection="1">
      <alignment horizontal="center"/>
    </xf>
    <xf numFmtId="0" fontId="0" fillId="2" borderId="17" xfId="0" applyFont="1" applyFill="1" applyBorder="1" applyAlignment="1" applyProtection="1">
      <alignment horizontal="center"/>
    </xf>
    <xf numFmtId="0" fontId="0" fillId="2" borderId="8" xfId="0" applyFont="1" applyFill="1" applyBorder="1" applyProtection="1"/>
    <xf numFmtId="0" fontId="0" fillId="2" borderId="9" xfId="0" applyFont="1" applyFill="1" applyBorder="1" applyProtection="1"/>
    <xf numFmtId="0" fontId="0" fillId="2" borderId="10" xfId="0" applyFont="1" applyFill="1" applyBorder="1" applyProtection="1"/>
    <xf numFmtId="0" fontId="0" fillId="2" borderId="18" xfId="0" applyFont="1" applyFill="1" applyBorder="1" applyAlignment="1" applyProtection="1">
      <alignment horizontal="center"/>
    </xf>
    <xf numFmtId="0" fontId="0" fillId="2" borderId="11" xfId="0" applyFont="1" applyFill="1" applyBorder="1" applyProtection="1"/>
    <xf numFmtId="0" fontId="1" fillId="2" borderId="0" xfId="0" applyFont="1" applyFill="1" applyProtection="1"/>
    <xf numFmtId="0" fontId="0" fillId="2" borderId="17" xfId="0" applyFont="1" applyFill="1" applyBorder="1" applyProtection="1"/>
    <xf numFmtId="0" fontId="0" fillId="3" borderId="11" xfId="0" applyFont="1" applyFill="1" applyBorder="1" applyProtection="1"/>
    <xf numFmtId="0" fontId="0" fillId="2" borderId="0" xfId="0" applyFont="1" applyFill="1" applyBorder="1" applyProtection="1"/>
    <xf numFmtId="0" fontId="0" fillId="2" borderId="0" xfId="0" applyFill="1" applyBorder="1" applyProtection="1"/>
    <xf numFmtId="165" fontId="0" fillId="2" borderId="0" xfId="0" applyNumberFormat="1" applyFont="1" applyFill="1" applyBorder="1" applyProtection="1"/>
    <xf numFmtId="165" fontId="0" fillId="2" borderId="0" xfId="0" applyNumberFormat="1" applyFont="1" applyFill="1" applyBorder="1" applyAlignment="1" applyProtection="1">
      <alignment horizontal="center"/>
    </xf>
    <xf numFmtId="0" fontId="0" fillId="2" borderId="0" xfId="0" applyFont="1" applyFill="1" applyBorder="1" applyAlignment="1" applyProtection="1">
      <alignment vertical="center"/>
    </xf>
    <xf numFmtId="167" fontId="0" fillId="2" borderId="5" xfId="0" applyNumberFormat="1" applyFont="1" applyFill="1" applyBorder="1" applyProtection="1">
      <protection locked="0"/>
    </xf>
    <xf numFmtId="167" fontId="0" fillId="5" borderId="5" xfId="0" applyNumberFormat="1" applyFont="1" applyFill="1" applyBorder="1" applyProtection="1">
      <protection locked="0"/>
    </xf>
    <xf numFmtId="0" fontId="0" fillId="3" borderId="0" xfId="0" applyFill="1"/>
    <xf numFmtId="0" fontId="0" fillId="3" borderId="0" xfId="0" applyFont="1" applyFill="1"/>
    <xf numFmtId="0" fontId="9" fillId="2" borderId="6" xfId="0" applyFont="1" applyFill="1" applyBorder="1" applyAlignment="1" applyProtection="1"/>
    <xf numFmtId="0" fontId="10" fillId="2" borderId="0" xfId="0" applyFont="1" applyFill="1" applyProtection="1">
      <protection locked="0"/>
    </xf>
    <xf numFmtId="167" fontId="0" fillId="5" borderId="6" xfId="0" applyNumberFormat="1" applyFont="1" applyFill="1" applyBorder="1" applyProtection="1">
      <protection locked="0"/>
    </xf>
    <xf numFmtId="167" fontId="0" fillId="2" borderId="6" xfId="0" applyNumberFormat="1" applyFont="1" applyFill="1" applyBorder="1" applyProtection="1">
      <protection locked="0"/>
    </xf>
    <xf numFmtId="0" fontId="0" fillId="2" borderId="1" xfId="0" applyFont="1" applyFill="1" applyBorder="1" applyAlignment="1" applyProtection="1">
      <alignment horizontal="center"/>
    </xf>
    <xf numFmtId="168" fontId="0" fillId="2" borderId="8" xfId="0" applyNumberFormat="1" applyFont="1" applyFill="1" applyBorder="1" applyProtection="1">
      <protection locked="0"/>
    </xf>
    <xf numFmtId="168" fontId="0" fillId="2" borderId="10" xfId="0" applyNumberFormat="1" applyFont="1" applyFill="1" applyBorder="1" applyProtection="1">
      <protection locked="0"/>
    </xf>
    <xf numFmtId="168" fontId="0" fillId="5" borderId="8" xfId="0" applyNumberFormat="1" applyFont="1" applyFill="1" applyBorder="1" applyProtection="1">
      <protection locked="0"/>
    </xf>
    <xf numFmtId="168" fontId="0" fillId="5" borderId="10" xfId="0" applyNumberFormat="1" applyFont="1" applyFill="1" applyBorder="1" applyProtection="1">
      <protection locked="0"/>
    </xf>
    <xf numFmtId="168" fontId="0" fillId="2" borderId="18" xfId="0" applyNumberFormat="1" applyFont="1" applyFill="1" applyBorder="1" applyAlignment="1" applyProtection="1">
      <alignment horizontal="center"/>
    </xf>
    <xf numFmtId="168" fontId="0" fillId="2" borderId="0" xfId="0" applyNumberFormat="1" applyFont="1" applyFill="1" applyProtection="1"/>
    <xf numFmtId="168" fontId="0" fillId="2" borderId="12" xfId="0" applyNumberFormat="1" applyFont="1" applyFill="1" applyBorder="1" applyProtection="1"/>
    <xf numFmtId="168" fontId="0" fillId="2" borderId="8" xfId="0" applyNumberFormat="1" applyFont="1" applyFill="1" applyBorder="1" applyProtection="1"/>
    <xf numFmtId="168" fontId="0" fillId="2" borderId="18" xfId="0" applyNumberFormat="1" applyFont="1" applyFill="1" applyBorder="1" applyProtection="1"/>
    <xf numFmtId="168" fontId="0" fillId="3" borderId="12" xfId="0" applyNumberFormat="1" applyFont="1" applyFill="1" applyBorder="1" applyProtection="1"/>
    <xf numFmtId="168" fontId="0" fillId="4" borderId="19" xfId="0" applyNumberFormat="1" applyFont="1" applyFill="1" applyBorder="1" applyAlignment="1" applyProtection="1">
      <alignment horizontal="center" vertical="center"/>
    </xf>
    <xf numFmtId="168" fontId="0" fillId="2" borderId="0" xfId="0" applyNumberFormat="1" applyFont="1" applyFill="1" applyBorder="1" applyAlignment="1" applyProtection="1">
      <alignment vertical="center"/>
    </xf>
    <xf numFmtId="168" fontId="0" fillId="6" borderId="15" xfId="0" applyNumberFormat="1" applyFont="1" applyFill="1" applyBorder="1" applyAlignment="1" applyProtection="1">
      <alignment vertical="center"/>
    </xf>
    <xf numFmtId="168" fontId="0" fillId="6" borderId="21" xfId="0" applyNumberFormat="1" applyFont="1" applyFill="1" applyBorder="1" applyAlignment="1" applyProtection="1">
      <alignment vertical="center"/>
    </xf>
    <xf numFmtId="168" fontId="0" fillId="6" borderId="20" xfId="0" applyNumberFormat="1" applyFont="1" applyFill="1" applyBorder="1" applyAlignment="1" applyProtection="1">
      <alignment vertical="center"/>
    </xf>
    <xf numFmtId="168" fontId="0" fillId="2" borderId="14" xfId="0" applyNumberFormat="1" applyFont="1" applyFill="1" applyBorder="1" applyAlignment="1" applyProtection="1">
      <alignment vertical="center"/>
    </xf>
    <xf numFmtId="168" fontId="0" fillId="3" borderId="14" xfId="0" applyNumberFormat="1" applyFont="1" applyFill="1" applyBorder="1" applyAlignment="1" applyProtection="1">
      <alignment vertical="center"/>
    </xf>
    <xf numFmtId="0" fontId="0" fillId="2" borderId="0" xfId="0" applyFont="1" applyFill="1" applyProtection="1"/>
    <xf numFmtId="0" fontId="0" fillId="2" borderId="1" xfId="0" applyFont="1" applyFill="1" applyBorder="1" applyAlignment="1" applyProtection="1">
      <alignment horizontal="center"/>
    </xf>
    <xf numFmtId="0" fontId="0" fillId="2" borderId="0" xfId="0" quotePrefix="1" applyFont="1" applyFill="1" applyProtection="1"/>
    <xf numFmtId="0" fontId="0" fillId="2" borderId="0" xfId="0" applyFont="1" applyFill="1" applyAlignment="1" applyProtection="1">
      <alignment horizontal="right"/>
    </xf>
    <xf numFmtId="169" fontId="12" fillId="2" borderId="12" xfId="0" applyNumberFormat="1" applyFont="1" applyFill="1" applyBorder="1" applyProtection="1"/>
    <xf numFmtId="14" fontId="6" fillId="2" borderId="5" xfId="0" applyNumberFormat="1" applyFont="1" applyFill="1" applyBorder="1" applyAlignment="1" applyProtection="1">
      <alignment vertical="center"/>
      <protection locked="0"/>
    </xf>
    <xf numFmtId="0" fontId="0" fillId="2" borderId="0" xfId="0" applyFont="1" applyFill="1" applyBorder="1" applyProtection="1">
      <protection locked="0"/>
    </xf>
    <xf numFmtId="0" fontId="0" fillId="2" borderId="26" xfId="0" applyFont="1" applyFill="1" applyBorder="1" applyProtection="1">
      <protection locked="0"/>
    </xf>
    <xf numFmtId="0" fontId="0" fillId="2" borderId="13" xfId="0" applyFont="1" applyFill="1" applyBorder="1" applyProtection="1">
      <protection locked="0"/>
    </xf>
    <xf numFmtId="168" fontId="0" fillId="5" borderId="25" xfId="0" applyNumberFormat="1" applyFont="1" applyFill="1" applyBorder="1" applyProtection="1">
      <protection locked="0"/>
    </xf>
    <xf numFmtId="168" fontId="0" fillId="5" borderId="0" xfId="0" applyNumberFormat="1" applyFont="1" applyFill="1" applyBorder="1" applyProtection="1">
      <protection locked="0"/>
    </xf>
    <xf numFmtId="168" fontId="13" fillId="5" borderId="8" xfId="0" applyNumberFormat="1" applyFont="1" applyFill="1" applyBorder="1" applyProtection="1">
      <protection locked="0"/>
    </xf>
    <xf numFmtId="0" fontId="0" fillId="2" borderId="1" xfId="0" applyFont="1" applyFill="1" applyBorder="1" applyAlignment="1" applyProtection="1">
      <alignment horizontal="center"/>
    </xf>
    <xf numFmtId="0" fontId="1" fillId="2" borderId="0" xfId="0" applyFont="1" applyFill="1" applyBorder="1" applyAlignment="1" applyProtection="1">
      <alignment vertical="center"/>
    </xf>
    <xf numFmtId="0" fontId="1" fillId="2" borderId="0" xfId="0" applyFont="1" applyFill="1" applyBorder="1" applyProtection="1"/>
    <xf numFmtId="0" fontId="1" fillId="2" borderId="9" xfId="0" applyFont="1" applyFill="1" applyBorder="1" applyAlignment="1" applyProtection="1">
      <protection locked="0"/>
    </xf>
    <xf numFmtId="0" fontId="0" fillId="2" borderId="1" xfId="0" applyFont="1" applyFill="1" applyBorder="1" applyAlignment="1" applyProtection="1">
      <alignment horizontal="center"/>
    </xf>
    <xf numFmtId="14" fontId="0" fillId="2" borderId="0" xfId="0" applyNumberFormat="1" applyFill="1"/>
    <xf numFmtId="0" fontId="0" fillId="2" borderId="0" xfId="0" applyFill="1" applyAlignment="1">
      <alignment vertical="center"/>
    </xf>
    <xf numFmtId="168" fontId="0" fillId="2" borderId="10" xfId="0" applyNumberFormat="1" applyFill="1" applyBorder="1" applyProtection="1">
      <protection locked="0"/>
    </xf>
    <xf numFmtId="168" fontId="0" fillId="2" borderId="8" xfId="0" applyNumberFormat="1" applyFill="1" applyBorder="1" applyProtection="1">
      <protection locked="0"/>
    </xf>
    <xf numFmtId="167" fontId="0" fillId="2" borderId="6" xfId="0" applyNumberFormat="1" applyFill="1" applyBorder="1" applyProtection="1">
      <protection locked="0"/>
    </xf>
    <xf numFmtId="167" fontId="0" fillId="2" borderId="5" xfId="0" applyNumberFormat="1" applyFill="1" applyBorder="1" applyProtection="1">
      <protection locked="0"/>
    </xf>
    <xf numFmtId="0" fontId="0" fillId="2" borderId="5" xfId="0" applyFill="1" applyBorder="1" applyProtection="1">
      <protection locked="0"/>
    </xf>
    <xf numFmtId="0" fontId="0" fillId="2" borderId="6" xfId="0" applyFill="1" applyBorder="1" applyProtection="1">
      <protection locked="0"/>
    </xf>
    <xf numFmtId="0" fontId="0" fillId="2" borderId="7" xfId="0" applyFill="1" applyBorder="1" applyProtection="1">
      <protection locked="0"/>
    </xf>
    <xf numFmtId="0" fontId="0" fillId="2" borderId="11" xfId="0" applyFill="1" applyBorder="1" applyProtection="1">
      <protection locked="0"/>
    </xf>
    <xf numFmtId="0" fontId="1" fillId="2" borderId="0" xfId="0" applyFont="1" applyFill="1"/>
    <xf numFmtId="167" fontId="0" fillId="5" borderId="5" xfId="0" applyNumberFormat="1" applyFill="1" applyBorder="1" applyProtection="1">
      <protection locked="0"/>
    </xf>
    <xf numFmtId="167" fontId="0" fillId="5" borderId="6" xfId="0" applyNumberFormat="1" applyFill="1" applyBorder="1" applyProtection="1">
      <protection locked="0"/>
    </xf>
    <xf numFmtId="0" fontId="0" fillId="2" borderId="17" xfId="0" applyFill="1" applyBorder="1" applyAlignment="1">
      <alignment horizontal="center"/>
    </xf>
    <xf numFmtId="0" fontId="0" fillId="2" borderId="9" xfId="0" applyFill="1" applyBorder="1" applyProtection="1">
      <protection locked="0"/>
    </xf>
    <xf numFmtId="0" fontId="0" fillId="2" borderId="10" xfId="0" applyFill="1" applyBorder="1" applyProtection="1">
      <protection locked="0"/>
    </xf>
    <xf numFmtId="0" fontId="0" fillId="2" borderId="12" xfId="0" applyFill="1" applyBorder="1" applyProtection="1">
      <protection locked="0"/>
    </xf>
    <xf numFmtId="168" fontId="0" fillId="5" borderId="10" xfId="0" applyNumberFormat="1" applyFill="1" applyBorder="1" applyProtection="1">
      <protection locked="0"/>
    </xf>
    <xf numFmtId="168" fontId="0" fillId="5" borderId="8" xfId="0" applyNumberFormat="1" applyFill="1" applyBorder="1" applyProtection="1">
      <protection locked="0"/>
    </xf>
    <xf numFmtId="168" fontId="0" fillId="2" borderId="18" xfId="0" applyNumberFormat="1" applyFill="1" applyBorder="1" applyAlignment="1">
      <alignment horizontal="center"/>
    </xf>
    <xf numFmtId="168" fontId="0" fillId="2" borderId="0" xfId="0" applyNumberFormat="1" applyFill="1"/>
    <xf numFmtId="168" fontId="0" fillId="5" borderId="25" xfId="0" applyNumberFormat="1" applyFill="1" applyBorder="1" applyProtection="1">
      <protection locked="0"/>
    </xf>
    <xf numFmtId="168" fontId="0" fillId="5" borderId="0" xfId="0" applyNumberFormat="1" applyFill="1" applyProtection="1">
      <protection locked="0"/>
    </xf>
    <xf numFmtId="0" fontId="1" fillId="2" borderId="0" xfId="0" applyFont="1" applyFill="1" applyAlignment="1">
      <alignment vertical="center"/>
    </xf>
    <xf numFmtId="168" fontId="0" fillId="4" borderId="19" xfId="0" applyNumberFormat="1" applyFill="1" applyBorder="1" applyAlignment="1">
      <alignment horizontal="center" vertical="center"/>
    </xf>
    <xf numFmtId="168" fontId="0" fillId="2" borderId="0" xfId="0" applyNumberFormat="1" applyFill="1" applyAlignment="1">
      <alignment vertical="center"/>
    </xf>
    <xf numFmtId="165" fontId="0" fillId="2" borderId="0" xfId="0" applyNumberFormat="1" applyFill="1"/>
    <xf numFmtId="165" fontId="0" fillId="2" borderId="0" xfId="0" applyNumberFormat="1" applyFill="1" applyAlignment="1">
      <alignment horizontal="center"/>
    </xf>
    <xf numFmtId="170" fontId="0" fillId="2" borderId="0" xfId="0" applyNumberFormat="1" applyFont="1" applyFill="1" applyProtection="1"/>
    <xf numFmtId="167" fontId="0" fillId="7" borderId="6" xfId="0" applyNumberFormat="1" applyFill="1" applyBorder="1" applyProtection="1">
      <protection locked="0"/>
    </xf>
    <xf numFmtId="167" fontId="0" fillId="0" borderId="6" xfId="0" applyNumberFormat="1" applyFill="1" applyBorder="1" applyProtection="1">
      <protection locked="0"/>
    </xf>
    <xf numFmtId="0" fontId="4" fillId="7" borderId="1" xfId="0" applyFont="1" applyFill="1" applyBorder="1" applyAlignment="1" applyProtection="1">
      <alignment horizontal="center" vertical="center"/>
    </xf>
    <xf numFmtId="0" fontId="4" fillId="7" borderId="1" xfId="0" applyFont="1" applyFill="1" applyBorder="1" applyAlignment="1" applyProtection="1">
      <alignment horizontal="center" vertical="center"/>
      <protection locked="0"/>
    </xf>
    <xf numFmtId="168" fontId="0" fillId="0" borderId="8" xfId="0" applyNumberFormat="1" applyFill="1" applyBorder="1" applyProtection="1">
      <protection locked="0"/>
    </xf>
    <xf numFmtId="168" fontId="0" fillId="0" borderId="10" xfId="0" applyNumberFormat="1" applyFill="1" applyBorder="1" applyProtection="1">
      <protection locked="0"/>
    </xf>
    <xf numFmtId="168" fontId="0" fillId="7" borderId="10" xfId="0" applyNumberFormat="1" applyFill="1" applyBorder="1" applyProtection="1">
      <protection locked="0"/>
    </xf>
    <xf numFmtId="0" fontId="0" fillId="2" borderId="1" xfId="0" applyFill="1" applyBorder="1"/>
    <xf numFmtId="0" fontId="4" fillId="0" borderId="1" xfId="0" applyFont="1" applyFill="1" applyBorder="1" applyAlignment="1" applyProtection="1">
      <alignment horizontal="center" vertical="center"/>
    </xf>
    <xf numFmtId="0" fontId="0" fillId="7" borderId="1" xfId="0" applyFill="1" applyBorder="1"/>
    <xf numFmtId="167" fontId="0" fillId="7" borderId="5" xfId="0" applyNumberFormat="1" applyFill="1" applyBorder="1" applyProtection="1">
      <protection locked="0"/>
    </xf>
    <xf numFmtId="0" fontId="0" fillId="2" borderId="9" xfId="0" applyFont="1" applyFill="1" applyBorder="1" applyAlignment="1" applyProtection="1">
      <alignment horizontal="left"/>
      <protection locked="0"/>
    </xf>
    <xf numFmtId="14" fontId="0" fillId="2" borderId="9" xfId="0" applyNumberFormat="1" applyFont="1" applyFill="1" applyBorder="1" applyAlignment="1" applyProtection="1">
      <alignment horizontal="center"/>
    </xf>
    <xf numFmtId="0" fontId="3" fillId="2" borderId="0" xfId="0" applyFont="1" applyFill="1" applyAlignment="1" applyProtection="1">
      <alignment horizontal="left"/>
    </xf>
    <xf numFmtId="0" fontId="0" fillId="2" borderId="1" xfId="0" applyFont="1" applyFill="1" applyBorder="1" applyAlignment="1" applyProtection="1">
      <alignment horizontal="center"/>
    </xf>
    <xf numFmtId="0" fontId="0" fillId="2" borderId="1" xfId="0" applyFont="1" applyFill="1" applyBorder="1" applyAlignment="1" applyProtection="1">
      <alignment horizontal="center" wrapText="1"/>
    </xf>
    <xf numFmtId="0" fontId="0" fillId="2" borderId="8" xfId="0" applyFont="1" applyFill="1" applyBorder="1" applyAlignment="1" applyProtection="1">
      <alignment horizontal="center"/>
    </xf>
    <xf numFmtId="0" fontId="0" fillId="2" borderId="10" xfId="0" applyFont="1" applyFill="1" applyBorder="1" applyAlignment="1" applyProtection="1">
      <alignment horizontal="center"/>
    </xf>
    <xf numFmtId="0" fontId="0" fillId="2" borderId="9" xfId="0" applyFont="1" applyFill="1" applyBorder="1" applyAlignment="1" applyProtection="1">
      <alignment horizontal="center"/>
    </xf>
    <xf numFmtId="0" fontId="10" fillId="2" borderId="16" xfId="0" applyFont="1" applyFill="1" applyBorder="1" applyAlignment="1" applyProtection="1">
      <alignment horizontal="right" vertical="center" wrapText="1"/>
    </xf>
    <xf numFmtId="0" fontId="0" fillId="2" borderId="22" xfId="0" applyFill="1" applyBorder="1" applyAlignment="1" applyProtection="1">
      <alignment horizontal="right" vertical="center" wrapText="1"/>
    </xf>
    <xf numFmtId="0" fontId="0" fillId="2" borderId="23" xfId="0" applyFill="1" applyBorder="1" applyAlignment="1" applyProtection="1">
      <alignment horizontal="right" vertical="center" wrapText="1"/>
    </xf>
    <xf numFmtId="168" fontId="0" fillId="4" borderId="14" xfId="0" applyNumberFormat="1" applyFont="1" applyFill="1" applyBorder="1" applyAlignment="1" applyProtection="1">
      <alignment horizontal="center" vertical="center"/>
    </xf>
    <xf numFmtId="168" fontId="0" fillId="4" borderId="16" xfId="0" applyNumberFormat="1" applyFont="1" applyFill="1" applyBorder="1" applyAlignment="1" applyProtection="1">
      <alignment horizontal="center" vertical="center"/>
    </xf>
    <xf numFmtId="0" fontId="0" fillId="2" borderId="0" xfId="0" applyFont="1" applyFill="1" applyAlignment="1" applyProtection="1">
      <alignment horizontal="center" wrapText="1"/>
    </xf>
    <xf numFmtId="0" fontId="0" fillId="2" borderId="9" xfId="0" applyFont="1" applyFill="1" applyBorder="1" applyAlignment="1" applyProtection="1">
      <alignment horizontal="center" wrapText="1"/>
    </xf>
    <xf numFmtId="14" fontId="0" fillId="2" borderId="2" xfId="0" applyNumberFormat="1" applyFont="1" applyFill="1" applyBorder="1" applyAlignment="1" applyProtection="1">
      <alignment horizontal="center"/>
    </xf>
    <xf numFmtId="14" fontId="0" fillId="2" borderId="3" xfId="0" applyNumberFormat="1" applyFont="1" applyFill="1" applyBorder="1" applyAlignment="1" applyProtection="1">
      <alignment horizontal="center"/>
    </xf>
    <xf numFmtId="14" fontId="0" fillId="2" borderId="4" xfId="0" applyNumberFormat="1" applyFont="1" applyFill="1" applyBorder="1" applyAlignment="1" applyProtection="1">
      <alignment horizontal="center"/>
    </xf>
    <xf numFmtId="0" fontId="0" fillId="2" borderId="2" xfId="0" applyFont="1" applyFill="1" applyBorder="1" applyAlignment="1" applyProtection="1">
      <alignment horizontal="center"/>
    </xf>
    <xf numFmtId="0" fontId="0" fillId="2" borderId="3" xfId="0" applyFont="1" applyFill="1" applyBorder="1" applyAlignment="1" applyProtection="1">
      <alignment horizontal="center"/>
    </xf>
    <xf numFmtId="0" fontId="0" fillId="2" borderId="4" xfId="0" applyFont="1" applyFill="1" applyBorder="1" applyAlignment="1" applyProtection="1">
      <alignment horizontal="center"/>
    </xf>
    <xf numFmtId="16" fontId="0" fillId="2" borderId="5" xfId="0" applyNumberFormat="1" applyFont="1" applyFill="1" applyBorder="1" applyAlignment="1" applyProtection="1">
      <alignment horizontal="center"/>
    </xf>
    <xf numFmtId="16" fontId="0" fillId="2" borderId="7" xfId="0" applyNumberFormat="1" applyFont="1" applyFill="1" applyBorder="1" applyAlignment="1" applyProtection="1">
      <alignment horizontal="center"/>
    </xf>
    <xf numFmtId="16" fontId="0" fillId="2" borderId="6" xfId="0" applyNumberFormat="1" applyFont="1" applyFill="1" applyBorder="1" applyAlignment="1" applyProtection="1">
      <alignment horizontal="center"/>
    </xf>
    <xf numFmtId="0" fontId="12" fillId="2" borderId="1" xfId="0" applyFont="1" applyFill="1" applyBorder="1" applyAlignment="1" applyProtection="1">
      <alignment horizontal="center" wrapText="1"/>
    </xf>
    <xf numFmtId="0" fontId="0" fillId="2" borderId="2" xfId="0" applyFont="1" applyFill="1" applyBorder="1" applyAlignment="1" applyProtection="1">
      <alignment horizontal="center" wrapText="1"/>
    </xf>
    <xf numFmtId="0" fontId="0" fillId="2" borderId="24" xfId="0" applyFont="1" applyFill="1" applyBorder="1" applyAlignment="1" applyProtection="1">
      <alignment horizontal="center" wrapText="1"/>
    </xf>
    <xf numFmtId="0" fontId="0" fillId="2" borderId="0" xfId="0" applyFont="1" applyFill="1" applyAlignment="1" applyProtection="1">
      <alignment horizontal="left"/>
    </xf>
    <xf numFmtId="168" fontId="0" fillId="4" borderId="14" xfId="0" applyNumberFormat="1" applyFill="1" applyBorder="1" applyAlignment="1">
      <alignment horizontal="center" vertical="center"/>
    </xf>
    <xf numFmtId="168" fontId="0" fillId="4" borderId="16" xfId="0" applyNumberFormat="1" applyFill="1" applyBorder="1" applyAlignment="1">
      <alignment horizontal="center" vertical="center"/>
    </xf>
    <xf numFmtId="0" fontId="0" fillId="2" borderId="9" xfId="0" applyFill="1" applyBorder="1" applyAlignment="1" applyProtection="1">
      <alignment horizontal="left"/>
      <protection locked="0"/>
    </xf>
    <xf numFmtId="0" fontId="10" fillId="2" borderId="16" xfId="0" applyFont="1" applyFill="1" applyBorder="1" applyAlignment="1">
      <alignment horizontal="right" vertical="center" wrapText="1"/>
    </xf>
    <xf numFmtId="0" fontId="0" fillId="2" borderId="22" xfId="0" applyFill="1" applyBorder="1" applyAlignment="1">
      <alignment horizontal="right" vertical="center" wrapText="1"/>
    </xf>
    <xf numFmtId="0" fontId="0" fillId="2" borderId="23" xfId="0" applyFill="1" applyBorder="1" applyAlignment="1">
      <alignment horizontal="right" vertical="center" wrapText="1"/>
    </xf>
    <xf numFmtId="0" fontId="0" fillId="0" borderId="9" xfId="0" applyFont="1" applyFill="1" applyBorder="1" applyAlignment="1" applyProtection="1">
      <alignment horizontal="left"/>
      <protection locked="0"/>
    </xf>
    <xf numFmtId="0" fontId="9" fillId="2" borderId="0" xfId="0" applyFont="1" applyFill="1" applyBorder="1" applyAlignment="1" applyProtection="1">
      <alignment horizontal="left"/>
    </xf>
    <xf numFmtId="0" fontId="4" fillId="2" borderId="11" xfId="0" applyFont="1" applyFill="1" applyBorder="1" applyAlignment="1" applyProtection="1">
      <alignment horizontal="center" vertical="center" wrapText="1"/>
    </xf>
    <xf numFmtId="0" fontId="4" fillId="2" borderId="12" xfId="0" applyFont="1" applyFill="1" applyBorder="1" applyAlignment="1" applyProtection="1">
      <alignment horizontal="center" vertical="center" wrapText="1"/>
    </xf>
    <xf numFmtId="0" fontId="0" fillId="2" borderId="0" xfId="0" applyFont="1" applyFill="1" applyAlignment="1">
      <alignment horizontal="left"/>
    </xf>
    <xf numFmtId="0" fontId="4" fillId="2" borderId="13" xfId="0" applyFont="1" applyFill="1" applyBorder="1" applyAlignment="1" applyProtection="1">
      <alignment horizontal="center"/>
    </xf>
    <xf numFmtId="0" fontId="4" fillId="2" borderId="0" xfId="0" applyFont="1" applyFill="1" applyAlignment="1" applyProtection="1">
      <alignment horizontal="left" vertical="center"/>
    </xf>
    <xf numFmtId="0" fontId="10" fillId="2" borderId="11" xfId="0" applyFont="1" applyFill="1" applyBorder="1" applyAlignment="1">
      <alignment horizontal="center"/>
    </xf>
    <xf numFmtId="0" fontId="10" fillId="2" borderId="12" xfId="0" applyFont="1" applyFill="1" applyBorder="1" applyAlignment="1">
      <alignment horizont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2" borderId="4" xfId="0" applyFont="1" applyFill="1" applyBorder="1" applyAlignment="1" applyProtection="1">
      <alignment horizontal="center" vertical="center"/>
    </xf>
    <xf numFmtId="0" fontId="7" fillId="2" borderId="11" xfId="0" applyFont="1" applyFill="1" applyBorder="1" applyAlignment="1" applyProtection="1">
      <alignment horizontal="center" vertical="center" wrapText="1"/>
    </xf>
    <xf numFmtId="0" fontId="7" fillId="2" borderId="12" xfId="0" applyFont="1" applyFill="1" applyBorder="1" applyAlignment="1" applyProtection="1">
      <alignment horizontal="center" vertical="center" wrapText="1"/>
    </xf>
  </cellXfs>
  <cellStyles count="3">
    <cellStyle name="Monétaire 2" xfId="2" xr:uid="{00000000-0005-0000-0000-000000000000}"/>
    <cellStyle name="Normal" xfId="0" builtinId="0"/>
    <cellStyle name="Normal 2" xfId="1" xr:uid="{00000000-0005-0000-0000-00000200000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rgb="FFFF0000"/>
        </patternFill>
      </fill>
    </dxf>
    <dxf>
      <font>
        <color rgb="FF9C0006"/>
      </font>
      <fill>
        <patternFill>
          <bgColor rgb="FFFFC7CE"/>
        </patternFill>
      </fill>
    </dxf>
    <dxf>
      <font>
        <color rgb="FF9C0006"/>
      </font>
      <fill>
        <patternFill>
          <bgColor rgb="FFFFC7CE"/>
        </patternFill>
      </fill>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
      <font>
        <color theme="4" tint="0.59996337778862885"/>
      </font>
    </dxf>
    <dxf>
      <font>
        <color theme="0"/>
      </font>
    </dxf>
  </dxfs>
  <tableStyles count="0" defaultTableStyle="TableStyleMedium9"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3</xdr:col>
      <xdr:colOff>787400</xdr:colOff>
      <xdr:row>5</xdr:row>
      <xdr:rowOff>57885</xdr:rowOff>
    </xdr:to>
    <xdr:pic>
      <xdr:nvPicPr>
        <xdr:cNvPr id="2" name="Image 8">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28575"/>
          <a:ext cx="2000250" cy="964877"/>
        </a:xfrm>
        <a:prstGeom prst="rect">
          <a:avLst/>
        </a:prstGeom>
        <a:noFill/>
        <a:ln w="9525">
          <a:noFill/>
          <a:miter lim="800000"/>
          <a:headEnd/>
          <a:tailEnd/>
        </a:ln>
      </xdr:spPr>
    </xdr:pic>
    <xdr:clientData/>
  </xdr:twoCellAnchor>
  <xdr:twoCellAnchor editAs="oneCell">
    <xdr:from>
      <xdr:col>1</xdr:col>
      <xdr:colOff>0</xdr:colOff>
      <xdr:row>74</xdr:row>
      <xdr:rowOff>28575</xdr:rowOff>
    </xdr:from>
    <xdr:to>
      <xdr:col>3</xdr:col>
      <xdr:colOff>787400</xdr:colOff>
      <xdr:row>79</xdr:row>
      <xdr:rowOff>57886</xdr:rowOff>
    </xdr:to>
    <xdr:pic>
      <xdr:nvPicPr>
        <xdr:cNvPr id="3" name="Image 8">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33670875"/>
          <a:ext cx="2000250"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54" name="Image 8">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150780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55" name="Image 8">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49418</xdr:rowOff>
    </xdr:to>
    <xdr:pic>
      <xdr:nvPicPr>
        <xdr:cNvPr id="56" name="Image 8">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49420</xdr:rowOff>
    </xdr:to>
    <xdr:pic>
      <xdr:nvPicPr>
        <xdr:cNvPr id="57" name="Image 8">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58" name="Image 8">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86439375"/>
          <a:ext cx="2038350" cy="917252"/>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49417</xdr:rowOff>
    </xdr:to>
    <xdr:pic>
      <xdr:nvPicPr>
        <xdr:cNvPr id="59" name="Image 8">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49420</xdr:rowOff>
    </xdr:to>
    <xdr:pic>
      <xdr:nvPicPr>
        <xdr:cNvPr id="60" name="Image 8">
          <a:extLst>
            <a:ext uri="{FF2B5EF4-FFF2-40B4-BE49-F238E27FC236}">
              <a16:creationId xmlns:a16="http://schemas.microsoft.com/office/drawing/2014/main" id="{00000000-0008-0000-0000-00003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0</xdr:col>
      <xdr:colOff>0</xdr:colOff>
      <xdr:row>148</xdr:row>
      <xdr:rowOff>0</xdr:rowOff>
    </xdr:from>
    <xdr:to>
      <xdr:col>3</xdr:col>
      <xdr:colOff>677333</xdr:colOff>
      <xdr:row>153</xdr:row>
      <xdr:rowOff>58943</xdr:rowOff>
    </xdr:to>
    <xdr:pic>
      <xdr:nvPicPr>
        <xdr:cNvPr id="61" name="Image 8">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918575"/>
          <a:ext cx="1997075"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49418</xdr:rowOff>
    </xdr:to>
    <xdr:pic>
      <xdr:nvPicPr>
        <xdr:cNvPr id="62" name="Image 8">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49418</xdr:rowOff>
    </xdr:to>
    <xdr:pic>
      <xdr:nvPicPr>
        <xdr:cNvPr id="63" name="Image 8">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0</xdr:col>
      <xdr:colOff>94192</xdr:colOff>
      <xdr:row>148</xdr:row>
      <xdr:rowOff>0</xdr:rowOff>
    </xdr:from>
    <xdr:to>
      <xdr:col>3</xdr:col>
      <xdr:colOff>773642</xdr:colOff>
      <xdr:row>153</xdr:row>
      <xdr:rowOff>49417</xdr:rowOff>
    </xdr:to>
    <xdr:pic>
      <xdr:nvPicPr>
        <xdr:cNvPr id="64" name="Image 8">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180114575"/>
          <a:ext cx="1999192" cy="964876"/>
        </a:xfrm>
        <a:prstGeom prst="rect">
          <a:avLst/>
        </a:prstGeom>
        <a:noFill/>
        <a:ln w="9525">
          <a:noFill/>
          <a:miter lim="800000"/>
          <a:headEnd/>
          <a:tailEnd/>
        </a:ln>
      </xdr:spPr>
    </xdr:pic>
    <xdr:clientData/>
  </xdr:twoCellAnchor>
  <xdr:twoCellAnchor editAs="oneCell">
    <xdr:from>
      <xdr:col>0</xdr:col>
      <xdr:colOff>104775</xdr:colOff>
      <xdr:row>148</xdr:row>
      <xdr:rowOff>0</xdr:rowOff>
    </xdr:from>
    <xdr:to>
      <xdr:col>3</xdr:col>
      <xdr:colOff>781050</xdr:colOff>
      <xdr:row>153</xdr:row>
      <xdr:rowOff>49418</xdr:rowOff>
    </xdr:to>
    <xdr:pic>
      <xdr:nvPicPr>
        <xdr:cNvPr id="65" name="Image 8">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187051950"/>
          <a:ext cx="2038350" cy="917252"/>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66" name="Image 8">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49418</xdr:rowOff>
    </xdr:to>
    <xdr:pic>
      <xdr:nvPicPr>
        <xdr:cNvPr id="67" name="Image 8">
          <a:extLst>
            <a:ext uri="{FF2B5EF4-FFF2-40B4-BE49-F238E27FC236}">
              <a16:creationId xmlns:a16="http://schemas.microsoft.com/office/drawing/2014/main" id="{00000000-0008-0000-0000-00004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25253550"/>
          <a:ext cx="1997075"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49417</xdr:rowOff>
    </xdr:to>
    <xdr:pic>
      <xdr:nvPicPr>
        <xdr:cNvPr id="68" name="Image 8">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30127575"/>
          <a:ext cx="2001611" cy="964877"/>
        </a:xfrm>
        <a:prstGeom prst="rect">
          <a:avLst/>
        </a:prstGeom>
        <a:noFill/>
        <a:ln w="9525">
          <a:noFill/>
          <a:miter lim="800000"/>
          <a:headEnd/>
          <a:tailEnd/>
        </a:ln>
      </xdr:spPr>
    </xdr:pic>
    <xdr:clientData/>
  </xdr:twoCellAnchor>
  <xdr:twoCellAnchor editAs="oneCell">
    <xdr:from>
      <xdr:col>0</xdr:col>
      <xdr:colOff>105834</xdr:colOff>
      <xdr:row>148</xdr:row>
      <xdr:rowOff>0</xdr:rowOff>
    </xdr:from>
    <xdr:to>
      <xdr:col>3</xdr:col>
      <xdr:colOff>779992</xdr:colOff>
      <xdr:row>153</xdr:row>
      <xdr:rowOff>54712</xdr:rowOff>
    </xdr:to>
    <xdr:pic>
      <xdr:nvPicPr>
        <xdr:cNvPr id="69" name="Image 8">
          <a:extLst>
            <a:ext uri="{FF2B5EF4-FFF2-40B4-BE49-F238E27FC236}">
              <a16:creationId xmlns:a16="http://schemas.microsoft.com/office/drawing/2014/main" id="{00000000-0008-0000-0000-00004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55280583"/>
          <a:ext cx="1997075" cy="973345"/>
        </a:xfrm>
        <a:prstGeom prst="rect">
          <a:avLst/>
        </a:prstGeom>
        <a:noFill/>
        <a:ln w="9525">
          <a:noFill/>
          <a:miter lim="800000"/>
          <a:headEnd/>
          <a:tailEnd/>
        </a:ln>
      </xdr:spPr>
    </xdr:pic>
    <xdr:clientData/>
  </xdr:twoCellAnchor>
  <xdr:twoCellAnchor editAs="oneCell">
    <xdr:from>
      <xdr:col>0</xdr:col>
      <xdr:colOff>104775</xdr:colOff>
      <xdr:row>148</xdr:row>
      <xdr:rowOff>0</xdr:rowOff>
    </xdr:from>
    <xdr:to>
      <xdr:col>3</xdr:col>
      <xdr:colOff>781050</xdr:colOff>
      <xdr:row>153</xdr:row>
      <xdr:rowOff>49421</xdr:rowOff>
    </xdr:to>
    <xdr:pic>
      <xdr:nvPicPr>
        <xdr:cNvPr id="71" name="Image 8">
          <a:extLst>
            <a:ext uri="{FF2B5EF4-FFF2-40B4-BE49-F238E27FC236}">
              <a16:creationId xmlns:a16="http://schemas.microsoft.com/office/drawing/2014/main" id="{00000000-0008-0000-0000-00004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73291300"/>
          <a:ext cx="2038350" cy="917252"/>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49418</xdr:rowOff>
    </xdr:to>
    <xdr:pic>
      <xdr:nvPicPr>
        <xdr:cNvPr id="72" name="Image 8">
          <a:extLst>
            <a:ext uri="{FF2B5EF4-FFF2-40B4-BE49-F238E27FC236}">
              <a16:creationId xmlns:a16="http://schemas.microsoft.com/office/drawing/2014/main" id="{00000000-0008-0000-0000-00004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270919575"/>
          <a:ext cx="2001611" cy="964877"/>
        </a:xfrm>
        <a:prstGeom prst="rect">
          <a:avLst/>
        </a:prstGeom>
        <a:noFill/>
        <a:ln w="9525">
          <a:noFill/>
          <a:miter lim="800000"/>
          <a:headEnd/>
          <a:tailEnd/>
        </a:ln>
      </xdr:spPr>
    </xdr:pic>
    <xdr:clientData/>
  </xdr:twoCellAnchor>
  <xdr:twoCellAnchor editAs="oneCell">
    <xdr:from>
      <xdr:col>0</xdr:col>
      <xdr:colOff>105834</xdr:colOff>
      <xdr:row>148</xdr:row>
      <xdr:rowOff>0</xdr:rowOff>
    </xdr:from>
    <xdr:to>
      <xdr:col>3</xdr:col>
      <xdr:colOff>779992</xdr:colOff>
      <xdr:row>153</xdr:row>
      <xdr:rowOff>49417</xdr:rowOff>
    </xdr:to>
    <xdr:pic>
      <xdr:nvPicPr>
        <xdr:cNvPr id="73" name="Image 8">
          <a:extLst>
            <a:ext uri="{FF2B5EF4-FFF2-40B4-BE49-F238E27FC236}">
              <a16:creationId xmlns:a16="http://schemas.microsoft.com/office/drawing/2014/main" id="{00000000-0008-0000-0000-00004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300806908"/>
          <a:ext cx="1997075"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74" name="Image 8">
          <a:extLst>
            <a:ext uri="{FF2B5EF4-FFF2-40B4-BE49-F238E27FC236}">
              <a16:creationId xmlns:a16="http://schemas.microsoft.com/office/drawing/2014/main" id="{00000000-0008-0000-0000-00004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270919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49420</xdr:rowOff>
    </xdr:to>
    <xdr:pic>
      <xdr:nvPicPr>
        <xdr:cNvPr id="75" name="Image 8">
          <a:extLst>
            <a:ext uri="{FF2B5EF4-FFF2-40B4-BE49-F238E27FC236}">
              <a16:creationId xmlns:a16="http://schemas.microsoft.com/office/drawing/2014/main" id="{00000000-0008-0000-0000-00004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270919575"/>
          <a:ext cx="2001611" cy="964877"/>
        </a:xfrm>
        <a:prstGeom prst="rect">
          <a:avLst/>
        </a:prstGeom>
        <a:noFill/>
        <a:ln w="9525">
          <a:noFill/>
          <a:miter lim="800000"/>
          <a:headEnd/>
          <a:tailEnd/>
        </a:ln>
      </xdr:spPr>
    </xdr:pic>
    <xdr:clientData/>
  </xdr:twoCellAnchor>
  <xdr:twoCellAnchor editAs="oneCell">
    <xdr:from>
      <xdr:col>1</xdr:col>
      <xdr:colOff>0</xdr:colOff>
      <xdr:row>148</xdr:row>
      <xdr:rowOff>0</xdr:rowOff>
    </xdr:from>
    <xdr:to>
      <xdr:col>3</xdr:col>
      <xdr:colOff>787400</xdr:colOff>
      <xdr:row>153</xdr:row>
      <xdr:rowOff>49419</xdr:rowOff>
    </xdr:to>
    <xdr:pic>
      <xdr:nvPicPr>
        <xdr:cNvPr id="76" name="Image 8">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8857" y="270919575"/>
          <a:ext cx="2001611" cy="964877"/>
        </a:xfrm>
        <a:prstGeom prst="rect">
          <a:avLst/>
        </a:prstGeom>
        <a:noFill/>
        <a:ln w="9525">
          <a:noFill/>
          <a:miter lim="800000"/>
          <a:headEnd/>
          <a:tailEnd/>
        </a:ln>
      </xdr:spPr>
    </xdr:pic>
    <xdr:clientData/>
  </xdr:twoCellAnchor>
  <xdr:oneCellAnchor>
    <xdr:from>
      <xdr:col>1</xdr:col>
      <xdr:colOff>0</xdr:colOff>
      <xdr:row>148</xdr:row>
      <xdr:rowOff>0</xdr:rowOff>
    </xdr:from>
    <xdr:ext cx="2035175" cy="960644"/>
    <xdr:pic>
      <xdr:nvPicPr>
        <xdr:cNvPr id="31" name="Image 8">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14896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3" name="Image 8">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4" name="Image 8">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5" name="Image 8">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6" name="Image 8">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7" name="Image 8">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8" name="Image 8">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39" name="Image 8">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0" name="Image 8">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1" name="Image 8">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42" name="Image 8">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43" name="Image 8">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 name="Image 8">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5" name="Image 8">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6" name="Image 8">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47" name="Image 8">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48" name="Image 8">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9" name="Image 8">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50" name="Image 8">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1" name="Image 8">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2" name="Image 8">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78" name="Image 8">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79" name="Image 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80" name="Image 8">
          <a:extLst>
            <a:ext uri="{FF2B5EF4-FFF2-40B4-BE49-F238E27FC236}">
              <a16:creationId xmlns:a16="http://schemas.microsoft.com/office/drawing/2014/main" id="{00000000-0008-0000-0000-00005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81" name="Image 8">
          <a:extLst>
            <a:ext uri="{FF2B5EF4-FFF2-40B4-BE49-F238E27FC236}">
              <a16:creationId xmlns:a16="http://schemas.microsoft.com/office/drawing/2014/main" id="{00000000-0008-0000-0000-00005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82" name="Image 8">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83" name="Image 8">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84" name="Image 8">
          <a:extLst>
            <a:ext uri="{FF2B5EF4-FFF2-40B4-BE49-F238E27FC236}">
              <a16:creationId xmlns:a16="http://schemas.microsoft.com/office/drawing/2014/main" id="{00000000-0008-0000-0000-00005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85" name="Image 8">
          <a:extLst>
            <a:ext uri="{FF2B5EF4-FFF2-40B4-BE49-F238E27FC236}">
              <a16:creationId xmlns:a16="http://schemas.microsoft.com/office/drawing/2014/main" id="{00000000-0008-0000-0000-00005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86" name="Image 8">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87" name="Image 8">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88" name="Image 8">
          <a:extLst>
            <a:ext uri="{FF2B5EF4-FFF2-40B4-BE49-F238E27FC236}">
              <a16:creationId xmlns:a16="http://schemas.microsoft.com/office/drawing/2014/main" id="{00000000-0008-0000-0000-00005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89" name="Image 8">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90" name="Image 8">
          <a:extLst>
            <a:ext uri="{FF2B5EF4-FFF2-40B4-BE49-F238E27FC236}">
              <a16:creationId xmlns:a16="http://schemas.microsoft.com/office/drawing/2014/main" id="{00000000-0008-0000-0000-00005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91" name="Image 8">
          <a:extLst>
            <a:ext uri="{FF2B5EF4-FFF2-40B4-BE49-F238E27FC236}">
              <a16:creationId xmlns:a16="http://schemas.microsoft.com/office/drawing/2014/main" id="{00000000-0008-0000-0000-00005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92" name="Image 8">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93" name="Image 8">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94" name="Image 8">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95" name="Image 8">
          <a:extLst>
            <a:ext uri="{FF2B5EF4-FFF2-40B4-BE49-F238E27FC236}">
              <a16:creationId xmlns:a16="http://schemas.microsoft.com/office/drawing/2014/main" id="{00000000-0008-0000-0000-00005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96" name="Image 8">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97" name="Image 8">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98" name="Image 8">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99" name="Image 8">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00" name="Image 8">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01" name="Image 8">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02" name="Image 8">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03" name="Image 8">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04" name="Image 8">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05" name="Image 8">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06" name="Image 8">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07" name="Image 8">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108" name="Image 8">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09" name="Image 8">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10" name="Image 8">
          <a:extLst>
            <a:ext uri="{FF2B5EF4-FFF2-40B4-BE49-F238E27FC236}">
              <a16:creationId xmlns:a16="http://schemas.microsoft.com/office/drawing/2014/main" id="{00000000-0008-0000-0000-00006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111" name="Image 8">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112" name="Image 8">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13" name="Image 8">
          <a:extLst>
            <a:ext uri="{FF2B5EF4-FFF2-40B4-BE49-F238E27FC236}">
              <a16:creationId xmlns:a16="http://schemas.microsoft.com/office/drawing/2014/main" id="{00000000-0008-0000-0000-00007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14" name="Image 8">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15" name="Image 8">
          <a:extLst>
            <a:ext uri="{FF2B5EF4-FFF2-40B4-BE49-F238E27FC236}">
              <a16:creationId xmlns:a16="http://schemas.microsoft.com/office/drawing/2014/main" id="{00000000-0008-0000-0000-00007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116" name="Image 8">
          <a:extLst>
            <a:ext uri="{FF2B5EF4-FFF2-40B4-BE49-F238E27FC236}">
              <a16:creationId xmlns:a16="http://schemas.microsoft.com/office/drawing/2014/main" id="{00000000-0008-0000-0000-00007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117" name="Image 8">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18" name="Image 8">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119" name="Image 8">
          <a:extLst>
            <a:ext uri="{FF2B5EF4-FFF2-40B4-BE49-F238E27FC236}">
              <a16:creationId xmlns:a16="http://schemas.microsoft.com/office/drawing/2014/main" id="{00000000-0008-0000-0000-00007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20" name="Image 8">
          <a:extLst>
            <a:ext uri="{FF2B5EF4-FFF2-40B4-BE49-F238E27FC236}">
              <a16:creationId xmlns:a16="http://schemas.microsoft.com/office/drawing/2014/main" id="{00000000-0008-0000-0000-00007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21" name="Image 8">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22" name="Image 8">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24" name="Image 8">
          <a:extLst>
            <a:ext uri="{FF2B5EF4-FFF2-40B4-BE49-F238E27FC236}">
              <a16:creationId xmlns:a16="http://schemas.microsoft.com/office/drawing/2014/main" id="{00000000-0008-0000-0000-00007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25" name="Image 8">
          <a:extLst>
            <a:ext uri="{FF2B5EF4-FFF2-40B4-BE49-F238E27FC236}">
              <a16:creationId xmlns:a16="http://schemas.microsoft.com/office/drawing/2014/main" id="{00000000-0008-0000-0000-00007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26" name="Image 8">
          <a:extLst>
            <a:ext uri="{FF2B5EF4-FFF2-40B4-BE49-F238E27FC236}">
              <a16:creationId xmlns:a16="http://schemas.microsoft.com/office/drawing/2014/main" id="{00000000-0008-0000-0000-00007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27" name="Image 8">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28" name="Image 8">
          <a:extLst>
            <a:ext uri="{FF2B5EF4-FFF2-40B4-BE49-F238E27FC236}">
              <a16:creationId xmlns:a16="http://schemas.microsoft.com/office/drawing/2014/main" id="{00000000-0008-0000-0000-00008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29" name="Image 8">
          <a:extLst>
            <a:ext uri="{FF2B5EF4-FFF2-40B4-BE49-F238E27FC236}">
              <a16:creationId xmlns:a16="http://schemas.microsoft.com/office/drawing/2014/main" id="{00000000-0008-0000-0000-00008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30" name="Image 8">
          <a:extLst>
            <a:ext uri="{FF2B5EF4-FFF2-40B4-BE49-F238E27FC236}">
              <a16:creationId xmlns:a16="http://schemas.microsoft.com/office/drawing/2014/main" id="{00000000-0008-0000-0000-00008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131" name="Image 8">
          <a:extLst>
            <a:ext uri="{FF2B5EF4-FFF2-40B4-BE49-F238E27FC236}">
              <a16:creationId xmlns:a16="http://schemas.microsoft.com/office/drawing/2014/main" id="{00000000-0008-0000-0000-00008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32" name="Image 8">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33" name="Image 8">
          <a:extLst>
            <a:ext uri="{FF2B5EF4-FFF2-40B4-BE49-F238E27FC236}">
              <a16:creationId xmlns:a16="http://schemas.microsoft.com/office/drawing/2014/main" id="{00000000-0008-0000-0000-00008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134" name="Image 8">
          <a:extLst>
            <a:ext uri="{FF2B5EF4-FFF2-40B4-BE49-F238E27FC236}">
              <a16:creationId xmlns:a16="http://schemas.microsoft.com/office/drawing/2014/main" id="{00000000-0008-0000-0000-00008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135" name="Image 8">
          <a:extLst>
            <a:ext uri="{FF2B5EF4-FFF2-40B4-BE49-F238E27FC236}">
              <a16:creationId xmlns:a16="http://schemas.microsoft.com/office/drawing/2014/main" id="{00000000-0008-0000-0000-00008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36" name="Image 8">
          <a:extLst>
            <a:ext uri="{FF2B5EF4-FFF2-40B4-BE49-F238E27FC236}">
              <a16:creationId xmlns:a16="http://schemas.microsoft.com/office/drawing/2014/main" id="{00000000-0008-0000-0000-00008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37" name="Image 8">
          <a:extLst>
            <a:ext uri="{FF2B5EF4-FFF2-40B4-BE49-F238E27FC236}">
              <a16:creationId xmlns:a16="http://schemas.microsoft.com/office/drawing/2014/main" id="{00000000-0008-0000-0000-00008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38" name="Image 8">
          <a:extLst>
            <a:ext uri="{FF2B5EF4-FFF2-40B4-BE49-F238E27FC236}">
              <a16:creationId xmlns:a16="http://schemas.microsoft.com/office/drawing/2014/main" id="{00000000-0008-0000-0000-00008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139" name="Image 8">
          <a:extLst>
            <a:ext uri="{FF2B5EF4-FFF2-40B4-BE49-F238E27FC236}">
              <a16:creationId xmlns:a16="http://schemas.microsoft.com/office/drawing/2014/main" id="{00000000-0008-0000-0000-00008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140" name="Image 8">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41" name="Image 8">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142" name="Image 8">
          <a:extLst>
            <a:ext uri="{FF2B5EF4-FFF2-40B4-BE49-F238E27FC236}">
              <a16:creationId xmlns:a16="http://schemas.microsoft.com/office/drawing/2014/main" id="{00000000-0008-0000-0000-00008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43" name="Image 8">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44" name="Image 8">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45" name="Image 8">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46" name="Image 8">
          <a:extLst>
            <a:ext uri="{FF2B5EF4-FFF2-40B4-BE49-F238E27FC236}">
              <a16:creationId xmlns:a16="http://schemas.microsoft.com/office/drawing/2014/main" id="{00000000-0008-0000-0000-00009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47" name="Image 8">
          <a:extLst>
            <a:ext uri="{FF2B5EF4-FFF2-40B4-BE49-F238E27FC236}">
              <a16:creationId xmlns:a16="http://schemas.microsoft.com/office/drawing/2014/main" id="{00000000-0008-0000-0000-00009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48" name="Image 8">
          <a:extLst>
            <a:ext uri="{FF2B5EF4-FFF2-40B4-BE49-F238E27FC236}">
              <a16:creationId xmlns:a16="http://schemas.microsoft.com/office/drawing/2014/main" id="{00000000-0008-0000-0000-00009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49" name="Image 8">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50" name="Image 8">
          <a:extLst>
            <a:ext uri="{FF2B5EF4-FFF2-40B4-BE49-F238E27FC236}">
              <a16:creationId xmlns:a16="http://schemas.microsoft.com/office/drawing/2014/main" id="{00000000-0008-0000-0000-00009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51" name="Image 8">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52" name="Image 8">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53" name="Image 8">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154" name="Image 8">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55" name="Image 8">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56" name="Image 8">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157" name="Image 8">
          <a:extLst>
            <a:ext uri="{FF2B5EF4-FFF2-40B4-BE49-F238E27FC236}">
              <a16:creationId xmlns:a16="http://schemas.microsoft.com/office/drawing/2014/main" id="{00000000-0008-0000-0000-00009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158" name="Image 8">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59" name="Image 8">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70" name="Image 8">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71" name="Image 8">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72" name="Image 8">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73" name="Image 8">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74" name="Image 8">
          <a:extLst>
            <a:ext uri="{FF2B5EF4-FFF2-40B4-BE49-F238E27FC236}">
              <a16:creationId xmlns:a16="http://schemas.microsoft.com/office/drawing/2014/main" id="{00000000-0008-0000-0000-0000A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75" name="Image 8">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76" name="Image 8">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177" name="Image 8">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78" name="Image 8">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79" name="Image 8">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180" name="Image 8">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181" name="Image 8">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82" name="Image 8">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83" name="Image 8">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84" name="Image 8">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93" name="Image 8">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94" name="Image 8">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195" name="Image 8">
          <a:extLst>
            <a:ext uri="{FF2B5EF4-FFF2-40B4-BE49-F238E27FC236}">
              <a16:creationId xmlns:a16="http://schemas.microsoft.com/office/drawing/2014/main" id="{00000000-0008-0000-0000-0000C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96" name="Image 8">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197" name="Image 8">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198" name="Image 8">
          <a:extLst>
            <a:ext uri="{FF2B5EF4-FFF2-40B4-BE49-F238E27FC236}">
              <a16:creationId xmlns:a16="http://schemas.microsoft.com/office/drawing/2014/main" id="{00000000-0008-0000-0000-0000C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199" name="Image 8">
          <a:extLst>
            <a:ext uri="{FF2B5EF4-FFF2-40B4-BE49-F238E27FC236}">
              <a16:creationId xmlns:a16="http://schemas.microsoft.com/office/drawing/2014/main" id="{00000000-0008-0000-0000-0000C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200" name="Image 8">
          <a:extLst>
            <a:ext uri="{FF2B5EF4-FFF2-40B4-BE49-F238E27FC236}">
              <a16:creationId xmlns:a16="http://schemas.microsoft.com/office/drawing/2014/main" id="{00000000-0008-0000-0000-0000C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01" name="Image 8">
          <a:extLst>
            <a:ext uri="{FF2B5EF4-FFF2-40B4-BE49-F238E27FC236}">
              <a16:creationId xmlns:a16="http://schemas.microsoft.com/office/drawing/2014/main" id="{00000000-0008-0000-0000-0000C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02" name="Image 8">
          <a:extLst>
            <a:ext uri="{FF2B5EF4-FFF2-40B4-BE49-F238E27FC236}">
              <a16:creationId xmlns:a16="http://schemas.microsoft.com/office/drawing/2014/main" id="{00000000-0008-0000-0000-0000C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203" name="Image 8">
          <a:extLst>
            <a:ext uri="{FF2B5EF4-FFF2-40B4-BE49-F238E27FC236}">
              <a16:creationId xmlns:a16="http://schemas.microsoft.com/office/drawing/2014/main" id="{00000000-0008-0000-0000-0000C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204" name="Image 8">
          <a:extLst>
            <a:ext uri="{FF2B5EF4-FFF2-40B4-BE49-F238E27FC236}">
              <a16:creationId xmlns:a16="http://schemas.microsoft.com/office/drawing/2014/main" id="{00000000-0008-0000-0000-0000C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05" name="Image 8">
          <a:extLst>
            <a:ext uri="{FF2B5EF4-FFF2-40B4-BE49-F238E27FC236}">
              <a16:creationId xmlns:a16="http://schemas.microsoft.com/office/drawing/2014/main" id="{00000000-0008-0000-0000-0000C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06" name="Image 8">
          <a:extLst>
            <a:ext uri="{FF2B5EF4-FFF2-40B4-BE49-F238E27FC236}">
              <a16:creationId xmlns:a16="http://schemas.microsoft.com/office/drawing/2014/main" id="{00000000-0008-0000-0000-0000C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07" name="Image 8">
          <a:extLst>
            <a:ext uri="{FF2B5EF4-FFF2-40B4-BE49-F238E27FC236}">
              <a16:creationId xmlns:a16="http://schemas.microsoft.com/office/drawing/2014/main" id="{00000000-0008-0000-0000-0000C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208" name="Image 8">
          <a:extLst>
            <a:ext uri="{FF2B5EF4-FFF2-40B4-BE49-F238E27FC236}">
              <a16:creationId xmlns:a16="http://schemas.microsoft.com/office/drawing/2014/main" id="{00000000-0008-0000-0000-0000D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209" name="Image 8">
          <a:extLst>
            <a:ext uri="{FF2B5EF4-FFF2-40B4-BE49-F238E27FC236}">
              <a16:creationId xmlns:a16="http://schemas.microsoft.com/office/drawing/2014/main" id="{00000000-0008-0000-0000-0000D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10" name="Image 8">
          <a:extLst>
            <a:ext uri="{FF2B5EF4-FFF2-40B4-BE49-F238E27FC236}">
              <a16:creationId xmlns:a16="http://schemas.microsoft.com/office/drawing/2014/main" id="{00000000-0008-0000-0000-0000D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211" name="Image 8">
          <a:extLst>
            <a:ext uri="{FF2B5EF4-FFF2-40B4-BE49-F238E27FC236}">
              <a16:creationId xmlns:a16="http://schemas.microsoft.com/office/drawing/2014/main" id="{00000000-0008-0000-0000-0000D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12" name="Image 8">
          <a:extLst>
            <a:ext uri="{FF2B5EF4-FFF2-40B4-BE49-F238E27FC236}">
              <a16:creationId xmlns:a16="http://schemas.microsoft.com/office/drawing/2014/main" id="{00000000-0008-0000-0000-0000D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13" name="Image 8">
          <a:extLst>
            <a:ext uri="{FF2B5EF4-FFF2-40B4-BE49-F238E27FC236}">
              <a16:creationId xmlns:a16="http://schemas.microsoft.com/office/drawing/2014/main" id="{00000000-0008-0000-0000-0000D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14" name="Image 8">
          <a:extLst>
            <a:ext uri="{FF2B5EF4-FFF2-40B4-BE49-F238E27FC236}">
              <a16:creationId xmlns:a16="http://schemas.microsoft.com/office/drawing/2014/main" id="{00000000-0008-0000-0000-0000D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15" name="Image 8">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16" name="Image 8">
          <a:extLst>
            <a:ext uri="{FF2B5EF4-FFF2-40B4-BE49-F238E27FC236}">
              <a16:creationId xmlns:a16="http://schemas.microsoft.com/office/drawing/2014/main" id="{00000000-0008-0000-0000-0000D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17" name="Image 8">
          <a:extLst>
            <a:ext uri="{FF2B5EF4-FFF2-40B4-BE49-F238E27FC236}">
              <a16:creationId xmlns:a16="http://schemas.microsoft.com/office/drawing/2014/main" id="{00000000-0008-0000-0000-0000D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18" name="Image 8">
          <a:extLst>
            <a:ext uri="{FF2B5EF4-FFF2-40B4-BE49-F238E27FC236}">
              <a16:creationId xmlns:a16="http://schemas.microsoft.com/office/drawing/2014/main" id="{00000000-0008-0000-0000-0000D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19" name="Image 8">
          <a:extLst>
            <a:ext uri="{FF2B5EF4-FFF2-40B4-BE49-F238E27FC236}">
              <a16:creationId xmlns:a16="http://schemas.microsoft.com/office/drawing/2014/main" id="{00000000-0008-0000-0000-0000D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20" name="Image 8">
          <a:extLst>
            <a:ext uri="{FF2B5EF4-FFF2-40B4-BE49-F238E27FC236}">
              <a16:creationId xmlns:a16="http://schemas.microsoft.com/office/drawing/2014/main" id="{00000000-0008-0000-0000-0000D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21" name="Image 8">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22" name="Image 8">
          <a:extLst>
            <a:ext uri="{FF2B5EF4-FFF2-40B4-BE49-F238E27FC236}">
              <a16:creationId xmlns:a16="http://schemas.microsoft.com/office/drawing/2014/main" id="{00000000-0008-0000-0000-0000D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223" name="Image 8">
          <a:extLst>
            <a:ext uri="{FF2B5EF4-FFF2-40B4-BE49-F238E27FC236}">
              <a16:creationId xmlns:a16="http://schemas.microsoft.com/office/drawing/2014/main" id="{00000000-0008-0000-0000-0000D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24" name="Image 8">
          <a:extLst>
            <a:ext uri="{FF2B5EF4-FFF2-40B4-BE49-F238E27FC236}">
              <a16:creationId xmlns:a16="http://schemas.microsoft.com/office/drawing/2014/main" id="{00000000-0008-0000-0000-0000E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25" name="Image 8">
          <a:extLst>
            <a:ext uri="{FF2B5EF4-FFF2-40B4-BE49-F238E27FC236}">
              <a16:creationId xmlns:a16="http://schemas.microsoft.com/office/drawing/2014/main" id="{00000000-0008-0000-0000-0000E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226" name="Image 8">
          <a:extLst>
            <a:ext uri="{FF2B5EF4-FFF2-40B4-BE49-F238E27FC236}">
              <a16:creationId xmlns:a16="http://schemas.microsoft.com/office/drawing/2014/main" id="{00000000-0008-0000-0000-0000E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227" name="Image 8">
          <a:extLst>
            <a:ext uri="{FF2B5EF4-FFF2-40B4-BE49-F238E27FC236}">
              <a16:creationId xmlns:a16="http://schemas.microsoft.com/office/drawing/2014/main" id="{00000000-0008-0000-0000-0000E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28" name="Image 8">
          <a:extLst>
            <a:ext uri="{FF2B5EF4-FFF2-40B4-BE49-F238E27FC236}">
              <a16:creationId xmlns:a16="http://schemas.microsoft.com/office/drawing/2014/main" id="{00000000-0008-0000-0000-0000E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29" name="Image 8">
          <a:extLst>
            <a:ext uri="{FF2B5EF4-FFF2-40B4-BE49-F238E27FC236}">
              <a16:creationId xmlns:a16="http://schemas.microsoft.com/office/drawing/2014/main" id="{00000000-0008-0000-0000-0000E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30" name="Image 8">
          <a:extLst>
            <a:ext uri="{FF2B5EF4-FFF2-40B4-BE49-F238E27FC236}">
              <a16:creationId xmlns:a16="http://schemas.microsoft.com/office/drawing/2014/main" id="{00000000-0008-0000-0000-0000E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231" name="Image 8">
          <a:extLst>
            <a:ext uri="{FF2B5EF4-FFF2-40B4-BE49-F238E27FC236}">
              <a16:creationId xmlns:a16="http://schemas.microsoft.com/office/drawing/2014/main" id="{00000000-0008-0000-0000-0000E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232" name="Image 8">
          <a:extLst>
            <a:ext uri="{FF2B5EF4-FFF2-40B4-BE49-F238E27FC236}">
              <a16:creationId xmlns:a16="http://schemas.microsoft.com/office/drawing/2014/main" id="{00000000-0008-0000-0000-0000E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33" name="Image 8">
          <a:extLst>
            <a:ext uri="{FF2B5EF4-FFF2-40B4-BE49-F238E27FC236}">
              <a16:creationId xmlns:a16="http://schemas.microsoft.com/office/drawing/2014/main" id="{00000000-0008-0000-0000-0000E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234" name="Image 8">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35" name="Image 8">
          <a:extLst>
            <a:ext uri="{FF2B5EF4-FFF2-40B4-BE49-F238E27FC236}">
              <a16:creationId xmlns:a16="http://schemas.microsoft.com/office/drawing/2014/main" id="{00000000-0008-0000-0000-0000E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36" name="Image 8">
          <a:extLst>
            <a:ext uri="{FF2B5EF4-FFF2-40B4-BE49-F238E27FC236}">
              <a16:creationId xmlns:a16="http://schemas.microsoft.com/office/drawing/2014/main" id="{00000000-0008-0000-0000-0000E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37" name="Image 8">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38" name="Image 8">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39" name="Image 8">
          <a:extLst>
            <a:ext uri="{FF2B5EF4-FFF2-40B4-BE49-F238E27FC236}">
              <a16:creationId xmlns:a16="http://schemas.microsoft.com/office/drawing/2014/main" id="{00000000-0008-0000-0000-0000EF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40" name="Image 8">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41" name="Image 8">
          <a:extLst>
            <a:ext uri="{FF2B5EF4-FFF2-40B4-BE49-F238E27FC236}">
              <a16:creationId xmlns:a16="http://schemas.microsoft.com/office/drawing/2014/main" id="{00000000-0008-0000-0000-0000F1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42" name="Image 8">
          <a:extLst>
            <a:ext uri="{FF2B5EF4-FFF2-40B4-BE49-F238E27FC236}">
              <a16:creationId xmlns:a16="http://schemas.microsoft.com/office/drawing/2014/main" id="{00000000-0008-0000-0000-0000F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43" name="Image 8">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44" name="Image 8">
          <a:extLst>
            <a:ext uri="{FF2B5EF4-FFF2-40B4-BE49-F238E27FC236}">
              <a16:creationId xmlns:a16="http://schemas.microsoft.com/office/drawing/2014/main" id="{00000000-0008-0000-0000-0000F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45" name="Image 8">
          <a:extLst>
            <a:ext uri="{FF2B5EF4-FFF2-40B4-BE49-F238E27FC236}">
              <a16:creationId xmlns:a16="http://schemas.microsoft.com/office/drawing/2014/main" id="{00000000-0008-0000-0000-0000F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246" name="Image 8">
          <a:extLst>
            <a:ext uri="{FF2B5EF4-FFF2-40B4-BE49-F238E27FC236}">
              <a16:creationId xmlns:a16="http://schemas.microsoft.com/office/drawing/2014/main" id="{00000000-0008-0000-0000-0000F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47" name="Image 8">
          <a:extLst>
            <a:ext uri="{FF2B5EF4-FFF2-40B4-BE49-F238E27FC236}">
              <a16:creationId xmlns:a16="http://schemas.microsoft.com/office/drawing/2014/main" id="{00000000-0008-0000-0000-0000F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48" name="Image 8">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249" name="Image 8">
          <a:extLst>
            <a:ext uri="{FF2B5EF4-FFF2-40B4-BE49-F238E27FC236}">
              <a16:creationId xmlns:a16="http://schemas.microsoft.com/office/drawing/2014/main" id="{00000000-0008-0000-0000-0000F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250" name="Image 8">
          <a:extLst>
            <a:ext uri="{FF2B5EF4-FFF2-40B4-BE49-F238E27FC236}">
              <a16:creationId xmlns:a16="http://schemas.microsoft.com/office/drawing/2014/main" id="{00000000-0008-0000-0000-0000F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62" name="Image 8">
          <a:extLst>
            <a:ext uri="{FF2B5EF4-FFF2-40B4-BE49-F238E27FC236}">
              <a16:creationId xmlns:a16="http://schemas.microsoft.com/office/drawing/2014/main" id="{00000000-0008-0000-0000-00000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63" name="Image 8">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64" name="Image 8">
          <a:extLst>
            <a:ext uri="{FF2B5EF4-FFF2-40B4-BE49-F238E27FC236}">
              <a16:creationId xmlns:a16="http://schemas.microsoft.com/office/drawing/2014/main" id="{00000000-0008-0000-0000-00000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65" name="Image 8">
          <a:extLst>
            <a:ext uri="{FF2B5EF4-FFF2-40B4-BE49-F238E27FC236}">
              <a16:creationId xmlns:a16="http://schemas.microsoft.com/office/drawing/2014/main" id="{00000000-0008-0000-0000-00000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66" name="Image 8">
          <a:extLst>
            <a:ext uri="{FF2B5EF4-FFF2-40B4-BE49-F238E27FC236}">
              <a16:creationId xmlns:a16="http://schemas.microsoft.com/office/drawing/2014/main" id="{00000000-0008-0000-0000-00000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67" name="Image 8">
          <a:extLst>
            <a:ext uri="{FF2B5EF4-FFF2-40B4-BE49-F238E27FC236}">
              <a16:creationId xmlns:a16="http://schemas.microsoft.com/office/drawing/2014/main" id="{00000000-0008-0000-0000-00000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68" name="Image 8">
          <a:extLst>
            <a:ext uri="{FF2B5EF4-FFF2-40B4-BE49-F238E27FC236}">
              <a16:creationId xmlns:a16="http://schemas.microsoft.com/office/drawing/2014/main" id="{00000000-0008-0000-0000-00000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269" name="Image 8">
          <a:extLst>
            <a:ext uri="{FF2B5EF4-FFF2-40B4-BE49-F238E27FC236}">
              <a16:creationId xmlns:a16="http://schemas.microsoft.com/office/drawing/2014/main" id="{00000000-0008-0000-0000-00000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70" name="Image 8">
          <a:extLst>
            <a:ext uri="{FF2B5EF4-FFF2-40B4-BE49-F238E27FC236}">
              <a16:creationId xmlns:a16="http://schemas.microsoft.com/office/drawing/2014/main" id="{00000000-0008-0000-0000-00000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85" name="Image 8">
          <a:extLst>
            <a:ext uri="{FF2B5EF4-FFF2-40B4-BE49-F238E27FC236}">
              <a16:creationId xmlns:a16="http://schemas.microsoft.com/office/drawing/2014/main" id="{00000000-0008-0000-0000-00001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86" name="Image 8">
          <a:extLst>
            <a:ext uri="{FF2B5EF4-FFF2-40B4-BE49-F238E27FC236}">
              <a16:creationId xmlns:a16="http://schemas.microsoft.com/office/drawing/2014/main" id="{00000000-0008-0000-0000-00001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87" name="Image 8">
          <a:extLst>
            <a:ext uri="{FF2B5EF4-FFF2-40B4-BE49-F238E27FC236}">
              <a16:creationId xmlns:a16="http://schemas.microsoft.com/office/drawing/2014/main" id="{00000000-0008-0000-0000-00001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88" name="Image 8">
          <a:extLst>
            <a:ext uri="{FF2B5EF4-FFF2-40B4-BE49-F238E27FC236}">
              <a16:creationId xmlns:a16="http://schemas.microsoft.com/office/drawing/2014/main" id="{00000000-0008-0000-0000-00002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89" name="Image 8">
          <a:extLst>
            <a:ext uri="{FF2B5EF4-FFF2-40B4-BE49-F238E27FC236}">
              <a16:creationId xmlns:a16="http://schemas.microsoft.com/office/drawing/2014/main" id="{00000000-0008-0000-0000-00002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90" name="Image 8">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291" name="Image 8">
          <a:extLst>
            <a:ext uri="{FF2B5EF4-FFF2-40B4-BE49-F238E27FC236}">
              <a16:creationId xmlns:a16="http://schemas.microsoft.com/office/drawing/2014/main" id="{00000000-0008-0000-0000-00002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292" name="Image 8">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93" name="Image 8">
          <a:extLst>
            <a:ext uri="{FF2B5EF4-FFF2-40B4-BE49-F238E27FC236}">
              <a16:creationId xmlns:a16="http://schemas.microsoft.com/office/drawing/2014/main" id="{00000000-0008-0000-0000-00002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94" name="Image 8">
          <a:extLst>
            <a:ext uri="{FF2B5EF4-FFF2-40B4-BE49-F238E27FC236}">
              <a16:creationId xmlns:a16="http://schemas.microsoft.com/office/drawing/2014/main" id="{00000000-0008-0000-0000-00002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295" name="Image 8">
          <a:extLst>
            <a:ext uri="{FF2B5EF4-FFF2-40B4-BE49-F238E27FC236}">
              <a16:creationId xmlns:a16="http://schemas.microsoft.com/office/drawing/2014/main" id="{00000000-0008-0000-0000-00002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296" name="Image 8">
          <a:extLst>
            <a:ext uri="{FF2B5EF4-FFF2-40B4-BE49-F238E27FC236}">
              <a16:creationId xmlns:a16="http://schemas.microsoft.com/office/drawing/2014/main" id="{00000000-0008-0000-0000-00002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297" name="Image 8">
          <a:extLst>
            <a:ext uri="{FF2B5EF4-FFF2-40B4-BE49-F238E27FC236}">
              <a16:creationId xmlns:a16="http://schemas.microsoft.com/office/drawing/2014/main" id="{00000000-0008-0000-0000-00002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298" name="Image 8">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299" name="Image 8">
          <a:extLst>
            <a:ext uri="{FF2B5EF4-FFF2-40B4-BE49-F238E27FC236}">
              <a16:creationId xmlns:a16="http://schemas.microsoft.com/office/drawing/2014/main" id="{00000000-0008-0000-0000-00002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300" name="Image 8">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301" name="Image 8">
          <a:extLst>
            <a:ext uri="{FF2B5EF4-FFF2-40B4-BE49-F238E27FC236}">
              <a16:creationId xmlns:a16="http://schemas.microsoft.com/office/drawing/2014/main" id="{00000000-0008-0000-0000-00002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02" name="Image 8">
          <a:extLst>
            <a:ext uri="{FF2B5EF4-FFF2-40B4-BE49-F238E27FC236}">
              <a16:creationId xmlns:a16="http://schemas.microsoft.com/office/drawing/2014/main" id="{00000000-0008-0000-0000-00002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303" name="Image 8">
          <a:extLst>
            <a:ext uri="{FF2B5EF4-FFF2-40B4-BE49-F238E27FC236}">
              <a16:creationId xmlns:a16="http://schemas.microsoft.com/office/drawing/2014/main" id="{00000000-0008-0000-0000-00002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04" name="Image 8">
          <a:extLst>
            <a:ext uri="{FF2B5EF4-FFF2-40B4-BE49-F238E27FC236}">
              <a16:creationId xmlns:a16="http://schemas.microsoft.com/office/drawing/2014/main" id="{00000000-0008-0000-0000-00003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05" name="Image 8">
          <a:extLst>
            <a:ext uri="{FF2B5EF4-FFF2-40B4-BE49-F238E27FC236}">
              <a16:creationId xmlns:a16="http://schemas.microsoft.com/office/drawing/2014/main" id="{00000000-0008-0000-0000-00003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06" name="Image 8">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07" name="Image 8">
          <a:extLst>
            <a:ext uri="{FF2B5EF4-FFF2-40B4-BE49-F238E27FC236}">
              <a16:creationId xmlns:a16="http://schemas.microsoft.com/office/drawing/2014/main" id="{00000000-0008-0000-0000-00003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08" name="Image 8">
          <a:extLst>
            <a:ext uri="{FF2B5EF4-FFF2-40B4-BE49-F238E27FC236}">
              <a16:creationId xmlns:a16="http://schemas.microsoft.com/office/drawing/2014/main" id="{00000000-0008-0000-0000-00003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09" name="Image 8">
          <a:extLst>
            <a:ext uri="{FF2B5EF4-FFF2-40B4-BE49-F238E27FC236}">
              <a16:creationId xmlns:a16="http://schemas.microsoft.com/office/drawing/2014/main" id="{00000000-0008-0000-0000-00003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10" name="Image 8">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11" name="Image 8">
          <a:extLst>
            <a:ext uri="{FF2B5EF4-FFF2-40B4-BE49-F238E27FC236}">
              <a16:creationId xmlns:a16="http://schemas.microsoft.com/office/drawing/2014/main" id="{00000000-0008-0000-0000-00003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12" name="Image 8">
          <a:extLst>
            <a:ext uri="{FF2B5EF4-FFF2-40B4-BE49-F238E27FC236}">
              <a16:creationId xmlns:a16="http://schemas.microsoft.com/office/drawing/2014/main" id="{00000000-0008-0000-0000-00003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13" name="Image 8">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14" name="Image 8">
          <a:extLst>
            <a:ext uri="{FF2B5EF4-FFF2-40B4-BE49-F238E27FC236}">
              <a16:creationId xmlns:a16="http://schemas.microsoft.com/office/drawing/2014/main" id="{00000000-0008-0000-0000-00003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31" name="Image 8">
          <a:extLst>
            <a:ext uri="{FF2B5EF4-FFF2-40B4-BE49-F238E27FC236}">
              <a16:creationId xmlns:a16="http://schemas.microsoft.com/office/drawing/2014/main" id="{00000000-0008-0000-0000-00004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32" name="Image 8">
          <a:extLst>
            <a:ext uri="{FF2B5EF4-FFF2-40B4-BE49-F238E27FC236}">
              <a16:creationId xmlns:a16="http://schemas.microsoft.com/office/drawing/2014/main" id="{00000000-0008-0000-0000-00004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33" name="Image 8">
          <a:extLst>
            <a:ext uri="{FF2B5EF4-FFF2-40B4-BE49-F238E27FC236}">
              <a16:creationId xmlns:a16="http://schemas.microsoft.com/office/drawing/2014/main" id="{00000000-0008-0000-0000-00004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34" name="Image 8">
          <a:extLst>
            <a:ext uri="{FF2B5EF4-FFF2-40B4-BE49-F238E27FC236}">
              <a16:creationId xmlns:a16="http://schemas.microsoft.com/office/drawing/2014/main" id="{00000000-0008-0000-0000-00004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35" name="Image 8">
          <a:extLst>
            <a:ext uri="{FF2B5EF4-FFF2-40B4-BE49-F238E27FC236}">
              <a16:creationId xmlns:a16="http://schemas.microsoft.com/office/drawing/2014/main" id="{00000000-0008-0000-0000-00004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36" name="Image 8">
          <a:extLst>
            <a:ext uri="{FF2B5EF4-FFF2-40B4-BE49-F238E27FC236}">
              <a16:creationId xmlns:a16="http://schemas.microsoft.com/office/drawing/2014/main" id="{00000000-0008-0000-0000-00005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37" name="Image 8">
          <a:extLst>
            <a:ext uri="{FF2B5EF4-FFF2-40B4-BE49-F238E27FC236}">
              <a16:creationId xmlns:a16="http://schemas.microsoft.com/office/drawing/2014/main" id="{00000000-0008-0000-0000-00005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338" name="Image 8">
          <a:extLst>
            <a:ext uri="{FF2B5EF4-FFF2-40B4-BE49-F238E27FC236}">
              <a16:creationId xmlns:a16="http://schemas.microsoft.com/office/drawing/2014/main" id="{00000000-0008-0000-0000-00005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39" name="Image 8">
          <a:extLst>
            <a:ext uri="{FF2B5EF4-FFF2-40B4-BE49-F238E27FC236}">
              <a16:creationId xmlns:a16="http://schemas.microsoft.com/office/drawing/2014/main" id="{00000000-0008-0000-0000-00005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40" name="Image 8">
          <a:extLst>
            <a:ext uri="{FF2B5EF4-FFF2-40B4-BE49-F238E27FC236}">
              <a16:creationId xmlns:a16="http://schemas.microsoft.com/office/drawing/2014/main" id="{00000000-0008-0000-0000-00005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341" name="Image 8">
          <a:extLst>
            <a:ext uri="{FF2B5EF4-FFF2-40B4-BE49-F238E27FC236}">
              <a16:creationId xmlns:a16="http://schemas.microsoft.com/office/drawing/2014/main" id="{00000000-0008-0000-0000-00005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342" name="Image 8">
          <a:extLst>
            <a:ext uri="{FF2B5EF4-FFF2-40B4-BE49-F238E27FC236}">
              <a16:creationId xmlns:a16="http://schemas.microsoft.com/office/drawing/2014/main" id="{00000000-0008-0000-0000-00005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43" name="Image 8">
          <a:extLst>
            <a:ext uri="{FF2B5EF4-FFF2-40B4-BE49-F238E27FC236}">
              <a16:creationId xmlns:a16="http://schemas.microsoft.com/office/drawing/2014/main" id="{00000000-0008-0000-0000-00005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54" name="Image 8">
          <a:extLst>
            <a:ext uri="{FF2B5EF4-FFF2-40B4-BE49-F238E27FC236}">
              <a16:creationId xmlns:a16="http://schemas.microsoft.com/office/drawing/2014/main" id="{00000000-0008-0000-0000-00006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55" name="Image 8">
          <a:extLst>
            <a:ext uri="{FF2B5EF4-FFF2-40B4-BE49-F238E27FC236}">
              <a16:creationId xmlns:a16="http://schemas.microsoft.com/office/drawing/2014/main" id="{00000000-0008-0000-0000-00006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56" name="Image 8">
          <a:extLst>
            <a:ext uri="{FF2B5EF4-FFF2-40B4-BE49-F238E27FC236}">
              <a16:creationId xmlns:a16="http://schemas.microsoft.com/office/drawing/2014/main" id="{00000000-0008-0000-0000-00006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57" name="Image 8">
          <a:extLst>
            <a:ext uri="{FF2B5EF4-FFF2-40B4-BE49-F238E27FC236}">
              <a16:creationId xmlns:a16="http://schemas.microsoft.com/office/drawing/2014/main" id="{00000000-0008-0000-0000-00006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58" name="Image 8">
          <a:extLst>
            <a:ext uri="{FF2B5EF4-FFF2-40B4-BE49-F238E27FC236}">
              <a16:creationId xmlns:a16="http://schemas.microsoft.com/office/drawing/2014/main" id="{00000000-0008-0000-0000-00006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59" name="Image 8">
          <a:extLst>
            <a:ext uri="{FF2B5EF4-FFF2-40B4-BE49-F238E27FC236}">
              <a16:creationId xmlns:a16="http://schemas.microsoft.com/office/drawing/2014/main" id="{00000000-0008-0000-0000-00006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60" name="Image 8">
          <a:extLst>
            <a:ext uri="{FF2B5EF4-FFF2-40B4-BE49-F238E27FC236}">
              <a16:creationId xmlns:a16="http://schemas.microsoft.com/office/drawing/2014/main" id="{00000000-0008-0000-0000-00006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361" name="Image 8">
          <a:extLst>
            <a:ext uri="{FF2B5EF4-FFF2-40B4-BE49-F238E27FC236}">
              <a16:creationId xmlns:a16="http://schemas.microsoft.com/office/drawing/2014/main" id="{00000000-0008-0000-0000-00006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62" name="Image 8">
          <a:extLst>
            <a:ext uri="{FF2B5EF4-FFF2-40B4-BE49-F238E27FC236}">
              <a16:creationId xmlns:a16="http://schemas.microsoft.com/office/drawing/2014/main" id="{00000000-0008-0000-0000-00006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63" name="Image 8">
          <a:extLst>
            <a:ext uri="{FF2B5EF4-FFF2-40B4-BE49-F238E27FC236}">
              <a16:creationId xmlns:a16="http://schemas.microsoft.com/office/drawing/2014/main" id="{00000000-0008-0000-0000-00006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364" name="Image 8">
          <a:extLst>
            <a:ext uri="{FF2B5EF4-FFF2-40B4-BE49-F238E27FC236}">
              <a16:creationId xmlns:a16="http://schemas.microsoft.com/office/drawing/2014/main" id="{00000000-0008-0000-0000-00006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365" name="Image 8">
          <a:extLst>
            <a:ext uri="{FF2B5EF4-FFF2-40B4-BE49-F238E27FC236}">
              <a16:creationId xmlns:a16="http://schemas.microsoft.com/office/drawing/2014/main" id="{00000000-0008-0000-0000-00006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66" name="Image 8">
          <a:extLst>
            <a:ext uri="{FF2B5EF4-FFF2-40B4-BE49-F238E27FC236}">
              <a16:creationId xmlns:a16="http://schemas.microsoft.com/office/drawing/2014/main" id="{00000000-0008-0000-0000-00006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67" name="Image 8">
          <a:extLst>
            <a:ext uri="{FF2B5EF4-FFF2-40B4-BE49-F238E27FC236}">
              <a16:creationId xmlns:a16="http://schemas.microsoft.com/office/drawing/2014/main" id="{00000000-0008-0000-0000-00006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68" name="Image 8">
          <a:extLst>
            <a:ext uri="{FF2B5EF4-FFF2-40B4-BE49-F238E27FC236}">
              <a16:creationId xmlns:a16="http://schemas.microsoft.com/office/drawing/2014/main" id="{00000000-0008-0000-0000-00007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369" name="Image 8">
          <a:extLst>
            <a:ext uri="{FF2B5EF4-FFF2-40B4-BE49-F238E27FC236}">
              <a16:creationId xmlns:a16="http://schemas.microsoft.com/office/drawing/2014/main" id="{00000000-0008-0000-0000-00007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370" name="Image 8">
          <a:extLst>
            <a:ext uri="{FF2B5EF4-FFF2-40B4-BE49-F238E27FC236}">
              <a16:creationId xmlns:a16="http://schemas.microsoft.com/office/drawing/2014/main" id="{00000000-0008-0000-0000-00007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71" name="Image 8">
          <a:extLst>
            <a:ext uri="{FF2B5EF4-FFF2-40B4-BE49-F238E27FC236}">
              <a16:creationId xmlns:a16="http://schemas.microsoft.com/office/drawing/2014/main" id="{00000000-0008-0000-0000-00007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372" name="Image 8">
          <a:extLst>
            <a:ext uri="{FF2B5EF4-FFF2-40B4-BE49-F238E27FC236}">
              <a16:creationId xmlns:a16="http://schemas.microsoft.com/office/drawing/2014/main" id="{00000000-0008-0000-0000-00007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73" name="Image 8">
          <a:extLst>
            <a:ext uri="{FF2B5EF4-FFF2-40B4-BE49-F238E27FC236}">
              <a16:creationId xmlns:a16="http://schemas.microsoft.com/office/drawing/2014/main" id="{00000000-0008-0000-0000-00007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74" name="Image 8">
          <a:extLst>
            <a:ext uri="{FF2B5EF4-FFF2-40B4-BE49-F238E27FC236}">
              <a16:creationId xmlns:a16="http://schemas.microsoft.com/office/drawing/2014/main" id="{00000000-0008-0000-0000-00007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75" name="Image 8">
          <a:extLst>
            <a:ext uri="{FF2B5EF4-FFF2-40B4-BE49-F238E27FC236}">
              <a16:creationId xmlns:a16="http://schemas.microsoft.com/office/drawing/2014/main" id="{00000000-0008-0000-0000-00007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76" name="Image 8">
          <a:extLst>
            <a:ext uri="{FF2B5EF4-FFF2-40B4-BE49-F238E27FC236}">
              <a16:creationId xmlns:a16="http://schemas.microsoft.com/office/drawing/2014/main" id="{00000000-0008-0000-0000-00007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77" name="Image 8">
          <a:extLst>
            <a:ext uri="{FF2B5EF4-FFF2-40B4-BE49-F238E27FC236}">
              <a16:creationId xmlns:a16="http://schemas.microsoft.com/office/drawing/2014/main" id="{00000000-0008-0000-0000-00007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78" name="Image 8">
          <a:extLst>
            <a:ext uri="{FF2B5EF4-FFF2-40B4-BE49-F238E27FC236}">
              <a16:creationId xmlns:a16="http://schemas.microsoft.com/office/drawing/2014/main" id="{00000000-0008-0000-0000-00007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79" name="Image 8">
          <a:extLst>
            <a:ext uri="{FF2B5EF4-FFF2-40B4-BE49-F238E27FC236}">
              <a16:creationId xmlns:a16="http://schemas.microsoft.com/office/drawing/2014/main" id="{00000000-0008-0000-0000-00007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80" name="Image 8">
          <a:extLst>
            <a:ext uri="{FF2B5EF4-FFF2-40B4-BE49-F238E27FC236}">
              <a16:creationId xmlns:a16="http://schemas.microsoft.com/office/drawing/2014/main" id="{00000000-0008-0000-0000-00007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81" name="Image 8">
          <a:extLst>
            <a:ext uri="{FF2B5EF4-FFF2-40B4-BE49-F238E27FC236}">
              <a16:creationId xmlns:a16="http://schemas.microsoft.com/office/drawing/2014/main" id="{00000000-0008-0000-0000-00007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82" name="Image 8">
          <a:extLst>
            <a:ext uri="{FF2B5EF4-FFF2-40B4-BE49-F238E27FC236}">
              <a16:creationId xmlns:a16="http://schemas.microsoft.com/office/drawing/2014/main" id="{00000000-0008-0000-0000-00007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383" name="Image 8">
          <a:extLst>
            <a:ext uri="{FF2B5EF4-FFF2-40B4-BE49-F238E27FC236}">
              <a16:creationId xmlns:a16="http://schemas.microsoft.com/office/drawing/2014/main" id="{00000000-0008-0000-0000-00007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384" name="Image 8">
          <a:extLst>
            <a:ext uri="{FF2B5EF4-FFF2-40B4-BE49-F238E27FC236}">
              <a16:creationId xmlns:a16="http://schemas.microsoft.com/office/drawing/2014/main" id="{00000000-0008-0000-0000-00008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85" name="Image 8">
          <a:extLst>
            <a:ext uri="{FF2B5EF4-FFF2-40B4-BE49-F238E27FC236}">
              <a16:creationId xmlns:a16="http://schemas.microsoft.com/office/drawing/2014/main" id="{00000000-0008-0000-0000-00008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86" name="Image 8">
          <a:extLst>
            <a:ext uri="{FF2B5EF4-FFF2-40B4-BE49-F238E27FC236}">
              <a16:creationId xmlns:a16="http://schemas.microsoft.com/office/drawing/2014/main" id="{00000000-0008-0000-0000-00008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387" name="Image 8">
          <a:extLst>
            <a:ext uri="{FF2B5EF4-FFF2-40B4-BE49-F238E27FC236}">
              <a16:creationId xmlns:a16="http://schemas.microsoft.com/office/drawing/2014/main" id="{00000000-0008-0000-0000-00008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388" name="Image 8">
          <a:extLst>
            <a:ext uri="{FF2B5EF4-FFF2-40B4-BE49-F238E27FC236}">
              <a16:creationId xmlns:a16="http://schemas.microsoft.com/office/drawing/2014/main" id="{00000000-0008-0000-0000-00008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89" name="Image 8">
          <a:extLst>
            <a:ext uri="{FF2B5EF4-FFF2-40B4-BE49-F238E27FC236}">
              <a16:creationId xmlns:a16="http://schemas.microsoft.com/office/drawing/2014/main" id="{00000000-0008-0000-0000-00008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90" name="Image 8">
          <a:extLst>
            <a:ext uri="{FF2B5EF4-FFF2-40B4-BE49-F238E27FC236}">
              <a16:creationId xmlns:a16="http://schemas.microsoft.com/office/drawing/2014/main" id="{00000000-0008-0000-0000-00008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391" name="Image 8">
          <a:extLst>
            <a:ext uri="{FF2B5EF4-FFF2-40B4-BE49-F238E27FC236}">
              <a16:creationId xmlns:a16="http://schemas.microsoft.com/office/drawing/2014/main" id="{00000000-0008-0000-0000-00008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392" name="Image 8">
          <a:extLst>
            <a:ext uri="{FF2B5EF4-FFF2-40B4-BE49-F238E27FC236}">
              <a16:creationId xmlns:a16="http://schemas.microsoft.com/office/drawing/2014/main" id="{00000000-0008-0000-0000-00008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393" name="Image 8">
          <a:extLst>
            <a:ext uri="{FF2B5EF4-FFF2-40B4-BE49-F238E27FC236}">
              <a16:creationId xmlns:a16="http://schemas.microsoft.com/office/drawing/2014/main" id="{00000000-0008-0000-0000-00008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394" name="Image 8">
          <a:extLst>
            <a:ext uri="{FF2B5EF4-FFF2-40B4-BE49-F238E27FC236}">
              <a16:creationId xmlns:a16="http://schemas.microsoft.com/office/drawing/2014/main" id="{00000000-0008-0000-0000-00008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395" name="Image 8">
          <a:extLst>
            <a:ext uri="{FF2B5EF4-FFF2-40B4-BE49-F238E27FC236}">
              <a16:creationId xmlns:a16="http://schemas.microsoft.com/office/drawing/2014/main" id="{00000000-0008-0000-0000-00008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396" name="Image 8">
          <a:extLst>
            <a:ext uri="{FF2B5EF4-FFF2-40B4-BE49-F238E27FC236}">
              <a16:creationId xmlns:a16="http://schemas.microsoft.com/office/drawing/2014/main" id="{00000000-0008-0000-0000-00008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00" name="Image 8">
          <a:extLst>
            <a:ext uri="{FF2B5EF4-FFF2-40B4-BE49-F238E27FC236}">
              <a16:creationId xmlns:a16="http://schemas.microsoft.com/office/drawing/2014/main" id="{00000000-0008-0000-0000-00009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01" name="Image 8">
          <a:extLst>
            <a:ext uri="{FF2B5EF4-FFF2-40B4-BE49-F238E27FC236}">
              <a16:creationId xmlns:a16="http://schemas.microsoft.com/office/drawing/2014/main" id="{00000000-0008-0000-0000-00009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02" name="Image 8">
          <a:extLst>
            <a:ext uri="{FF2B5EF4-FFF2-40B4-BE49-F238E27FC236}">
              <a16:creationId xmlns:a16="http://schemas.microsoft.com/office/drawing/2014/main" id="{00000000-0008-0000-0000-00009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03" name="Image 8">
          <a:extLst>
            <a:ext uri="{FF2B5EF4-FFF2-40B4-BE49-F238E27FC236}">
              <a16:creationId xmlns:a16="http://schemas.microsoft.com/office/drawing/2014/main" id="{00000000-0008-0000-0000-00009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04" name="Image 8">
          <a:extLst>
            <a:ext uri="{FF2B5EF4-FFF2-40B4-BE49-F238E27FC236}">
              <a16:creationId xmlns:a16="http://schemas.microsoft.com/office/drawing/2014/main" id="{00000000-0008-0000-0000-00009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05" name="Image 8">
          <a:extLst>
            <a:ext uri="{FF2B5EF4-FFF2-40B4-BE49-F238E27FC236}">
              <a16:creationId xmlns:a16="http://schemas.microsoft.com/office/drawing/2014/main" id="{00000000-0008-0000-0000-00009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06" name="Image 8">
          <a:extLst>
            <a:ext uri="{FF2B5EF4-FFF2-40B4-BE49-F238E27FC236}">
              <a16:creationId xmlns:a16="http://schemas.microsoft.com/office/drawing/2014/main" id="{00000000-0008-0000-0000-00009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407" name="Image 8">
          <a:extLst>
            <a:ext uri="{FF2B5EF4-FFF2-40B4-BE49-F238E27FC236}">
              <a16:creationId xmlns:a16="http://schemas.microsoft.com/office/drawing/2014/main" id="{00000000-0008-0000-0000-00009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08" name="Image 8">
          <a:extLst>
            <a:ext uri="{FF2B5EF4-FFF2-40B4-BE49-F238E27FC236}">
              <a16:creationId xmlns:a16="http://schemas.microsoft.com/office/drawing/2014/main" id="{00000000-0008-0000-0000-00009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09" name="Image 8">
          <a:extLst>
            <a:ext uri="{FF2B5EF4-FFF2-40B4-BE49-F238E27FC236}">
              <a16:creationId xmlns:a16="http://schemas.microsoft.com/office/drawing/2014/main" id="{00000000-0008-0000-0000-00009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410" name="Image 8">
          <a:extLst>
            <a:ext uri="{FF2B5EF4-FFF2-40B4-BE49-F238E27FC236}">
              <a16:creationId xmlns:a16="http://schemas.microsoft.com/office/drawing/2014/main" id="{00000000-0008-0000-0000-00009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411" name="Image 8">
          <a:extLst>
            <a:ext uri="{FF2B5EF4-FFF2-40B4-BE49-F238E27FC236}">
              <a16:creationId xmlns:a16="http://schemas.microsoft.com/office/drawing/2014/main" id="{00000000-0008-0000-0000-00009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12" name="Image 8">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13" name="Image 8">
          <a:extLst>
            <a:ext uri="{FF2B5EF4-FFF2-40B4-BE49-F238E27FC236}">
              <a16:creationId xmlns:a16="http://schemas.microsoft.com/office/drawing/2014/main" id="{00000000-0008-0000-0000-00009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14" name="Image 8">
          <a:extLst>
            <a:ext uri="{FF2B5EF4-FFF2-40B4-BE49-F238E27FC236}">
              <a16:creationId xmlns:a16="http://schemas.microsoft.com/office/drawing/2014/main" id="{00000000-0008-0000-0000-00009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415" name="Image 8">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416" name="Image 8">
          <a:extLst>
            <a:ext uri="{FF2B5EF4-FFF2-40B4-BE49-F238E27FC236}">
              <a16:creationId xmlns:a16="http://schemas.microsoft.com/office/drawing/2014/main" id="{00000000-0008-0000-0000-0000A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17" name="Image 8">
          <a:extLst>
            <a:ext uri="{FF2B5EF4-FFF2-40B4-BE49-F238E27FC236}">
              <a16:creationId xmlns:a16="http://schemas.microsoft.com/office/drawing/2014/main" id="{00000000-0008-0000-0000-0000A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418" name="Image 8">
          <a:extLst>
            <a:ext uri="{FF2B5EF4-FFF2-40B4-BE49-F238E27FC236}">
              <a16:creationId xmlns:a16="http://schemas.microsoft.com/office/drawing/2014/main" id="{00000000-0008-0000-0000-0000A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19" name="Image 8">
          <a:extLst>
            <a:ext uri="{FF2B5EF4-FFF2-40B4-BE49-F238E27FC236}">
              <a16:creationId xmlns:a16="http://schemas.microsoft.com/office/drawing/2014/main" id="{00000000-0008-0000-0000-0000A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20" name="Image 8">
          <a:extLst>
            <a:ext uri="{FF2B5EF4-FFF2-40B4-BE49-F238E27FC236}">
              <a16:creationId xmlns:a16="http://schemas.microsoft.com/office/drawing/2014/main" id="{00000000-0008-0000-0000-0000A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21" name="Image 8">
          <a:extLst>
            <a:ext uri="{FF2B5EF4-FFF2-40B4-BE49-F238E27FC236}">
              <a16:creationId xmlns:a16="http://schemas.microsoft.com/office/drawing/2014/main" id="{00000000-0008-0000-0000-0000A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22" name="Image 8">
          <a:extLst>
            <a:ext uri="{FF2B5EF4-FFF2-40B4-BE49-F238E27FC236}">
              <a16:creationId xmlns:a16="http://schemas.microsoft.com/office/drawing/2014/main" id="{00000000-0008-0000-0000-0000A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23" name="Image 8">
          <a:extLst>
            <a:ext uri="{FF2B5EF4-FFF2-40B4-BE49-F238E27FC236}">
              <a16:creationId xmlns:a16="http://schemas.microsoft.com/office/drawing/2014/main" id="{00000000-0008-0000-0000-0000A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24" name="Image 8">
          <a:extLst>
            <a:ext uri="{FF2B5EF4-FFF2-40B4-BE49-F238E27FC236}">
              <a16:creationId xmlns:a16="http://schemas.microsoft.com/office/drawing/2014/main" id="{00000000-0008-0000-0000-0000A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25" name="Image 8">
          <a:extLst>
            <a:ext uri="{FF2B5EF4-FFF2-40B4-BE49-F238E27FC236}">
              <a16:creationId xmlns:a16="http://schemas.microsoft.com/office/drawing/2014/main" id="{00000000-0008-0000-0000-0000A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26" name="Image 8">
          <a:extLst>
            <a:ext uri="{FF2B5EF4-FFF2-40B4-BE49-F238E27FC236}">
              <a16:creationId xmlns:a16="http://schemas.microsoft.com/office/drawing/2014/main" id="{00000000-0008-0000-0000-0000A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27" name="Image 8">
          <a:extLst>
            <a:ext uri="{FF2B5EF4-FFF2-40B4-BE49-F238E27FC236}">
              <a16:creationId xmlns:a16="http://schemas.microsoft.com/office/drawing/2014/main" id="{00000000-0008-0000-0000-0000A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28" name="Image 8">
          <a:extLst>
            <a:ext uri="{FF2B5EF4-FFF2-40B4-BE49-F238E27FC236}">
              <a16:creationId xmlns:a16="http://schemas.microsoft.com/office/drawing/2014/main" id="{00000000-0008-0000-0000-0000A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29" name="Image 8">
          <a:extLst>
            <a:ext uri="{FF2B5EF4-FFF2-40B4-BE49-F238E27FC236}">
              <a16:creationId xmlns:a16="http://schemas.microsoft.com/office/drawing/2014/main" id="{00000000-0008-0000-0000-0000A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430" name="Image 8">
          <a:extLst>
            <a:ext uri="{FF2B5EF4-FFF2-40B4-BE49-F238E27FC236}">
              <a16:creationId xmlns:a16="http://schemas.microsoft.com/office/drawing/2014/main" id="{00000000-0008-0000-0000-0000A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31" name="Image 8">
          <a:extLst>
            <a:ext uri="{FF2B5EF4-FFF2-40B4-BE49-F238E27FC236}">
              <a16:creationId xmlns:a16="http://schemas.microsoft.com/office/drawing/2014/main" id="{00000000-0008-0000-0000-0000A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32" name="Image 8">
          <a:extLst>
            <a:ext uri="{FF2B5EF4-FFF2-40B4-BE49-F238E27FC236}">
              <a16:creationId xmlns:a16="http://schemas.microsoft.com/office/drawing/2014/main" id="{00000000-0008-0000-0000-0000B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433" name="Image 8">
          <a:extLst>
            <a:ext uri="{FF2B5EF4-FFF2-40B4-BE49-F238E27FC236}">
              <a16:creationId xmlns:a16="http://schemas.microsoft.com/office/drawing/2014/main" id="{00000000-0008-0000-0000-0000B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434" name="Image 8">
          <a:extLst>
            <a:ext uri="{FF2B5EF4-FFF2-40B4-BE49-F238E27FC236}">
              <a16:creationId xmlns:a16="http://schemas.microsoft.com/office/drawing/2014/main" id="{00000000-0008-0000-0000-0000B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35" name="Image 8">
          <a:extLst>
            <a:ext uri="{FF2B5EF4-FFF2-40B4-BE49-F238E27FC236}">
              <a16:creationId xmlns:a16="http://schemas.microsoft.com/office/drawing/2014/main" id="{00000000-0008-0000-0000-0000B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36" name="Image 8">
          <a:extLst>
            <a:ext uri="{FF2B5EF4-FFF2-40B4-BE49-F238E27FC236}">
              <a16:creationId xmlns:a16="http://schemas.microsoft.com/office/drawing/2014/main" id="{00000000-0008-0000-0000-0000B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37" name="Image 8">
          <a:extLst>
            <a:ext uri="{FF2B5EF4-FFF2-40B4-BE49-F238E27FC236}">
              <a16:creationId xmlns:a16="http://schemas.microsoft.com/office/drawing/2014/main" id="{00000000-0008-0000-0000-0000B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438" name="Image 8">
          <a:extLst>
            <a:ext uri="{FF2B5EF4-FFF2-40B4-BE49-F238E27FC236}">
              <a16:creationId xmlns:a16="http://schemas.microsoft.com/office/drawing/2014/main" id="{00000000-0008-0000-0000-0000B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439" name="Image 8">
          <a:extLst>
            <a:ext uri="{FF2B5EF4-FFF2-40B4-BE49-F238E27FC236}">
              <a16:creationId xmlns:a16="http://schemas.microsoft.com/office/drawing/2014/main" id="{00000000-0008-0000-0000-0000B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40" name="Image 8">
          <a:extLst>
            <a:ext uri="{FF2B5EF4-FFF2-40B4-BE49-F238E27FC236}">
              <a16:creationId xmlns:a16="http://schemas.microsoft.com/office/drawing/2014/main" id="{00000000-0008-0000-0000-0000B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441" name="Image 8">
          <a:extLst>
            <a:ext uri="{FF2B5EF4-FFF2-40B4-BE49-F238E27FC236}">
              <a16:creationId xmlns:a16="http://schemas.microsoft.com/office/drawing/2014/main" id="{00000000-0008-0000-0000-0000B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2" name="Image 8">
          <a:extLst>
            <a:ext uri="{FF2B5EF4-FFF2-40B4-BE49-F238E27FC236}">
              <a16:creationId xmlns:a16="http://schemas.microsoft.com/office/drawing/2014/main" id="{00000000-0008-0000-0000-0000B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43" name="Image 8">
          <a:extLst>
            <a:ext uri="{FF2B5EF4-FFF2-40B4-BE49-F238E27FC236}">
              <a16:creationId xmlns:a16="http://schemas.microsoft.com/office/drawing/2014/main" id="{00000000-0008-0000-0000-0000B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4" name="Image 8">
          <a:extLst>
            <a:ext uri="{FF2B5EF4-FFF2-40B4-BE49-F238E27FC236}">
              <a16:creationId xmlns:a16="http://schemas.microsoft.com/office/drawing/2014/main" id="{00000000-0008-0000-0000-0000B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5" name="Image 8">
          <a:extLst>
            <a:ext uri="{FF2B5EF4-FFF2-40B4-BE49-F238E27FC236}">
              <a16:creationId xmlns:a16="http://schemas.microsoft.com/office/drawing/2014/main" id="{00000000-0008-0000-0000-0000B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6" name="Image 8">
          <a:extLst>
            <a:ext uri="{FF2B5EF4-FFF2-40B4-BE49-F238E27FC236}">
              <a16:creationId xmlns:a16="http://schemas.microsoft.com/office/drawing/2014/main" id="{00000000-0008-0000-0000-0000B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47" name="Image 8">
          <a:extLst>
            <a:ext uri="{FF2B5EF4-FFF2-40B4-BE49-F238E27FC236}">
              <a16:creationId xmlns:a16="http://schemas.microsoft.com/office/drawing/2014/main" id="{00000000-0008-0000-0000-0000B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48" name="Image 8">
          <a:extLst>
            <a:ext uri="{FF2B5EF4-FFF2-40B4-BE49-F238E27FC236}">
              <a16:creationId xmlns:a16="http://schemas.microsoft.com/office/drawing/2014/main" id="{00000000-0008-0000-0000-0000C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49" name="Image 8">
          <a:extLst>
            <a:ext uri="{FF2B5EF4-FFF2-40B4-BE49-F238E27FC236}">
              <a16:creationId xmlns:a16="http://schemas.microsoft.com/office/drawing/2014/main" id="{00000000-0008-0000-0000-0000C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50" name="Image 8">
          <a:extLst>
            <a:ext uri="{FF2B5EF4-FFF2-40B4-BE49-F238E27FC236}">
              <a16:creationId xmlns:a16="http://schemas.microsoft.com/office/drawing/2014/main" id="{00000000-0008-0000-0000-0000C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51" name="Image 8">
          <a:extLst>
            <a:ext uri="{FF2B5EF4-FFF2-40B4-BE49-F238E27FC236}">
              <a16:creationId xmlns:a16="http://schemas.microsoft.com/office/drawing/2014/main" id="{00000000-0008-0000-0000-0000C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52" name="Image 8">
          <a:extLst>
            <a:ext uri="{FF2B5EF4-FFF2-40B4-BE49-F238E27FC236}">
              <a16:creationId xmlns:a16="http://schemas.microsoft.com/office/drawing/2014/main" id="{00000000-0008-0000-0000-0000C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453" name="Image 8">
          <a:extLst>
            <a:ext uri="{FF2B5EF4-FFF2-40B4-BE49-F238E27FC236}">
              <a16:creationId xmlns:a16="http://schemas.microsoft.com/office/drawing/2014/main" id="{00000000-0008-0000-0000-0000C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54" name="Image 8">
          <a:extLst>
            <a:ext uri="{FF2B5EF4-FFF2-40B4-BE49-F238E27FC236}">
              <a16:creationId xmlns:a16="http://schemas.microsoft.com/office/drawing/2014/main" id="{00000000-0008-0000-0000-0000C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55" name="Image 8">
          <a:extLst>
            <a:ext uri="{FF2B5EF4-FFF2-40B4-BE49-F238E27FC236}">
              <a16:creationId xmlns:a16="http://schemas.microsoft.com/office/drawing/2014/main" id="{00000000-0008-0000-0000-0000C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456" name="Image 8">
          <a:extLst>
            <a:ext uri="{FF2B5EF4-FFF2-40B4-BE49-F238E27FC236}">
              <a16:creationId xmlns:a16="http://schemas.microsoft.com/office/drawing/2014/main" id="{00000000-0008-0000-0000-0000C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457" name="Image 8">
          <a:extLst>
            <a:ext uri="{FF2B5EF4-FFF2-40B4-BE49-F238E27FC236}">
              <a16:creationId xmlns:a16="http://schemas.microsoft.com/office/drawing/2014/main" id="{00000000-0008-0000-0000-0000C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58" name="Image 8">
          <a:extLst>
            <a:ext uri="{FF2B5EF4-FFF2-40B4-BE49-F238E27FC236}">
              <a16:creationId xmlns:a16="http://schemas.microsoft.com/office/drawing/2014/main" id="{00000000-0008-0000-0000-0000C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59" name="Image 8">
          <a:extLst>
            <a:ext uri="{FF2B5EF4-FFF2-40B4-BE49-F238E27FC236}">
              <a16:creationId xmlns:a16="http://schemas.microsoft.com/office/drawing/2014/main" id="{00000000-0008-0000-0000-0000C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60" name="Image 8">
          <a:extLst>
            <a:ext uri="{FF2B5EF4-FFF2-40B4-BE49-F238E27FC236}">
              <a16:creationId xmlns:a16="http://schemas.microsoft.com/office/drawing/2014/main" id="{00000000-0008-0000-0000-0000C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461" name="Image 8">
          <a:extLst>
            <a:ext uri="{FF2B5EF4-FFF2-40B4-BE49-F238E27FC236}">
              <a16:creationId xmlns:a16="http://schemas.microsoft.com/office/drawing/2014/main" id="{00000000-0008-0000-0000-0000C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462" name="Image 8">
          <a:extLst>
            <a:ext uri="{FF2B5EF4-FFF2-40B4-BE49-F238E27FC236}">
              <a16:creationId xmlns:a16="http://schemas.microsoft.com/office/drawing/2014/main" id="{00000000-0008-0000-0000-0000C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63" name="Image 8">
          <a:extLst>
            <a:ext uri="{FF2B5EF4-FFF2-40B4-BE49-F238E27FC236}">
              <a16:creationId xmlns:a16="http://schemas.microsoft.com/office/drawing/2014/main" id="{00000000-0008-0000-0000-0000C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464" name="Image 8">
          <a:extLst>
            <a:ext uri="{FF2B5EF4-FFF2-40B4-BE49-F238E27FC236}">
              <a16:creationId xmlns:a16="http://schemas.microsoft.com/office/drawing/2014/main" id="{00000000-0008-0000-0000-0000D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65" name="Image 8">
          <a:extLst>
            <a:ext uri="{FF2B5EF4-FFF2-40B4-BE49-F238E27FC236}">
              <a16:creationId xmlns:a16="http://schemas.microsoft.com/office/drawing/2014/main" id="{00000000-0008-0000-0000-0000D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66" name="Image 8">
          <a:extLst>
            <a:ext uri="{FF2B5EF4-FFF2-40B4-BE49-F238E27FC236}">
              <a16:creationId xmlns:a16="http://schemas.microsoft.com/office/drawing/2014/main" id="{00000000-0008-0000-0000-0000D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67" name="Image 8">
          <a:extLst>
            <a:ext uri="{FF2B5EF4-FFF2-40B4-BE49-F238E27FC236}">
              <a16:creationId xmlns:a16="http://schemas.microsoft.com/office/drawing/2014/main" id="{00000000-0008-0000-0000-0000D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68" name="Image 8">
          <a:extLst>
            <a:ext uri="{FF2B5EF4-FFF2-40B4-BE49-F238E27FC236}">
              <a16:creationId xmlns:a16="http://schemas.microsoft.com/office/drawing/2014/main" id="{00000000-0008-0000-0000-0000D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69" name="Image 8">
          <a:extLst>
            <a:ext uri="{FF2B5EF4-FFF2-40B4-BE49-F238E27FC236}">
              <a16:creationId xmlns:a16="http://schemas.microsoft.com/office/drawing/2014/main" id="{00000000-0008-0000-0000-0000D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70" name="Image 8">
          <a:extLst>
            <a:ext uri="{FF2B5EF4-FFF2-40B4-BE49-F238E27FC236}">
              <a16:creationId xmlns:a16="http://schemas.microsoft.com/office/drawing/2014/main" id="{00000000-0008-0000-0000-0000D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71" name="Image 8">
          <a:extLst>
            <a:ext uri="{FF2B5EF4-FFF2-40B4-BE49-F238E27FC236}">
              <a16:creationId xmlns:a16="http://schemas.microsoft.com/office/drawing/2014/main" id="{00000000-0008-0000-0000-0000D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72" name="Image 8">
          <a:extLst>
            <a:ext uri="{FF2B5EF4-FFF2-40B4-BE49-F238E27FC236}">
              <a16:creationId xmlns:a16="http://schemas.microsoft.com/office/drawing/2014/main" id="{00000000-0008-0000-0000-0000D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73" name="Image 8">
          <a:extLst>
            <a:ext uri="{FF2B5EF4-FFF2-40B4-BE49-F238E27FC236}">
              <a16:creationId xmlns:a16="http://schemas.microsoft.com/office/drawing/2014/main" id="{00000000-0008-0000-0000-0000D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74" name="Image 8">
          <a:extLst>
            <a:ext uri="{FF2B5EF4-FFF2-40B4-BE49-F238E27FC236}">
              <a16:creationId xmlns:a16="http://schemas.microsoft.com/office/drawing/2014/main" id="{00000000-0008-0000-0000-0000D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75" name="Image 8">
          <a:extLst>
            <a:ext uri="{FF2B5EF4-FFF2-40B4-BE49-F238E27FC236}">
              <a16:creationId xmlns:a16="http://schemas.microsoft.com/office/drawing/2014/main" id="{00000000-0008-0000-0000-0000D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476" name="Image 8">
          <a:extLst>
            <a:ext uri="{FF2B5EF4-FFF2-40B4-BE49-F238E27FC236}">
              <a16:creationId xmlns:a16="http://schemas.microsoft.com/office/drawing/2014/main" id="{00000000-0008-0000-0000-0000D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77" name="Image 8">
          <a:extLst>
            <a:ext uri="{FF2B5EF4-FFF2-40B4-BE49-F238E27FC236}">
              <a16:creationId xmlns:a16="http://schemas.microsoft.com/office/drawing/2014/main" id="{00000000-0008-0000-0000-0000D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78" name="Image 8">
          <a:extLst>
            <a:ext uri="{FF2B5EF4-FFF2-40B4-BE49-F238E27FC236}">
              <a16:creationId xmlns:a16="http://schemas.microsoft.com/office/drawing/2014/main" id="{00000000-0008-0000-0000-0000D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479" name="Image 8">
          <a:extLst>
            <a:ext uri="{FF2B5EF4-FFF2-40B4-BE49-F238E27FC236}">
              <a16:creationId xmlns:a16="http://schemas.microsoft.com/office/drawing/2014/main" id="{00000000-0008-0000-0000-0000D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480" name="Image 8">
          <a:extLst>
            <a:ext uri="{FF2B5EF4-FFF2-40B4-BE49-F238E27FC236}">
              <a16:creationId xmlns:a16="http://schemas.microsoft.com/office/drawing/2014/main" id="{00000000-0008-0000-0000-0000E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81" name="Image 8">
          <a:extLst>
            <a:ext uri="{FF2B5EF4-FFF2-40B4-BE49-F238E27FC236}">
              <a16:creationId xmlns:a16="http://schemas.microsoft.com/office/drawing/2014/main" id="{00000000-0008-0000-0000-0000E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82" name="Image 8">
          <a:extLst>
            <a:ext uri="{FF2B5EF4-FFF2-40B4-BE49-F238E27FC236}">
              <a16:creationId xmlns:a16="http://schemas.microsoft.com/office/drawing/2014/main" id="{00000000-0008-0000-0000-0000E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83" name="Image 8">
          <a:extLst>
            <a:ext uri="{FF2B5EF4-FFF2-40B4-BE49-F238E27FC236}">
              <a16:creationId xmlns:a16="http://schemas.microsoft.com/office/drawing/2014/main" id="{00000000-0008-0000-0000-0000E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484" name="Image 8">
          <a:extLst>
            <a:ext uri="{FF2B5EF4-FFF2-40B4-BE49-F238E27FC236}">
              <a16:creationId xmlns:a16="http://schemas.microsoft.com/office/drawing/2014/main" id="{00000000-0008-0000-0000-0000E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485" name="Image 8">
          <a:extLst>
            <a:ext uri="{FF2B5EF4-FFF2-40B4-BE49-F238E27FC236}">
              <a16:creationId xmlns:a16="http://schemas.microsoft.com/office/drawing/2014/main" id="{00000000-0008-0000-0000-0000E5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86" name="Image 8">
          <a:extLst>
            <a:ext uri="{FF2B5EF4-FFF2-40B4-BE49-F238E27FC236}">
              <a16:creationId xmlns:a16="http://schemas.microsoft.com/office/drawing/2014/main" id="{00000000-0008-0000-0000-0000E6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487" name="Image 8">
          <a:extLst>
            <a:ext uri="{FF2B5EF4-FFF2-40B4-BE49-F238E27FC236}">
              <a16:creationId xmlns:a16="http://schemas.microsoft.com/office/drawing/2014/main" id="{00000000-0008-0000-0000-0000E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88" name="Image 8">
          <a:extLst>
            <a:ext uri="{FF2B5EF4-FFF2-40B4-BE49-F238E27FC236}">
              <a16:creationId xmlns:a16="http://schemas.microsoft.com/office/drawing/2014/main" id="{00000000-0008-0000-0000-0000E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89" name="Image 8">
          <a:extLst>
            <a:ext uri="{FF2B5EF4-FFF2-40B4-BE49-F238E27FC236}">
              <a16:creationId xmlns:a16="http://schemas.microsoft.com/office/drawing/2014/main" id="{00000000-0008-0000-0000-0000E9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90" name="Image 8">
          <a:extLst>
            <a:ext uri="{FF2B5EF4-FFF2-40B4-BE49-F238E27FC236}">
              <a16:creationId xmlns:a16="http://schemas.microsoft.com/office/drawing/2014/main" id="{00000000-0008-0000-0000-0000E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91" name="Image 8">
          <a:extLst>
            <a:ext uri="{FF2B5EF4-FFF2-40B4-BE49-F238E27FC236}">
              <a16:creationId xmlns:a16="http://schemas.microsoft.com/office/drawing/2014/main" id="{00000000-0008-0000-0000-0000EB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92" name="Image 8">
          <a:extLst>
            <a:ext uri="{FF2B5EF4-FFF2-40B4-BE49-F238E27FC236}">
              <a16:creationId xmlns:a16="http://schemas.microsoft.com/office/drawing/2014/main" id="{00000000-0008-0000-0000-0000E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93" name="Image 8">
          <a:extLst>
            <a:ext uri="{FF2B5EF4-FFF2-40B4-BE49-F238E27FC236}">
              <a16:creationId xmlns:a16="http://schemas.microsoft.com/office/drawing/2014/main" id="{00000000-0008-0000-0000-0000ED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494" name="Image 8">
          <a:extLst>
            <a:ext uri="{FF2B5EF4-FFF2-40B4-BE49-F238E27FC236}">
              <a16:creationId xmlns:a16="http://schemas.microsoft.com/office/drawing/2014/main" id="{00000000-0008-0000-0000-0000E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95" name="Image 8">
          <a:extLst>
            <a:ext uri="{FF2B5EF4-FFF2-40B4-BE49-F238E27FC236}">
              <a16:creationId xmlns:a16="http://schemas.microsoft.com/office/drawing/2014/main" id="{00000000-0008-0000-0000-0000EF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496" name="Image 8">
          <a:extLst>
            <a:ext uri="{FF2B5EF4-FFF2-40B4-BE49-F238E27FC236}">
              <a16:creationId xmlns:a16="http://schemas.microsoft.com/office/drawing/2014/main" id="{00000000-0008-0000-0000-0000F0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497" name="Image 8">
          <a:extLst>
            <a:ext uri="{FF2B5EF4-FFF2-40B4-BE49-F238E27FC236}">
              <a16:creationId xmlns:a16="http://schemas.microsoft.com/office/drawing/2014/main" id="{00000000-0008-0000-0000-0000F1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498" name="Image 8">
          <a:extLst>
            <a:ext uri="{FF2B5EF4-FFF2-40B4-BE49-F238E27FC236}">
              <a16:creationId xmlns:a16="http://schemas.microsoft.com/office/drawing/2014/main" id="{00000000-0008-0000-0000-0000F2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499" name="Image 8">
          <a:extLst>
            <a:ext uri="{FF2B5EF4-FFF2-40B4-BE49-F238E27FC236}">
              <a16:creationId xmlns:a16="http://schemas.microsoft.com/office/drawing/2014/main" id="{00000000-0008-0000-0000-0000F3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00" name="Image 8">
          <a:extLst>
            <a:ext uri="{FF2B5EF4-FFF2-40B4-BE49-F238E27FC236}">
              <a16:creationId xmlns:a16="http://schemas.microsoft.com/office/drawing/2014/main" id="{00000000-0008-0000-0000-0000F4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15" name="Image 8">
          <a:extLst>
            <a:ext uri="{FF2B5EF4-FFF2-40B4-BE49-F238E27FC236}">
              <a16:creationId xmlns:a16="http://schemas.microsoft.com/office/drawing/2014/main" id="{00000000-0008-0000-0000-000003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16" name="Image 8">
          <a:extLst>
            <a:ext uri="{FF2B5EF4-FFF2-40B4-BE49-F238E27FC236}">
              <a16:creationId xmlns:a16="http://schemas.microsoft.com/office/drawing/2014/main" id="{00000000-0008-0000-0000-000004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17" name="Image 8">
          <a:extLst>
            <a:ext uri="{FF2B5EF4-FFF2-40B4-BE49-F238E27FC236}">
              <a16:creationId xmlns:a16="http://schemas.microsoft.com/office/drawing/2014/main" id="{00000000-0008-0000-0000-00000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18" name="Image 8">
          <a:extLst>
            <a:ext uri="{FF2B5EF4-FFF2-40B4-BE49-F238E27FC236}">
              <a16:creationId xmlns:a16="http://schemas.microsoft.com/office/drawing/2014/main" id="{00000000-0008-0000-0000-000006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19" name="Image 8">
          <a:extLst>
            <a:ext uri="{FF2B5EF4-FFF2-40B4-BE49-F238E27FC236}">
              <a16:creationId xmlns:a16="http://schemas.microsoft.com/office/drawing/2014/main" id="{00000000-0008-0000-0000-000007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520" name="Image 8">
          <a:extLst>
            <a:ext uri="{FF2B5EF4-FFF2-40B4-BE49-F238E27FC236}">
              <a16:creationId xmlns:a16="http://schemas.microsoft.com/office/drawing/2014/main" id="{00000000-0008-0000-0000-000008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21" name="Image 8">
          <a:extLst>
            <a:ext uri="{FF2B5EF4-FFF2-40B4-BE49-F238E27FC236}">
              <a16:creationId xmlns:a16="http://schemas.microsoft.com/office/drawing/2014/main" id="{00000000-0008-0000-0000-00000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522" name="Image 8">
          <a:extLst>
            <a:ext uri="{FF2B5EF4-FFF2-40B4-BE49-F238E27FC236}">
              <a16:creationId xmlns:a16="http://schemas.microsoft.com/office/drawing/2014/main" id="{00000000-0008-0000-0000-00000A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23" name="Image 8">
          <a:extLst>
            <a:ext uri="{FF2B5EF4-FFF2-40B4-BE49-F238E27FC236}">
              <a16:creationId xmlns:a16="http://schemas.microsoft.com/office/drawing/2014/main" id="{00000000-0008-0000-0000-00000B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24" name="Image 8">
          <a:extLst>
            <a:ext uri="{FF2B5EF4-FFF2-40B4-BE49-F238E27FC236}">
              <a16:creationId xmlns:a16="http://schemas.microsoft.com/office/drawing/2014/main" id="{00000000-0008-0000-0000-00000C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525" name="Image 8">
          <a:extLst>
            <a:ext uri="{FF2B5EF4-FFF2-40B4-BE49-F238E27FC236}">
              <a16:creationId xmlns:a16="http://schemas.microsoft.com/office/drawing/2014/main" id="{00000000-0008-0000-0000-00000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526" name="Image 8">
          <a:extLst>
            <a:ext uri="{FF2B5EF4-FFF2-40B4-BE49-F238E27FC236}">
              <a16:creationId xmlns:a16="http://schemas.microsoft.com/office/drawing/2014/main" id="{00000000-0008-0000-0000-00000E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38" name="Image 8">
          <a:extLst>
            <a:ext uri="{FF2B5EF4-FFF2-40B4-BE49-F238E27FC236}">
              <a16:creationId xmlns:a16="http://schemas.microsoft.com/office/drawing/2014/main" id="{00000000-0008-0000-0000-00001A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39" name="Image 8">
          <a:extLst>
            <a:ext uri="{FF2B5EF4-FFF2-40B4-BE49-F238E27FC236}">
              <a16:creationId xmlns:a16="http://schemas.microsoft.com/office/drawing/2014/main" id="{00000000-0008-0000-0000-00001B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40" name="Image 8">
          <a:extLst>
            <a:ext uri="{FF2B5EF4-FFF2-40B4-BE49-F238E27FC236}">
              <a16:creationId xmlns:a16="http://schemas.microsoft.com/office/drawing/2014/main" id="{00000000-0008-0000-0000-00001C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41" name="Image 8">
          <a:extLst>
            <a:ext uri="{FF2B5EF4-FFF2-40B4-BE49-F238E27FC236}">
              <a16:creationId xmlns:a16="http://schemas.microsoft.com/office/drawing/2014/main" id="{00000000-0008-0000-0000-00001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42" name="Image 8">
          <a:extLst>
            <a:ext uri="{FF2B5EF4-FFF2-40B4-BE49-F238E27FC236}">
              <a16:creationId xmlns:a16="http://schemas.microsoft.com/office/drawing/2014/main" id="{00000000-0008-0000-0000-00001E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543" name="Image 8">
          <a:extLst>
            <a:ext uri="{FF2B5EF4-FFF2-40B4-BE49-F238E27FC236}">
              <a16:creationId xmlns:a16="http://schemas.microsoft.com/office/drawing/2014/main" id="{00000000-0008-0000-0000-00001F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44" name="Image 8">
          <a:extLst>
            <a:ext uri="{FF2B5EF4-FFF2-40B4-BE49-F238E27FC236}">
              <a16:creationId xmlns:a16="http://schemas.microsoft.com/office/drawing/2014/main" id="{00000000-0008-0000-0000-000020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545" name="Image 8">
          <a:extLst>
            <a:ext uri="{FF2B5EF4-FFF2-40B4-BE49-F238E27FC236}">
              <a16:creationId xmlns:a16="http://schemas.microsoft.com/office/drawing/2014/main" id="{00000000-0008-0000-0000-000021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46" name="Image 8">
          <a:extLst>
            <a:ext uri="{FF2B5EF4-FFF2-40B4-BE49-F238E27FC236}">
              <a16:creationId xmlns:a16="http://schemas.microsoft.com/office/drawing/2014/main" id="{00000000-0008-0000-0000-000022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47" name="Image 8">
          <a:extLst>
            <a:ext uri="{FF2B5EF4-FFF2-40B4-BE49-F238E27FC236}">
              <a16:creationId xmlns:a16="http://schemas.microsoft.com/office/drawing/2014/main" id="{00000000-0008-0000-0000-000023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548" name="Image 8">
          <a:extLst>
            <a:ext uri="{FF2B5EF4-FFF2-40B4-BE49-F238E27FC236}">
              <a16:creationId xmlns:a16="http://schemas.microsoft.com/office/drawing/2014/main" id="{00000000-0008-0000-0000-000024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549" name="Image 8">
          <a:extLst>
            <a:ext uri="{FF2B5EF4-FFF2-40B4-BE49-F238E27FC236}">
              <a16:creationId xmlns:a16="http://schemas.microsoft.com/office/drawing/2014/main" id="{00000000-0008-0000-0000-00002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50" name="Image 8">
          <a:extLst>
            <a:ext uri="{FF2B5EF4-FFF2-40B4-BE49-F238E27FC236}">
              <a16:creationId xmlns:a16="http://schemas.microsoft.com/office/drawing/2014/main" id="{00000000-0008-0000-0000-000026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51" name="Image 8">
          <a:extLst>
            <a:ext uri="{FF2B5EF4-FFF2-40B4-BE49-F238E27FC236}">
              <a16:creationId xmlns:a16="http://schemas.microsoft.com/office/drawing/2014/main" id="{00000000-0008-0000-0000-000027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552" name="Image 8">
          <a:extLst>
            <a:ext uri="{FF2B5EF4-FFF2-40B4-BE49-F238E27FC236}">
              <a16:creationId xmlns:a16="http://schemas.microsoft.com/office/drawing/2014/main" id="{00000000-0008-0000-0000-000028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553" name="Image 8">
          <a:extLst>
            <a:ext uri="{FF2B5EF4-FFF2-40B4-BE49-F238E27FC236}">
              <a16:creationId xmlns:a16="http://schemas.microsoft.com/office/drawing/2014/main" id="{00000000-0008-0000-0000-00002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554" name="Image 8">
          <a:extLst>
            <a:ext uri="{FF2B5EF4-FFF2-40B4-BE49-F238E27FC236}">
              <a16:creationId xmlns:a16="http://schemas.microsoft.com/office/drawing/2014/main" id="{00000000-0008-0000-0000-00002A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55" name="Image 8">
          <a:extLst>
            <a:ext uri="{FF2B5EF4-FFF2-40B4-BE49-F238E27FC236}">
              <a16:creationId xmlns:a16="http://schemas.microsoft.com/office/drawing/2014/main" id="{00000000-0008-0000-0000-00002B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556" name="Image 8">
          <a:extLst>
            <a:ext uri="{FF2B5EF4-FFF2-40B4-BE49-F238E27FC236}">
              <a16:creationId xmlns:a16="http://schemas.microsoft.com/office/drawing/2014/main" id="{00000000-0008-0000-0000-00002C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57" name="Image 8">
          <a:extLst>
            <a:ext uri="{FF2B5EF4-FFF2-40B4-BE49-F238E27FC236}">
              <a16:creationId xmlns:a16="http://schemas.microsoft.com/office/drawing/2014/main" id="{00000000-0008-0000-0000-00002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58" name="Image 8">
          <a:extLst>
            <a:ext uri="{FF2B5EF4-FFF2-40B4-BE49-F238E27FC236}">
              <a16:creationId xmlns:a16="http://schemas.microsoft.com/office/drawing/2014/main" id="{00000000-0008-0000-0000-00002E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59" name="Image 8">
          <a:extLst>
            <a:ext uri="{FF2B5EF4-FFF2-40B4-BE49-F238E27FC236}">
              <a16:creationId xmlns:a16="http://schemas.microsoft.com/office/drawing/2014/main" id="{00000000-0008-0000-0000-00002F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60" name="Image 8">
          <a:extLst>
            <a:ext uri="{FF2B5EF4-FFF2-40B4-BE49-F238E27FC236}">
              <a16:creationId xmlns:a16="http://schemas.microsoft.com/office/drawing/2014/main" id="{00000000-0008-0000-0000-000030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55042"/>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61" name="Image 8">
          <a:extLst>
            <a:ext uri="{FF2B5EF4-FFF2-40B4-BE49-F238E27FC236}">
              <a16:creationId xmlns:a16="http://schemas.microsoft.com/office/drawing/2014/main" id="{00000000-0008-0000-0000-000031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62" name="Image 8">
          <a:extLst>
            <a:ext uri="{FF2B5EF4-FFF2-40B4-BE49-F238E27FC236}">
              <a16:creationId xmlns:a16="http://schemas.microsoft.com/office/drawing/2014/main" id="{00000000-0008-0000-0000-000032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63" name="Image 8">
          <a:extLst>
            <a:ext uri="{FF2B5EF4-FFF2-40B4-BE49-F238E27FC236}">
              <a16:creationId xmlns:a16="http://schemas.microsoft.com/office/drawing/2014/main" id="{00000000-0008-0000-0000-000033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64" name="Image 8">
          <a:extLst>
            <a:ext uri="{FF2B5EF4-FFF2-40B4-BE49-F238E27FC236}">
              <a16:creationId xmlns:a16="http://schemas.microsoft.com/office/drawing/2014/main" id="{00000000-0008-0000-0000-000034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65" name="Image 8">
          <a:extLst>
            <a:ext uri="{FF2B5EF4-FFF2-40B4-BE49-F238E27FC236}">
              <a16:creationId xmlns:a16="http://schemas.microsoft.com/office/drawing/2014/main" id="{00000000-0008-0000-0000-00003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566" name="Image 8">
          <a:extLst>
            <a:ext uri="{FF2B5EF4-FFF2-40B4-BE49-F238E27FC236}">
              <a16:creationId xmlns:a16="http://schemas.microsoft.com/office/drawing/2014/main" id="{00000000-0008-0000-0000-000036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67" name="Image 8">
          <a:extLst>
            <a:ext uri="{FF2B5EF4-FFF2-40B4-BE49-F238E27FC236}">
              <a16:creationId xmlns:a16="http://schemas.microsoft.com/office/drawing/2014/main" id="{00000000-0008-0000-0000-000037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0</xdr:col>
      <xdr:colOff>0</xdr:colOff>
      <xdr:row>148</xdr:row>
      <xdr:rowOff>0</xdr:rowOff>
    </xdr:from>
    <xdr:ext cx="2037291" cy="973343"/>
    <xdr:pic>
      <xdr:nvPicPr>
        <xdr:cNvPr id="568" name="Image 8">
          <a:extLst>
            <a:ext uri="{FF2B5EF4-FFF2-40B4-BE49-F238E27FC236}">
              <a16:creationId xmlns:a16="http://schemas.microsoft.com/office/drawing/2014/main" id="{00000000-0008-0000-0000-000038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9726467"/>
          <a:ext cx="2037291" cy="9733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69" name="Image 8">
          <a:extLst>
            <a:ext uri="{FF2B5EF4-FFF2-40B4-BE49-F238E27FC236}">
              <a16:creationId xmlns:a16="http://schemas.microsoft.com/office/drawing/2014/main" id="{00000000-0008-0000-0000-00003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70" name="Image 8">
          <a:extLst>
            <a:ext uri="{FF2B5EF4-FFF2-40B4-BE49-F238E27FC236}">
              <a16:creationId xmlns:a16="http://schemas.microsoft.com/office/drawing/2014/main" id="{00000000-0008-0000-0000-00003A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94192</xdr:colOff>
      <xdr:row>148</xdr:row>
      <xdr:rowOff>0</xdr:rowOff>
    </xdr:from>
    <xdr:ext cx="2039408" cy="960642"/>
    <xdr:pic>
      <xdr:nvPicPr>
        <xdr:cNvPr id="571" name="Image 8">
          <a:extLst>
            <a:ext uri="{FF2B5EF4-FFF2-40B4-BE49-F238E27FC236}">
              <a16:creationId xmlns:a16="http://schemas.microsoft.com/office/drawing/2014/main" id="{00000000-0008-0000-0000-00003B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192" y="29726467"/>
          <a:ext cx="2039408" cy="96064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3"/>
    <xdr:pic>
      <xdr:nvPicPr>
        <xdr:cNvPr id="572" name="Image 8">
          <a:extLst>
            <a:ext uri="{FF2B5EF4-FFF2-40B4-BE49-F238E27FC236}">
              <a16:creationId xmlns:a16="http://schemas.microsoft.com/office/drawing/2014/main" id="{00000000-0008-0000-0000-00003C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73" name="Image 8">
          <a:extLst>
            <a:ext uri="{FF2B5EF4-FFF2-40B4-BE49-F238E27FC236}">
              <a16:creationId xmlns:a16="http://schemas.microsoft.com/office/drawing/2014/main" id="{00000000-0008-0000-0000-00003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74" name="Image 8">
          <a:extLst>
            <a:ext uri="{FF2B5EF4-FFF2-40B4-BE49-F238E27FC236}">
              <a16:creationId xmlns:a16="http://schemas.microsoft.com/office/drawing/2014/main" id="{00000000-0008-0000-0000-00003E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2"/>
    <xdr:pic>
      <xdr:nvPicPr>
        <xdr:cNvPr id="575" name="Image 8">
          <a:extLst>
            <a:ext uri="{FF2B5EF4-FFF2-40B4-BE49-F238E27FC236}">
              <a16:creationId xmlns:a16="http://schemas.microsoft.com/office/drawing/2014/main" id="{00000000-0008-0000-0000-00003F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2"/>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9112"/>
    <xdr:pic>
      <xdr:nvPicPr>
        <xdr:cNvPr id="576" name="Image 8">
          <a:extLst>
            <a:ext uri="{FF2B5EF4-FFF2-40B4-BE49-F238E27FC236}">
              <a16:creationId xmlns:a16="http://schemas.microsoft.com/office/drawing/2014/main" id="{00000000-0008-0000-0000-000040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9112"/>
        </a:xfrm>
        <a:prstGeom prst="rect">
          <a:avLst/>
        </a:prstGeom>
        <a:noFill/>
        <a:ln w="9525">
          <a:noFill/>
          <a:miter lim="800000"/>
          <a:headEnd/>
          <a:tailEnd/>
        </a:ln>
      </xdr:spPr>
    </xdr:pic>
    <xdr:clientData/>
  </xdr:oneCellAnchor>
  <xdr:oneCellAnchor>
    <xdr:from>
      <xdr:col>0</xdr:col>
      <xdr:colOff>104775</xdr:colOff>
      <xdr:row>148</xdr:row>
      <xdr:rowOff>0</xdr:rowOff>
    </xdr:from>
    <xdr:ext cx="2039408" cy="960646"/>
    <xdr:pic>
      <xdr:nvPicPr>
        <xdr:cNvPr id="577" name="Image 8">
          <a:extLst>
            <a:ext uri="{FF2B5EF4-FFF2-40B4-BE49-F238E27FC236}">
              <a16:creationId xmlns:a16="http://schemas.microsoft.com/office/drawing/2014/main" id="{00000000-0008-0000-0000-000041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29726467"/>
          <a:ext cx="2039408" cy="960646"/>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3"/>
    <xdr:pic>
      <xdr:nvPicPr>
        <xdr:cNvPr id="578" name="Image 8">
          <a:extLst>
            <a:ext uri="{FF2B5EF4-FFF2-40B4-BE49-F238E27FC236}">
              <a16:creationId xmlns:a16="http://schemas.microsoft.com/office/drawing/2014/main" id="{00000000-0008-0000-0000-000042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3"/>
        </a:xfrm>
        <a:prstGeom prst="rect">
          <a:avLst/>
        </a:prstGeom>
        <a:noFill/>
        <a:ln w="9525">
          <a:noFill/>
          <a:miter lim="800000"/>
          <a:headEnd/>
          <a:tailEnd/>
        </a:ln>
      </xdr:spPr>
    </xdr:pic>
    <xdr:clientData/>
  </xdr:oneCellAnchor>
  <xdr:oneCellAnchor>
    <xdr:from>
      <xdr:col>0</xdr:col>
      <xdr:colOff>105834</xdr:colOff>
      <xdr:row>148</xdr:row>
      <xdr:rowOff>0</xdr:rowOff>
    </xdr:from>
    <xdr:ext cx="2037291" cy="960642"/>
    <xdr:pic>
      <xdr:nvPicPr>
        <xdr:cNvPr id="579" name="Image 8">
          <a:extLst>
            <a:ext uri="{FF2B5EF4-FFF2-40B4-BE49-F238E27FC236}">
              <a16:creationId xmlns:a16="http://schemas.microsoft.com/office/drawing/2014/main" id="{00000000-0008-0000-0000-000043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5834" y="29726467"/>
          <a:ext cx="2037291" cy="960642"/>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80" name="Image 8">
          <a:extLst>
            <a:ext uri="{FF2B5EF4-FFF2-40B4-BE49-F238E27FC236}">
              <a16:creationId xmlns:a16="http://schemas.microsoft.com/office/drawing/2014/main" id="{00000000-0008-0000-0000-000044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5"/>
    <xdr:pic>
      <xdr:nvPicPr>
        <xdr:cNvPr id="581" name="Image 8">
          <a:extLst>
            <a:ext uri="{FF2B5EF4-FFF2-40B4-BE49-F238E27FC236}">
              <a16:creationId xmlns:a16="http://schemas.microsoft.com/office/drawing/2014/main" id="{00000000-0008-0000-0000-00004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5"/>
        </a:xfrm>
        <a:prstGeom prst="rect">
          <a:avLst/>
        </a:prstGeom>
        <a:noFill/>
        <a:ln w="9525">
          <a:noFill/>
          <a:miter lim="800000"/>
          <a:headEnd/>
          <a:tailEnd/>
        </a:ln>
      </xdr:spPr>
    </xdr:pic>
    <xdr:clientData/>
  </xdr:oneCellAnchor>
  <xdr:oneCellAnchor>
    <xdr:from>
      <xdr:col>1</xdr:col>
      <xdr:colOff>0</xdr:colOff>
      <xdr:row>148</xdr:row>
      <xdr:rowOff>0</xdr:rowOff>
    </xdr:from>
    <xdr:ext cx="2035175" cy="960644"/>
    <xdr:pic>
      <xdr:nvPicPr>
        <xdr:cNvPr id="582" name="Image 8">
          <a:extLst>
            <a:ext uri="{FF2B5EF4-FFF2-40B4-BE49-F238E27FC236}">
              <a16:creationId xmlns:a16="http://schemas.microsoft.com/office/drawing/2014/main" id="{00000000-0008-0000-0000-000046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8533" y="29726467"/>
          <a:ext cx="2035175" cy="960644"/>
        </a:xfrm>
        <a:prstGeom prst="rect">
          <a:avLst/>
        </a:prstGeom>
        <a:noFill/>
        <a:ln w="9525">
          <a:noFill/>
          <a:miter lim="800000"/>
          <a:headEnd/>
          <a:tailEnd/>
        </a:ln>
      </xdr:spPr>
    </xdr:pic>
    <xdr:clientData/>
  </xdr:oneCellAnchor>
  <xdr:oneCellAnchor>
    <xdr:from>
      <xdr:col>1</xdr:col>
      <xdr:colOff>0</xdr:colOff>
      <xdr:row>222</xdr:row>
      <xdr:rowOff>0</xdr:rowOff>
    </xdr:from>
    <xdr:ext cx="2035175" cy="960644"/>
    <xdr:pic>
      <xdr:nvPicPr>
        <xdr:cNvPr id="503" name="Image 8">
          <a:extLst>
            <a:ext uri="{FF2B5EF4-FFF2-40B4-BE49-F238E27FC236}">
              <a16:creationId xmlns:a16="http://schemas.microsoft.com/office/drawing/2014/main" id="{00000000-0008-0000-0000-0000F7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42830750"/>
          <a:ext cx="2035175" cy="960644"/>
        </a:xfrm>
        <a:prstGeom prst="rect">
          <a:avLst/>
        </a:prstGeom>
        <a:noFill/>
        <a:ln w="9525">
          <a:noFill/>
          <a:miter lim="800000"/>
          <a:headEnd/>
          <a:tailEnd/>
        </a:ln>
      </xdr:spPr>
    </xdr:pic>
    <xdr:clientData/>
  </xdr:oneCellAnchor>
  <xdr:oneCellAnchor>
    <xdr:from>
      <xdr:col>1</xdr:col>
      <xdr:colOff>0</xdr:colOff>
      <xdr:row>296</xdr:row>
      <xdr:rowOff>0</xdr:rowOff>
    </xdr:from>
    <xdr:ext cx="2035175" cy="960644"/>
    <xdr:pic>
      <xdr:nvPicPr>
        <xdr:cNvPr id="504" name="Image 8">
          <a:extLst>
            <a:ext uri="{FF2B5EF4-FFF2-40B4-BE49-F238E27FC236}">
              <a16:creationId xmlns:a16="http://schemas.microsoft.com/office/drawing/2014/main" id="{00000000-0008-0000-0000-0000F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57107667"/>
          <a:ext cx="2035175" cy="960644"/>
        </a:xfrm>
        <a:prstGeom prst="rect">
          <a:avLst/>
        </a:prstGeom>
        <a:noFill/>
        <a:ln w="9525">
          <a:noFill/>
          <a:miter lim="800000"/>
          <a:headEnd/>
          <a:tailEnd/>
        </a:ln>
      </xdr:spPr>
    </xdr:pic>
    <xdr:clientData/>
  </xdr:oneCellAnchor>
  <xdr:oneCellAnchor>
    <xdr:from>
      <xdr:col>1</xdr:col>
      <xdr:colOff>0</xdr:colOff>
      <xdr:row>370</xdr:row>
      <xdr:rowOff>0</xdr:rowOff>
    </xdr:from>
    <xdr:ext cx="2035175" cy="960644"/>
    <xdr:pic>
      <xdr:nvPicPr>
        <xdr:cNvPr id="506" name="Image 8">
          <a:extLst>
            <a:ext uri="{FF2B5EF4-FFF2-40B4-BE49-F238E27FC236}">
              <a16:creationId xmlns:a16="http://schemas.microsoft.com/office/drawing/2014/main" id="{00000000-0008-0000-0000-0000FA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71384583"/>
          <a:ext cx="2035175" cy="960644"/>
        </a:xfrm>
        <a:prstGeom prst="rect">
          <a:avLst/>
        </a:prstGeom>
        <a:noFill/>
        <a:ln w="9525">
          <a:noFill/>
          <a:miter lim="800000"/>
          <a:headEnd/>
          <a:tailEnd/>
        </a:ln>
      </xdr:spPr>
    </xdr:pic>
    <xdr:clientData/>
  </xdr:oneCellAnchor>
  <xdr:oneCellAnchor>
    <xdr:from>
      <xdr:col>1</xdr:col>
      <xdr:colOff>0</xdr:colOff>
      <xdr:row>444</xdr:row>
      <xdr:rowOff>0</xdr:rowOff>
    </xdr:from>
    <xdr:ext cx="2035175" cy="960644"/>
    <xdr:pic>
      <xdr:nvPicPr>
        <xdr:cNvPr id="508" name="Image 8">
          <a:extLst>
            <a:ext uri="{FF2B5EF4-FFF2-40B4-BE49-F238E27FC236}">
              <a16:creationId xmlns:a16="http://schemas.microsoft.com/office/drawing/2014/main" id="{00000000-0008-0000-0000-0000FC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85661500"/>
          <a:ext cx="2035175" cy="960644"/>
        </a:xfrm>
        <a:prstGeom prst="rect">
          <a:avLst/>
        </a:prstGeom>
        <a:noFill/>
        <a:ln w="9525">
          <a:noFill/>
          <a:miter lim="800000"/>
          <a:headEnd/>
          <a:tailEnd/>
        </a:ln>
      </xdr:spPr>
    </xdr:pic>
    <xdr:clientData/>
  </xdr:oneCellAnchor>
  <xdr:oneCellAnchor>
    <xdr:from>
      <xdr:col>1</xdr:col>
      <xdr:colOff>0</xdr:colOff>
      <xdr:row>518</xdr:row>
      <xdr:rowOff>0</xdr:rowOff>
    </xdr:from>
    <xdr:ext cx="2035175" cy="960644"/>
    <xdr:pic>
      <xdr:nvPicPr>
        <xdr:cNvPr id="510" name="Image 8">
          <a:extLst>
            <a:ext uri="{FF2B5EF4-FFF2-40B4-BE49-F238E27FC236}">
              <a16:creationId xmlns:a16="http://schemas.microsoft.com/office/drawing/2014/main" id="{00000000-0008-0000-0000-0000FE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99938417"/>
          <a:ext cx="2035175" cy="960644"/>
        </a:xfrm>
        <a:prstGeom prst="rect">
          <a:avLst/>
        </a:prstGeom>
        <a:noFill/>
        <a:ln w="9525">
          <a:noFill/>
          <a:miter lim="800000"/>
          <a:headEnd/>
          <a:tailEnd/>
        </a:ln>
      </xdr:spPr>
    </xdr:pic>
    <xdr:clientData/>
  </xdr:oneCellAnchor>
  <xdr:oneCellAnchor>
    <xdr:from>
      <xdr:col>1</xdr:col>
      <xdr:colOff>0</xdr:colOff>
      <xdr:row>592</xdr:row>
      <xdr:rowOff>0</xdr:rowOff>
    </xdr:from>
    <xdr:ext cx="2035175" cy="960644"/>
    <xdr:pic>
      <xdr:nvPicPr>
        <xdr:cNvPr id="512" name="Image 8">
          <a:extLst>
            <a:ext uri="{FF2B5EF4-FFF2-40B4-BE49-F238E27FC236}">
              <a16:creationId xmlns:a16="http://schemas.microsoft.com/office/drawing/2014/main" id="{00000000-0008-0000-0000-000000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14215333"/>
          <a:ext cx="2035175" cy="960644"/>
        </a:xfrm>
        <a:prstGeom prst="rect">
          <a:avLst/>
        </a:prstGeom>
        <a:noFill/>
        <a:ln w="9525">
          <a:noFill/>
          <a:miter lim="800000"/>
          <a:headEnd/>
          <a:tailEnd/>
        </a:ln>
      </xdr:spPr>
    </xdr:pic>
    <xdr:clientData/>
  </xdr:oneCellAnchor>
  <xdr:oneCellAnchor>
    <xdr:from>
      <xdr:col>1</xdr:col>
      <xdr:colOff>0</xdr:colOff>
      <xdr:row>666</xdr:row>
      <xdr:rowOff>0</xdr:rowOff>
    </xdr:from>
    <xdr:ext cx="2035175" cy="960644"/>
    <xdr:pic>
      <xdr:nvPicPr>
        <xdr:cNvPr id="514" name="Image 8">
          <a:extLst>
            <a:ext uri="{FF2B5EF4-FFF2-40B4-BE49-F238E27FC236}">
              <a16:creationId xmlns:a16="http://schemas.microsoft.com/office/drawing/2014/main" id="{00000000-0008-0000-0000-000002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28492250"/>
          <a:ext cx="2035175" cy="960644"/>
        </a:xfrm>
        <a:prstGeom prst="rect">
          <a:avLst/>
        </a:prstGeom>
        <a:noFill/>
        <a:ln w="9525">
          <a:noFill/>
          <a:miter lim="800000"/>
          <a:headEnd/>
          <a:tailEnd/>
        </a:ln>
      </xdr:spPr>
    </xdr:pic>
    <xdr:clientData/>
  </xdr:oneCellAnchor>
  <xdr:oneCellAnchor>
    <xdr:from>
      <xdr:col>1</xdr:col>
      <xdr:colOff>0</xdr:colOff>
      <xdr:row>740</xdr:row>
      <xdr:rowOff>0</xdr:rowOff>
    </xdr:from>
    <xdr:ext cx="2035175" cy="960644"/>
    <xdr:pic>
      <xdr:nvPicPr>
        <xdr:cNvPr id="528" name="Image 8">
          <a:extLst>
            <a:ext uri="{FF2B5EF4-FFF2-40B4-BE49-F238E27FC236}">
              <a16:creationId xmlns:a16="http://schemas.microsoft.com/office/drawing/2014/main" id="{00000000-0008-0000-0000-000010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42769167"/>
          <a:ext cx="2035175" cy="960644"/>
        </a:xfrm>
        <a:prstGeom prst="rect">
          <a:avLst/>
        </a:prstGeom>
        <a:noFill/>
        <a:ln w="9525">
          <a:noFill/>
          <a:miter lim="800000"/>
          <a:headEnd/>
          <a:tailEnd/>
        </a:ln>
      </xdr:spPr>
    </xdr:pic>
    <xdr:clientData/>
  </xdr:oneCellAnchor>
  <xdr:oneCellAnchor>
    <xdr:from>
      <xdr:col>1</xdr:col>
      <xdr:colOff>0</xdr:colOff>
      <xdr:row>814</xdr:row>
      <xdr:rowOff>0</xdr:rowOff>
    </xdr:from>
    <xdr:ext cx="2035175" cy="960644"/>
    <xdr:pic>
      <xdr:nvPicPr>
        <xdr:cNvPr id="530" name="Image 8">
          <a:extLst>
            <a:ext uri="{FF2B5EF4-FFF2-40B4-BE49-F238E27FC236}">
              <a16:creationId xmlns:a16="http://schemas.microsoft.com/office/drawing/2014/main" id="{00000000-0008-0000-0000-000012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57046083"/>
          <a:ext cx="2035175" cy="960644"/>
        </a:xfrm>
        <a:prstGeom prst="rect">
          <a:avLst/>
        </a:prstGeom>
        <a:noFill/>
        <a:ln w="9525">
          <a:noFill/>
          <a:miter lim="800000"/>
          <a:headEnd/>
          <a:tailEnd/>
        </a:ln>
      </xdr:spPr>
    </xdr:pic>
    <xdr:clientData/>
  </xdr:oneCellAnchor>
  <xdr:oneCellAnchor>
    <xdr:from>
      <xdr:col>1</xdr:col>
      <xdr:colOff>0</xdr:colOff>
      <xdr:row>888</xdr:row>
      <xdr:rowOff>0</xdr:rowOff>
    </xdr:from>
    <xdr:ext cx="2035175" cy="960644"/>
    <xdr:pic>
      <xdr:nvPicPr>
        <xdr:cNvPr id="533" name="Image 8">
          <a:extLst>
            <a:ext uri="{FF2B5EF4-FFF2-40B4-BE49-F238E27FC236}">
              <a16:creationId xmlns:a16="http://schemas.microsoft.com/office/drawing/2014/main" id="{00000000-0008-0000-0000-00001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71323000"/>
          <a:ext cx="2035175" cy="960644"/>
        </a:xfrm>
        <a:prstGeom prst="rect">
          <a:avLst/>
        </a:prstGeom>
        <a:noFill/>
        <a:ln w="9525">
          <a:noFill/>
          <a:miter lim="800000"/>
          <a:headEnd/>
          <a:tailEnd/>
        </a:ln>
      </xdr:spPr>
    </xdr:pic>
    <xdr:clientData/>
  </xdr:oneCellAnchor>
  <xdr:oneCellAnchor>
    <xdr:from>
      <xdr:col>1</xdr:col>
      <xdr:colOff>0</xdr:colOff>
      <xdr:row>962</xdr:row>
      <xdr:rowOff>0</xdr:rowOff>
    </xdr:from>
    <xdr:ext cx="2035175" cy="960644"/>
    <xdr:pic>
      <xdr:nvPicPr>
        <xdr:cNvPr id="535" name="Image 8">
          <a:extLst>
            <a:ext uri="{FF2B5EF4-FFF2-40B4-BE49-F238E27FC236}">
              <a16:creationId xmlns:a16="http://schemas.microsoft.com/office/drawing/2014/main" id="{00000000-0008-0000-0000-000017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85599917"/>
          <a:ext cx="2035175" cy="960644"/>
        </a:xfrm>
        <a:prstGeom prst="rect">
          <a:avLst/>
        </a:prstGeom>
        <a:noFill/>
        <a:ln w="9525">
          <a:noFill/>
          <a:miter lim="800000"/>
          <a:headEnd/>
          <a:tailEnd/>
        </a:ln>
      </xdr:spPr>
    </xdr:pic>
    <xdr:clientData/>
  </xdr:oneCellAnchor>
  <xdr:oneCellAnchor>
    <xdr:from>
      <xdr:col>1</xdr:col>
      <xdr:colOff>0</xdr:colOff>
      <xdr:row>1036</xdr:row>
      <xdr:rowOff>0</xdr:rowOff>
    </xdr:from>
    <xdr:ext cx="2035175" cy="960644"/>
    <xdr:pic>
      <xdr:nvPicPr>
        <xdr:cNvPr id="537" name="Image 8">
          <a:extLst>
            <a:ext uri="{FF2B5EF4-FFF2-40B4-BE49-F238E27FC236}">
              <a16:creationId xmlns:a16="http://schemas.microsoft.com/office/drawing/2014/main" id="{00000000-0008-0000-0000-00001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199876833"/>
          <a:ext cx="2035175" cy="960644"/>
        </a:xfrm>
        <a:prstGeom prst="rect">
          <a:avLst/>
        </a:prstGeom>
        <a:noFill/>
        <a:ln w="9525">
          <a:noFill/>
          <a:miter lim="800000"/>
          <a:headEnd/>
          <a:tailEnd/>
        </a:ln>
      </xdr:spPr>
    </xdr:pic>
    <xdr:clientData/>
  </xdr:oneCellAnchor>
  <xdr:oneCellAnchor>
    <xdr:from>
      <xdr:col>1</xdr:col>
      <xdr:colOff>0</xdr:colOff>
      <xdr:row>1110</xdr:row>
      <xdr:rowOff>0</xdr:rowOff>
    </xdr:from>
    <xdr:ext cx="2035175" cy="960644"/>
    <xdr:pic>
      <xdr:nvPicPr>
        <xdr:cNvPr id="585" name="Image 8">
          <a:extLst>
            <a:ext uri="{FF2B5EF4-FFF2-40B4-BE49-F238E27FC236}">
              <a16:creationId xmlns:a16="http://schemas.microsoft.com/office/drawing/2014/main" id="{00000000-0008-0000-0000-00004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14153750"/>
          <a:ext cx="2035175" cy="960644"/>
        </a:xfrm>
        <a:prstGeom prst="rect">
          <a:avLst/>
        </a:prstGeom>
        <a:noFill/>
        <a:ln w="9525">
          <a:noFill/>
          <a:miter lim="800000"/>
          <a:headEnd/>
          <a:tailEnd/>
        </a:ln>
      </xdr:spPr>
    </xdr:pic>
    <xdr:clientData/>
  </xdr:oneCellAnchor>
  <xdr:oneCellAnchor>
    <xdr:from>
      <xdr:col>1</xdr:col>
      <xdr:colOff>0</xdr:colOff>
      <xdr:row>1184</xdr:row>
      <xdr:rowOff>0</xdr:rowOff>
    </xdr:from>
    <xdr:ext cx="2035175" cy="960644"/>
    <xdr:pic>
      <xdr:nvPicPr>
        <xdr:cNvPr id="586" name="Image 8">
          <a:extLst>
            <a:ext uri="{FF2B5EF4-FFF2-40B4-BE49-F238E27FC236}">
              <a16:creationId xmlns:a16="http://schemas.microsoft.com/office/drawing/2014/main" id="{00000000-0008-0000-0000-00004A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28430667"/>
          <a:ext cx="2035175" cy="960644"/>
        </a:xfrm>
        <a:prstGeom prst="rect">
          <a:avLst/>
        </a:prstGeom>
        <a:noFill/>
        <a:ln w="9525">
          <a:noFill/>
          <a:miter lim="800000"/>
          <a:headEnd/>
          <a:tailEnd/>
        </a:ln>
      </xdr:spPr>
    </xdr:pic>
    <xdr:clientData/>
  </xdr:oneCellAnchor>
  <xdr:oneCellAnchor>
    <xdr:from>
      <xdr:col>1</xdr:col>
      <xdr:colOff>0</xdr:colOff>
      <xdr:row>1258</xdr:row>
      <xdr:rowOff>0</xdr:rowOff>
    </xdr:from>
    <xdr:ext cx="2035175" cy="960644"/>
    <xdr:pic>
      <xdr:nvPicPr>
        <xdr:cNvPr id="588" name="Image 8">
          <a:extLst>
            <a:ext uri="{FF2B5EF4-FFF2-40B4-BE49-F238E27FC236}">
              <a16:creationId xmlns:a16="http://schemas.microsoft.com/office/drawing/2014/main" id="{00000000-0008-0000-0000-00004C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42707583"/>
          <a:ext cx="2035175" cy="960644"/>
        </a:xfrm>
        <a:prstGeom prst="rect">
          <a:avLst/>
        </a:prstGeom>
        <a:noFill/>
        <a:ln w="9525">
          <a:noFill/>
          <a:miter lim="800000"/>
          <a:headEnd/>
          <a:tailEnd/>
        </a:ln>
      </xdr:spPr>
    </xdr:pic>
    <xdr:clientData/>
  </xdr:oneCellAnchor>
  <xdr:oneCellAnchor>
    <xdr:from>
      <xdr:col>1</xdr:col>
      <xdr:colOff>0</xdr:colOff>
      <xdr:row>1332</xdr:row>
      <xdr:rowOff>0</xdr:rowOff>
    </xdr:from>
    <xdr:ext cx="2035175" cy="960644"/>
    <xdr:pic>
      <xdr:nvPicPr>
        <xdr:cNvPr id="589" name="Image 8">
          <a:extLst>
            <a:ext uri="{FF2B5EF4-FFF2-40B4-BE49-F238E27FC236}">
              <a16:creationId xmlns:a16="http://schemas.microsoft.com/office/drawing/2014/main" id="{00000000-0008-0000-0000-00004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56984500"/>
          <a:ext cx="2035175" cy="960644"/>
        </a:xfrm>
        <a:prstGeom prst="rect">
          <a:avLst/>
        </a:prstGeom>
        <a:noFill/>
        <a:ln w="9525">
          <a:noFill/>
          <a:miter lim="800000"/>
          <a:headEnd/>
          <a:tailEnd/>
        </a:ln>
      </xdr:spPr>
    </xdr:pic>
    <xdr:clientData/>
  </xdr:oneCellAnchor>
  <xdr:oneCellAnchor>
    <xdr:from>
      <xdr:col>1</xdr:col>
      <xdr:colOff>0</xdr:colOff>
      <xdr:row>1406</xdr:row>
      <xdr:rowOff>0</xdr:rowOff>
    </xdr:from>
    <xdr:ext cx="2035175" cy="960644"/>
    <xdr:pic>
      <xdr:nvPicPr>
        <xdr:cNvPr id="591" name="Image 8">
          <a:extLst>
            <a:ext uri="{FF2B5EF4-FFF2-40B4-BE49-F238E27FC236}">
              <a16:creationId xmlns:a16="http://schemas.microsoft.com/office/drawing/2014/main" id="{00000000-0008-0000-0000-00004F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71261417"/>
          <a:ext cx="2035175" cy="960644"/>
        </a:xfrm>
        <a:prstGeom prst="rect">
          <a:avLst/>
        </a:prstGeom>
        <a:noFill/>
        <a:ln w="9525">
          <a:noFill/>
          <a:miter lim="800000"/>
          <a:headEnd/>
          <a:tailEnd/>
        </a:ln>
      </xdr:spPr>
    </xdr:pic>
    <xdr:clientData/>
  </xdr:oneCellAnchor>
  <xdr:oneCellAnchor>
    <xdr:from>
      <xdr:col>1</xdr:col>
      <xdr:colOff>0</xdr:colOff>
      <xdr:row>1480</xdr:row>
      <xdr:rowOff>0</xdr:rowOff>
    </xdr:from>
    <xdr:ext cx="2035175" cy="960644"/>
    <xdr:pic>
      <xdr:nvPicPr>
        <xdr:cNvPr id="593" name="Image 8">
          <a:extLst>
            <a:ext uri="{FF2B5EF4-FFF2-40B4-BE49-F238E27FC236}">
              <a16:creationId xmlns:a16="http://schemas.microsoft.com/office/drawing/2014/main" id="{00000000-0008-0000-0000-000051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9063" y="288583688"/>
          <a:ext cx="2035175" cy="960644"/>
        </a:xfrm>
        <a:prstGeom prst="rect">
          <a:avLst/>
        </a:prstGeom>
        <a:noFill/>
        <a:ln w="9525">
          <a:noFill/>
          <a:miter lim="800000"/>
          <a:headEnd/>
          <a:tailEnd/>
        </a:ln>
      </xdr:spPr>
    </xdr:pic>
    <xdr:clientData/>
  </xdr:oneCellAnchor>
  <xdr:oneCellAnchor>
    <xdr:from>
      <xdr:col>1</xdr:col>
      <xdr:colOff>0</xdr:colOff>
      <xdr:row>1554</xdr:row>
      <xdr:rowOff>0</xdr:rowOff>
    </xdr:from>
    <xdr:ext cx="2035175" cy="960644"/>
    <xdr:pic>
      <xdr:nvPicPr>
        <xdr:cNvPr id="595" name="Image 8">
          <a:extLst>
            <a:ext uri="{FF2B5EF4-FFF2-40B4-BE49-F238E27FC236}">
              <a16:creationId xmlns:a16="http://schemas.microsoft.com/office/drawing/2014/main" id="{00000000-0008-0000-0000-000053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299815250"/>
          <a:ext cx="2035175" cy="960644"/>
        </a:xfrm>
        <a:prstGeom prst="rect">
          <a:avLst/>
        </a:prstGeom>
        <a:noFill/>
        <a:ln w="9525">
          <a:noFill/>
          <a:miter lim="800000"/>
          <a:headEnd/>
          <a:tailEnd/>
        </a:ln>
      </xdr:spPr>
    </xdr:pic>
    <xdr:clientData/>
  </xdr:oneCellAnchor>
  <xdr:oneCellAnchor>
    <xdr:from>
      <xdr:col>1</xdr:col>
      <xdr:colOff>0</xdr:colOff>
      <xdr:row>1628</xdr:row>
      <xdr:rowOff>0</xdr:rowOff>
    </xdr:from>
    <xdr:ext cx="2035175" cy="960644"/>
    <xdr:pic>
      <xdr:nvPicPr>
        <xdr:cNvPr id="597" name="Image 8">
          <a:extLst>
            <a:ext uri="{FF2B5EF4-FFF2-40B4-BE49-F238E27FC236}">
              <a16:creationId xmlns:a16="http://schemas.microsoft.com/office/drawing/2014/main" id="{00000000-0008-0000-0000-000055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314092167"/>
          <a:ext cx="2035175" cy="960644"/>
        </a:xfrm>
        <a:prstGeom prst="rect">
          <a:avLst/>
        </a:prstGeom>
        <a:noFill/>
        <a:ln w="9525">
          <a:noFill/>
          <a:miter lim="800000"/>
          <a:headEnd/>
          <a:tailEnd/>
        </a:ln>
      </xdr:spPr>
    </xdr:pic>
    <xdr:clientData/>
  </xdr:oneCellAnchor>
  <xdr:oneCellAnchor>
    <xdr:from>
      <xdr:col>1</xdr:col>
      <xdr:colOff>0</xdr:colOff>
      <xdr:row>1702</xdr:row>
      <xdr:rowOff>0</xdr:rowOff>
    </xdr:from>
    <xdr:ext cx="2035175" cy="960644"/>
    <xdr:pic>
      <xdr:nvPicPr>
        <xdr:cNvPr id="599" name="Image 8">
          <a:extLst>
            <a:ext uri="{FF2B5EF4-FFF2-40B4-BE49-F238E27FC236}">
              <a16:creationId xmlns:a16="http://schemas.microsoft.com/office/drawing/2014/main" id="{00000000-0008-0000-0000-000057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328369083"/>
          <a:ext cx="2035175" cy="960644"/>
        </a:xfrm>
        <a:prstGeom prst="rect">
          <a:avLst/>
        </a:prstGeom>
        <a:noFill/>
        <a:ln w="9525">
          <a:noFill/>
          <a:miter lim="800000"/>
          <a:headEnd/>
          <a:tailEnd/>
        </a:ln>
      </xdr:spPr>
    </xdr:pic>
    <xdr:clientData/>
  </xdr:oneCellAnchor>
  <xdr:oneCellAnchor>
    <xdr:from>
      <xdr:col>1</xdr:col>
      <xdr:colOff>0</xdr:colOff>
      <xdr:row>1776</xdr:row>
      <xdr:rowOff>0</xdr:rowOff>
    </xdr:from>
    <xdr:ext cx="2035175" cy="960644"/>
    <xdr:pic>
      <xdr:nvPicPr>
        <xdr:cNvPr id="601" name="Image 8">
          <a:extLst>
            <a:ext uri="{FF2B5EF4-FFF2-40B4-BE49-F238E27FC236}">
              <a16:creationId xmlns:a16="http://schemas.microsoft.com/office/drawing/2014/main" id="{00000000-0008-0000-0000-000059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342646000"/>
          <a:ext cx="2035175" cy="960644"/>
        </a:xfrm>
        <a:prstGeom prst="rect">
          <a:avLst/>
        </a:prstGeom>
        <a:noFill/>
        <a:ln w="9525">
          <a:noFill/>
          <a:miter lim="800000"/>
          <a:headEnd/>
          <a:tailEnd/>
        </a:ln>
      </xdr:spPr>
    </xdr:pic>
    <xdr:clientData/>
  </xdr:oneCellAnchor>
  <xdr:oneCellAnchor>
    <xdr:from>
      <xdr:col>1</xdr:col>
      <xdr:colOff>0</xdr:colOff>
      <xdr:row>1850</xdr:row>
      <xdr:rowOff>0</xdr:rowOff>
    </xdr:from>
    <xdr:ext cx="2035175" cy="960644"/>
    <xdr:pic>
      <xdr:nvPicPr>
        <xdr:cNvPr id="603" name="Image 8">
          <a:extLst>
            <a:ext uri="{FF2B5EF4-FFF2-40B4-BE49-F238E27FC236}">
              <a16:creationId xmlns:a16="http://schemas.microsoft.com/office/drawing/2014/main" id="{00000000-0008-0000-0000-00005B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6417" y="356922917"/>
          <a:ext cx="2035175" cy="960644"/>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4</xdr:col>
      <xdr:colOff>254000</xdr:colOff>
      <xdr:row>5</xdr:row>
      <xdr:rowOff>28252</xdr:rowOff>
    </xdr:to>
    <xdr:pic>
      <xdr:nvPicPr>
        <xdr:cNvPr id="2" name="Image 8">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19050"/>
          <a:ext cx="2000250" cy="964877"/>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Fortin, Veronique" id="{70610542-92D6-406A-B099-6EE4982C2594}" userId="S::vfortin@richelieu.com::fab5c532-7cc2-480f-afac-0df99bf43d19"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7" dT="2021-05-06T16:56:19.90" personId="{70610542-92D6-406A-B099-6EE4982C2594}" id="{C4C4017A-8014-4E4A-9849-BC4691EF4AE1}">
    <text>Vacances de l'année 2020-2021</text>
  </threadedComment>
  <threadedComment ref="K30" dT="2021-05-20T12:11:35.31" personId="{70610542-92D6-406A-B099-6EE4982C2594}" id="{D9E9D9AF-4F37-49ED-9F17-7F310BE8DDC7}">
    <text>8 H de Maladie</text>
  </threadedComment>
  <threadedComment ref="J38" dT="2021-05-10T12:59:49.80" personId="{70610542-92D6-406A-B099-6EE4982C2594}" id="{48912B4F-2B78-4309-8F43-891CF627E48C}">
    <text>Vacances de 2020-2021</text>
  </threadedComment>
  <threadedComment ref="K38" dT="2021-05-20T18:23:54.65" personId="{70610542-92D6-406A-B099-6EE4982C2594}" id="{169D1953-BF91-4637-A365-6475C36DF2E9}">
    <text>Vacances qui a été reporté de 2020-2021</text>
  </threadedComment>
  <threadedComment ref="K41" dT="2021-05-20T12:10:37.97" personId="{70610542-92D6-406A-B099-6EE4982C2594}" id="{28BF5DD2-39F7-4E21-89DE-FA8C3CE49FC1}">
    <text>Vacances qui a été reporté de 2020-2021</text>
  </threadedComment>
  <threadedComment ref="P41" dT="2021-08-05T12:39:12.80" personId="{70610542-92D6-406A-B099-6EE4982C2594}" id="{0DF7A2A9-28A1-45EE-ACB9-12C76E731137}">
    <text>4 jours qui avait été reporté pour l'année 2020-2021</text>
  </threadedComment>
  <threadedComment ref="J44" dT="2021-05-06T16:56:52.98" personId="{70610542-92D6-406A-B099-6EE4982C2594}" id="{629A8A8B-43C0-4A15-B4F6-46CF88070447}">
    <text>Vacances de l'année 2020-2021</text>
  </threadedComment>
  <threadedComment ref="K44" dT="2021-05-20T12:18:29.53" personId="{70610542-92D6-406A-B099-6EE4982C2594}" id="{DD95BDD8-BB6B-46EE-8B1C-F0F17B626D46}">
    <text>Vacances qui a été reporté de 2020-2021</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D2144"/>
  <sheetViews>
    <sheetView topLeftCell="B1900" zoomScale="112" zoomScaleNormal="112" zoomScaleSheetLayoutView="25" workbookViewId="0">
      <pane xSplit="1" topLeftCell="AC1" activePane="topRight" state="frozen"/>
      <selection activeCell="B781" sqref="B781"/>
      <selection pane="topRight" activeCell="AS1869" sqref="AS1869"/>
    </sheetView>
  </sheetViews>
  <sheetFormatPr baseColWidth="10" defaultColWidth="9.1796875" defaultRowHeight="14.5" x14ac:dyDescent="0.35"/>
  <cols>
    <col min="1" max="1" width="1.7265625" style="35" customWidth="1"/>
    <col min="2" max="2" width="12.453125" style="35" customWidth="1"/>
    <col min="3" max="3" width="5.7265625" style="35" customWidth="1"/>
    <col min="4" max="4" width="17.453125" style="35" customWidth="1"/>
    <col min="5" max="5" width="10" style="35" customWidth="1"/>
    <col min="6" max="6" width="2.1796875" style="50" customWidth="1"/>
    <col min="7" max="9" width="5.26953125" style="35" customWidth="1"/>
    <col min="10" max="10" width="6" style="35" customWidth="1"/>
    <col min="11" max="11" width="5.453125" style="35" customWidth="1"/>
    <col min="12" max="12" width="6.26953125" style="35" customWidth="1"/>
    <col min="13" max="13" width="5.26953125" style="35" customWidth="1"/>
    <col min="14" max="14" width="6" style="35" customWidth="1"/>
    <col min="15" max="15" width="5.26953125" style="35" customWidth="1"/>
    <col min="16" max="16" width="6" style="35" customWidth="1"/>
    <col min="17" max="17" width="3.7265625" style="35" customWidth="1"/>
    <col min="18" max="18" width="6" style="35" customWidth="1"/>
    <col min="19" max="19" width="5.26953125" style="35" customWidth="1"/>
    <col min="20" max="20" width="6" style="35" customWidth="1"/>
    <col min="21" max="21" width="10.7265625" style="35" customWidth="1"/>
    <col min="22" max="22" width="1.7265625" style="35" customWidth="1"/>
    <col min="23" max="25" width="5.26953125" style="35" customWidth="1"/>
    <col min="26" max="26" width="6" style="35" customWidth="1"/>
    <col min="27" max="27" width="5.26953125" style="35" customWidth="1"/>
    <col min="28" max="28" width="6" style="35" customWidth="1"/>
    <col min="29" max="29" width="5.26953125" style="35" customWidth="1"/>
    <col min="30" max="30" width="6" style="35" customWidth="1"/>
    <col min="31" max="31" width="5.26953125" style="35" customWidth="1"/>
    <col min="32" max="32" width="6" style="35" customWidth="1"/>
    <col min="33" max="33" width="5.26953125" style="35" customWidth="1"/>
    <col min="34" max="34" width="6" style="35" customWidth="1"/>
    <col min="35" max="35" width="5.26953125" style="35" customWidth="1"/>
    <col min="36" max="36" width="6" style="35" customWidth="1"/>
    <col min="37" max="37" width="10.7265625" style="35" customWidth="1"/>
    <col min="38" max="38" width="1.7265625" style="35" customWidth="1"/>
    <col min="39" max="39" width="10.7265625" style="35" customWidth="1"/>
    <col min="40" max="40" width="10.7265625" style="84" customWidth="1"/>
    <col min="41" max="41" width="8.7265625" style="35" customWidth="1"/>
    <col min="42" max="42" width="8.7265625" style="35" hidden="1" customWidth="1"/>
    <col min="43" max="43" width="8.7265625" style="35" customWidth="1"/>
    <col min="44" max="44" width="8.7265625" style="35" hidden="1" customWidth="1"/>
    <col min="45" max="45" width="10.7265625" style="35" customWidth="1"/>
    <col min="46" max="46" width="1.7265625" style="35" customWidth="1"/>
    <col min="47" max="47" width="8.7265625" style="35" customWidth="1"/>
    <col min="48" max="48" width="1.7265625" style="35" customWidth="1"/>
    <col min="49" max="49" width="9.7265625" style="35" customWidth="1"/>
    <col min="50" max="52" width="9.1796875" style="35"/>
    <col min="53" max="54" width="9.1796875" style="84" hidden="1" customWidth="1"/>
    <col min="55" max="56" width="10.7265625" style="36" hidden="1" customWidth="1"/>
    <col min="57" max="16384" width="9.1796875" style="35"/>
  </cols>
  <sheetData>
    <row r="1" spans="2:56" ht="15" customHeight="1" x14ac:dyDescent="0.35">
      <c r="G1" s="143" t="s">
        <v>10</v>
      </c>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BA1" s="2">
        <v>2014</v>
      </c>
      <c r="BB1" s="2">
        <v>1</v>
      </c>
      <c r="BC1" s="101">
        <v>41623</v>
      </c>
      <c r="BD1" s="101">
        <v>41636</v>
      </c>
    </row>
    <row r="2" spans="2:56" ht="15" customHeight="1" x14ac:dyDescent="0.35">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BA2" s="2">
        <v>2014</v>
      </c>
      <c r="BB2" s="2">
        <v>2</v>
      </c>
      <c r="BC2" s="101">
        <v>41637</v>
      </c>
      <c r="BD2" s="101">
        <v>41650</v>
      </c>
    </row>
    <row r="3" spans="2:56" x14ac:dyDescent="0.35">
      <c r="G3" s="168"/>
      <c r="H3" s="168"/>
      <c r="I3" s="168"/>
      <c r="J3" s="168"/>
      <c r="K3" s="168"/>
      <c r="L3" s="168"/>
      <c r="M3" s="168"/>
      <c r="N3" s="168"/>
      <c r="O3" s="168"/>
      <c r="P3" s="168"/>
      <c r="Q3" s="168"/>
      <c r="R3" s="168"/>
      <c r="S3" s="168"/>
      <c r="T3" s="168"/>
      <c r="U3" s="168"/>
      <c r="W3" s="37" t="s">
        <v>12</v>
      </c>
      <c r="X3" s="86" t="s">
        <v>11</v>
      </c>
      <c r="BA3" s="2">
        <v>2014</v>
      </c>
      <c r="BB3" s="2">
        <v>3</v>
      </c>
      <c r="BC3" s="101">
        <v>41651</v>
      </c>
      <c r="BD3" s="101">
        <v>41664</v>
      </c>
    </row>
    <row r="4" spans="2:56" x14ac:dyDescent="0.35">
      <c r="G4" s="35" t="s">
        <v>0</v>
      </c>
      <c r="W4" s="37" t="s">
        <v>13</v>
      </c>
      <c r="X4" s="86" t="s">
        <v>14</v>
      </c>
      <c r="BA4" s="2">
        <v>2014</v>
      </c>
      <c r="BB4" s="2">
        <v>4</v>
      </c>
      <c r="BC4" s="101">
        <v>41665</v>
      </c>
      <c r="BD4" s="101">
        <v>41678</v>
      </c>
    </row>
    <row r="5" spans="2:56" x14ac:dyDescent="0.35">
      <c r="W5" s="37" t="s">
        <v>1</v>
      </c>
      <c r="X5" s="86" t="s">
        <v>15</v>
      </c>
      <c r="BA5" s="2">
        <v>2014</v>
      </c>
      <c r="BB5" s="2">
        <v>5</v>
      </c>
      <c r="BC5" s="101">
        <v>41679</v>
      </c>
      <c r="BD5" s="101">
        <v>41692</v>
      </c>
    </row>
    <row r="6" spans="2:56" x14ac:dyDescent="0.35">
      <c r="W6" s="37" t="s">
        <v>2</v>
      </c>
      <c r="X6" s="86" t="s">
        <v>16</v>
      </c>
      <c r="BA6" s="2">
        <v>2014</v>
      </c>
      <c r="BB6" s="2">
        <v>6</v>
      </c>
      <c r="BC6" s="101">
        <v>41693</v>
      </c>
      <c r="BD6" s="101">
        <v>41706</v>
      </c>
    </row>
    <row r="7" spans="2:56" ht="15" customHeight="1" x14ac:dyDescent="0.35">
      <c r="B7" s="154" t="s">
        <v>35</v>
      </c>
      <c r="G7" s="154" t="s">
        <v>36</v>
      </c>
      <c r="H7" s="154"/>
      <c r="I7" s="154"/>
      <c r="K7" s="154" t="s">
        <v>36</v>
      </c>
      <c r="L7" s="154"/>
      <c r="M7" s="154"/>
      <c r="W7" s="37" t="s">
        <v>3</v>
      </c>
      <c r="X7" s="86" t="s">
        <v>17</v>
      </c>
      <c r="BA7" s="2">
        <v>2014</v>
      </c>
      <c r="BB7" s="2">
        <v>7</v>
      </c>
      <c r="BC7" s="101">
        <v>41707</v>
      </c>
      <c r="BD7" s="101">
        <v>41720</v>
      </c>
    </row>
    <row r="8" spans="2:56" x14ac:dyDescent="0.35">
      <c r="B8" s="155"/>
      <c r="D8" s="37" t="s">
        <v>34</v>
      </c>
      <c r="G8" s="154"/>
      <c r="H8" s="154"/>
      <c r="I8" s="154"/>
      <c r="K8" s="154"/>
      <c r="L8" s="154"/>
      <c r="M8" s="154"/>
      <c r="W8" s="38"/>
      <c r="BA8" s="2">
        <v>2014</v>
      </c>
      <c r="BB8" s="2">
        <v>8</v>
      </c>
      <c r="BC8" s="101">
        <v>41721</v>
      </c>
      <c r="BD8" s="101">
        <v>41734</v>
      </c>
    </row>
    <row r="9" spans="2:56" x14ac:dyDescent="0.35">
      <c r="B9" s="39">
        <v>10</v>
      </c>
      <c r="D9" s="39">
        <v>2021</v>
      </c>
      <c r="E9" s="87" t="s">
        <v>38</v>
      </c>
      <c r="G9" s="156">
        <v>44311</v>
      </c>
      <c r="H9" s="157"/>
      <c r="I9" s="158"/>
      <c r="J9" s="37" t="s">
        <v>37</v>
      </c>
      <c r="K9" s="156">
        <f>IF(G9="","",G9+13)</f>
        <v>44324</v>
      </c>
      <c r="L9" s="157"/>
      <c r="M9" s="158"/>
      <c r="P9" s="159" t="s">
        <v>39</v>
      </c>
      <c r="Q9" s="160"/>
      <c r="R9" s="160"/>
      <c r="S9" s="160"/>
      <c r="T9" s="161"/>
      <c r="U9" s="24">
        <v>80</v>
      </c>
      <c r="BA9" s="2">
        <v>2014</v>
      </c>
      <c r="BB9" s="2">
        <v>9</v>
      </c>
      <c r="BC9" s="101">
        <v>41735</v>
      </c>
      <c r="BD9" s="101">
        <v>41748</v>
      </c>
    </row>
    <row r="10" spans="2:56" x14ac:dyDescent="0.35">
      <c r="AM10" s="144" t="s">
        <v>4</v>
      </c>
      <c r="AN10" s="144"/>
      <c r="AO10" s="144"/>
      <c r="AP10" s="144"/>
      <c r="AQ10" s="144"/>
      <c r="AR10" s="144"/>
      <c r="AS10" s="144"/>
      <c r="AU10" s="39" t="s">
        <v>4</v>
      </c>
      <c r="BA10" s="2">
        <v>2014</v>
      </c>
      <c r="BB10" s="2">
        <v>10</v>
      </c>
      <c r="BC10" s="101">
        <v>41749</v>
      </c>
      <c r="BD10" s="101">
        <v>41762</v>
      </c>
    </row>
    <row r="11" spans="2:56" x14ac:dyDescent="0.35">
      <c r="B11" s="40"/>
      <c r="C11" s="41"/>
      <c r="D11" s="42" t="s">
        <v>32</v>
      </c>
      <c r="E11" s="43" t="s">
        <v>5</v>
      </c>
      <c r="G11" s="162">
        <f>G9</f>
        <v>44311</v>
      </c>
      <c r="H11" s="163"/>
      <c r="I11" s="162">
        <f>IF(G11="","",G11+1)</f>
        <v>44312</v>
      </c>
      <c r="J11" s="163"/>
      <c r="K11" s="162">
        <f>IF(I11="","",I11+1)</f>
        <v>44313</v>
      </c>
      <c r="L11" s="163"/>
      <c r="M11" s="162">
        <f>IF(K11="","",K11+1)</f>
        <v>44314</v>
      </c>
      <c r="N11" s="163"/>
      <c r="O11" s="162">
        <f>IF(M11="","",M11+1)</f>
        <v>44315</v>
      </c>
      <c r="P11" s="163"/>
      <c r="Q11" s="162">
        <f>IF(O11="","",O11+1)</f>
        <v>44316</v>
      </c>
      <c r="R11" s="163"/>
      <c r="S11" s="162">
        <f>IF(Q11="","",Q11+1)</f>
        <v>44317</v>
      </c>
      <c r="T11" s="164"/>
      <c r="U11" s="44"/>
      <c r="W11" s="162">
        <f>IF(S11="","",S11+1)</f>
        <v>44318</v>
      </c>
      <c r="X11" s="163"/>
      <c r="Y11" s="162">
        <f>IF(W11="","",W11+1)</f>
        <v>44319</v>
      </c>
      <c r="Z11" s="163"/>
      <c r="AA11" s="162">
        <f>IF(Y11="","",Y11+1)</f>
        <v>44320</v>
      </c>
      <c r="AB11" s="163"/>
      <c r="AC11" s="162">
        <f>IF(AA11="","",AA11+1)</f>
        <v>44321</v>
      </c>
      <c r="AD11" s="163"/>
      <c r="AE11" s="162">
        <f>IF(AC11="","",AC11+1)</f>
        <v>44322</v>
      </c>
      <c r="AF11" s="163"/>
      <c r="AG11" s="162">
        <f>IF(AE11="","",AE11+1)</f>
        <v>44323</v>
      </c>
      <c r="AH11" s="163"/>
      <c r="AI11" s="162">
        <f>IF(AG11="","",AG11+1)</f>
        <v>44324</v>
      </c>
      <c r="AJ11" s="164"/>
      <c r="AK11" s="44"/>
      <c r="AM11" s="145" t="s">
        <v>18</v>
      </c>
      <c r="AN11" s="165" t="s">
        <v>55</v>
      </c>
      <c r="AO11" s="145" t="s">
        <v>19</v>
      </c>
      <c r="AP11" s="145" t="s">
        <v>20</v>
      </c>
      <c r="AQ11" s="145" t="s">
        <v>21</v>
      </c>
      <c r="AR11" s="166" t="s">
        <v>22</v>
      </c>
      <c r="AS11" s="167" t="s">
        <v>23</v>
      </c>
      <c r="AU11" s="144" t="s">
        <v>6</v>
      </c>
      <c r="AW11" s="145" t="s">
        <v>24</v>
      </c>
      <c r="BA11" s="2">
        <v>2014</v>
      </c>
      <c r="BB11" s="2">
        <v>11</v>
      </c>
      <c r="BC11" s="101">
        <v>41763</v>
      </c>
      <c r="BD11" s="101">
        <v>41776</v>
      </c>
    </row>
    <row r="12" spans="2:56" x14ac:dyDescent="0.35">
      <c r="B12" s="45" t="s">
        <v>33</v>
      </c>
      <c r="C12" s="46"/>
      <c r="D12" s="47"/>
      <c r="E12" s="47"/>
      <c r="G12" s="146" t="s">
        <v>25</v>
      </c>
      <c r="H12" s="147"/>
      <c r="I12" s="146" t="s">
        <v>26</v>
      </c>
      <c r="J12" s="147"/>
      <c r="K12" s="146" t="s">
        <v>27</v>
      </c>
      <c r="L12" s="147"/>
      <c r="M12" s="146" t="s">
        <v>28</v>
      </c>
      <c r="N12" s="147"/>
      <c r="O12" s="146" t="s">
        <v>29</v>
      </c>
      <c r="P12" s="147"/>
      <c r="Q12" s="146" t="s">
        <v>30</v>
      </c>
      <c r="R12" s="147"/>
      <c r="S12" s="146" t="s">
        <v>31</v>
      </c>
      <c r="T12" s="148"/>
      <c r="U12" s="48" t="s">
        <v>7</v>
      </c>
      <c r="W12" s="146" t="s">
        <v>25</v>
      </c>
      <c r="X12" s="147"/>
      <c r="Y12" s="146" t="s">
        <v>26</v>
      </c>
      <c r="Z12" s="147"/>
      <c r="AA12" s="146" t="s">
        <v>27</v>
      </c>
      <c r="AB12" s="147"/>
      <c r="AC12" s="146" t="s">
        <v>28</v>
      </c>
      <c r="AD12" s="147"/>
      <c r="AE12" s="146" t="s">
        <v>29</v>
      </c>
      <c r="AF12" s="147"/>
      <c r="AG12" s="146" t="s">
        <v>30</v>
      </c>
      <c r="AH12" s="147"/>
      <c r="AI12" s="146" t="s">
        <v>31</v>
      </c>
      <c r="AJ12" s="148"/>
      <c r="AK12" s="48" t="s">
        <v>7</v>
      </c>
      <c r="AM12" s="145"/>
      <c r="AN12" s="165"/>
      <c r="AO12" s="145"/>
      <c r="AP12" s="145"/>
      <c r="AQ12" s="145"/>
      <c r="AR12" s="166"/>
      <c r="AS12" s="167"/>
      <c r="AU12" s="144"/>
      <c r="AW12" s="145"/>
      <c r="BA12" s="2">
        <v>2014</v>
      </c>
      <c r="BB12" s="2">
        <v>12</v>
      </c>
      <c r="BC12" s="101">
        <v>41777</v>
      </c>
      <c r="BD12" s="101">
        <v>41790</v>
      </c>
    </row>
    <row r="13" spans="2:56" x14ac:dyDescent="0.35">
      <c r="B13" s="63"/>
      <c r="C13" s="25"/>
      <c r="D13" s="25"/>
      <c r="E13" s="25"/>
      <c r="BA13" s="2">
        <v>2014</v>
      </c>
      <c r="BB13" s="2">
        <v>13</v>
      </c>
      <c r="BC13" s="101">
        <v>41791</v>
      </c>
      <c r="BD13" s="101">
        <v>41804</v>
      </c>
    </row>
    <row r="14" spans="2:56" x14ac:dyDescent="0.35">
      <c r="B14" s="26"/>
      <c r="C14" s="27"/>
      <c r="D14" s="28">
        <v>23919</v>
      </c>
      <c r="E14" s="29" t="s">
        <v>57</v>
      </c>
      <c r="F14" s="50">
        <f>B9</f>
        <v>10</v>
      </c>
      <c r="G14" s="59"/>
      <c r="H14" s="64"/>
      <c r="I14" s="106"/>
      <c r="J14" s="105" t="s">
        <v>3</v>
      </c>
      <c r="K14" s="106"/>
      <c r="L14" s="105" t="s">
        <v>3</v>
      </c>
      <c r="M14" s="106"/>
      <c r="N14" s="105" t="s">
        <v>3</v>
      </c>
      <c r="O14" s="106"/>
      <c r="P14" s="105" t="s">
        <v>3</v>
      </c>
      <c r="Q14" s="106"/>
      <c r="R14" s="105" t="s">
        <v>3</v>
      </c>
      <c r="S14" s="59"/>
      <c r="T14" s="64"/>
      <c r="U14" s="44"/>
      <c r="V14" s="84"/>
      <c r="W14" s="59"/>
      <c r="X14" s="64"/>
      <c r="Y14" s="106"/>
      <c r="Z14" s="105" t="s">
        <v>3</v>
      </c>
      <c r="AA14" s="106"/>
      <c r="AB14" s="105" t="s">
        <v>3</v>
      </c>
      <c r="AC14" s="106"/>
      <c r="AD14" s="105" t="s">
        <v>3</v>
      </c>
      <c r="AE14" s="106"/>
      <c r="AF14" s="105" t="s">
        <v>3</v>
      </c>
      <c r="AG14" s="106"/>
      <c r="AH14" s="105" t="s">
        <v>3</v>
      </c>
      <c r="AI14" s="59"/>
      <c r="AJ14" s="64"/>
      <c r="AK14" s="44"/>
      <c r="AM14" s="49"/>
      <c r="AN14" s="49"/>
      <c r="AO14" s="49"/>
      <c r="AP14" s="49"/>
      <c r="AQ14" s="49"/>
      <c r="AR14" s="40"/>
      <c r="AS14" s="51"/>
      <c r="AU14" s="49"/>
      <c r="AW14" s="52"/>
      <c r="BA14" s="2">
        <v>2014</v>
      </c>
      <c r="BB14" s="2">
        <v>14</v>
      </c>
      <c r="BC14" s="101">
        <v>41805</v>
      </c>
      <c r="BD14" s="101">
        <v>41818</v>
      </c>
    </row>
    <row r="15" spans="2:56" x14ac:dyDescent="0.35">
      <c r="B15" s="30" t="s">
        <v>64</v>
      </c>
      <c r="C15" s="31"/>
      <c r="D15" s="32"/>
      <c r="E15" s="33">
        <v>93545</v>
      </c>
      <c r="F15" s="50">
        <f>B9</f>
        <v>10</v>
      </c>
      <c r="G15" s="95"/>
      <c r="H15" s="70"/>
      <c r="I15" s="104"/>
      <c r="J15" s="103">
        <v>0</v>
      </c>
      <c r="K15" s="104"/>
      <c r="L15" s="103">
        <v>0</v>
      </c>
      <c r="M15" s="104"/>
      <c r="N15" s="103">
        <v>0</v>
      </c>
      <c r="O15" s="104"/>
      <c r="P15" s="103">
        <v>0</v>
      </c>
      <c r="Q15" s="104"/>
      <c r="R15" s="103">
        <v>0</v>
      </c>
      <c r="S15" s="69"/>
      <c r="T15" s="70"/>
      <c r="U15" s="71">
        <f>SUM(G15:T15)</f>
        <v>0</v>
      </c>
      <c r="V15" s="72"/>
      <c r="W15" s="69"/>
      <c r="X15" s="70"/>
      <c r="Y15" s="104"/>
      <c r="Z15" s="103">
        <v>0</v>
      </c>
      <c r="AA15" s="104"/>
      <c r="AB15" s="103">
        <v>0</v>
      </c>
      <c r="AC15" s="104"/>
      <c r="AD15" s="103">
        <v>0</v>
      </c>
      <c r="AE15" s="104"/>
      <c r="AF15" s="103">
        <v>0</v>
      </c>
      <c r="AG15" s="104"/>
      <c r="AH15" s="103">
        <v>0</v>
      </c>
      <c r="AI15" s="69"/>
      <c r="AJ15" s="70"/>
      <c r="AK15" s="71">
        <f>SUM(W15:AJ15)</f>
        <v>0</v>
      </c>
      <c r="AL15" s="72"/>
      <c r="AM15" s="73">
        <f>SUMIF($G14:$T14,"",$G15:$T15)+SUMIF($W14:$AJ14,"",$W15:$AJ15)-AN15</f>
        <v>0</v>
      </c>
      <c r="AN15" s="88">
        <f>IF(SUMIF($G14:$T14,"",$G15:$T15)+SUMIF($G14:$T14,"F",$G15:$T15)+SUMIF($G14:$T14,"V",$G15:$T15)-40&lt;0,0,SUMIF($G14:$T14,"",$G15:$T15)+SUMIF($G14:$T14,"F",$G15:$T15)+SUMIF($G14:$T14,"V",$G15:$T15)-($U$9/2))+IF(SUMIF($W14:$AJ14,"",$W15:$AJ15)+SUMIF($W14:$AJ14,"F",$W15:$AJ15)+SUMIF($W14:$AJ14,"V",$W15:$AJ15)-40&lt;0,0,SUMIF($W14:$AJ14,"",$W15:$AJ15)+SUMIF($W14:$AJ14,"F",$W15:$AJ15)+SUMIF($W14:$AJ14,"V",$W15:$AJ15)-($U$9/2))</f>
        <v>0</v>
      </c>
      <c r="AO15" s="73">
        <f>SUMIF($G14:$T14,"M",$G15:$T15)+SUMIF($W14:$AJ14,"M",$W15:$AJ15)</f>
        <v>0</v>
      </c>
      <c r="AP15" s="73">
        <f>SUMIF($G14:$T14,"F",$G15:$T15)+SUMIF($W14:$AJ14,"F",$W15:$AJ15)</f>
        <v>0</v>
      </c>
      <c r="AQ15" s="73">
        <f>SUMIF($G14:$T14,"V",$G15:$T15)+SUMIF($W14:$AJ14,"V",$W15:$AJ15)</f>
        <v>0</v>
      </c>
      <c r="AR15" s="74">
        <f>SUMIF($G14:$T14,"O",$G15:$T15)+SUMIF($W14:$AJ14,"O",$W15:$AJ15)</f>
        <v>0</v>
      </c>
      <c r="AS15" s="75">
        <f>SUM(AM15:AR15)</f>
        <v>0</v>
      </c>
      <c r="AT15" s="72"/>
      <c r="AU15" s="73">
        <v>0</v>
      </c>
      <c r="AV15" s="72"/>
      <c r="AW15" s="76">
        <v>80</v>
      </c>
      <c r="BA15" s="2">
        <v>2014</v>
      </c>
      <c r="BB15" s="2">
        <v>15</v>
      </c>
      <c r="BC15" s="101">
        <v>41819</v>
      </c>
      <c r="BD15" s="101">
        <v>41832</v>
      </c>
    </row>
    <row r="16" spans="2:56" x14ac:dyDescent="0.35">
      <c r="B16" s="26"/>
      <c r="C16" s="27"/>
      <c r="D16" s="28">
        <v>24287</v>
      </c>
      <c r="E16" s="29" t="s">
        <v>57</v>
      </c>
      <c r="F16" s="50">
        <f>B9</f>
        <v>10</v>
      </c>
      <c r="G16" s="59"/>
      <c r="H16" s="64"/>
      <c r="I16" s="106"/>
      <c r="J16" s="105"/>
      <c r="K16" s="106"/>
      <c r="L16" s="105"/>
      <c r="M16" s="106"/>
      <c r="N16" s="105"/>
      <c r="O16" s="106"/>
      <c r="P16" s="105"/>
      <c r="Q16" s="106"/>
      <c r="R16" s="105"/>
      <c r="S16" s="59"/>
      <c r="T16" s="64"/>
      <c r="U16" s="44"/>
      <c r="V16" s="84"/>
      <c r="W16" s="59"/>
      <c r="X16" s="64"/>
      <c r="Y16" s="106"/>
      <c r="Z16" s="105"/>
      <c r="AA16" s="106"/>
      <c r="AB16" s="105"/>
      <c r="AC16" s="106"/>
      <c r="AD16" s="105"/>
      <c r="AE16" s="106"/>
      <c r="AF16" s="105"/>
      <c r="AG16" s="106"/>
      <c r="AH16" s="105"/>
      <c r="AI16" s="59"/>
      <c r="AJ16" s="64"/>
      <c r="AK16" s="44"/>
      <c r="AM16" s="49"/>
      <c r="AN16" s="49"/>
      <c r="AO16" s="49"/>
      <c r="AP16" s="49"/>
      <c r="AQ16" s="49"/>
      <c r="AR16" s="40"/>
      <c r="AS16" s="51"/>
      <c r="AU16" s="49"/>
      <c r="AW16" s="52"/>
      <c r="BA16" s="2">
        <v>2014</v>
      </c>
      <c r="BB16" s="2">
        <v>16</v>
      </c>
      <c r="BC16" s="101">
        <v>41833</v>
      </c>
      <c r="BD16" s="101">
        <v>41846</v>
      </c>
    </row>
    <row r="17" spans="2:56" x14ac:dyDescent="0.35">
      <c r="B17" s="30" t="s">
        <v>68</v>
      </c>
      <c r="C17" s="31"/>
      <c r="D17" s="32"/>
      <c r="E17" s="33">
        <v>93595935</v>
      </c>
      <c r="F17" s="50">
        <f>B9</f>
        <v>10</v>
      </c>
      <c r="G17" s="69"/>
      <c r="H17" s="70"/>
      <c r="I17" s="104"/>
      <c r="J17" s="103" t="s">
        <v>69</v>
      </c>
      <c r="K17" s="104"/>
      <c r="L17" s="103" t="s">
        <v>69</v>
      </c>
      <c r="M17" s="104"/>
      <c r="N17" s="103" t="s">
        <v>69</v>
      </c>
      <c r="O17" s="104"/>
      <c r="P17" s="103" t="s">
        <v>69</v>
      </c>
      <c r="Q17" s="104"/>
      <c r="R17" s="103" t="s">
        <v>69</v>
      </c>
      <c r="S17" s="69"/>
      <c r="T17" s="70"/>
      <c r="U17" s="71">
        <f t="shared" ref="U17" si="0">SUM(G17:T17)</f>
        <v>0</v>
      </c>
      <c r="V17" s="72"/>
      <c r="W17" s="69"/>
      <c r="X17" s="70"/>
      <c r="Y17" s="104"/>
      <c r="Z17" s="103" t="s">
        <v>69</v>
      </c>
      <c r="AA17" s="104"/>
      <c r="AB17" s="103" t="s">
        <v>69</v>
      </c>
      <c r="AC17" s="104"/>
      <c r="AD17" s="103" t="s">
        <v>69</v>
      </c>
      <c r="AE17" s="104"/>
      <c r="AF17" s="103" t="s">
        <v>69</v>
      </c>
      <c r="AG17" s="104"/>
      <c r="AH17" s="103" t="s">
        <v>69</v>
      </c>
      <c r="AI17" s="69"/>
      <c r="AJ17" s="70"/>
      <c r="AK17" s="71">
        <f>SUM(W17:AJ17)</f>
        <v>0</v>
      </c>
      <c r="AL17" s="72"/>
      <c r="AM17" s="73">
        <f>SUMIF($G16:$T16,"",$G17:$T17)+SUMIF($W16:$AJ16,"",$W17:$AJ17)-AN17</f>
        <v>0</v>
      </c>
      <c r="AN17" s="88">
        <f>IF(SUMIF($G16:$T16,"",$G17:$T17)+SUMIF($G16:$T16,"F",$G17:$T17)+SUMIF($G16:$T16,"V",$G17:$T17)-40&lt;0,0,SUMIF($G16:$T16,"",$G17:$T17)+SUMIF($G16:$T16,"F",$G17:$T17)+SUMIF($G16:$T16,"V",$G17:$T17)-($U$9/2))+IF(SUMIF($W16:$AJ16,"",$W17:$AJ17)+SUMIF($W16:$AJ16,"F",$W17:$AJ17)+SUMIF($W16:$AJ16,"V",$W17:$AJ17)-40&lt;0,0,SUMIF($W16:$AJ16,"",$W17:$AJ17)+SUMIF($W16:$AJ16,"F",$W17:$AJ17)+SUMIF($W16:$AJ16,"V",$W17:$AJ17)-($U$9/2))</f>
        <v>0</v>
      </c>
      <c r="AO17" s="73">
        <f>SUMIF($G16:$T16,"M",$G17:$T17)+SUMIF($W16:$AJ16,"M",$W17:$AJ17)</f>
        <v>0</v>
      </c>
      <c r="AP17" s="73">
        <f>SUMIF($G16:$T16,"F",$G17:$T17)+SUMIF($W16:$AJ16,"F",$W17:$AJ17)</f>
        <v>0</v>
      </c>
      <c r="AQ17" s="73">
        <f>SUMIF($G16:$T16,"V",$G17:$T17)+SUMIF($W16:$AJ16,"V",$W17:$AJ17)</f>
        <v>0</v>
      </c>
      <c r="AR17" s="74">
        <f>SUMIF($G16:$T16,"O",$G17:$T17)+SUMIF($W16:$AJ16,"O",$W17:$AJ17)</f>
        <v>0</v>
      </c>
      <c r="AS17" s="75">
        <f>SUM(AM17:AR17)</f>
        <v>0</v>
      </c>
      <c r="AT17" s="72"/>
      <c r="AU17" s="73">
        <v>0</v>
      </c>
      <c r="AV17" s="72"/>
      <c r="AW17" s="76">
        <v>80</v>
      </c>
      <c r="BA17" s="2">
        <v>2014</v>
      </c>
      <c r="BB17" s="2">
        <v>17</v>
      </c>
      <c r="BC17" s="101">
        <v>41847</v>
      </c>
      <c r="BD17" s="101">
        <v>41860</v>
      </c>
    </row>
    <row r="18" spans="2:56" x14ac:dyDescent="0.35">
      <c r="B18" s="26"/>
      <c r="C18" s="27"/>
      <c r="D18" s="28">
        <v>92032</v>
      </c>
      <c r="E18" s="29" t="s">
        <v>57</v>
      </c>
      <c r="F18" s="50">
        <f>B9</f>
        <v>10</v>
      </c>
      <c r="G18" s="59"/>
      <c r="H18" s="64"/>
      <c r="I18" s="106"/>
      <c r="J18" s="105"/>
      <c r="K18" s="106"/>
      <c r="L18" s="105"/>
      <c r="M18" s="106"/>
      <c r="N18" s="105"/>
      <c r="O18" s="106"/>
      <c r="P18" s="105"/>
      <c r="Q18" s="106"/>
      <c r="R18" s="105"/>
      <c r="S18" s="59"/>
      <c r="T18" s="64"/>
      <c r="U18" s="44"/>
      <c r="V18" s="84"/>
      <c r="W18" s="59"/>
      <c r="X18" s="64"/>
      <c r="Y18" s="106"/>
      <c r="Z18" s="105"/>
      <c r="AA18" s="106"/>
      <c r="AB18" s="105"/>
      <c r="AC18" s="106"/>
      <c r="AD18" s="105"/>
      <c r="AE18" s="106"/>
      <c r="AF18" s="105"/>
      <c r="AG18" s="106"/>
      <c r="AH18" s="105"/>
      <c r="AI18" s="59"/>
      <c r="AJ18" s="64"/>
      <c r="AK18" s="44"/>
      <c r="AM18" s="49"/>
      <c r="AN18" s="49"/>
      <c r="AO18" s="49"/>
      <c r="AP18" s="49"/>
      <c r="AQ18" s="49"/>
      <c r="AR18" s="40"/>
      <c r="AS18" s="51"/>
      <c r="AU18" s="49"/>
      <c r="AW18" s="52"/>
      <c r="BA18" s="2">
        <v>2014</v>
      </c>
      <c r="BB18" s="2">
        <v>18</v>
      </c>
      <c r="BC18" s="101">
        <v>41861</v>
      </c>
      <c r="BD18" s="101">
        <v>41874</v>
      </c>
    </row>
    <row r="19" spans="2:56" x14ac:dyDescent="0.35">
      <c r="B19" s="30" t="s">
        <v>56</v>
      </c>
      <c r="C19" s="31"/>
      <c r="D19" s="32"/>
      <c r="E19" s="33">
        <v>93595935</v>
      </c>
      <c r="F19" s="50">
        <f>B9</f>
        <v>10</v>
      </c>
      <c r="G19" s="69"/>
      <c r="H19" s="70"/>
      <c r="I19" s="104"/>
      <c r="J19" s="103" t="s">
        <v>69</v>
      </c>
      <c r="K19" s="104"/>
      <c r="L19" s="103" t="s">
        <v>69</v>
      </c>
      <c r="M19" s="104"/>
      <c r="N19" s="103" t="s">
        <v>69</v>
      </c>
      <c r="O19" s="104"/>
      <c r="P19" s="103" t="s">
        <v>69</v>
      </c>
      <c r="Q19" s="104"/>
      <c r="R19" s="103" t="s">
        <v>69</v>
      </c>
      <c r="S19" s="69"/>
      <c r="T19" s="70"/>
      <c r="U19" s="71">
        <f t="shared" ref="U19" si="1">SUM(G19:T19)</f>
        <v>0</v>
      </c>
      <c r="V19" s="72"/>
      <c r="W19" s="69"/>
      <c r="X19" s="70"/>
      <c r="Y19" s="104"/>
      <c r="Z19" s="103" t="s">
        <v>69</v>
      </c>
      <c r="AA19" s="104"/>
      <c r="AB19" s="103" t="s">
        <v>69</v>
      </c>
      <c r="AC19" s="104"/>
      <c r="AD19" s="103" t="s">
        <v>69</v>
      </c>
      <c r="AE19" s="104"/>
      <c r="AF19" s="103" t="s">
        <v>69</v>
      </c>
      <c r="AG19" s="104"/>
      <c r="AH19" s="103" t="s">
        <v>69</v>
      </c>
      <c r="AI19" s="69"/>
      <c r="AJ19" s="70"/>
      <c r="AK19" s="71">
        <f>SUM(W19:AJ19)</f>
        <v>0</v>
      </c>
      <c r="AL19" s="72"/>
      <c r="AM19" s="73">
        <f>SUMIF($G18:$T18,"",$G19:$T19)+SUMIF($W18:$AJ18,"",$W19:$AJ19)-AN19</f>
        <v>0</v>
      </c>
      <c r="AN19" s="88">
        <f>IF(SUMIF($G18:$T18,"",$G19:$T19)+SUMIF($G18:$T18,"F",$G19:$T19)+SUMIF($G18:$T18,"V",$G19:$T19)-40&lt;0,0,SUMIF($G18:$T18,"",$G19:$T19)+SUMIF($G18:$T18,"F",$G19:$T19)+SUMIF($G18:$T18,"V",$G19:$T19)-($U$9/2))+IF(SUMIF($W18:$AJ18,"",$W19:$AJ19)+SUMIF($W18:$AJ18,"F",$W19:$AJ19)+SUMIF($W18:$AJ18,"V",$W19:$AJ19)-40&lt;0,0,SUMIF($W18:$AJ18,"",$W19:$AJ19)+SUMIF($W18:$AJ18,"F",$W19:$AJ19)+SUMIF($W18:$AJ18,"V",$W19:$AJ19)-($U$9/2))</f>
        <v>0</v>
      </c>
      <c r="AO19" s="73">
        <f>SUMIF($G18:$T18,"M",$G19:$T19)+SUMIF($W18:$AJ18,"M",$W19:$AJ19)</f>
        <v>0</v>
      </c>
      <c r="AP19" s="73">
        <f>SUMIF($G18:$T18,"F",$G19:$T19)+SUMIF($W18:$AJ18,"F",$W19:$AJ19)</f>
        <v>0</v>
      </c>
      <c r="AQ19" s="73">
        <f>SUMIF($G18:$T18,"V",$G19:$T19)+SUMIF($W18:$AJ18,"V",$W19:$AJ19)</f>
        <v>0</v>
      </c>
      <c r="AR19" s="74">
        <f>SUMIF($G18:$T18,"O",$G19:$T19)+SUMIF($W18:$AJ18,"O",$W19:$AJ19)</f>
        <v>0</v>
      </c>
      <c r="AS19" s="75">
        <f>SUM(AM19:AR19)</f>
        <v>0</v>
      </c>
      <c r="AT19" s="72"/>
      <c r="AU19" s="73">
        <v>0</v>
      </c>
      <c r="AV19" s="72"/>
      <c r="AW19" s="76">
        <v>80</v>
      </c>
      <c r="BA19" s="2">
        <v>2014</v>
      </c>
      <c r="BB19" s="2">
        <v>19</v>
      </c>
      <c r="BC19" s="101">
        <v>41875</v>
      </c>
      <c r="BD19" s="101">
        <v>41888</v>
      </c>
    </row>
    <row r="20" spans="2:56" x14ac:dyDescent="0.35">
      <c r="B20" s="26"/>
      <c r="C20" s="27"/>
      <c r="D20" s="28">
        <v>81077</v>
      </c>
      <c r="E20" s="29" t="s">
        <v>57</v>
      </c>
      <c r="F20" s="50">
        <f>B9</f>
        <v>10</v>
      </c>
      <c r="G20" s="93"/>
      <c r="H20" s="94"/>
      <c r="I20" s="106"/>
      <c r="J20" s="105"/>
      <c r="K20" s="106"/>
      <c r="L20" s="105"/>
      <c r="M20" s="106"/>
      <c r="N20" s="105"/>
      <c r="O20" s="106"/>
      <c r="P20" s="105"/>
      <c r="Q20" s="106"/>
      <c r="R20" s="105"/>
      <c r="S20" s="59"/>
      <c r="T20" s="64"/>
      <c r="U20" s="44"/>
      <c r="V20" s="84"/>
      <c r="W20" s="59"/>
      <c r="X20" s="64"/>
      <c r="Y20" s="106"/>
      <c r="Z20" s="105"/>
      <c r="AA20" s="106"/>
      <c r="AB20" s="105"/>
      <c r="AC20" s="106"/>
      <c r="AD20" s="105"/>
      <c r="AE20" s="106"/>
      <c r="AF20" s="105"/>
      <c r="AG20" s="106"/>
      <c r="AH20" s="105"/>
      <c r="AI20" s="59"/>
      <c r="AJ20" s="64"/>
      <c r="AK20" s="44"/>
      <c r="AM20" s="49"/>
      <c r="AN20" s="49"/>
      <c r="AO20" s="49"/>
      <c r="AP20" s="49"/>
      <c r="AQ20" s="49"/>
      <c r="AR20" s="40"/>
      <c r="AS20" s="51"/>
      <c r="AU20" s="49"/>
      <c r="AW20" s="52"/>
      <c r="BA20" s="2">
        <v>2014</v>
      </c>
      <c r="BB20" s="2">
        <v>20</v>
      </c>
      <c r="BC20" s="101">
        <v>41889</v>
      </c>
      <c r="BD20" s="101">
        <v>41902</v>
      </c>
    </row>
    <row r="21" spans="2:56" x14ac:dyDescent="0.35">
      <c r="B21" s="30" t="s">
        <v>48</v>
      </c>
      <c r="C21" s="31"/>
      <c r="D21" s="32"/>
      <c r="E21" s="33">
        <v>93540</v>
      </c>
      <c r="F21" s="50">
        <f>B9</f>
        <v>10</v>
      </c>
      <c r="G21" s="93"/>
      <c r="H21" s="94"/>
      <c r="I21" s="104"/>
      <c r="J21" s="103">
        <v>8</v>
      </c>
      <c r="K21" s="104"/>
      <c r="L21" s="103">
        <v>8</v>
      </c>
      <c r="M21" s="104"/>
      <c r="N21" s="103">
        <v>9.25</v>
      </c>
      <c r="O21" s="104"/>
      <c r="P21" s="103">
        <v>8</v>
      </c>
      <c r="Q21" s="104"/>
      <c r="R21" s="103">
        <v>8</v>
      </c>
      <c r="S21" s="69"/>
      <c r="T21" s="70"/>
      <c r="U21" s="71">
        <f t="shared" ref="U21" si="2">SUM(G21:T21)</f>
        <v>41.25</v>
      </c>
      <c r="V21" s="72"/>
      <c r="W21" s="69"/>
      <c r="X21" s="70"/>
      <c r="Y21" s="104"/>
      <c r="Z21" s="103">
        <v>8</v>
      </c>
      <c r="AA21" s="104"/>
      <c r="AB21" s="103">
        <v>8</v>
      </c>
      <c r="AC21" s="104"/>
      <c r="AD21" s="103">
        <v>8</v>
      </c>
      <c r="AE21" s="104"/>
      <c r="AF21" s="103">
        <v>9</v>
      </c>
      <c r="AG21" s="104"/>
      <c r="AH21" s="103">
        <v>9</v>
      </c>
      <c r="AI21" s="69"/>
      <c r="AJ21" s="70"/>
      <c r="AK21" s="71">
        <f>SUM(W21:AJ21)</f>
        <v>42</v>
      </c>
      <c r="AL21" s="72"/>
      <c r="AM21" s="73">
        <f>SUMIF($G20:$T20,"",$G21:$T21)+SUMIF($W20:$AJ20,"",$W21:$AJ21)-AN21</f>
        <v>80</v>
      </c>
      <c r="AN21" s="88">
        <f>IF(SUMIF($G20:$T20,"",$G21:$T21)+SUMIF($G20:$T20,"F",$G21:$T21)+SUMIF($G20:$T20,"V",$G21:$T21)-40&lt;0,0,SUMIF($G20:$T20,"",$G21:$T21)+SUMIF($G20:$T20,"F",$G21:$T21)+SUMIF($G20:$T20,"V",$G21:$T21)-($U$9/2))+IF(SUMIF($W20:$AJ20,"",$W21:$AJ21)+SUMIF($W20:$AJ20,"F",$W21:$AJ21)+SUMIF($W20:$AJ20,"V",$W21:$AJ21)-40&lt;0,0,SUMIF($W20:$AJ20,"",$W21:$AJ21)+SUMIF($W20:$AJ20,"F",$W21:$AJ21)+SUMIF($W20:$AJ20,"V",$W21:$AJ21)-($U$9/2))</f>
        <v>3.25</v>
      </c>
      <c r="AO21" s="73">
        <f>SUMIF($G20:$T20,"M",$G21:$T21)+SUMIF($W20:$AJ20,"M",$W21:$AJ21)</f>
        <v>0</v>
      </c>
      <c r="AP21" s="73">
        <f>SUMIF($G20:$T20,"F",$G21:$T21)+SUMIF($W20:$AJ20,"F",$W21:$AJ21)</f>
        <v>0</v>
      </c>
      <c r="AQ21" s="73">
        <f>SUMIF($G20:$T20,"V",$G21:$T21)+SUMIF($W20:$AJ20,"V",$W21:$AJ21)</f>
        <v>0</v>
      </c>
      <c r="AR21" s="74">
        <f>SUMIF($G20:$T20,"O",$G21:$T21)+SUMIF($W20:$AJ20,"O",$W21:$AJ21)</f>
        <v>0</v>
      </c>
      <c r="AS21" s="75">
        <f>SUM(AM21:AR21)</f>
        <v>83.25</v>
      </c>
      <c r="AT21" s="72"/>
      <c r="AU21" s="73">
        <v>0</v>
      </c>
      <c r="AV21" s="72"/>
      <c r="AW21" s="76">
        <v>80</v>
      </c>
      <c r="BA21" s="2">
        <v>2014</v>
      </c>
      <c r="BB21" s="2">
        <v>21</v>
      </c>
      <c r="BC21" s="101">
        <v>41903</v>
      </c>
      <c r="BD21" s="101">
        <v>41916</v>
      </c>
    </row>
    <row r="22" spans="2:56" s="84" customFormat="1" x14ac:dyDescent="0.35">
      <c r="B22" s="26"/>
      <c r="C22" s="90"/>
      <c r="D22" s="91">
        <v>78475</v>
      </c>
      <c r="E22" s="92" t="s">
        <v>57</v>
      </c>
      <c r="F22" s="50">
        <f>B9</f>
        <v>10</v>
      </c>
      <c r="G22" s="59"/>
      <c r="H22" s="64"/>
      <c r="I22" s="106"/>
      <c r="J22" s="105"/>
      <c r="K22" s="106"/>
      <c r="L22" s="105"/>
      <c r="M22" s="106"/>
      <c r="N22" s="105"/>
      <c r="O22" s="106"/>
      <c r="P22" s="105"/>
      <c r="Q22" s="106"/>
      <c r="R22" s="105" t="s">
        <v>1</v>
      </c>
      <c r="S22" s="59"/>
      <c r="T22" s="64"/>
      <c r="U22" s="44"/>
      <c r="W22" s="59"/>
      <c r="X22" s="64"/>
      <c r="Y22" s="106"/>
      <c r="Z22" s="105"/>
      <c r="AA22" s="106"/>
      <c r="AB22" s="105"/>
      <c r="AC22" s="106"/>
      <c r="AD22" s="105"/>
      <c r="AE22" s="106"/>
      <c r="AF22" s="105"/>
      <c r="AG22" s="106"/>
      <c r="AH22" s="105"/>
      <c r="AI22" s="59"/>
      <c r="AJ22" s="64"/>
      <c r="AK22" s="44"/>
      <c r="AM22" s="49"/>
      <c r="AN22" s="49"/>
      <c r="AO22" s="49"/>
      <c r="AP22" s="49"/>
      <c r="AQ22" s="49"/>
      <c r="AR22" s="40"/>
      <c r="AS22" s="51"/>
      <c r="AU22" s="49"/>
      <c r="AW22" s="52"/>
      <c r="BA22" s="2">
        <v>2014</v>
      </c>
      <c r="BB22" s="2">
        <v>22</v>
      </c>
      <c r="BC22" s="101">
        <v>41917</v>
      </c>
      <c r="BD22" s="101">
        <v>41930</v>
      </c>
    </row>
    <row r="23" spans="2:56" s="84" customFormat="1" x14ac:dyDescent="0.35">
      <c r="B23" s="30" t="s">
        <v>59</v>
      </c>
      <c r="C23" s="90"/>
      <c r="D23" s="91"/>
      <c r="E23" s="92">
        <v>93540</v>
      </c>
      <c r="F23" s="50">
        <f>B9</f>
        <v>10</v>
      </c>
      <c r="G23" s="69"/>
      <c r="H23" s="70"/>
      <c r="I23" s="104"/>
      <c r="J23" s="103">
        <v>8.5</v>
      </c>
      <c r="K23" s="104"/>
      <c r="L23" s="103">
        <v>8.5</v>
      </c>
      <c r="M23" s="104"/>
      <c r="N23" s="103">
        <v>8.5</v>
      </c>
      <c r="O23" s="104"/>
      <c r="P23" s="103">
        <v>8.5</v>
      </c>
      <c r="Q23" s="104"/>
      <c r="R23" s="103">
        <v>8</v>
      </c>
      <c r="S23" s="69"/>
      <c r="T23" s="70"/>
      <c r="U23" s="71">
        <f t="shared" ref="U23" si="3">SUM(G23:T23)</f>
        <v>42</v>
      </c>
      <c r="V23" s="72"/>
      <c r="W23" s="69"/>
      <c r="X23" s="70"/>
      <c r="Y23" s="104"/>
      <c r="Z23" s="103">
        <v>8.5</v>
      </c>
      <c r="AA23" s="104"/>
      <c r="AB23" s="103">
        <v>8.5</v>
      </c>
      <c r="AC23" s="104"/>
      <c r="AD23" s="103">
        <v>8.5</v>
      </c>
      <c r="AE23" s="104"/>
      <c r="AF23" s="103">
        <v>8.5</v>
      </c>
      <c r="AG23" s="104"/>
      <c r="AH23" s="103">
        <v>8</v>
      </c>
      <c r="AI23" s="69"/>
      <c r="AJ23" s="70"/>
      <c r="AK23" s="71">
        <f>SUM(W23:AJ23)</f>
        <v>42</v>
      </c>
      <c r="AL23" s="72"/>
      <c r="AM23" s="73">
        <f>SUMIF($G22:$T22,"",$G23:$T23)+SUMIF($W22:$AJ22,"",$W23:$AJ23)-AN23</f>
        <v>72</v>
      </c>
      <c r="AN23" s="88">
        <f>IF(SUMIF($G22:$T22,"",$G23:$T23)+SUMIF($G22:$T22,"F",$G23:$T23)+SUMIF($G22:$T22,"V",$G23:$T23)-40&lt;0,0,SUMIF($G22:$T22,"",$G23:$T23)+SUMIF($G22:$T22,"F",$G23:$T23)+SUMIF($G22:$T22,"V",$G23:$T23)-($U$9/2))+IF(SUMIF($W22:$AJ22,"",$W23:$AJ23)+SUMIF($W22:$AJ22,"F",$W23:$AJ23)+SUMIF($W22:$AJ22,"V",$W23:$AJ23)-40&lt;0,0,SUMIF($W22:$AJ22,"",$W23:$AJ23)+SUMIF($W22:$AJ22,"F",$W23:$AJ23)+SUMIF($W22:$AJ22,"V",$W23:$AJ23)-($U$9/2))</f>
        <v>4</v>
      </c>
      <c r="AO23" s="73">
        <f>SUMIF($G22:$T22,"M",$G23:$T23)+SUMIF($W22:$AJ22,"M",$W23:$AJ23)</f>
        <v>0</v>
      </c>
      <c r="AP23" s="73">
        <f>SUMIF($G22:$T22,"F",$G23:$T23)+SUMIF($W22:$AJ22,"F",$W23:$AJ23)</f>
        <v>0</v>
      </c>
      <c r="AQ23" s="73">
        <f>SUMIF($G22:$T22,"V",$G23:$T23)+SUMIF($W22:$AJ22,"V",$W23:$AJ23)</f>
        <v>8</v>
      </c>
      <c r="AR23" s="74">
        <f>SUMIF($G22:$T22,"O",$G23:$T23)+SUMIF($W22:$AJ22,"O",$W23:$AJ23)</f>
        <v>0</v>
      </c>
      <c r="AS23" s="75">
        <f>SUM(AM23:AR23)</f>
        <v>84</v>
      </c>
      <c r="AT23" s="72"/>
      <c r="AU23" s="73">
        <v>0</v>
      </c>
      <c r="AV23" s="72"/>
      <c r="AW23" s="76">
        <v>80</v>
      </c>
      <c r="BA23" s="2">
        <v>2014</v>
      </c>
      <c r="BB23" s="2">
        <v>23</v>
      </c>
      <c r="BC23" s="101">
        <v>41931</v>
      </c>
      <c r="BD23" s="101">
        <v>41944</v>
      </c>
    </row>
    <row r="24" spans="2:56" x14ac:dyDescent="0.35">
      <c r="B24" s="26"/>
      <c r="C24" s="27"/>
      <c r="D24" s="28">
        <v>24238</v>
      </c>
      <c r="E24" s="29" t="s">
        <v>57</v>
      </c>
      <c r="F24" s="50">
        <f>B9</f>
        <v>10</v>
      </c>
      <c r="G24" s="59"/>
      <c r="H24" s="64"/>
      <c r="I24" s="106"/>
      <c r="J24" s="105"/>
      <c r="K24" s="106"/>
      <c r="L24" s="105"/>
      <c r="M24" s="106"/>
      <c r="N24" s="105"/>
      <c r="O24" s="106"/>
      <c r="P24" s="105"/>
      <c r="Q24" s="106"/>
      <c r="R24" s="105"/>
      <c r="S24" s="59"/>
      <c r="T24" s="64"/>
      <c r="U24" s="44"/>
      <c r="V24" s="84"/>
      <c r="W24" s="59"/>
      <c r="X24" s="64"/>
      <c r="Y24" s="106"/>
      <c r="Z24" s="105"/>
      <c r="AA24" s="106"/>
      <c r="AB24" s="105"/>
      <c r="AC24" s="106"/>
      <c r="AD24" s="105"/>
      <c r="AE24" s="106"/>
      <c r="AF24" s="105"/>
      <c r="AG24" s="106"/>
      <c r="AH24" s="105"/>
      <c r="AI24" s="59"/>
      <c r="AJ24" s="64"/>
      <c r="AK24" s="44"/>
      <c r="AM24" s="49"/>
      <c r="AN24" s="49"/>
      <c r="AO24" s="49"/>
      <c r="AP24" s="49"/>
      <c r="AQ24" s="49"/>
      <c r="AR24" s="40"/>
      <c r="AS24" s="51"/>
      <c r="AU24" s="49"/>
      <c r="AW24" s="52"/>
      <c r="BA24" s="2">
        <v>2014</v>
      </c>
      <c r="BB24" s="2">
        <v>24</v>
      </c>
      <c r="BC24" s="101">
        <v>41945</v>
      </c>
      <c r="BD24" s="101">
        <v>41958</v>
      </c>
    </row>
    <row r="25" spans="2:56" x14ac:dyDescent="0.35">
      <c r="B25" s="30" t="s">
        <v>66</v>
      </c>
      <c r="C25" s="31"/>
      <c r="D25" s="32"/>
      <c r="E25" s="33">
        <v>93595935</v>
      </c>
      <c r="F25" s="50">
        <f>B9</f>
        <v>10</v>
      </c>
      <c r="G25" s="69"/>
      <c r="H25" s="70"/>
      <c r="I25" s="104"/>
      <c r="J25" s="103">
        <v>8</v>
      </c>
      <c r="K25" s="104"/>
      <c r="L25" s="103">
        <v>8</v>
      </c>
      <c r="M25" s="104"/>
      <c r="N25" s="103">
        <v>8</v>
      </c>
      <c r="O25" s="104"/>
      <c r="P25" s="103">
        <v>8</v>
      </c>
      <c r="Q25" s="104"/>
      <c r="R25" s="103">
        <v>8</v>
      </c>
      <c r="S25" s="69"/>
      <c r="T25" s="70"/>
      <c r="U25" s="71">
        <f t="shared" ref="U25" si="4">SUM(G25:T25)</f>
        <v>40</v>
      </c>
      <c r="V25" s="72"/>
      <c r="W25" s="69"/>
      <c r="X25" s="70"/>
      <c r="Y25" s="104"/>
      <c r="Z25" s="103">
        <v>8</v>
      </c>
      <c r="AA25" s="104"/>
      <c r="AB25" s="103">
        <v>8</v>
      </c>
      <c r="AC25" s="104"/>
      <c r="AD25" s="103">
        <v>8</v>
      </c>
      <c r="AE25" s="104"/>
      <c r="AF25" s="103">
        <v>8</v>
      </c>
      <c r="AG25" s="104"/>
      <c r="AH25" s="103">
        <v>8</v>
      </c>
      <c r="AI25" s="69"/>
      <c r="AJ25" s="70"/>
      <c r="AK25" s="71">
        <f>SUM(W25:AJ25)</f>
        <v>40</v>
      </c>
      <c r="AL25" s="72"/>
      <c r="AM25" s="73">
        <f>SUMIF($G24:$T24,"",$G25:$T25)+SUMIF($W24:$AJ24,"",$W25:$AJ25)-AN25</f>
        <v>80</v>
      </c>
      <c r="AN25" s="88">
        <f>IF(SUMIF($G24:$T24,"",$G25:$T25)+SUMIF($G24:$T24,"F",$G25:$T25)+SUMIF($G24:$T24,"V",$G25:$T25)-40&lt;0,0,SUMIF($G24:$T24,"",$G25:$T25)+SUMIF($G24:$T24,"F",$G25:$T25)+SUMIF($G24:$T24,"V",$G25:$T25)-($U$9/2))+IF(SUMIF($W24:$AJ24,"",$W25:$AJ25)+SUMIF($W24:$AJ24,"F",$W25:$AJ25)+SUMIF($W24:$AJ24,"V",$W25:$AJ25)-40&lt;0,0,SUMIF($W24:$AJ24,"",$W25:$AJ25)+SUMIF($W24:$AJ24,"F",$W25:$AJ25)+SUMIF($W24:$AJ24,"V",$W25:$AJ25)-($U$9/2))</f>
        <v>0</v>
      </c>
      <c r="AO25" s="73">
        <f>SUMIF($G24:$T24,"M",$G25:$T25)+SUMIF($W24:$AJ24,"M",$W25:$AJ25)</f>
        <v>0</v>
      </c>
      <c r="AP25" s="73">
        <f>SUMIF($G24:$T24,"F",$G25:$T25)+SUMIF($W24:$AJ24,"F",$W25:$AJ25)</f>
        <v>0</v>
      </c>
      <c r="AQ25" s="73">
        <f>SUMIF($G24:$T24,"V",$G25:$T25)+SUMIF($W24:$AJ24,"V",$W25:$AJ25)</f>
        <v>0</v>
      </c>
      <c r="AR25" s="74">
        <f>SUMIF($G24:$T24,"O",$G25:$T25)+SUMIF($W24:$AJ24,"O",$W25:$AJ25)</f>
        <v>0</v>
      </c>
      <c r="AS25" s="75">
        <f>SUM(AM25:AR25)</f>
        <v>80</v>
      </c>
      <c r="AT25" s="72"/>
      <c r="AU25" s="73">
        <v>0</v>
      </c>
      <c r="AV25" s="72"/>
      <c r="AW25" s="76">
        <v>80</v>
      </c>
      <c r="BA25" s="2">
        <v>2014</v>
      </c>
      <c r="BB25" s="2">
        <v>25</v>
      </c>
      <c r="BC25" s="101">
        <v>41959</v>
      </c>
      <c r="BD25" s="101">
        <v>41972</v>
      </c>
    </row>
    <row r="26" spans="2:56" x14ac:dyDescent="0.35">
      <c r="B26" s="26"/>
      <c r="C26" s="27"/>
      <c r="D26" s="28">
        <v>79709</v>
      </c>
      <c r="E26" s="29" t="s">
        <v>57</v>
      </c>
      <c r="F26" s="50">
        <f>B9</f>
        <v>10</v>
      </c>
      <c r="G26" s="59"/>
      <c r="H26" s="64"/>
      <c r="I26" s="106"/>
      <c r="J26" s="105"/>
      <c r="K26" s="106"/>
      <c r="L26" s="105"/>
      <c r="M26" s="106"/>
      <c r="N26" s="105"/>
      <c r="O26" s="106"/>
      <c r="P26" s="105"/>
      <c r="Q26" s="106"/>
      <c r="R26" s="105"/>
      <c r="S26" s="59"/>
      <c r="T26" s="64"/>
      <c r="U26" s="44"/>
      <c r="V26" s="84"/>
      <c r="W26" s="59"/>
      <c r="X26" s="64"/>
      <c r="Y26" s="106"/>
      <c r="Z26" s="105"/>
      <c r="AA26" s="106"/>
      <c r="AB26" s="105"/>
      <c r="AC26" s="106"/>
      <c r="AD26" s="105"/>
      <c r="AE26" s="106"/>
      <c r="AF26" s="105"/>
      <c r="AG26" s="106"/>
      <c r="AH26" s="105"/>
      <c r="AI26" s="59"/>
      <c r="AJ26" s="64"/>
      <c r="AK26" s="44"/>
      <c r="AM26" s="49"/>
      <c r="AN26" s="49"/>
      <c r="AO26" s="49"/>
      <c r="AP26" s="49"/>
      <c r="AQ26" s="49"/>
      <c r="AR26" s="40"/>
      <c r="AS26" s="51"/>
      <c r="AU26" s="49"/>
      <c r="AW26" s="52"/>
      <c r="BA26" s="2">
        <v>2014</v>
      </c>
      <c r="BB26" s="2">
        <v>26</v>
      </c>
      <c r="BC26" s="101">
        <v>41973</v>
      </c>
      <c r="BD26" s="101">
        <v>41986</v>
      </c>
    </row>
    <row r="27" spans="2:56" x14ac:dyDescent="0.35">
      <c r="B27" s="30" t="s">
        <v>65</v>
      </c>
      <c r="C27" s="31"/>
      <c r="D27" s="32"/>
      <c r="E27" s="33">
        <v>93595935</v>
      </c>
      <c r="F27" s="50">
        <f>B9</f>
        <v>10</v>
      </c>
      <c r="G27" s="69"/>
      <c r="H27" s="70"/>
      <c r="I27" s="104"/>
      <c r="J27" s="103">
        <v>8</v>
      </c>
      <c r="K27" s="104"/>
      <c r="L27" s="103">
        <v>8</v>
      </c>
      <c r="M27" s="104"/>
      <c r="N27" s="103">
        <v>8</v>
      </c>
      <c r="O27" s="104"/>
      <c r="P27" s="103">
        <v>8</v>
      </c>
      <c r="Q27" s="104"/>
      <c r="R27" s="103">
        <v>8</v>
      </c>
      <c r="S27" s="69"/>
      <c r="T27" s="70"/>
      <c r="U27" s="71">
        <f t="shared" ref="U27" si="5">SUM(G27:T27)</f>
        <v>40</v>
      </c>
      <c r="V27" s="72"/>
      <c r="W27" s="69"/>
      <c r="X27" s="70"/>
      <c r="Y27" s="104"/>
      <c r="Z27" s="103">
        <v>8</v>
      </c>
      <c r="AA27" s="104"/>
      <c r="AB27" s="103">
        <v>8</v>
      </c>
      <c r="AC27" s="104"/>
      <c r="AD27" s="103">
        <v>8</v>
      </c>
      <c r="AE27" s="104"/>
      <c r="AF27" s="103">
        <v>8</v>
      </c>
      <c r="AG27" s="104"/>
      <c r="AH27" s="103">
        <v>8</v>
      </c>
      <c r="AI27" s="69"/>
      <c r="AJ27" s="70"/>
      <c r="AK27" s="71">
        <f>SUM(W27:AJ27)</f>
        <v>40</v>
      </c>
      <c r="AL27" s="72"/>
      <c r="AM27" s="73">
        <f>SUMIF($G26:$T26,"",$G27:$T27)+SUMIF($W26:$AJ26,"",$W27:$AJ27)-AN27</f>
        <v>80</v>
      </c>
      <c r="AN27" s="88">
        <f>IF(SUMIF($G26:$T26,"",$G27:$T27)+SUMIF($G26:$T26,"F",$G27:$T27)+SUMIF($G26:$T26,"V",$G27:$T27)-40&lt;0,0,SUMIF($G26:$T26,"",$G27:$T27)+SUMIF($G26:$T26,"F",$G27:$T27)+SUMIF($G26:$T26,"V",$G27:$T27)-($U$9/2))+IF(SUMIF($W26:$AJ26,"",$W27:$AJ27)+SUMIF($W26:$AJ26,"F",$W27:$AJ27)+SUMIF($W26:$AJ26,"V",$W27:$AJ27)-40&lt;0,0,SUMIF($W26:$AJ26,"",$W27:$AJ27)+SUMIF($W26:$AJ26,"F",$W27:$AJ27)+SUMIF($W26:$AJ26,"V",$W27:$AJ27)-($U$9/2))</f>
        <v>0</v>
      </c>
      <c r="AO27" s="73">
        <f>SUMIF($G26:$T26,"M",$G27:$T27)+SUMIF($W26:$AJ26,"M",$W27:$AJ27)</f>
        <v>0</v>
      </c>
      <c r="AP27" s="73">
        <f>SUMIF($G26:$T26,"F",$G27:$T27)+SUMIF($W26:$AJ26,"F",$W27:$AJ27)</f>
        <v>0</v>
      </c>
      <c r="AQ27" s="73">
        <f>SUMIF($G26:$T26,"V",$G27:$T27)+SUMIF($W26:$AJ26,"V",$W27:$AJ27)</f>
        <v>0</v>
      </c>
      <c r="AR27" s="74">
        <f>SUMIF($G26:$T26,"O",$G27:$T27)+SUMIF($W26:$AJ26,"O",$W27:$AJ27)</f>
        <v>0</v>
      </c>
      <c r="AS27" s="75">
        <f>SUM(AM27:AR27)</f>
        <v>80</v>
      </c>
      <c r="AT27" s="72"/>
      <c r="AU27" s="73">
        <v>0</v>
      </c>
      <c r="AV27" s="72"/>
      <c r="AW27" s="76">
        <v>80</v>
      </c>
      <c r="BA27" s="2">
        <v>2014</v>
      </c>
      <c r="BB27" s="2">
        <v>27</v>
      </c>
      <c r="BC27" s="101">
        <v>41987</v>
      </c>
      <c r="BD27" s="101">
        <v>42000</v>
      </c>
    </row>
    <row r="28" spans="2:56" x14ac:dyDescent="0.35">
      <c r="B28" s="26"/>
      <c r="C28" s="27"/>
      <c r="D28" s="28">
        <v>92027</v>
      </c>
      <c r="E28" s="29" t="s">
        <v>57</v>
      </c>
      <c r="F28" s="50">
        <f>B9</f>
        <v>10</v>
      </c>
      <c r="G28" s="59"/>
      <c r="H28" s="64"/>
      <c r="I28" s="106"/>
      <c r="J28" s="105"/>
      <c r="K28" s="106"/>
      <c r="L28" s="105"/>
      <c r="M28" s="106"/>
      <c r="N28" s="105"/>
      <c r="O28" s="106"/>
      <c r="P28" s="105"/>
      <c r="Q28" s="106"/>
      <c r="R28" s="105"/>
      <c r="S28" s="59"/>
      <c r="T28" s="64"/>
      <c r="U28" s="44"/>
      <c r="V28" s="84"/>
      <c r="W28" s="59"/>
      <c r="X28" s="64"/>
      <c r="Y28" s="106"/>
      <c r="Z28" s="105"/>
      <c r="AA28" s="106"/>
      <c r="AB28" s="105"/>
      <c r="AC28" s="106"/>
      <c r="AD28" s="105"/>
      <c r="AE28" s="106"/>
      <c r="AF28" s="105"/>
      <c r="AG28" s="106"/>
      <c r="AH28" s="105"/>
      <c r="AI28" s="59"/>
      <c r="AJ28" s="64"/>
      <c r="AK28" s="44"/>
      <c r="AM28" s="49"/>
      <c r="AN28" s="49"/>
      <c r="AO28" s="49"/>
      <c r="AP28" s="49"/>
      <c r="AQ28" s="49"/>
      <c r="AR28" s="40"/>
      <c r="AS28" s="51"/>
      <c r="AU28" s="49"/>
      <c r="AW28" s="52"/>
      <c r="BA28" s="2">
        <v>2015</v>
      </c>
      <c r="BB28" s="2">
        <v>1</v>
      </c>
      <c r="BC28" s="101">
        <v>42001</v>
      </c>
      <c r="BD28" s="101">
        <v>42014</v>
      </c>
    </row>
    <row r="29" spans="2:56" x14ac:dyDescent="0.35">
      <c r="B29" s="30" t="s">
        <v>60</v>
      </c>
      <c r="C29" s="31"/>
      <c r="D29" s="32"/>
      <c r="E29" s="33">
        <v>93595935</v>
      </c>
      <c r="F29" s="50">
        <f>B9</f>
        <v>10</v>
      </c>
      <c r="G29" s="69"/>
      <c r="H29" s="70"/>
      <c r="I29" s="104"/>
      <c r="J29" s="103">
        <v>8</v>
      </c>
      <c r="K29" s="104"/>
      <c r="L29" s="103">
        <v>8</v>
      </c>
      <c r="M29" s="104"/>
      <c r="N29" s="103">
        <v>8</v>
      </c>
      <c r="O29" s="104"/>
      <c r="P29" s="103">
        <v>8</v>
      </c>
      <c r="Q29" s="104"/>
      <c r="R29" s="103">
        <v>8</v>
      </c>
      <c r="S29" s="69"/>
      <c r="T29" s="70"/>
      <c r="U29" s="71">
        <f t="shared" ref="U29" si="6">SUM(G29:T29)</f>
        <v>40</v>
      </c>
      <c r="V29" s="72"/>
      <c r="W29" s="69"/>
      <c r="X29" s="70"/>
      <c r="Y29" s="104"/>
      <c r="Z29" s="103">
        <v>8</v>
      </c>
      <c r="AA29" s="104"/>
      <c r="AB29" s="103">
        <v>8</v>
      </c>
      <c r="AC29" s="104"/>
      <c r="AD29" s="103">
        <v>8</v>
      </c>
      <c r="AE29" s="104"/>
      <c r="AF29" s="103">
        <v>8</v>
      </c>
      <c r="AG29" s="104"/>
      <c r="AH29" s="103">
        <v>8</v>
      </c>
      <c r="AI29" s="69"/>
      <c r="AJ29" s="70"/>
      <c r="AK29" s="71">
        <f>SUM(W29:AJ29)</f>
        <v>40</v>
      </c>
      <c r="AL29" s="72"/>
      <c r="AM29" s="73">
        <f>SUMIF($G28:$T28,"",$G29:$T29)+SUMIF($W28:$AJ28,"",$W29:$AJ29)-AN29</f>
        <v>80</v>
      </c>
      <c r="AN29" s="88">
        <f>IF(SUMIF($G28:$T28,"",$G29:$T29)+SUMIF($G28:$T28,"F",$G29:$T29)+SUMIF($G28:$T28,"V",$G29:$T29)-40&lt;0,0,SUMIF($G28:$T28,"",$G29:$T29)+SUMIF($G28:$T28,"F",$G29:$T29)+SUMIF($G28:$T28,"V",$G29:$T29)-($U$9/2))+IF(SUMIF($W28:$AJ28,"",$W29:$AJ29)+SUMIF($W28:$AJ28,"F",$W29:$AJ29)+SUMIF($W28:$AJ28,"V",$W29:$AJ29)-40&lt;0,0,SUMIF($W28:$AJ28,"",$W29:$AJ29)+SUMIF($W28:$AJ28,"F",$W29:$AJ29)+SUMIF($W28:$AJ28,"V",$W29:$AJ29)-($U$9/2))</f>
        <v>0</v>
      </c>
      <c r="AO29" s="73">
        <f>SUMIF($G28:$T28,"M",$G29:$T29)+SUMIF($W28:$AJ28,"M",$W29:$AJ29)</f>
        <v>0</v>
      </c>
      <c r="AP29" s="73">
        <f>SUMIF($G28:$T28,"F",$G29:$T29)+SUMIF($W28:$AJ28,"F",$W29:$AJ29)</f>
        <v>0</v>
      </c>
      <c r="AQ29" s="73">
        <f>SUMIF($G28:$T28,"V",$G29:$T29)+SUMIF($W28:$AJ28,"V",$W29:$AJ29)</f>
        <v>0</v>
      </c>
      <c r="AR29" s="74">
        <f>SUMIF($G28:$T28,"O",$G29:$T29)+SUMIF($W28:$AJ28,"O",$W29:$AJ29)</f>
        <v>0</v>
      </c>
      <c r="AS29" s="75">
        <f>SUM(AM29:AR29)</f>
        <v>80</v>
      </c>
      <c r="AT29" s="72"/>
      <c r="AU29" s="73">
        <v>0</v>
      </c>
      <c r="AV29" s="72"/>
      <c r="AW29" s="76">
        <v>80</v>
      </c>
      <c r="BA29" s="2">
        <v>2015</v>
      </c>
      <c r="BB29" s="2">
        <v>2</v>
      </c>
      <c r="BC29" s="101">
        <v>42015</v>
      </c>
      <c r="BD29" s="101">
        <v>42028</v>
      </c>
    </row>
    <row r="30" spans="2:56" s="84" customFormat="1" x14ac:dyDescent="0.35">
      <c r="B30" s="26"/>
      <c r="C30" s="27"/>
      <c r="D30" s="28">
        <v>73795</v>
      </c>
      <c r="E30" s="29" t="s">
        <v>57</v>
      </c>
      <c r="F30" s="50">
        <f>B9</f>
        <v>10</v>
      </c>
      <c r="G30" s="59"/>
      <c r="H30" s="64"/>
      <c r="I30" s="106"/>
      <c r="J30" s="105"/>
      <c r="K30" s="106"/>
      <c r="L30" s="105"/>
      <c r="M30" s="106"/>
      <c r="N30" s="105"/>
      <c r="O30" s="106"/>
      <c r="P30" s="105"/>
      <c r="Q30" s="106"/>
      <c r="R30" s="105"/>
      <c r="S30" s="59"/>
      <c r="T30" s="64"/>
      <c r="U30" s="44"/>
      <c r="W30" s="59"/>
      <c r="X30" s="64"/>
      <c r="Y30" s="106"/>
      <c r="Z30" s="105"/>
      <c r="AA30" s="106"/>
      <c r="AB30" s="105"/>
      <c r="AC30" s="106"/>
      <c r="AD30" s="105"/>
      <c r="AE30" s="106"/>
      <c r="AF30" s="105"/>
      <c r="AG30" s="106"/>
      <c r="AH30" s="105"/>
      <c r="AI30" s="59"/>
      <c r="AJ30" s="64"/>
      <c r="AK30" s="44"/>
      <c r="AM30" s="49"/>
      <c r="AN30" s="49"/>
      <c r="AO30" s="49"/>
      <c r="AP30" s="49"/>
      <c r="AQ30" s="49"/>
      <c r="AR30" s="40"/>
      <c r="AS30" s="51"/>
      <c r="AU30" s="49"/>
      <c r="AW30" s="52"/>
      <c r="BA30" s="2">
        <v>2015</v>
      </c>
      <c r="BB30" s="2">
        <v>3</v>
      </c>
      <c r="BC30" s="101">
        <v>42029</v>
      </c>
      <c r="BD30" s="101">
        <v>42042</v>
      </c>
    </row>
    <row r="31" spans="2:56" s="84" customFormat="1" x14ac:dyDescent="0.35">
      <c r="B31" s="30" t="s">
        <v>67</v>
      </c>
      <c r="C31" s="31"/>
      <c r="D31" s="32"/>
      <c r="E31" s="33">
        <v>93540</v>
      </c>
      <c r="F31" s="50">
        <f>B9</f>
        <v>10</v>
      </c>
      <c r="G31" s="69"/>
      <c r="H31" s="70"/>
      <c r="I31" s="104"/>
      <c r="J31" s="103">
        <v>8</v>
      </c>
      <c r="K31" s="104"/>
      <c r="L31" s="103">
        <v>8</v>
      </c>
      <c r="M31" s="104"/>
      <c r="N31" s="103">
        <v>8</v>
      </c>
      <c r="O31" s="104"/>
      <c r="P31" s="103">
        <v>8</v>
      </c>
      <c r="Q31" s="104"/>
      <c r="R31" s="103">
        <v>7.5</v>
      </c>
      <c r="S31" s="69"/>
      <c r="T31" s="70"/>
      <c r="U31" s="71">
        <f t="shared" ref="U31" si="7">SUM(G31:T31)</f>
        <v>39.5</v>
      </c>
      <c r="V31" s="72"/>
      <c r="W31" s="69"/>
      <c r="X31" s="70"/>
      <c r="Y31" s="104"/>
      <c r="Z31" s="103">
        <v>8</v>
      </c>
      <c r="AA31" s="104"/>
      <c r="AB31" s="103">
        <v>8</v>
      </c>
      <c r="AC31" s="104"/>
      <c r="AD31" s="103">
        <v>8</v>
      </c>
      <c r="AE31" s="104"/>
      <c r="AF31" s="103">
        <v>8</v>
      </c>
      <c r="AG31" s="104"/>
      <c r="AH31" s="103">
        <v>7.5</v>
      </c>
      <c r="AI31" s="69"/>
      <c r="AJ31" s="70"/>
      <c r="AK31" s="71">
        <f>SUM(W31:AJ31)</f>
        <v>39.5</v>
      </c>
      <c r="AL31" s="72"/>
      <c r="AM31" s="73">
        <f>SUMIF($G30:$T30,"",$G31:$T31)+SUMIF($W30:$AJ30,"",$W31:$AJ31)-AN31</f>
        <v>79</v>
      </c>
      <c r="AN31" s="88">
        <f>IF(SUMIF($G30:$T30,"",$G31:$T31)+SUMIF($G30:$T30,"F",$G31:$T31)+SUMIF($G30:$T30,"V",$G31:$T31)-40&lt;0,0,SUMIF($G30:$T30,"",$G31:$T31)+SUMIF($G30:$T30,"F",$G31:$T31)+SUMIF($G30:$T30,"V",$G31:$T31)-($U$9/2))+IF(SUMIF($W30:$AJ30,"",$W31:$AJ31)+SUMIF($W30:$AJ30,"F",$W31:$AJ31)+SUMIF($W30:$AJ30,"V",$W31:$AJ31)-40&lt;0,0,SUMIF($W30:$AJ30,"",$W31:$AJ31)+SUMIF($W30:$AJ30,"F",$W31:$AJ31)+SUMIF($W30:$AJ30,"V",$W31:$AJ31)-($U$9/2))</f>
        <v>0</v>
      </c>
      <c r="AO31" s="73">
        <f>SUMIF($G30:$T30,"M",$G31:$T31)+SUMIF($W30:$AJ30,"M",$W31:$AJ31)</f>
        <v>0</v>
      </c>
      <c r="AP31" s="73">
        <f>SUMIF($G30:$T30,"F",$G31:$T31)+SUMIF($W30:$AJ30,"F",$W31:$AJ31)</f>
        <v>0</v>
      </c>
      <c r="AQ31" s="73">
        <f>SUMIF($G30:$T30,"V",$G31:$T31)+SUMIF($W30:$AJ30,"V",$W31:$AJ31)</f>
        <v>0</v>
      </c>
      <c r="AR31" s="74">
        <f>SUMIF($G30:$T30,"O",$G31:$T31)+SUMIF($W30:$AJ30,"O",$W31:$AJ31)</f>
        <v>0</v>
      </c>
      <c r="AS31" s="75">
        <f>SUM(AM31:AR31)</f>
        <v>79</v>
      </c>
      <c r="AT31" s="72"/>
      <c r="AU31" s="73">
        <v>0</v>
      </c>
      <c r="AV31" s="72"/>
      <c r="AW31" s="76">
        <v>80</v>
      </c>
      <c r="BA31" s="2">
        <v>2015</v>
      </c>
      <c r="BB31" s="2">
        <v>4</v>
      </c>
      <c r="BC31" s="101">
        <v>42043</v>
      </c>
      <c r="BD31" s="101">
        <v>42056</v>
      </c>
    </row>
    <row r="32" spans="2:56" x14ac:dyDescent="0.35">
      <c r="B32" s="26"/>
      <c r="C32" s="90"/>
      <c r="D32" s="91">
        <v>23206</v>
      </c>
      <c r="E32" s="92" t="s">
        <v>57</v>
      </c>
      <c r="F32" s="50">
        <f>B9</f>
        <v>10</v>
      </c>
      <c r="G32" s="59"/>
      <c r="H32" s="64"/>
      <c r="I32" s="106"/>
      <c r="J32" s="105"/>
      <c r="K32" s="106"/>
      <c r="L32" s="105"/>
      <c r="M32" s="106"/>
      <c r="N32" s="105"/>
      <c r="O32" s="106"/>
      <c r="P32" s="105"/>
      <c r="Q32" s="106"/>
      <c r="R32" s="105"/>
      <c r="S32" s="59"/>
      <c r="T32" s="64"/>
      <c r="U32" s="44"/>
      <c r="V32" s="84"/>
      <c r="W32" s="59"/>
      <c r="X32" s="64"/>
      <c r="Y32" s="106"/>
      <c r="Z32" s="105"/>
      <c r="AA32" s="106"/>
      <c r="AB32" s="105"/>
      <c r="AC32" s="106"/>
      <c r="AD32" s="105"/>
      <c r="AE32" s="106"/>
      <c r="AF32" s="105"/>
      <c r="AG32" s="106"/>
      <c r="AH32" s="105" t="s">
        <v>2</v>
      </c>
      <c r="AI32" s="59"/>
      <c r="AJ32" s="64"/>
      <c r="AK32" s="44"/>
      <c r="AM32" s="49"/>
      <c r="AN32" s="49"/>
      <c r="AO32" s="49"/>
      <c r="AP32" s="49"/>
      <c r="AQ32" s="49"/>
      <c r="AR32" s="40"/>
      <c r="AS32" s="51"/>
      <c r="AU32" s="49"/>
      <c r="AW32" s="52"/>
      <c r="BA32" s="2">
        <v>2015</v>
      </c>
      <c r="BB32" s="2">
        <v>5</v>
      </c>
      <c r="BC32" s="101">
        <v>42057</v>
      </c>
      <c r="BD32" s="101">
        <v>42070</v>
      </c>
    </row>
    <row r="33" spans="2:56" x14ac:dyDescent="0.35">
      <c r="B33" s="30" t="s">
        <v>58</v>
      </c>
      <c r="C33" s="90"/>
      <c r="D33" s="91"/>
      <c r="E33" s="92">
        <v>93545</v>
      </c>
      <c r="F33" s="50">
        <f>B9</f>
        <v>10</v>
      </c>
      <c r="G33" s="69"/>
      <c r="H33" s="70"/>
      <c r="I33" s="104"/>
      <c r="J33" s="103">
        <v>8</v>
      </c>
      <c r="K33" s="104"/>
      <c r="L33" s="103">
        <v>8</v>
      </c>
      <c r="M33" s="104"/>
      <c r="N33" s="103">
        <v>8</v>
      </c>
      <c r="O33" s="104"/>
      <c r="P33" s="103">
        <v>8</v>
      </c>
      <c r="Q33" s="104"/>
      <c r="R33" s="103">
        <v>6.25</v>
      </c>
      <c r="S33" s="69"/>
      <c r="T33" s="70"/>
      <c r="U33" s="71">
        <f t="shared" ref="U33" si="8">SUM(G33:T33)</f>
        <v>38.25</v>
      </c>
      <c r="V33" s="72"/>
      <c r="W33" s="69"/>
      <c r="X33" s="70"/>
      <c r="Y33" s="104"/>
      <c r="Z33" s="103">
        <v>8</v>
      </c>
      <c r="AA33" s="104"/>
      <c r="AB33" s="103">
        <v>8</v>
      </c>
      <c r="AC33" s="104"/>
      <c r="AD33" s="103">
        <v>8</v>
      </c>
      <c r="AE33" s="104"/>
      <c r="AF33" s="103">
        <v>8</v>
      </c>
      <c r="AG33" s="104"/>
      <c r="AH33" s="103">
        <v>0</v>
      </c>
      <c r="AI33" s="69"/>
      <c r="AJ33" s="70"/>
      <c r="AK33" s="71">
        <f>SUM(W33:AJ33)</f>
        <v>32</v>
      </c>
      <c r="AL33" s="72"/>
      <c r="AM33" s="73">
        <f>SUMIF($G32:$T32,"",$G33:$T33)+SUMIF($W32:$AJ32,"",$W33:$AJ33)-AN33</f>
        <v>70.25</v>
      </c>
      <c r="AN33" s="88">
        <f>IF(SUMIF($G32:$T32,"",$G33:$T33)+SUMIF($G32:$T32,"F",$G33:$T33)+SUMIF($G32:$T32,"V",$G33:$T33)-40&lt;0,0,SUMIF($G32:$T32,"",$G33:$T33)+SUMIF($G32:$T32,"F",$G33:$T33)+SUMIF($G32:$T32,"V",$G33:$T33)-($U$9/2))+IF(SUMIF($W32:$AJ32,"",$W33:$AJ33)+SUMIF($W32:$AJ32,"F",$W33:$AJ33)+SUMIF($W32:$AJ32,"V",$W33:$AJ33)-40&lt;0,0,SUMIF($W32:$AJ32,"",$W33:$AJ33)+SUMIF($W32:$AJ32,"F",$W33:$AJ33)+SUMIF($W32:$AJ32,"V",$W33:$AJ33)-($U$9/2))</f>
        <v>0</v>
      </c>
      <c r="AO33" s="73">
        <f>SUMIF($G32:$T32,"M",$G33:$T33)+SUMIF($W32:$AJ32,"M",$W33:$AJ33)</f>
        <v>0</v>
      </c>
      <c r="AP33" s="73">
        <f>SUMIF($G32:$T32,"F",$G33:$T33)+SUMIF($W32:$AJ32,"F",$W33:$AJ33)</f>
        <v>0</v>
      </c>
      <c r="AQ33" s="73">
        <f>SUMIF($G32:$T32,"V",$G33:$T33)+SUMIF($W32:$AJ32,"V",$W33:$AJ33)</f>
        <v>0</v>
      </c>
      <c r="AR33" s="74">
        <f>SUMIF($G32:$T32,"O",$G33:$T33)+SUMIF($W32:$AJ32,"O",$W33:$AJ33)</f>
        <v>0</v>
      </c>
      <c r="AS33" s="75">
        <f>SUM(AM33:AR33)</f>
        <v>70.25</v>
      </c>
      <c r="AT33" s="72"/>
      <c r="AU33" s="73">
        <v>0</v>
      </c>
      <c r="AV33" s="72"/>
      <c r="AW33" s="76">
        <v>80</v>
      </c>
      <c r="BA33" s="2">
        <v>2015</v>
      </c>
      <c r="BB33" s="2">
        <v>6</v>
      </c>
      <c r="BC33" s="101">
        <v>42071</v>
      </c>
      <c r="BD33" s="101">
        <v>42084</v>
      </c>
    </row>
    <row r="34" spans="2:56" x14ac:dyDescent="0.35">
      <c r="B34" s="26"/>
      <c r="C34" s="27"/>
      <c r="D34" s="28">
        <v>33664</v>
      </c>
      <c r="E34" s="29" t="s">
        <v>57</v>
      </c>
      <c r="F34" s="50">
        <f>B9</f>
        <v>10</v>
      </c>
      <c r="G34" s="59"/>
      <c r="H34" s="64"/>
      <c r="I34" s="106"/>
      <c r="J34" s="105"/>
      <c r="K34" s="106"/>
      <c r="L34" s="105"/>
      <c r="M34" s="106"/>
      <c r="N34" s="105"/>
      <c r="O34" s="106"/>
      <c r="P34" s="105"/>
      <c r="Q34" s="106"/>
      <c r="R34" s="105"/>
      <c r="S34" s="59"/>
      <c r="T34" s="64"/>
      <c r="U34" s="44"/>
      <c r="V34" s="84"/>
      <c r="W34" s="59"/>
      <c r="X34" s="64"/>
      <c r="Y34" s="106"/>
      <c r="Z34" s="105"/>
      <c r="AA34" s="106"/>
      <c r="AB34" s="105"/>
      <c r="AC34" s="106"/>
      <c r="AD34" s="105"/>
      <c r="AE34" s="106"/>
      <c r="AF34" s="105"/>
      <c r="AG34" s="106"/>
      <c r="AH34" s="105"/>
      <c r="AI34" s="59"/>
      <c r="AJ34" s="64"/>
      <c r="AK34" s="44"/>
      <c r="AM34" s="49"/>
      <c r="AN34" s="49"/>
      <c r="AO34" s="49"/>
      <c r="AP34" s="49"/>
      <c r="AQ34" s="49"/>
      <c r="AR34" s="40"/>
      <c r="AS34" s="51"/>
      <c r="AU34" s="49"/>
      <c r="AW34" s="52"/>
      <c r="BA34" s="2">
        <v>2015</v>
      </c>
      <c r="BB34" s="2">
        <v>7</v>
      </c>
      <c r="BC34" s="101">
        <v>42085</v>
      </c>
      <c r="BD34" s="101">
        <v>42098</v>
      </c>
    </row>
    <row r="35" spans="2:56" x14ac:dyDescent="0.35">
      <c r="B35" s="30" t="s">
        <v>70</v>
      </c>
      <c r="C35" s="31"/>
      <c r="D35" s="32"/>
      <c r="E35" s="33">
        <v>93542</v>
      </c>
      <c r="F35" s="50">
        <f>B9</f>
        <v>10</v>
      </c>
      <c r="G35" s="69"/>
      <c r="H35" s="70"/>
      <c r="I35" s="104"/>
      <c r="J35" s="103">
        <v>8.5</v>
      </c>
      <c r="K35" s="104"/>
      <c r="L35" s="103">
        <v>8.25</v>
      </c>
      <c r="M35" s="104"/>
      <c r="N35" s="103">
        <v>8</v>
      </c>
      <c r="O35" s="104"/>
      <c r="P35" s="103">
        <v>8</v>
      </c>
      <c r="Q35" s="104"/>
      <c r="R35" s="103">
        <v>8</v>
      </c>
      <c r="S35" s="69"/>
      <c r="T35" s="70"/>
      <c r="U35" s="71">
        <f t="shared" ref="U35" si="9">SUM(G35:T35)</f>
        <v>40.75</v>
      </c>
      <c r="V35" s="72"/>
      <c r="W35" s="69"/>
      <c r="X35" s="70"/>
      <c r="Y35" s="104"/>
      <c r="Z35" s="103">
        <v>8</v>
      </c>
      <c r="AA35" s="104"/>
      <c r="AB35" s="103">
        <v>8.5</v>
      </c>
      <c r="AC35" s="104"/>
      <c r="AD35" s="103">
        <v>8</v>
      </c>
      <c r="AE35" s="104"/>
      <c r="AF35" s="103">
        <v>8</v>
      </c>
      <c r="AG35" s="104"/>
      <c r="AH35" s="103">
        <v>8</v>
      </c>
      <c r="AI35" s="69"/>
      <c r="AJ35" s="70"/>
      <c r="AK35" s="71">
        <f>SUM(W35:AJ35)</f>
        <v>40.5</v>
      </c>
      <c r="AL35" s="72"/>
      <c r="AM35" s="73">
        <f>SUMIF($G34:$T34,"",$G35:$T35)+SUMIF($W34:$AJ34,"",$W35:$AJ35)-AN35</f>
        <v>80</v>
      </c>
      <c r="AN35" s="88">
        <f>IF(SUMIF($G34:$T34,"",$G35:$T35)+SUMIF($G34:$T34,"F",$G35:$T35)+SUMIF($G34:$T34,"V",$G35:$T35)-40&lt;0,0,SUMIF($G34:$T34,"",$G35:$T35)+SUMIF($G34:$T34,"F",$G35:$T35)+SUMIF($G34:$T34,"V",$G35:$T35)-($U$9/2))+IF(SUMIF($W34:$AJ34,"",$W35:$AJ35)+SUMIF($W34:$AJ34,"F",$W35:$AJ35)+SUMIF($W34:$AJ34,"V",$W35:$AJ35)-40&lt;0,0,SUMIF($W34:$AJ34,"",$W35:$AJ35)+SUMIF($W34:$AJ34,"F",$W35:$AJ35)+SUMIF($W34:$AJ34,"V",$W35:$AJ35)-($U$9/2))</f>
        <v>1.25</v>
      </c>
      <c r="AO35" s="73">
        <f>SUMIF($G34:$T34,"M",$G35:$T35)+SUMIF($W34:$AJ34,"M",$W35:$AJ35)</f>
        <v>0</v>
      </c>
      <c r="AP35" s="73">
        <f>SUMIF($G34:$T34,"F",$G35:$T35)+SUMIF($W34:$AJ34,"F",$W35:$AJ35)</f>
        <v>0</v>
      </c>
      <c r="AQ35" s="73">
        <f>SUMIF($G34:$T34,"V",$G35:$T35)+SUMIF($W34:$AJ34,"V",$W35:$AJ35)</f>
        <v>0</v>
      </c>
      <c r="AR35" s="74">
        <f>SUMIF($G34:$T34,"O",$G35:$T35)+SUMIF($W34:$AJ34,"O",$W35:$AJ35)</f>
        <v>0</v>
      </c>
      <c r="AS35" s="75">
        <f>SUM(AM35:AR35)</f>
        <v>81.25</v>
      </c>
      <c r="AT35" s="72"/>
      <c r="AU35" s="73">
        <v>0</v>
      </c>
      <c r="AV35" s="72"/>
      <c r="AW35" s="76">
        <v>80</v>
      </c>
      <c r="BA35" s="2">
        <v>2015</v>
      </c>
      <c r="BB35" s="2">
        <v>8</v>
      </c>
      <c r="BC35" s="101">
        <v>42099</v>
      </c>
      <c r="BD35" s="101">
        <v>42112</v>
      </c>
    </row>
    <row r="36" spans="2:56" x14ac:dyDescent="0.35">
      <c r="B36" s="26"/>
      <c r="C36" s="27"/>
      <c r="D36" s="28">
        <v>14206</v>
      </c>
      <c r="E36" s="29" t="s">
        <v>57</v>
      </c>
      <c r="F36" s="50">
        <f>B9</f>
        <v>10</v>
      </c>
      <c r="G36" s="59"/>
      <c r="H36" s="64"/>
      <c r="I36" s="106"/>
      <c r="J36" s="105"/>
      <c r="K36" s="106"/>
      <c r="L36" s="105"/>
      <c r="M36" s="106"/>
      <c r="N36" s="105"/>
      <c r="O36" s="106"/>
      <c r="P36" s="105"/>
      <c r="Q36" s="106"/>
      <c r="R36" s="105" t="s">
        <v>1</v>
      </c>
      <c r="S36" s="59"/>
      <c r="T36" s="64"/>
      <c r="U36" s="44"/>
      <c r="V36" s="84"/>
      <c r="W36" s="59"/>
      <c r="X36" s="64"/>
      <c r="Y36" s="106"/>
      <c r="Z36" s="105"/>
      <c r="AA36" s="106"/>
      <c r="AB36" s="105"/>
      <c r="AC36" s="106"/>
      <c r="AD36" s="105"/>
      <c r="AE36" s="106"/>
      <c r="AF36" s="105"/>
      <c r="AG36" s="106"/>
      <c r="AH36" s="105"/>
      <c r="AI36" s="59"/>
      <c r="AJ36" s="64"/>
      <c r="AK36" s="44"/>
      <c r="AM36" s="49"/>
      <c r="AN36" s="49"/>
      <c r="AO36" s="49"/>
      <c r="AP36" s="49"/>
      <c r="AQ36" s="49"/>
      <c r="AR36" s="40"/>
      <c r="AS36" s="51"/>
      <c r="AU36" s="49"/>
      <c r="AW36" s="52"/>
      <c r="BA36" s="2">
        <v>2015</v>
      </c>
      <c r="BB36" s="2">
        <v>9</v>
      </c>
      <c r="BC36" s="101">
        <v>42113</v>
      </c>
      <c r="BD36" s="101">
        <v>42126</v>
      </c>
    </row>
    <row r="37" spans="2:56" x14ac:dyDescent="0.35">
      <c r="B37" s="30" t="s">
        <v>49</v>
      </c>
      <c r="C37" s="31"/>
      <c r="D37" s="32"/>
      <c r="E37" s="33">
        <v>93545</v>
      </c>
      <c r="F37" s="50">
        <f>B9</f>
        <v>10</v>
      </c>
      <c r="G37" s="69"/>
      <c r="H37" s="70"/>
      <c r="I37" s="104"/>
      <c r="J37" s="103">
        <v>8</v>
      </c>
      <c r="K37" s="104"/>
      <c r="L37" s="103">
        <v>8</v>
      </c>
      <c r="M37" s="104"/>
      <c r="N37" s="103">
        <v>8</v>
      </c>
      <c r="O37" s="104"/>
      <c r="P37" s="103">
        <v>8</v>
      </c>
      <c r="Q37" s="104"/>
      <c r="R37" s="103">
        <v>8</v>
      </c>
      <c r="S37" s="69"/>
      <c r="T37" s="70"/>
      <c r="U37" s="71">
        <f t="shared" ref="U37" si="10">SUM(G37:T37)</f>
        <v>40</v>
      </c>
      <c r="V37" s="72"/>
      <c r="W37" s="69"/>
      <c r="X37" s="70"/>
      <c r="Y37" s="104"/>
      <c r="Z37" s="103">
        <v>8</v>
      </c>
      <c r="AA37" s="104"/>
      <c r="AB37" s="103">
        <v>8</v>
      </c>
      <c r="AC37" s="104"/>
      <c r="AD37" s="103">
        <v>8</v>
      </c>
      <c r="AE37" s="104"/>
      <c r="AF37" s="103">
        <v>8</v>
      </c>
      <c r="AG37" s="104"/>
      <c r="AH37" s="103">
        <v>8</v>
      </c>
      <c r="AI37" s="69"/>
      <c r="AJ37" s="70"/>
      <c r="AK37" s="71">
        <f>SUM(W37:AJ37)</f>
        <v>40</v>
      </c>
      <c r="AL37" s="72"/>
      <c r="AM37" s="73">
        <f>SUMIF($G36:$T36,"",$G37:$T37)+SUMIF($W36:$AJ36,"",$W37:$AJ37)-AN37</f>
        <v>72</v>
      </c>
      <c r="AN37" s="88">
        <f>IF(SUMIF($G36:$T36,"",$G37:$T37)+SUMIF($G36:$T36,"F",$G37:$T37)+SUMIF($G36:$T36,"V",$G37:$T37)-40&lt;0,0,SUMIF($G36:$T36,"",$G37:$T37)+SUMIF($G36:$T36,"F",$G37:$T37)+SUMIF($G36:$T36,"V",$G37:$T37)-($U$9/2))+IF(SUMIF($W36:$AJ36,"",$W37:$AJ37)+SUMIF($W36:$AJ36,"F",$W37:$AJ37)+SUMIF($W36:$AJ36,"V",$W37:$AJ37)-40&lt;0,0,SUMIF($W36:$AJ36,"",$W37:$AJ37)+SUMIF($W36:$AJ36,"F",$W37:$AJ37)+SUMIF($W36:$AJ36,"V",$W37:$AJ37)-($U$9/2))</f>
        <v>0</v>
      </c>
      <c r="AO37" s="73">
        <f>SUMIF($G36:$T36,"M",$G37:$T37)+SUMIF($W36:$AJ36,"M",$W37:$AJ37)</f>
        <v>0</v>
      </c>
      <c r="AP37" s="73">
        <f>SUMIF($G36:$T36,"F",$G37:$T37)+SUMIF($W36:$AJ36,"F",$W37:$AJ37)</f>
        <v>0</v>
      </c>
      <c r="AQ37" s="73">
        <f>SUMIF($G36:$T36,"V",$G37:$T37)+SUMIF($W36:$AJ36,"V",$W37:$AJ37)</f>
        <v>8</v>
      </c>
      <c r="AR37" s="74">
        <f>SUMIF($G36:$T36,"O",$G37:$T37)+SUMIF($W36:$AJ36,"O",$W37:$AJ37)</f>
        <v>0</v>
      </c>
      <c r="AS37" s="75">
        <f>SUM(AM37:AR37)</f>
        <v>80</v>
      </c>
      <c r="AT37" s="72"/>
      <c r="AU37" s="73">
        <v>0</v>
      </c>
      <c r="AV37" s="72"/>
      <c r="AW37" s="76">
        <v>80</v>
      </c>
      <c r="BA37" s="2">
        <v>2015</v>
      </c>
      <c r="BB37" s="2">
        <v>10</v>
      </c>
      <c r="BC37" s="101">
        <v>42127</v>
      </c>
      <c r="BD37" s="101">
        <v>42140</v>
      </c>
    </row>
    <row r="38" spans="2:56" x14ac:dyDescent="0.35">
      <c r="B38" s="26"/>
      <c r="C38" s="27"/>
      <c r="D38" s="28">
        <v>92257</v>
      </c>
      <c r="E38" s="29" t="s">
        <v>57</v>
      </c>
      <c r="F38" s="50">
        <f>B9</f>
        <v>10</v>
      </c>
      <c r="G38" s="59"/>
      <c r="H38" s="64"/>
      <c r="I38" s="106"/>
      <c r="J38" s="105" t="s">
        <v>1</v>
      </c>
      <c r="K38" s="106"/>
      <c r="L38" s="105" t="s">
        <v>1</v>
      </c>
      <c r="M38" s="106"/>
      <c r="N38" s="105" t="s">
        <v>1</v>
      </c>
      <c r="O38" s="106"/>
      <c r="P38" s="105" t="s">
        <v>1</v>
      </c>
      <c r="Q38" s="106"/>
      <c r="R38" s="105" t="s">
        <v>1</v>
      </c>
      <c r="S38" s="59"/>
      <c r="T38" s="64"/>
      <c r="U38" s="44"/>
      <c r="V38" s="84"/>
      <c r="W38" s="59"/>
      <c r="X38" s="64"/>
      <c r="Y38" s="106"/>
      <c r="Z38" s="105"/>
      <c r="AA38" s="106"/>
      <c r="AB38" s="105"/>
      <c r="AC38" s="106"/>
      <c r="AD38" s="105"/>
      <c r="AE38" s="106"/>
      <c r="AF38" s="105"/>
      <c r="AG38" s="106"/>
      <c r="AH38" s="105"/>
      <c r="AI38" s="59"/>
      <c r="AJ38" s="64"/>
      <c r="AK38" s="44"/>
      <c r="AM38" s="49"/>
      <c r="AN38" s="49"/>
      <c r="AO38" s="49"/>
      <c r="AP38" s="49"/>
      <c r="AQ38" s="49"/>
      <c r="AR38" s="40"/>
      <c r="AS38" s="51"/>
      <c r="AU38" s="49"/>
      <c r="AW38" s="52"/>
      <c r="BA38" s="2">
        <v>2015</v>
      </c>
      <c r="BB38" s="2">
        <v>11</v>
      </c>
      <c r="BC38" s="101">
        <v>42141</v>
      </c>
      <c r="BD38" s="101">
        <v>42154</v>
      </c>
    </row>
    <row r="39" spans="2:56" x14ac:dyDescent="0.35">
      <c r="B39" s="30" t="s">
        <v>47</v>
      </c>
      <c r="C39" s="31"/>
      <c r="D39" s="32"/>
      <c r="E39" s="33">
        <v>93513</v>
      </c>
      <c r="F39" s="50">
        <f>B9</f>
        <v>10</v>
      </c>
      <c r="G39" s="69"/>
      <c r="H39" s="70"/>
      <c r="I39" s="104"/>
      <c r="J39" s="103">
        <v>8</v>
      </c>
      <c r="K39" s="104"/>
      <c r="L39" s="103">
        <v>8</v>
      </c>
      <c r="M39" s="104"/>
      <c r="N39" s="103">
        <v>8</v>
      </c>
      <c r="O39" s="104"/>
      <c r="P39" s="103">
        <v>8</v>
      </c>
      <c r="Q39" s="104"/>
      <c r="R39" s="103">
        <v>8</v>
      </c>
      <c r="S39" s="69"/>
      <c r="T39" s="70"/>
      <c r="U39" s="71">
        <f t="shared" ref="U39" si="11">SUM(G39:T39)</f>
        <v>40</v>
      </c>
      <c r="V39" s="72"/>
      <c r="W39" s="69"/>
      <c r="X39" s="70"/>
      <c r="Y39" s="104"/>
      <c r="Z39" s="103">
        <v>8</v>
      </c>
      <c r="AA39" s="104"/>
      <c r="AB39" s="103">
        <v>8</v>
      </c>
      <c r="AC39" s="104"/>
      <c r="AD39" s="103">
        <v>8</v>
      </c>
      <c r="AE39" s="104"/>
      <c r="AF39" s="103">
        <v>8</v>
      </c>
      <c r="AG39" s="104"/>
      <c r="AH39" s="103">
        <v>8</v>
      </c>
      <c r="AI39" s="69"/>
      <c r="AJ39" s="70"/>
      <c r="AK39" s="71">
        <f>SUM(W39:AJ39)</f>
        <v>40</v>
      </c>
      <c r="AL39" s="72"/>
      <c r="AM39" s="73">
        <f>SUMIF($G38:$T38,"",$G39:$T39)+SUMIF($W38:$AJ38,"",$W39:$AJ39)-AN39</f>
        <v>40</v>
      </c>
      <c r="AN39" s="88">
        <f>IF(SUMIF($G38:$T38,"",$G39:$T39)+SUMIF($G38:$T38,"F",$G39:$T39)+SUMIF($G38:$T38,"V",$G39:$T39)-40&lt;0,0,SUMIF($G38:$T38,"",$G39:$T39)+SUMIF($G38:$T38,"F",$G39:$T39)+SUMIF($G38:$T38,"V",$G39:$T39)-($U$9/2))+IF(SUMIF($W38:$AJ38,"",$W39:$AJ39)+SUMIF($W38:$AJ38,"F",$W39:$AJ39)+SUMIF($W38:$AJ38,"V",$W39:$AJ39)-40&lt;0,0,SUMIF($W38:$AJ38,"",$W39:$AJ39)+SUMIF($W38:$AJ38,"F",$W39:$AJ39)+SUMIF($W38:$AJ38,"V",$W39:$AJ39)-($U$9/2))</f>
        <v>0</v>
      </c>
      <c r="AO39" s="73">
        <f>SUMIF($G38:$T38,"M",$G39:$T39)+SUMIF($W38:$AJ38,"M",$W39:$AJ39)</f>
        <v>0</v>
      </c>
      <c r="AP39" s="73">
        <f>SUMIF($G38:$T38,"F",$G39:$T39)+SUMIF($W38:$AJ38,"F",$W39:$AJ39)</f>
        <v>0</v>
      </c>
      <c r="AQ39" s="73">
        <f>SUMIF($G38:$T38,"V",$G39:$T39)+SUMIF($W38:$AJ38,"V",$W39:$AJ39)</f>
        <v>40</v>
      </c>
      <c r="AR39" s="74">
        <f>SUMIF($G38:$T38,"O",$G39:$T39)+SUMIF($W38:$AJ38,"O",$W39:$AJ39)</f>
        <v>0</v>
      </c>
      <c r="AS39" s="75">
        <f>SUM(AM39:AR39)</f>
        <v>80</v>
      </c>
      <c r="AT39" s="72"/>
      <c r="AU39" s="73">
        <v>0</v>
      </c>
      <c r="AV39" s="72"/>
      <c r="AW39" s="76">
        <v>80</v>
      </c>
      <c r="BA39" s="2">
        <v>2015</v>
      </c>
      <c r="BB39" s="2">
        <v>12</v>
      </c>
      <c r="BC39" s="101">
        <v>42155</v>
      </c>
      <c r="BD39" s="101">
        <v>42168</v>
      </c>
    </row>
    <row r="40" spans="2:56" x14ac:dyDescent="0.35">
      <c r="B40" s="26"/>
      <c r="C40" s="27"/>
      <c r="D40" s="28">
        <v>81042</v>
      </c>
      <c r="E40" s="29" t="s">
        <v>57</v>
      </c>
      <c r="F40" s="50">
        <f>B9</f>
        <v>10</v>
      </c>
      <c r="G40" s="59"/>
      <c r="H40" s="64"/>
      <c r="I40" s="106"/>
      <c r="J40" s="105"/>
      <c r="K40" s="106"/>
      <c r="L40" s="105"/>
      <c r="M40" s="106"/>
      <c r="N40" s="105" t="s">
        <v>1</v>
      </c>
      <c r="O40" s="106"/>
      <c r="P40" s="105" t="s">
        <v>1</v>
      </c>
      <c r="Q40" s="106"/>
      <c r="R40" s="105" t="s">
        <v>1</v>
      </c>
      <c r="S40" s="59"/>
      <c r="T40" s="64"/>
      <c r="U40" s="44"/>
      <c r="V40" s="84"/>
      <c r="W40" s="59"/>
      <c r="X40" s="64"/>
      <c r="Y40" s="106"/>
      <c r="Z40" s="105"/>
      <c r="AA40" s="106"/>
      <c r="AB40" s="105"/>
      <c r="AC40" s="106"/>
      <c r="AD40" s="105"/>
      <c r="AE40" s="106"/>
      <c r="AF40" s="105"/>
      <c r="AG40" s="106"/>
      <c r="AH40" s="105"/>
      <c r="AI40" s="59"/>
      <c r="AJ40" s="64"/>
      <c r="AK40" s="44"/>
      <c r="AM40" s="49"/>
      <c r="AN40" s="49"/>
      <c r="AO40" s="49"/>
      <c r="AP40" s="49"/>
      <c r="AQ40" s="49"/>
      <c r="AR40" s="40"/>
      <c r="AS40" s="51"/>
      <c r="AU40" s="49"/>
      <c r="AW40" s="52"/>
      <c r="BA40" s="2">
        <v>2015</v>
      </c>
      <c r="BB40" s="2">
        <v>13</v>
      </c>
      <c r="BC40" s="101">
        <v>42169</v>
      </c>
      <c r="BD40" s="101">
        <v>42182</v>
      </c>
    </row>
    <row r="41" spans="2:56" x14ac:dyDescent="0.35">
      <c r="B41" s="30" t="s">
        <v>50</v>
      </c>
      <c r="C41" s="31"/>
      <c r="D41" s="32"/>
      <c r="E41" s="33">
        <v>93545</v>
      </c>
      <c r="F41" s="50">
        <f>B9</f>
        <v>10</v>
      </c>
      <c r="G41" s="69"/>
      <c r="H41" s="70"/>
      <c r="I41" s="104"/>
      <c r="J41" s="103">
        <v>8</v>
      </c>
      <c r="K41" s="104"/>
      <c r="L41" s="103">
        <v>8</v>
      </c>
      <c r="M41" s="104"/>
      <c r="N41" s="103">
        <v>8</v>
      </c>
      <c r="O41" s="104"/>
      <c r="P41" s="103">
        <v>8</v>
      </c>
      <c r="Q41" s="104"/>
      <c r="R41" s="103">
        <v>8</v>
      </c>
      <c r="S41" s="69"/>
      <c r="T41" s="70"/>
      <c r="U41" s="71">
        <f t="shared" ref="U41" si="12">SUM(G41:T41)</f>
        <v>40</v>
      </c>
      <c r="V41" s="72"/>
      <c r="W41" s="69"/>
      <c r="X41" s="70"/>
      <c r="Y41" s="104"/>
      <c r="Z41" s="103">
        <v>8</v>
      </c>
      <c r="AA41" s="104"/>
      <c r="AB41" s="103">
        <v>8</v>
      </c>
      <c r="AC41" s="104"/>
      <c r="AD41" s="103">
        <v>8</v>
      </c>
      <c r="AE41" s="104"/>
      <c r="AF41" s="103">
        <v>8</v>
      </c>
      <c r="AG41" s="104"/>
      <c r="AH41" s="103">
        <v>8</v>
      </c>
      <c r="AI41" s="69"/>
      <c r="AJ41" s="70"/>
      <c r="AK41" s="71">
        <f>SUM(W41:AJ41)</f>
        <v>40</v>
      </c>
      <c r="AL41" s="72"/>
      <c r="AM41" s="73">
        <f>SUMIF($G40:$T40,"",$G41:$T41)+SUMIF($W40:$AJ40,"",$W41:$AJ41)-AN41</f>
        <v>56</v>
      </c>
      <c r="AN41" s="88">
        <f>IF(SUMIF($G40:$T40,"",$G41:$T41)+SUMIF($G40:$T40,"F",$G41:$T41)+SUMIF($G40:$T40,"V",$G41:$T41)-40&lt;0,0,SUMIF($G40:$T40,"",$G41:$T41)+SUMIF($G40:$T40,"F",$G41:$T41)+SUMIF($G40:$T40,"V",$G41:$T41)-($U$9/2))+IF(SUMIF($W40:$AJ40,"",$W41:$AJ41)+SUMIF($W40:$AJ40,"F",$W41:$AJ41)+SUMIF($W40:$AJ40,"V",$W41:$AJ41)-40&lt;0,0,SUMIF($W40:$AJ40,"",$W41:$AJ41)+SUMIF($W40:$AJ40,"F",$W41:$AJ41)+SUMIF($W40:$AJ40,"V",$W41:$AJ41)-($U$9/2))</f>
        <v>0</v>
      </c>
      <c r="AO41" s="73">
        <f>SUMIF($G40:$T40,"M",$G41:$T41)+SUMIF($W40:$AJ40,"M",$W41:$AJ41)</f>
        <v>0</v>
      </c>
      <c r="AP41" s="73">
        <f>SUMIF($G40:$T40,"F",$G41:$T41)+SUMIF($W40:$AJ40,"F",$W41:$AJ41)</f>
        <v>0</v>
      </c>
      <c r="AQ41" s="73">
        <f>SUMIF($G40:$T40,"V",$G41:$T41)+SUMIF($W40:$AJ40,"V",$W41:$AJ41)</f>
        <v>24</v>
      </c>
      <c r="AR41" s="74">
        <f>SUMIF($G40:$T40,"O",$G41:$T41)+SUMIF($W40:$AJ40,"O",$W41:$AJ41)</f>
        <v>0</v>
      </c>
      <c r="AS41" s="75">
        <f>SUM(AM41:AR41)</f>
        <v>80</v>
      </c>
      <c r="AT41" s="72"/>
      <c r="AU41" s="73">
        <v>0</v>
      </c>
      <c r="AV41" s="72"/>
      <c r="AW41" s="76">
        <v>80</v>
      </c>
      <c r="BA41" s="2">
        <v>2015</v>
      </c>
      <c r="BB41" s="2">
        <v>14</v>
      </c>
      <c r="BC41" s="101">
        <v>42183</v>
      </c>
      <c r="BD41" s="101">
        <v>42196</v>
      </c>
    </row>
    <row r="42" spans="2:56" s="84" customFormat="1" x14ac:dyDescent="0.35">
      <c r="B42" s="26"/>
      <c r="C42" s="27"/>
      <c r="D42" s="28">
        <v>23930</v>
      </c>
      <c r="E42" s="29" t="s">
        <v>57</v>
      </c>
      <c r="F42" s="50">
        <f>B9</f>
        <v>10</v>
      </c>
      <c r="G42" s="59"/>
      <c r="H42" s="64"/>
      <c r="I42" s="106"/>
      <c r="J42" s="105"/>
      <c r="K42" s="106"/>
      <c r="L42" s="105"/>
      <c r="M42" s="106"/>
      <c r="N42" s="105"/>
      <c r="O42" s="106"/>
      <c r="P42" s="105"/>
      <c r="Q42" s="106"/>
      <c r="R42" s="105"/>
      <c r="S42" s="59"/>
      <c r="T42" s="64"/>
      <c r="U42" s="44"/>
      <c r="W42" s="59"/>
      <c r="X42" s="64"/>
      <c r="Y42" s="106"/>
      <c r="Z42" s="105"/>
      <c r="AA42" s="106"/>
      <c r="AB42" s="105"/>
      <c r="AC42" s="106"/>
      <c r="AD42" s="105"/>
      <c r="AE42" s="106"/>
      <c r="AF42" s="105" t="s">
        <v>2</v>
      </c>
      <c r="AG42" s="106"/>
      <c r="AH42" s="105"/>
      <c r="AI42" s="59"/>
      <c r="AJ42" s="64"/>
      <c r="AK42" s="44"/>
      <c r="AM42" s="49"/>
      <c r="AN42" s="49"/>
      <c r="AO42" s="49"/>
      <c r="AP42" s="49"/>
      <c r="AQ42" s="49"/>
      <c r="AR42" s="40"/>
      <c r="AS42" s="51"/>
      <c r="AU42" s="49"/>
      <c r="AW42" s="52"/>
      <c r="BA42" s="2">
        <v>2015</v>
      </c>
      <c r="BB42" s="2">
        <v>15</v>
      </c>
      <c r="BC42" s="101">
        <v>42197</v>
      </c>
      <c r="BD42" s="101">
        <v>42210</v>
      </c>
    </row>
    <row r="43" spans="2:56" s="84" customFormat="1" x14ac:dyDescent="0.35">
      <c r="B43" s="30" t="s">
        <v>63</v>
      </c>
      <c r="C43" s="31"/>
      <c r="D43" s="32"/>
      <c r="E43" s="33">
        <v>93545</v>
      </c>
      <c r="F43" s="50">
        <f>B9</f>
        <v>10</v>
      </c>
      <c r="G43" s="69"/>
      <c r="H43" s="70"/>
      <c r="I43" s="104"/>
      <c r="J43" s="103">
        <v>8</v>
      </c>
      <c r="K43" s="104"/>
      <c r="L43" s="103">
        <v>8</v>
      </c>
      <c r="M43" s="104"/>
      <c r="N43" s="103">
        <v>8</v>
      </c>
      <c r="O43" s="104"/>
      <c r="P43" s="103">
        <v>8</v>
      </c>
      <c r="Q43" s="104"/>
      <c r="R43" s="103">
        <v>8</v>
      </c>
      <c r="S43" s="69"/>
      <c r="T43" s="70"/>
      <c r="U43" s="71">
        <f t="shared" ref="U43" si="13">SUM(G43:T43)</f>
        <v>40</v>
      </c>
      <c r="V43" s="72"/>
      <c r="W43" s="69"/>
      <c r="X43" s="70"/>
      <c r="Y43" s="104"/>
      <c r="Z43" s="103">
        <v>8</v>
      </c>
      <c r="AA43" s="104"/>
      <c r="AB43" s="103">
        <v>8</v>
      </c>
      <c r="AC43" s="104"/>
      <c r="AD43" s="103">
        <v>8</v>
      </c>
      <c r="AE43" s="104"/>
      <c r="AF43" s="103">
        <v>0</v>
      </c>
      <c r="AG43" s="104"/>
      <c r="AH43" s="103">
        <v>8</v>
      </c>
      <c r="AI43" s="69"/>
      <c r="AJ43" s="70"/>
      <c r="AK43" s="71">
        <f>SUM(W43:AJ43)</f>
        <v>32</v>
      </c>
      <c r="AL43" s="72"/>
      <c r="AM43" s="73">
        <f>SUMIF($G42:$T42,"",$G43:$T43)+SUMIF($W42:$AJ42,"",$W43:$AJ43)-AN43</f>
        <v>72</v>
      </c>
      <c r="AN43" s="88">
        <f>IF(SUMIF($G42:$T42,"",$G43:$T43)+SUMIF($G42:$T42,"F",$G43:$T43)+SUMIF($G42:$T42,"V",$G43:$T43)-40&lt;0,0,SUMIF($G42:$T42,"",$G43:$T43)+SUMIF($G42:$T42,"F",$G43:$T43)+SUMIF($G42:$T42,"V",$G43:$T43)-($U$9/2))+IF(SUMIF($W42:$AJ42,"",$W43:$AJ43)+SUMIF($W42:$AJ42,"F",$W43:$AJ43)+SUMIF($W42:$AJ42,"V",$W43:$AJ43)-40&lt;0,0,SUMIF($W42:$AJ42,"",$W43:$AJ43)+SUMIF($W42:$AJ42,"F",$W43:$AJ43)+SUMIF($W42:$AJ42,"V",$W43:$AJ43)-($U$9/2))</f>
        <v>0</v>
      </c>
      <c r="AO43" s="73">
        <f>SUMIF($G42:$T42,"M",$G43:$T43)+SUMIF($W42:$AJ42,"M",$W43:$AJ43)</f>
        <v>0</v>
      </c>
      <c r="AP43" s="73">
        <f>SUMIF($G42:$T42,"F",$G43:$T43)+SUMIF($W42:$AJ42,"F",$W43:$AJ43)</f>
        <v>0</v>
      </c>
      <c r="AQ43" s="73">
        <f>SUMIF($G42:$T42,"V",$G43:$T43)+SUMIF($W42:$AJ42,"V",$W43:$AJ43)</f>
        <v>0</v>
      </c>
      <c r="AR43" s="74">
        <f>SUMIF($G42:$T42,"O",$G43:$T43)+SUMIF($W42:$AJ42,"O",$W43:$AJ43)</f>
        <v>0</v>
      </c>
      <c r="AS43" s="75">
        <f>SUM(AM43:AR43)</f>
        <v>72</v>
      </c>
      <c r="AT43" s="72"/>
      <c r="AU43" s="73">
        <v>0</v>
      </c>
      <c r="AV43" s="72"/>
      <c r="AW43" s="76">
        <v>80</v>
      </c>
      <c r="BA43" s="2">
        <v>2015</v>
      </c>
      <c r="BB43" s="2">
        <v>16</v>
      </c>
      <c r="BC43" s="101">
        <v>42211</v>
      </c>
      <c r="BD43" s="101">
        <v>42224</v>
      </c>
    </row>
    <row r="44" spans="2:56" x14ac:dyDescent="0.35">
      <c r="B44" s="26"/>
      <c r="C44" s="27"/>
      <c r="D44" s="28">
        <v>11792</v>
      </c>
      <c r="E44" s="29" t="s">
        <v>57</v>
      </c>
      <c r="F44" s="50">
        <f>B9</f>
        <v>10</v>
      </c>
      <c r="G44" s="59"/>
      <c r="H44" s="64"/>
      <c r="I44" s="106"/>
      <c r="J44" s="105"/>
      <c r="K44" s="106"/>
      <c r="L44" s="105"/>
      <c r="M44" s="106"/>
      <c r="N44" s="105"/>
      <c r="O44" s="106"/>
      <c r="P44" s="105"/>
      <c r="Q44" s="106"/>
      <c r="R44" s="105"/>
      <c r="S44" s="59"/>
      <c r="T44" s="64"/>
      <c r="U44" s="44"/>
      <c r="V44" s="84"/>
      <c r="W44" s="59"/>
      <c r="X44" s="64"/>
      <c r="Y44" s="106"/>
      <c r="Z44" s="105"/>
      <c r="AA44" s="106"/>
      <c r="AB44" s="105"/>
      <c r="AC44" s="106"/>
      <c r="AD44" s="105"/>
      <c r="AE44" s="106"/>
      <c r="AF44" s="105"/>
      <c r="AG44" s="106"/>
      <c r="AH44" s="105"/>
      <c r="AI44" s="59"/>
      <c r="AJ44" s="64"/>
      <c r="AK44" s="44"/>
      <c r="AM44" s="49"/>
      <c r="AN44" s="49"/>
      <c r="AO44" s="49"/>
      <c r="AP44" s="49"/>
      <c r="AQ44" s="49"/>
      <c r="AR44" s="40"/>
      <c r="AS44" s="51"/>
      <c r="AU44" s="49"/>
      <c r="AW44" s="52"/>
      <c r="BA44" s="2">
        <v>2015</v>
      </c>
      <c r="BB44" s="2">
        <v>17</v>
      </c>
      <c r="BC44" s="101">
        <v>42225</v>
      </c>
      <c r="BD44" s="101">
        <v>42238</v>
      </c>
    </row>
    <row r="45" spans="2:56" x14ac:dyDescent="0.35">
      <c r="B45" s="30" t="s">
        <v>46</v>
      </c>
      <c r="C45" s="31"/>
      <c r="D45" s="32"/>
      <c r="E45" s="33">
        <v>93595935</v>
      </c>
      <c r="F45" s="50">
        <f>B9</f>
        <v>10</v>
      </c>
      <c r="G45" s="69"/>
      <c r="H45" s="70"/>
      <c r="I45" s="104"/>
      <c r="J45" s="103">
        <v>8</v>
      </c>
      <c r="K45" s="104"/>
      <c r="L45" s="103">
        <v>8</v>
      </c>
      <c r="M45" s="104"/>
      <c r="N45" s="103">
        <v>8</v>
      </c>
      <c r="O45" s="104"/>
      <c r="P45" s="103">
        <v>8</v>
      </c>
      <c r="Q45" s="104"/>
      <c r="R45" s="103">
        <v>8</v>
      </c>
      <c r="S45" s="69"/>
      <c r="T45" s="70"/>
      <c r="U45" s="71">
        <f t="shared" ref="U45:U47" si="14">SUM(G45:T45)</f>
        <v>40</v>
      </c>
      <c r="V45" s="72"/>
      <c r="W45" s="69"/>
      <c r="X45" s="70"/>
      <c r="Y45" s="104"/>
      <c r="Z45" s="103">
        <v>8</v>
      </c>
      <c r="AA45" s="104"/>
      <c r="AB45" s="103">
        <v>8</v>
      </c>
      <c r="AC45" s="104"/>
      <c r="AD45" s="103">
        <v>8</v>
      </c>
      <c r="AE45" s="104"/>
      <c r="AF45" s="103">
        <v>8</v>
      </c>
      <c r="AG45" s="104"/>
      <c r="AH45" s="103">
        <v>8</v>
      </c>
      <c r="AI45" s="69"/>
      <c r="AJ45" s="70"/>
      <c r="AK45" s="71">
        <f>SUM(Z45:AH45)</f>
        <v>40</v>
      </c>
      <c r="AL45" s="72"/>
      <c r="AM45" s="73">
        <f>SUMIF($G44:$T44,"",$G45:$T45)+SUMIF($W44:$AJ44,"",$W45:$AJ45)-AN45</f>
        <v>80</v>
      </c>
      <c r="AN45" s="88">
        <f>IF(SUMIF($G44:$T44,"",$G45:$T45)+SUMIF($G44:$T44,"F",$G45:$T45)+SUMIF($G44:$T44,"V",$G45:$T45)-40&lt;0,0,SUMIF($G44:$T44,"",$G45:$T45)+SUMIF($G44:$T44,"F",$G45:$T45)+SUMIF($G44:$T44,"V",$G45:$T45)-($U$9/2))+IF(SUMIF($W44:$AJ44,"",$W45:$AJ45)+SUMIF($W44:$AJ44,"F",$W45:$AJ45)+SUMIF($W44:$AJ44,"V",$W45:$AJ45)-40&lt;0,0,SUMIF($W44:$AJ44,"",$W45:$AJ45)+SUMIF($W44:$AJ44,"F",$W45:$AJ45)+SUMIF($W44:$AJ44,"V",$W45:$AJ45)-($U$9/2))</f>
        <v>0</v>
      </c>
      <c r="AO45" s="73">
        <f>SUMIF($G44:$T44,"M",$G45:$T45)+SUMIF($W44:$AJ44,"M",$W45:$AJ45)</f>
        <v>0</v>
      </c>
      <c r="AP45" s="73">
        <f>SUMIF($G44:$T44,"F",$G45:$T45)+SUMIF($W44:$AJ44,"F",$W45:$AJ45)</f>
        <v>0</v>
      </c>
      <c r="AQ45" s="73">
        <f>SUMIF($G44:$T44,"V",$G45:$T45)+SUMIF($W44:$AJ44,"V",$W45:$AJ45)</f>
        <v>0</v>
      </c>
      <c r="AR45" s="74">
        <f>SUMIF($G44:$T44,"O",$G45:$T45)+SUMIF($W44:$AJ44,"O",$W45:$AJ45)</f>
        <v>0</v>
      </c>
      <c r="AS45" s="75">
        <f>SUM(AM45:AR45)</f>
        <v>80</v>
      </c>
      <c r="AT45" s="72"/>
      <c r="AU45" s="73">
        <v>0</v>
      </c>
      <c r="AV45" s="72"/>
      <c r="AW45" s="76">
        <v>80</v>
      </c>
      <c r="BA45" s="2">
        <v>2015</v>
      </c>
      <c r="BB45" s="2">
        <v>18</v>
      </c>
      <c r="BC45" s="101">
        <v>42239</v>
      </c>
      <c r="BD45" s="101">
        <v>42252</v>
      </c>
    </row>
    <row r="46" spans="2:56" x14ac:dyDescent="0.35">
      <c r="B46" s="26"/>
      <c r="C46" s="27"/>
      <c r="D46" s="28">
        <v>81043</v>
      </c>
      <c r="E46" s="29" t="s">
        <v>57</v>
      </c>
      <c r="F46" s="50">
        <f>B9</f>
        <v>10</v>
      </c>
      <c r="G46" s="59"/>
      <c r="H46" s="64"/>
      <c r="I46" s="106"/>
      <c r="J46" s="105"/>
      <c r="K46" s="106"/>
      <c r="L46" s="105"/>
      <c r="M46" s="106"/>
      <c r="N46" s="105"/>
      <c r="O46" s="106"/>
      <c r="P46" s="105"/>
      <c r="Q46" s="106"/>
      <c r="R46" s="105"/>
      <c r="S46" s="59"/>
      <c r="T46" s="64"/>
      <c r="U46" s="44"/>
      <c r="V46" s="84"/>
      <c r="W46" s="59"/>
      <c r="X46" s="64"/>
      <c r="Y46" s="106"/>
      <c r="Z46" s="105"/>
      <c r="AA46" s="106"/>
      <c r="AB46" s="105"/>
      <c r="AC46" s="106"/>
      <c r="AD46" s="105"/>
      <c r="AE46" s="106"/>
      <c r="AF46" s="105"/>
      <c r="AG46" s="106"/>
      <c r="AH46" s="105"/>
      <c r="AI46" s="59"/>
      <c r="AJ46" s="64"/>
      <c r="AK46" s="44"/>
      <c r="AM46" s="49"/>
      <c r="AN46" s="49"/>
      <c r="AO46" s="49"/>
      <c r="AP46" s="49"/>
      <c r="AQ46" s="49"/>
      <c r="AR46" s="40"/>
      <c r="AS46" s="51"/>
      <c r="AU46" s="49"/>
      <c r="AW46" s="52"/>
      <c r="BA46" s="2">
        <v>2015</v>
      </c>
      <c r="BB46" s="2">
        <v>19</v>
      </c>
      <c r="BC46" s="101">
        <v>42253</v>
      </c>
      <c r="BD46" s="101">
        <v>42266</v>
      </c>
    </row>
    <row r="47" spans="2:56" x14ac:dyDescent="0.35">
      <c r="B47" s="30" t="s">
        <v>51</v>
      </c>
      <c r="C47" s="31"/>
      <c r="D47" s="32"/>
      <c r="E47" s="33">
        <v>93545</v>
      </c>
      <c r="F47" s="50">
        <f>B9</f>
        <v>10</v>
      </c>
      <c r="G47" s="69"/>
      <c r="H47" s="70"/>
      <c r="I47" s="104"/>
      <c r="J47" s="103">
        <v>8</v>
      </c>
      <c r="K47" s="104"/>
      <c r="L47" s="103">
        <v>8</v>
      </c>
      <c r="M47" s="104"/>
      <c r="N47" s="103">
        <v>8</v>
      </c>
      <c r="O47" s="104"/>
      <c r="P47" s="103">
        <v>8</v>
      </c>
      <c r="Q47" s="104"/>
      <c r="R47" s="103">
        <v>8</v>
      </c>
      <c r="S47" s="69"/>
      <c r="T47" s="70"/>
      <c r="U47" s="71">
        <f t="shared" si="14"/>
        <v>40</v>
      </c>
      <c r="V47" s="72"/>
      <c r="W47" s="69"/>
      <c r="X47" s="70"/>
      <c r="Y47" s="104"/>
      <c r="Z47" s="103">
        <v>8</v>
      </c>
      <c r="AA47" s="104"/>
      <c r="AB47" s="103">
        <v>8</v>
      </c>
      <c r="AC47" s="104"/>
      <c r="AD47" s="103">
        <v>8</v>
      </c>
      <c r="AE47" s="104"/>
      <c r="AF47" s="103">
        <v>8</v>
      </c>
      <c r="AG47" s="104"/>
      <c r="AH47" s="103">
        <v>8</v>
      </c>
      <c r="AI47" s="69"/>
      <c r="AJ47" s="70"/>
      <c r="AK47" s="71">
        <f>SUM(W47:AJ47)</f>
        <v>40</v>
      </c>
      <c r="AL47" s="72"/>
      <c r="AM47" s="73">
        <f>SUMIF($G46:$T46,"",$G47:$T47)+SUMIF($W46:$AJ46,"",$W47:$AJ47)-AN47</f>
        <v>80</v>
      </c>
      <c r="AN47" s="88">
        <f>IF(SUMIF($G46:$T46,"",$G47:$T47)+SUMIF($G46:$T46,"F",$G47:$T47)+SUMIF($G46:$T46,"V",$G47:$T47)-40&lt;0,0,SUMIF($G46:$T46,"",$G47:$T47)+SUMIF($G46:$T46,"F",$G47:$T47)+SUMIF($G46:$T46,"V",$G47:$T47)-($U$9/2))+IF(SUMIF($W46:$AJ46,"",$W47:$AJ47)+SUMIF($W46:$AJ46,"F",$W47:$AJ47)+SUMIF($W46:$AJ46,"V",$W47:$AJ47)-40&lt;0,0,SUMIF($W46:$AJ46,"",$W47:$AJ47)+SUMIF($W46:$AJ46,"F",$W47:$AJ47)+SUMIF($W46:$AJ46,"V",$W47:$AJ47)-($U$9/2))</f>
        <v>0</v>
      </c>
      <c r="AO47" s="73">
        <f>SUMIF($G46:$T46,"M",$G47:$T47)+SUMIF($W46:$AJ46,"M",$W47:$AJ47)</f>
        <v>0</v>
      </c>
      <c r="AP47" s="73">
        <f>SUMIF($G46:$T46,"F",$G47:$T47)+SUMIF($W46:$AJ46,"F",$W47:$AJ47)</f>
        <v>0</v>
      </c>
      <c r="AQ47" s="73">
        <f>SUMIF($G46:$T46,"V",$G47:$T47)+SUMIF($W46:$AJ46,"V",$W47:$AJ47)</f>
        <v>0</v>
      </c>
      <c r="AR47" s="74">
        <f>SUMIF($G46:$T46,"O",$G47:$T47)+SUMIF($W46:$AJ46,"O",$W47:$AJ47)</f>
        <v>0</v>
      </c>
      <c r="AS47" s="75">
        <f>SUM(AM47:AR47)</f>
        <v>80</v>
      </c>
      <c r="AT47" s="72"/>
      <c r="AU47" s="73">
        <v>0</v>
      </c>
      <c r="AV47" s="72"/>
      <c r="AW47" s="76">
        <v>80</v>
      </c>
      <c r="BA47" s="2">
        <v>2015</v>
      </c>
      <c r="BB47" s="2">
        <v>20</v>
      </c>
      <c r="BC47" s="101">
        <v>42267</v>
      </c>
      <c r="BD47" s="101">
        <v>42280</v>
      </c>
    </row>
    <row r="48" spans="2:56" s="84" customFormat="1" x14ac:dyDescent="0.35">
      <c r="B48" s="26"/>
      <c r="C48" s="27"/>
      <c r="D48" s="28">
        <v>72673</v>
      </c>
      <c r="E48" s="29" t="s">
        <v>57</v>
      </c>
      <c r="F48" s="50">
        <f>B9</f>
        <v>10</v>
      </c>
      <c r="G48" s="59"/>
      <c r="H48" s="64"/>
      <c r="I48" s="106"/>
      <c r="J48" s="105"/>
      <c r="K48" s="106"/>
      <c r="L48" s="105"/>
      <c r="M48" s="106"/>
      <c r="N48" s="105"/>
      <c r="O48" s="106"/>
      <c r="P48" s="105"/>
      <c r="Q48" s="106"/>
      <c r="R48" s="105"/>
      <c r="S48" s="59"/>
      <c r="T48" s="64"/>
      <c r="U48" s="44"/>
      <c r="W48" s="59"/>
      <c r="X48" s="64"/>
      <c r="Y48" s="106"/>
      <c r="Z48" s="105"/>
      <c r="AA48" s="106"/>
      <c r="AB48" s="105"/>
      <c r="AC48" s="106"/>
      <c r="AD48" s="105"/>
      <c r="AE48" s="106"/>
      <c r="AF48" s="105"/>
      <c r="AG48" s="106"/>
      <c r="AH48" s="105"/>
      <c r="AI48" s="59"/>
      <c r="AJ48" s="64"/>
      <c r="AK48" s="44"/>
      <c r="AM48" s="49"/>
      <c r="AN48" s="49"/>
      <c r="AO48" s="49"/>
      <c r="AP48" s="49"/>
      <c r="AQ48" s="49"/>
      <c r="AR48" s="40"/>
      <c r="AS48" s="51"/>
      <c r="AU48" s="49"/>
      <c r="AW48" s="52"/>
      <c r="BA48" s="2">
        <v>2015</v>
      </c>
      <c r="BB48" s="2">
        <v>21</v>
      </c>
      <c r="BC48" s="101">
        <v>42281</v>
      </c>
      <c r="BD48" s="101">
        <v>42294</v>
      </c>
    </row>
    <row r="49" spans="2:56" s="84" customFormat="1" x14ac:dyDescent="0.35">
      <c r="B49" s="30" t="s">
        <v>61</v>
      </c>
      <c r="C49" s="31"/>
      <c r="D49" s="32"/>
      <c r="E49" s="33">
        <v>93595935</v>
      </c>
      <c r="F49" s="50">
        <f>B9</f>
        <v>10</v>
      </c>
      <c r="G49" s="69"/>
      <c r="H49" s="70"/>
      <c r="I49" s="104"/>
      <c r="J49" s="103" t="s">
        <v>69</v>
      </c>
      <c r="K49" s="104"/>
      <c r="L49" s="103" t="s">
        <v>69</v>
      </c>
      <c r="M49" s="104"/>
      <c r="N49" s="103" t="s">
        <v>69</v>
      </c>
      <c r="O49" s="104"/>
      <c r="P49" s="103" t="s">
        <v>69</v>
      </c>
      <c r="Q49" s="104"/>
      <c r="R49" s="103" t="s">
        <v>69</v>
      </c>
      <c r="S49" s="69"/>
      <c r="T49" s="70"/>
      <c r="U49" s="71">
        <f t="shared" ref="U49" si="15">SUM(G49:T49)</f>
        <v>0</v>
      </c>
      <c r="V49" s="72"/>
      <c r="W49" s="69"/>
      <c r="X49" s="70"/>
      <c r="Y49" s="104"/>
      <c r="Z49" s="103" t="s">
        <v>69</v>
      </c>
      <c r="AA49" s="104"/>
      <c r="AB49" s="103" t="s">
        <v>69</v>
      </c>
      <c r="AC49" s="104"/>
      <c r="AD49" s="103" t="s">
        <v>69</v>
      </c>
      <c r="AE49" s="104"/>
      <c r="AF49" s="103" t="s">
        <v>69</v>
      </c>
      <c r="AG49" s="104"/>
      <c r="AH49" s="103" t="s">
        <v>69</v>
      </c>
      <c r="AI49" s="69"/>
      <c r="AJ49" s="70"/>
      <c r="AK49" s="71">
        <f>SUM(W49:AJ49)</f>
        <v>0</v>
      </c>
      <c r="AL49" s="72"/>
      <c r="AM49" s="73">
        <f>SUMIF($G48:$T48,"",$G49:$T49)+SUMIF($W48:$AJ48,"",$W49:$AJ49)-AN49</f>
        <v>0</v>
      </c>
      <c r="AN49" s="88">
        <f>IF(SUMIF($G48:$T48,"",$G49:$T49)+SUMIF($G48:$T48,"F",$G49:$T49)+SUMIF($G48:$T48,"V",$G49:$T49)-40&lt;0,0,SUMIF($G48:$T48,"",$G49:$T49)+SUMIF($G48:$T48,"F",$G49:$T49)+SUMIF($G48:$T48,"V",$G49:$T49)-($U$9/2))+IF(SUMIF($W48:$AJ48,"",$W49:$AJ49)+SUMIF($W48:$AJ48,"F",$W49:$AJ49)+SUMIF($W48:$AJ48,"V",$W49:$AJ49)-40&lt;0,0,SUMIF($W48:$AJ48,"",$W49:$AJ49)+SUMIF($W48:$AJ48,"F",$W49:$AJ49)+SUMIF($W48:$AJ48,"V",$W49:$AJ49)-($U$9/2))</f>
        <v>0</v>
      </c>
      <c r="AO49" s="73">
        <f>SUMIF($G48:$T48,"M",$G49:$T49)+SUMIF($W48:$AJ48,"M",$W49:$AJ49)</f>
        <v>0</v>
      </c>
      <c r="AP49" s="73">
        <f>SUMIF($G48:$T48,"F",$G49:$T49)+SUMIF($W48:$AJ48,"F",$W49:$AJ49)</f>
        <v>0</v>
      </c>
      <c r="AQ49" s="73">
        <f>SUMIF($G48:$T48,"V",$G49:$T49)+SUMIF($W48:$AJ48,"V",$W49:$AJ49)</f>
        <v>0</v>
      </c>
      <c r="AR49" s="74">
        <f>SUMIF($G48:$T48,"O",$G49:$T49)+SUMIF($W48:$AJ48,"O",$W49:$AJ49)</f>
        <v>0</v>
      </c>
      <c r="AS49" s="75">
        <f>SUM(AM49:AR49)</f>
        <v>0</v>
      </c>
      <c r="AT49" s="72"/>
      <c r="AU49" s="73">
        <v>0</v>
      </c>
      <c r="AV49" s="72"/>
      <c r="AW49" s="76">
        <v>80</v>
      </c>
      <c r="BA49" s="2">
        <v>2015</v>
      </c>
      <c r="BB49" s="2">
        <v>22</v>
      </c>
      <c r="BC49" s="101">
        <v>42295</v>
      </c>
      <c r="BD49" s="101">
        <v>42308</v>
      </c>
    </row>
    <row r="50" spans="2:56" x14ac:dyDescent="0.35">
      <c r="B50" s="26"/>
      <c r="C50" s="27"/>
      <c r="D50" s="28">
        <v>26641</v>
      </c>
      <c r="E50" s="29" t="s">
        <v>57</v>
      </c>
      <c r="F50" s="50">
        <f>B9</f>
        <v>10</v>
      </c>
      <c r="G50" s="59"/>
      <c r="H50" s="64"/>
      <c r="I50" s="106"/>
      <c r="J50" s="105"/>
      <c r="K50" s="106"/>
      <c r="L50" s="105"/>
      <c r="M50" s="106"/>
      <c r="N50" s="105"/>
      <c r="O50" s="106"/>
      <c r="P50" s="105"/>
      <c r="Q50" s="106"/>
      <c r="R50" s="105"/>
      <c r="S50" s="59"/>
      <c r="T50" s="64"/>
      <c r="U50" s="44"/>
      <c r="V50" s="84"/>
      <c r="W50" s="59"/>
      <c r="X50" s="64"/>
      <c r="Y50" s="106"/>
      <c r="Z50" s="105"/>
      <c r="AA50" s="106"/>
      <c r="AB50" s="105"/>
      <c r="AC50" s="106"/>
      <c r="AD50" s="105"/>
      <c r="AE50" s="106"/>
      <c r="AF50" s="105"/>
      <c r="AG50" s="106"/>
      <c r="AH50" s="105"/>
      <c r="AI50" s="59"/>
      <c r="AJ50" s="64"/>
      <c r="AK50" s="44"/>
      <c r="AM50" s="49"/>
      <c r="AN50" s="49"/>
      <c r="AO50" s="49"/>
      <c r="AP50" s="49"/>
      <c r="AQ50" s="49"/>
      <c r="AR50" s="40"/>
      <c r="AS50" s="51"/>
      <c r="AU50" s="49"/>
      <c r="AW50" s="52"/>
      <c r="BA50" s="2">
        <v>2015</v>
      </c>
      <c r="BB50" s="2">
        <v>23</v>
      </c>
      <c r="BC50" s="101">
        <v>42309</v>
      </c>
      <c r="BD50" s="101">
        <v>42322</v>
      </c>
    </row>
    <row r="51" spans="2:56" x14ac:dyDescent="0.35">
      <c r="B51" s="30" t="s">
        <v>71</v>
      </c>
      <c r="C51" s="31"/>
      <c r="D51" s="32"/>
      <c r="E51" s="33">
        <v>93545</v>
      </c>
      <c r="F51" s="50">
        <f>B9</f>
        <v>10</v>
      </c>
      <c r="G51" s="69"/>
      <c r="H51" s="70"/>
      <c r="I51" s="104"/>
      <c r="J51" s="103">
        <v>8</v>
      </c>
      <c r="K51" s="104"/>
      <c r="L51" s="103">
        <v>8</v>
      </c>
      <c r="M51" s="104"/>
      <c r="N51" s="103">
        <v>8</v>
      </c>
      <c r="O51" s="104"/>
      <c r="P51" s="103">
        <v>8</v>
      </c>
      <c r="Q51" s="104"/>
      <c r="R51" s="103">
        <v>8</v>
      </c>
      <c r="S51" s="69"/>
      <c r="T51" s="70"/>
      <c r="U51" s="71">
        <f t="shared" ref="U51" si="16">SUM(G51:T51)</f>
        <v>40</v>
      </c>
      <c r="V51" s="72"/>
      <c r="W51" s="69"/>
      <c r="X51" s="70"/>
      <c r="Y51" s="104"/>
      <c r="Z51" s="103">
        <v>8</v>
      </c>
      <c r="AA51" s="104"/>
      <c r="AB51" s="103">
        <v>8</v>
      </c>
      <c r="AC51" s="104"/>
      <c r="AD51" s="103">
        <v>8</v>
      </c>
      <c r="AE51" s="104"/>
      <c r="AF51" s="103">
        <v>8</v>
      </c>
      <c r="AG51" s="104"/>
      <c r="AH51" s="103">
        <v>8</v>
      </c>
      <c r="AI51" s="69"/>
      <c r="AJ51" s="70"/>
      <c r="AK51" s="71">
        <f>SUM(W51:AJ51)</f>
        <v>40</v>
      </c>
      <c r="AL51" s="72"/>
      <c r="AM51" s="73">
        <f>SUMIF($G50:$T50,"",$G51:$T51)+SUMIF($W50:$AJ50,"",$W51:$AJ51)-AN51</f>
        <v>80</v>
      </c>
      <c r="AN51" s="88">
        <f>IF(SUMIF($G50:$T50,"",$G51:$T51)+SUMIF($G50:$T50,"F",$G51:$T51)+SUMIF($G50:$T50,"V",$G51:$T51)-40&lt;0,0,SUMIF($G50:$T50,"",$G51:$T51)+SUMIF($G50:$T50,"F",$G51:$T51)+SUMIF($G50:$T50,"V",$G51:$T51)-($U$9/2))+IF(SUMIF($W50:$AJ50,"",$W51:$AJ51)+SUMIF($W50:$AJ50,"F",$W51:$AJ51)+SUMIF($W50:$AJ50,"V",$W51:$AJ51)-40&lt;0,0,SUMIF($W50:$AJ50,"",$W51:$AJ51)+SUMIF($W50:$AJ50,"F",$W51:$AJ51)+SUMIF($W50:$AJ50,"V",$W51:$AJ51)-($U$9/2))</f>
        <v>0</v>
      </c>
      <c r="AO51" s="73">
        <f>SUMIF($G50:$T50,"M",$G51:$T51)+SUMIF($W50:$AJ50,"M",$W51:$AJ51)</f>
        <v>0</v>
      </c>
      <c r="AP51" s="73">
        <f>SUMIF($G50:$T50,"F",$G51:$T51)+SUMIF($W50:$AJ50,"F",$W51:$AJ51)</f>
        <v>0</v>
      </c>
      <c r="AQ51" s="73">
        <f>SUMIF($G50:$T50,"V",$G51:$T51)+SUMIF($W50:$AJ50,"V",$W51:$AJ51)</f>
        <v>0</v>
      </c>
      <c r="AR51" s="74">
        <f>SUMIF($G50:$T50,"O",$G51:$T51)+SUMIF($W50:$AJ50,"O",$W51:$AJ51)</f>
        <v>0</v>
      </c>
      <c r="AS51" s="75">
        <f>SUM(AM51:AR51)</f>
        <v>80</v>
      </c>
      <c r="AT51" s="72"/>
      <c r="AU51" s="73">
        <v>0</v>
      </c>
      <c r="AV51" s="72"/>
      <c r="AW51" s="76">
        <v>80</v>
      </c>
      <c r="BA51" s="2">
        <v>2015</v>
      </c>
      <c r="BB51" s="2">
        <v>24</v>
      </c>
      <c r="BC51" s="101">
        <v>42323</v>
      </c>
      <c r="BD51" s="101">
        <v>42336</v>
      </c>
    </row>
    <row r="52" spans="2:56" x14ac:dyDescent="0.35">
      <c r="B52" s="26"/>
      <c r="C52" s="27"/>
      <c r="D52" s="28">
        <v>23736</v>
      </c>
      <c r="E52" s="29" t="s">
        <v>57</v>
      </c>
      <c r="F52" s="50">
        <f>B9</f>
        <v>10</v>
      </c>
      <c r="G52" s="59"/>
      <c r="H52" s="64"/>
      <c r="I52" s="106"/>
      <c r="J52" s="105" t="s">
        <v>3</v>
      </c>
      <c r="K52" s="106"/>
      <c r="L52" s="105" t="s">
        <v>3</v>
      </c>
      <c r="M52" s="106"/>
      <c r="N52" s="105" t="s">
        <v>3</v>
      </c>
      <c r="O52" s="106"/>
      <c r="P52" s="105" t="s">
        <v>3</v>
      </c>
      <c r="Q52" s="106"/>
      <c r="R52" s="105" t="s">
        <v>3</v>
      </c>
      <c r="S52" s="59"/>
      <c r="T52" s="64"/>
      <c r="U52" s="44"/>
      <c r="V52" s="84"/>
      <c r="W52" s="59"/>
      <c r="X52" s="64"/>
      <c r="Y52" s="106"/>
      <c r="Z52" s="105" t="s">
        <v>3</v>
      </c>
      <c r="AA52" s="106"/>
      <c r="AB52" s="105" t="s">
        <v>3</v>
      </c>
      <c r="AC52" s="106"/>
      <c r="AD52" s="105" t="s">
        <v>3</v>
      </c>
      <c r="AE52" s="106"/>
      <c r="AF52" s="105" t="s">
        <v>3</v>
      </c>
      <c r="AG52" s="106"/>
      <c r="AH52" s="105" t="s">
        <v>3</v>
      </c>
      <c r="AI52" s="59"/>
      <c r="AJ52" s="64"/>
      <c r="AK52" s="44"/>
      <c r="AM52" s="49"/>
      <c r="AN52" s="49"/>
      <c r="AO52" s="49"/>
      <c r="AP52" s="49"/>
      <c r="AQ52" s="49"/>
      <c r="AR52" s="40"/>
      <c r="AS52" s="51"/>
      <c r="AU52" s="49"/>
      <c r="AW52" s="52"/>
      <c r="BA52" s="2">
        <v>2015</v>
      </c>
      <c r="BB52" s="2">
        <v>25</v>
      </c>
      <c r="BC52" s="101">
        <v>42337</v>
      </c>
      <c r="BD52" s="101">
        <v>42350</v>
      </c>
    </row>
    <row r="53" spans="2:56" x14ac:dyDescent="0.35">
      <c r="B53" s="30" t="s">
        <v>62</v>
      </c>
      <c r="C53" s="31"/>
      <c r="D53" s="32"/>
      <c r="E53" s="33">
        <v>93545</v>
      </c>
      <c r="F53" s="50">
        <f>B9</f>
        <v>10</v>
      </c>
      <c r="G53" s="69"/>
      <c r="H53" s="70"/>
      <c r="I53" s="104"/>
      <c r="J53" s="103">
        <v>0</v>
      </c>
      <c r="K53" s="104"/>
      <c r="L53" s="103">
        <v>0</v>
      </c>
      <c r="M53" s="104"/>
      <c r="N53" s="103">
        <v>0</v>
      </c>
      <c r="O53" s="104"/>
      <c r="P53" s="103">
        <v>0</v>
      </c>
      <c r="Q53" s="104"/>
      <c r="R53" s="103">
        <v>0</v>
      </c>
      <c r="S53" s="69"/>
      <c r="T53" s="70"/>
      <c r="U53" s="71">
        <f t="shared" ref="U53" si="17">SUM(G53:T53)</f>
        <v>0</v>
      </c>
      <c r="V53" s="72"/>
      <c r="W53" s="69"/>
      <c r="X53" s="70"/>
      <c r="Y53" s="104"/>
      <c r="Z53" s="103">
        <v>0</v>
      </c>
      <c r="AA53" s="104"/>
      <c r="AB53" s="103">
        <v>0</v>
      </c>
      <c r="AC53" s="104"/>
      <c r="AD53" s="103">
        <v>0</v>
      </c>
      <c r="AE53" s="104"/>
      <c r="AF53" s="103">
        <v>0</v>
      </c>
      <c r="AG53" s="104"/>
      <c r="AH53" s="103">
        <v>0</v>
      </c>
      <c r="AI53" s="69"/>
      <c r="AJ53" s="70"/>
      <c r="AK53" s="71">
        <f>SUM(W53:AJ53)</f>
        <v>0</v>
      </c>
      <c r="AL53" s="72"/>
      <c r="AM53" s="73">
        <f>SUMIF($G52:$T52,"",$G53:$T53)+SUMIF($W52:$AJ52,"",$W53:$AJ53)-AN53</f>
        <v>0</v>
      </c>
      <c r="AN53" s="88">
        <f>IF(SUMIF($G52:$T52,"",$G53:$T53)+SUMIF($G52:$T52,"F",$G53:$T53)+SUMIF($G52:$T52,"V",$G53:$T53)-40&lt;0,0,SUMIF($G52:$T52,"",$G53:$T53)+SUMIF($G52:$T52,"F",$G53:$T53)+SUMIF($G52:$T52,"V",$G53:$T53)-($U$9/2))+IF(SUMIF($W52:$AJ52,"",$W53:$AJ53)+SUMIF($W52:$AJ52,"F",$W53:$AJ53)+SUMIF($W52:$AJ52,"V",$W53:$AJ53)-40&lt;0,0,SUMIF($W52:$AJ52,"",$W53:$AJ53)+SUMIF($W52:$AJ52,"F",$W53:$AJ53)+SUMIF($W52:$AJ52,"V",$W53:$AJ53)-($U$9/2))</f>
        <v>0</v>
      </c>
      <c r="AO53" s="73">
        <f>SUMIF($G52:$T52,"M",$G53:$T53)+SUMIF($W52:$AJ52,"M",$W53:$AJ53)</f>
        <v>0</v>
      </c>
      <c r="AP53" s="73">
        <f>SUMIF($G52:$T52,"F",$G53:$T53)+SUMIF($W52:$AJ52,"F",$W53:$AJ53)</f>
        <v>0</v>
      </c>
      <c r="AQ53" s="73">
        <f>SUMIF($G52:$T52,"V",$G53:$T53)+SUMIF($W52:$AJ52,"V",$W53:$AJ53)</f>
        <v>0</v>
      </c>
      <c r="AR53" s="74">
        <f>SUMIF($G52:$T52,"O",$G53:$T53)+SUMIF($W52:$AJ52,"O",$W53:$AJ53)</f>
        <v>0</v>
      </c>
      <c r="AS53" s="75">
        <f>SUM(AM53:AR53)</f>
        <v>0</v>
      </c>
      <c r="AT53" s="72"/>
      <c r="AU53" s="73">
        <v>0</v>
      </c>
      <c r="AV53" s="72"/>
      <c r="AW53" s="76">
        <v>80</v>
      </c>
      <c r="BA53" s="2">
        <v>2015</v>
      </c>
      <c r="BB53" s="2">
        <v>26</v>
      </c>
      <c r="BC53" s="101">
        <v>42351</v>
      </c>
      <c r="BD53" s="101">
        <v>42364</v>
      </c>
    </row>
    <row r="54" spans="2:56" x14ac:dyDescent="0.35">
      <c r="B54" s="26"/>
      <c r="C54" s="27"/>
      <c r="D54" s="28"/>
      <c r="E54" s="29"/>
      <c r="F54" s="50">
        <f>B9</f>
        <v>10</v>
      </c>
      <c r="G54" s="59"/>
      <c r="H54" s="64"/>
      <c r="I54" s="106"/>
      <c r="J54" s="105"/>
      <c r="K54" s="106"/>
      <c r="L54" s="105"/>
      <c r="M54" s="106"/>
      <c r="N54" s="105"/>
      <c r="O54" s="106"/>
      <c r="P54" s="105"/>
      <c r="Q54" s="106"/>
      <c r="R54" s="105"/>
      <c r="S54" s="59"/>
      <c r="T54" s="64"/>
      <c r="U54" s="44"/>
      <c r="V54" s="84"/>
      <c r="W54" s="59"/>
      <c r="X54" s="64"/>
      <c r="Y54" s="106"/>
      <c r="Z54" s="105"/>
      <c r="AA54" s="106"/>
      <c r="AB54" s="105"/>
      <c r="AC54" s="106"/>
      <c r="AD54" s="105"/>
      <c r="AE54" s="106"/>
      <c r="AF54" s="105"/>
      <c r="AG54" s="106"/>
      <c r="AH54" s="105"/>
      <c r="AI54" s="59"/>
      <c r="AJ54" s="64"/>
      <c r="AK54" s="44"/>
      <c r="AM54" s="49"/>
      <c r="AN54" s="49"/>
      <c r="AO54" s="49"/>
      <c r="AP54" s="49"/>
      <c r="AQ54" s="49"/>
      <c r="AR54" s="40"/>
      <c r="AS54" s="51"/>
      <c r="AU54" s="49"/>
      <c r="AW54" s="52"/>
      <c r="BA54" s="2">
        <v>2016</v>
      </c>
      <c r="BB54" s="2">
        <v>1</v>
      </c>
      <c r="BC54" s="101">
        <v>42365</v>
      </c>
      <c r="BD54" s="101">
        <v>42378</v>
      </c>
    </row>
    <row r="55" spans="2:56" x14ac:dyDescent="0.35">
      <c r="B55" s="30"/>
      <c r="C55" s="31"/>
      <c r="D55" s="32"/>
      <c r="E55" s="33"/>
      <c r="F55" s="50">
        <f>B9</f>
        <v>10</v>
      </c>
      <c r="G55" s="69"/>
      <c r="H55" s="70"/>
      <c r="I55" s="104"/>
      <c r="J55" s="103"/>
      <c r="K55" s="104"/>
      <c r="L55" s="103"/>
      <c r="M55" s="104"/>
      <c r="N55" s="103"/>
      <c r="O55" s="104"/>
      <c r="P55" s="103"/>
      <c r="Q55" s="104"/>
      <c r="R55" s="103"/>
      <c r="S55" s="69"/>
      <c r="T55" s="70"/>
      <c r="U55" s="71">
        <f t="shared" ref="U55" si="18">SUM(G55:T55)</f>
        <v>0</v>
      </c>
      <c r="V55" s="72"/>
      <c r="W55" s="69"/>
      <c r="X55" s="70"/>
      <c r="Y55" s="104"/>
      <c r="Z55" s="103"/>
      <c r="AA55" s="104"/>
      <c r="AB55" s="103"/>
      <c r="AC55" s="104"/>
      <c r="AD55" s="103"/>
      <c r="AE55" s="104"/>
      <c r="AF55" s="103"/>
      <c r="AG55" s="104"/>
      <c r="AH55" s="103"/>
      <c r="AI55" s="69"/>
      <c r="AJ55" s="70"/>
      <c r="AK55" s="71">
        <f>SUM(W55:AJ55)</f>
        <v>0</v>
      </c>
      <c r="AL55" s="72"/>
      <c r="AM55" s="73">
        <f>SUMIF($G54:$T54,"",$G55:$T55)+SUMIF($W54:$AJ54,"",$W55:$AJ55)-AN55</f>
        <v>0</v>
      </c>
      <c r="AN55" s="88">
        <f>IF(SUMIF($G54:$T54,"",$G55:$T55)+SUMIF($G54:$T54,"F",$G55:$T55)+SUMIF($G54:$T54,"V",$G55:$T55)-40&lt;0,0,SUMIF($G54:$T54,"",$G55:$T55)+SUMIF($G54:$T54,"F",$G55:$T55)+SUMIF($G54:$T54,"V",$G55:$T55)-($U$9/2))+IF(SUMIF($W54:$AJ54,"",$W55:$AJ55)+SUMIF($W54:$AJ54,"F",$W55:$AJ55)+SUMIF($W54:$AJ54,"V",$W55:$AJ55)-40&lt;0,0,SUMIF($W54:$AJ54,"",$W55:$AJ55)+SUMIF($W54:$AJ54,"F",$W55:$AJ55)+SUMIF($W54:$AJ54,"V",$W55:$AJ55)-($U$9/2))</f>
        <v>0</v>
      </c>
      <c r="AO55" s="73">
        <f>SUMIF($G54:$T54,"M",$G55:$T55)+SUMIF($W54:$AJ54,"M",$W55:$AJ55)</f>
        <v>0</v>
      </c>
      <c r="AP55" s="73">
        <f>SUMIF($G54:$T54,"F",$G55:$T55)+SUMIF($W54:$AJ54,"F",$W55:$AJ55)</f>
        <v>0</v>
      </c>
      <c r="AQ55" s="73">
        <f>SUMIF($G54:$T54,"V",$G55:$T55)+SUMIF($W54:$AJ54,"V",$W55:$AJ55)</f>
        <v>0</v>
      </c>
      <c r="AR55" s="74">
        <f>SUMIF($G54:$T54,"O",$G55:$T55)+SUMIF($W54:$AJ54,"O",$W55:$AJ55)</f>
        <v>0</v>
      </c>
      <c r="AS55" s="75">
        <f>SUM(AM55:AR55)</f>
        <v>0</v>
      </c>
      <c r="AT55" s="72"/>
      <c r="AU55" s="73">
        <v>0</v>
      </c>
      <c r="AV55" s="72"/>
      <c r="AW55" s="76">
        <v>80</v>
      </c>
      <c r="BA55" s="2">
        <v>2016</v>
      </c>
      <c r="BB55" s="2">
        <v>2</v>
      </c>
      <c r="BC55" s="101">
        <v>42379</v>
      </c>
      <c r="BD55" s="101">
        <v>42392</v>
      </c>
    </row>
    <row r="56" spans="2:56" x14ac:dyDescent="0.35">
      <c r="B56" s="26"/>
      <c r="C56" s="27"/>
      <c r="D56" s="28"/>
      <c r="E56" s="29"/>
      <c r="F56" s="50">
        <f>B9</f>
        <v>10</v>
      </c>
      <c r="G56" s="59"/>
      <c r="H56" s="64"/>
      <c r="I56" s="106"/>
      <c r="J56" s="105"/>
      <c r="K56" s="106"/>
      <c r="L56" s="105"/>
      <c r="M56" s="106"/>
      <c r="N56" s="105"/>
      <c r="O56" s="106"/>
      <c r="P56" s="105"/>
      <c r="Q56" s="106"/>
      <c r="R56" s="105"/>
      <c r="S56" s="59"/>
      <c r="T56" s="64"/>
      <c r="U56" s="44"/>
      <c r="V56" s="84"/>
      <c r="W56" s="59"/>
      <c r="X56" s="64"/>
      <c r="Y56" s="106"/>
      <c r="Z56" s="105"/>
      <c r="AA56" s="106"/>
      <c r="AB56" s="105"/>
      <c r="AC56" s="106"/>
      <c r="AD56" s="105"/>
      <c r="AE56" s="106"/>
      <c r="AF56" s="105"/>
      <c r="AG56" s="106"/>
      <c r="AH56" s="105"/>
      <c r="AI56" s="59"/>
      <c r="AJ56" s="64"/>
      <c r="AK56" s="44"/>
      <c r="AM56" s="49"/>
      <c r="AN56" s="49"/>
      <c r="AO56" s="49"/>
      <c r="AP56" s="49"/>
      <c r="AQ56" s="49"/>
      <c r="AR56" s="40"/>
      <c r="AS56" s="51"/>
      <c r="AU56" s="49"/>
      <c r="AW56" s="52"/>
      <c r="BA56" s="102">
        <v>2016</v>
      </c>
      <c r="BB56" s="2">
        <v>3</v>
      </c>
      <c r="BC56" s="101">
        <v>42393</v>
      </c>
      <c r="BD56" s="101">
        <v>42406</v>
      </c>
    </row>
    <row r="57" spans="2:56" x14ac:dyDescent="0.35">
      <c r="B57" s="30"/>
      <c r="C57" s="31"/>
      <c r="D57" s="32"/>
      <c r="E57" s="33"/>
      <c r="F57" s="50">
        <f>B9</f>
        <v>10</v>
      </c>
      <c r="G57" s="69"/>
      <c r="H57" s="70"/>
      <c r="I57" s="104"/>
      <c r="J57" s="103"/>
      <c r="K57" s="104"/>
      <c r="L57" s="103"/>
      <c r="M57" s="104"/>
      <c r="N57" s="103"/>
      <c r="O57" s="104"/>
      <c r="P57" s="103"/>
      <c r="Q57" s="104"/>
      <c r="R57" s="103"/>
      <c r="S57" s="69"/>
      <c r="T57" s="70"/>
      <c r="U57" s="71">
        <f t="shared" ref="U57" si="19">SUM(G57:T57)</f>
        <v>0</v>
      </c>
      <c r="V57" s="72"/>
      <c r="W57" s="69"/>
      <c r="X57" s="70"/>
      <c r="Y57" s="104"/>
      <c r="Z57" s="103"/>
      <c r="AA57" s="104"/>
      <c r="AB57" s="103"/>
      <c r="AC57" s="104"/>
      <c r="AD57" s="103"/>
      <c r="AE57" s="104"/>
      <c r="AF57" s="103"/>
      <c r="AG57" s="104"/>
      <c r="AH57" s="103"/>
      <c r="AI57" s="69"/>
      <c r="AJ57" s="70"/>
      <c r="AK57" s="71">
        <f>SUM(W57:AJ57)</f>
        <v>0</v>
      </c>
      <c r="AL57" s="72"/>
      <c r="AM57" s="73">
        <f>SUMIF($G56:$T56,"",$G57:$T57)+SUMIF($W56:$AJ56,"",$W57:$AJ57)-AN57</f>
        <v>0</v>
      </c>
      <c r="AN57" s="88">
        <f>IF(SUMIF($G56:$T56,"",$G57:$T57)+SUMIF($G56:$T56,"F",$G57:$T57)+SUMIF($G56:$T56,"V",$G57:$T57)-40&lt;0,0,SUMIF($G56:$T56,"",$G57:$T57)+SUMIF($G56:$T56,"F",$G57:$T57)+SUMIF($G56:$T56,"V",$G57:$T57)-($U$9/2))+IF(SUMIF($W56:$AJ56,"",$W57:$AJ57)+SUMIF($W56:$AJ56,"F",$W57:$AJ57)+SUMIF($W56:$AJ56,"V",$W57:$AJ57)-40&lt;0,0,SUMIF($W56:$AJ56,"",$W57:$AJ57)+SUMIF($W56:$AJ56,"F",$W57:$AJ57)+SUMIF($W56:$AJ56,"V",$W57:$AJ57)-($U$9/2))</f>
        <v>0</v>
      </c>
      <c r="AO57" s="73">
        <f>SUMIF($G56:$T56,"M",$G57:$T57)+SUMIF($W56:$AJ56,"M",$W57:$AJ57)</f>
        <v>0</v>
      </c>
      <c r="AP57" s="73">
        <f>SUMIF($G56:$T56,"F",$G57:$T57)+SUMIF($W56:$AJ56,"F",$W57:$AJ57)</f>
        <v>0</v>
      </c>
      <c r="AQ57" s="73">
        <f>SUMIF($G56:$T56,"V",$G57:$T57)+SUMIF($W56:$AJ56,"V",$W57:$AJ57)</f>
        <v>0</v>
      </c>
      <c r="AR57" s="74">
        <f>SUMIF($G56:$T56,"O",$G57:$T57)+SUMIF($W56:$AJ56,"O",$W57:$AJ57)</f>
        <v>0</v>
      </c>
      <c r="AS57" s="75">
        <f>SUM(AM57:AR57)</f>
        <v>0</v>
      </c>
      <c r="AT57" s="72"/>
      <c r="AU57" s="73">
        <v>0</v>
      </c>
      <c r="AV57" s="72"/>
      <c r="AW57" s="76">
        <v>0</v>
      </c>
      <c r="BA57" s="2">
        <v>2016</v>
      </c>
      <c r="BB57" s="2">
        <v>4</v>
      </c>
      <c r="BC57" s="101">
        <v>42407</v>
      </c>
      <c r="BD57" s="101">
        <v>42420</v>
      </c>
    </row>
    <row r="58" spans="2:56" x14ac:dyDescent="0.35">
      <c r="B58" s="26"/>
      <c r="C58" s="27"/>
      <c r="D58" s="28" t="s">
        <v>57</v>
      </c>
      <c r="E58" s="29" t="s">
        <v>57</v>
      </c>
      <c r="F58" s="50">
        <f>B9</f>
        <v>10</v>
      </c>
      <c r="G58" s="59"/>
      <c r="H58" s="64"/>
      <c r="I58" s="58"/>
      <c r="J58" s="65"/>
      <c r="K58" s="58"/>
      <c r="L58" s="65"/>
      <c r="M58" s="58"/>
      <c r="N58" s="65"/>
      <c r="O58" s="58"/>
      <c r="P58" s="65"/>
      <c r="Q58" s="58"/>
      <c r="R58" s="65"/>
      <c r="S58" s="59"/>
      <c r="T58" s="64"/>
      <c r="U58" s="44"/>
      <c r="V58" s="84"/>
      <c r="W58" s="59"/>
      <c r="X58" s="64"/>
      <c r="Y58" s="58"/>
      <c r="Z58" s="65"/>
      <c r="AA58" s="58"/>
      <c r="AB58" s="65"/>
      <c r="AC58" s="58"/>
      <c r="AD58" s="65"/>
      <c r="AE58" s="58"/>
      <c r="AF58" s="65"/>
      <c r="AG58" s="58"/>
      <c r="AH58" s="65"/>
      <c r="AI58" s="59"/>
      <c r="AJ58" s="64"/>
      <c r="AK58" s="44"/>
      <c r="AM58" s="49"/>
      <c r="AN58" s="49"/>
      <c r="AO58" s="49"/>
      <c r="AP58" s="49"/>
      <c r="AQ58" s="49"/>
      <c r="AR58" s="40"/>
      <c r="AS58" s="51"/>
      <c r="AU58" s="49"/>
      <c r="AW58" s="52"/>
      <c r="BA58" s="2">
        <v>2016</v>
      </c>
      <c r="BB58" s="2">
        <v>5</v>
      </c>
      <c r="BC58" s="101">
        <v>42421</v>
      </c>
      <c r="BD58" s="101">
        <v>42434</v>
      </c>
    </row>
    <row r="59" spans="2:56" x14ac:dyDescent="0.35">
      <c r="B59" s="30" t="s">
        <v>57</v>
      </c>
      <c r="C59" s="31"/>
      <c r="D59" s="32"/>
      <c r="E59" s="33" t="s">
        <v>57</v>
      </c>
      <c r="F59" s="50">
        <f>B9</f>
        <v>10</v>
      </c>
      <c r="G59" s="69"/>
      <c r="H59" s="70"/>
      <c r="I59" s="67"/>
      <c r="J59" s="68"/>
      <c r="K59" s="67"/>
      <c r="L59" s="68"/>
      <c r="M59" s="67"/>
      <c r="N59" s="68"/>
      <c r="O59" s="67"/>
      <c r="P59" s="68"/>
      <c r="Q59" s="67"/>
      <c r="R59" s="68"/>
      <c r="S59" s="69"/>
      <c r="T59" s="70"/>
      <c r="U59" s="71">
        <f t="shared" ref="U59" si="20">SUM(G59:T59)</f>
        <v>0</v>
      </c>
      <c r="V59" s="72"/>
      <c r="W59" s="69"/>
      <c r="X59" s="70"/>
      <c r="Y59" s="67"/>
      <c r="Z59" s="68"/>
      <c r="AA59" s="67"/>
      <c r="AB59" s="68"/>
      <c r="AC59" s="67"/>
      <c r="AD59" s="68"/>
      <c r="AE59" s="67"/>
      <c r="AF59" s="68"/>
      <c r="AG59" s="67"/>
      <c r="AH59" s="68"/>
      <c r="AI59" s="69"/>
      <c r="AJ59" s="70"/>
      <c r="AK59" s="71">
        <v>0</v>
      </c>
      <c r="AL59" s="72"/>
      <c r="AM59" s="73">
        <f>SUMIF($G58:$T58,"",$G59:$T59)+SUMIF($W58:$AJ58,"",$W59:$AJ59)-AN59</f>
        <v>0</v>
      </c>
      <c r="AN59" s="88">
        <f>IF(SUMIF($G58:$T58,"",$G59:$T59)+SUMIF($G58:$T58,"F",$G59:$T59)+SUMIF($G58:$T58,"V",$G59:$T59)-40&lt;0,0,SUMIF($G58:$T58,"",$G59:$T59)+SUMIF($G58:$T58,"F",$G59:$T59)+SUMIF($G58:$T58,"V",$G59:$T59)-($U$9/2))+IF(SUMIF($W58:$AJ58,"",$W59:$AJ59)+SUMIF($W58:$AJ58,"F",$W59:$AJ59)+SUMIF($W58:$AJ58,"V",$W59:$AJ59)-40&lt;0,0,SUMIF($W58:$AJ58,"",$W59:$AJ59)+SUMIF($W58:$AJ58,"F",$W59:$AJ59)+SUMIF($W58:$AJ58,"V",$W59:$AJ59)-($U$9/2))</f>
        <v>0</v>
      </c>
      <c r="AO59" s="73">
        <f>SUMIF($G58:$T58,"M",$G59:$T59)+SUMIF($W58:$AJ58,"M",$W59:$AJ59)</f>
        <v>0</v>
      </c>
      <c r="AP59" s="73">
        <f>SUMIF($G58:$T58,"F",$G59:$T59)+SUMIF($W58:$AJ58,"F",$W59:$AJ59)</f>
        <v>0</v>
      </c>
      <c r="AQ59" s="73">
        <f>SUMIF($G58:$T58,"V",$G59:$T59)+SUMIF($W58:$AJ58,"V",$W59:$AJ59)</f>
        <v>0</v>
      </c>
      <c r="AR59" s="74">
        <f>SUMIF($G58:$T58,"O",$G59:$T59)+SUMIF($W58:$AJ58,"O",$W59:$AJ59)</f>
        <v>0</v>
      </c>
      <c r="AS59" s="75">
        <f>SUM(AM59:AR59)</f>
        <v>0</v>
      </c>
      <c r="AT59" s="72"/>
      <c r="AU59" s="73">
        <v>0</v>
      </c>
      <c r="AV59" s="72"/>
      <c r="AW59" s="76">
        <v>0</v>
      </c>
      <c r="BA59" s="2">
        <v>2016</v>
      </c>
      <c r="BB59" s="2">
        <v>6</v>
      </c>
      <c r="BC59" s="101">
        <v>42435</v>
      </c>
      <c r="BD59" s="101">
        <v>42448</v>
      </c>
    </row>
    <row r="60" spans="2:56" x14ac:dyDescent="0.35">
      <c r="B60" s="26"/>
      <c r="C60" s="27"/>
      <c r="D60" s="28" t="s">
        <v>57</v>
      </c>
      <c r="E60" s="29" t="s">
        <v>57</v>
      </c>
      <c r="F60" s="50">
        <f>B9</f>
        <v>10</v>
      </c>
      <c r="G60" s="59"/>
      <c r="H60" s="64"/>
      <c r="I60" s="58"/>
      <c r="J60" s="65"/>
      <c r="K60" s="58"/>
      <c r="L60" s="65"/>
      <c r="M60" s="58"/>
      <c r="N60" s="65"/>
      <c r="O60" s="58"/>
      <c r="P60" s="65"/>
      <c r="Q60" s="58"/>
      <c r="R60" s="65"/>
      <c r="S60" s="59"/>
      <c r="T60" s="64"/>
      <c r="U60" s="44"/>
      <c r="V60" s="84"/>
      <c r="W60" s="59"/>
      <c r="X60" s="64"/>
      <c r="Y60" s="58"/>
      <c r="Z60" s="65"/>
      <c r="AA60" s="58"/>
      <c r="AB60" s="65"/>
      <c r="AC60" s="58"/>
      <c r="AD60" s="65"/>
      <c r="AE60" s="58"/>
      <c r="AF60" s="65"/>
      <c r="AG60" s="58"/>
      <c r="AH60" s="65"/>
      <c r="AI60" s="59"/>
      <c r="AJ60" s="64"/>
      <c r="AK60" s="44"/>
      <c r="AM60" s="49"/>
      <c r="AN60" s="49"/>
      <c r="AO60" s="49"/>
      <c r="AP60" s="49"/>
      <c r="AQ60" s="49"/>
      <c r="AR60" s="40"/>
      <c r="AS60" s="51"/>
      <c r="AU60" s="49"/>
      <c r="AW60" s="52"/>
      <c r="BA60" s="2">
        <v>2016</v>
      </c>
      <c r="BB60" s="2">
        <v>7</v>
      </c>
      <c r="BC60" s="101">
        <v>42449</v>
      </c>
      <c r="BD60" s="101">
        <v>42462</v>
      </c>
    </row>
    <row r="61" spans="2:56" x14ac:dyDescent="0.35">
      <c r="B61" s="30" t="s">
        <v>57</v>
      </c>
      <c r="C61" s="31"/>
      <c r="D61" s="32"/>
      <c r="E61" s="33" t="s">
        <v>57</v>
      </c>
      <c r="F61" s="50">
        <f>B9</f>
        <v>10</v>
      </c>
      <c r="G61" s="69"/>
      <c r="H61" s="70"/>
      <c r="I61" s="67"/>
      <c r="J61" s="68"/>
      <c r="K61" s="67"/>
      <c r="L61" s="68"/>
      <c r="M61" s="67"/>
      <c r="N61" s="68"/>
      <c r="O61" s="67"/>
      <c r="P61" s="68"/>
      <c r="Q61" s="67"/>
      <c r="R61" s="68"/>
      <c r="S61" s="69"/>
      <c r="T61" s="70"/>
      <c r="U61" s="71">
        <f t="shared" ref="U61" si="21">SUM(G61:T61)</f>
        <v>0</v>
      </c>
      <c r="V61" s="72"/>
      <c r="W61" s="69"/>
      <c r="X61" s="70"/>
      <c r="Y61" s="67"/>
      <c r="Z61" s="68"/>
      <c r="AA61" s="67"/>
      <c r="AB61" s="68"/>
      <c r="AC61" s="67"/>
      <c r="AD61" s="68"/>
      <c r="AE61" s="67"/>
      <c r="AF61" s="68"/>
      <c r="AG61" s="67"/>
      <c r="AH61" s="68"/>
      <c r="AI61" s="69"/>
      <c r="AJ61" s="70"/>
      <c r="AK61" s="71">
        <v>0</v>
      </c>
      <c r="AL61" s="72"/>
      <c r="AM61" s="73">
        <v>0</v>
      </c>
      <c r="AN61" s="88">
        <v>0</v>
      </c>
      <c r="AO61" s="73">
        <v>0</v>
      </c>
      <c r="AP61" s="73">
        <v>0</v>
      </c>
      <c r="AQ61" s="73">
        <v>0</v>
      </c>
      <c r="AR61" s="74">
        <v>0</v>
      </c>
      <c r="AS61" s="75">
        <v>0</v>
      </c>
      <c r="AT61" s="72"/>
      <c r="AU61" s="73">
        <v>0</v>
      </c>
      <c r="AV61" s="72"/>
      <c r="AW61" s="76">
        <v>0</v>
      </c>
      <c r="BA61" s="2">
        <v>2016</v>
      </c>
      <c r="BB61" s="2">
        <v>8</v>
      </c>
      <c r="BC61" s="101">
        <v>42463</v>
      </c>
      <c r="BD61" s="101">
        <v>42476</v>
      </c>
    </row>
    <row r="62" spans="2:56" x14ac:dyDescent="0.35">
      <c r="B62" s="26"/>
      <c r="C62" s="27"/>
      <c r="D62" s="28" t="s">
        <v>57</v>
      </c>
      <c r="E62" s="29" t="s">
        <v>57</v>
      </c>
      <c r="F62" s="50">
        <f>B9</f>
        <v>10</v>
      </c>
      <c r="G62" s="59"/>
      <c r="H62" s="64"/>
      <c r="I62" s="58"/>
      <c r="J62" s="65"/>
      <c r="K62" s="58"/>
      <c r="L62" s="65"/>
      <c r="M62" s="58"/>
      <c r="N62" s="65"/>
      <c r="O62" s="58"/>
      <c r="P62" s="65"/>
      <c r="Q62" s="58"/>
      <c r="R62" s="65"/>
      <c r="S62" s="59"/>
      <c r="T62" s="64"/>
      <c r="U62" s="44"/>
      <c r="V62" s="84"/>
      <c r="W62" s="59"/>
      <c r="X62" s="64"/>
      <c r="Y62" s="58"/>
      <c r="Z62" s="65"/>
      <c r="AA62" s="58"/>
      <c r="AB62" s="65"/>
      <c r="AC62" s="58"/>
      <c r="AD62" s="65"/>
      <c r="AE62" s="58"/>
      <c r="AF62" s="65"/>
      <c r="AG62" s="58"/>
      <c r="AH62" s="65"/>
      <c r="AI62" s="59"/>
      <c r="AJ62" s="64"/>
      <c r="AK62" s="44"/>
      <c r="AM62" s="49"/>
      <c r="AN62" s="49"/>
      <c r="AO62" s="49"/>
      <c r="AP62" s="49"/>
      <c r="AQ62" s="49"/>
      <c r="AR62" s="40"/>
      <c r="AS62" s="51"/>
      <c r="AU62" s="49"/>
      <c r="AW62" s="52"/>
      <c r="BA62" s="2">
        <v>2016</v>
      </c>
      <c r="BB62" s="2">
        <v>9</v>
      </c>
      <c r="BC62" s="101">
        <v>42477</v>
      </c>
      <c r="BD62" s="101">
        <v>42490</v>
      </c>
    </row>
    <row r="63" spans="2:56" ht="15" thickBot="1" x14ac:dyDescent="0.4">
      <c r="B63" s="30" t="s">
        <v>57</v>
      </c>
      <c r="C63" s="31"/>
      <c r="D63" s="32"/>
      <c r="E63" s="33" t="s">
        <v>57</v>
      </c>
      <c r="F63" s="50">
        <f>B9</f>
        <v>10</v>
      </c>
      <c r="G63" s="69"/>
      <c r="H63" s="70"/>
      <c r="I63" s="67"/>
      <c r="J63" s="68"/>
      <c r="K63" s="67"/>
      <c r="L63" s="68"/>
      <c r="M63" s="67"/>
      <c r="N63" s="68"/>
      <c r="O63" s="67"/>
      <c r="P63" s="68"/>
      <c r="Q63" s="67"/>
      <c r="R63" s="68"/>
      <c r="S63" s="69"/>
      <c r="T63" s="70"/>
      <c r="U63" s="71">
        <f t="shared" ref="U63" si="22">SUM(G63:T63)</f>
        <v>0</v>
      </c>
      <c r="V63" s="72"/>
      <c r="W63" s="69"/>
      <c r="X63" s="70"/>
      <c r="Y63" s="67"/>
      <c r="Z63" s="68"/>
      <c r="AA63" s="67"/>
      <c r="AB63" s="68"/>
      <c r="AC63" s="67"/>
      <c r="AD63" s="68"/>
      <c r="AE63" s="67"/>
      <c r="AF63" s="68"/>
      <c r="AG63" s="67"/>
      <c r="AH63" s="68"/>
      <c r="AI63" s="69"/>
      <c r="AJ63" s="70"/>
      <c r="AK63" s="71">
        <v>0</v>
      </c>
      <c r="AL63" s="72"/>
      <c r="AM63" s="73">
        <v>0</v>
      </c>
      <c r="AN63" s="88">
        <v>0</v>
      </c>
      <c r="AO63" s="73">
        <v>0</v>
      </c>
      <c r="AP63" s="73">
        <v>0</v>
      </c>
      <c r="AQ63" s="73">
        <v>0</v>
      </c>
      <c r="AR63" s="74">
        <v>0</v>
      </c>
      <c r="AS63" s="75">
        <v>0</v>
      </c>
      <c r="AT63" s="72"/>
      <c r="AU63" s="73">
        <v>0</v>
      </c>
      <c r="AV63" s="72"/>
      <c r="AW63" s="76">
        <v>0</v>
      </c>
      <c r="BA63" s="2">
        <v>2016</v>
      </c>
      <c r="BB63" s="2">
        <v>10</v>
      </c>
      <c r="BC63" s="101">
        <v>42491</v>
      </c>
      <c r="BD63" s="101">
        <v>42504</v>
      </c>
    </row>
    <row r="64" spans="2:56" ht="27.75" customHeight="1" thickBot="1" x14ac:dyDescent="0.4">
      <c r="B64" s="149" t="s">
        <v>7</v>
      </c>
      <c r="C64" s="150"/>
      <c r="D64" s="150"/>
      <c r="E64" s="151"/>
      <c r="F64" s="97"/>
      <c r="G64" s="152">
        <f>SUM(G14:H63)</f>
        <v>0</v>
      </c>
      <c r="H64" s="152"/>
      <c r="I64" s="152">
        <f>SUM(I14:J63)</f>
        <v>121</v>
      </c>
      <c r="J64" s="152"/>
      <c r="K64" s="152">
        <f>SUM(K14:L63)</f>
        <v>120.75</v>
      </c>
      <c r="L64" s="152"/>
      <c r="M64" s="152">
        <f>SUM(M14:N63)</f>
        <v>121.75</v>
      </c>
      <c r="N64" s="152"/>
      <c r="O64" s="152">
        <f>SUM(O14:P63)</f>
        <v>120.5</v>
      </c>
      <c r="P64" s="152"/>
      <c r="Q64" s="152">
        <f>SUM(Q14:R63)</f>
        <v>117.75</v>
      </c>
      <c r="R64" s="152"/>
      <c r="S64" s="152">
        <f>SUM(S14:T63)</f>
        <v>0</v>
      </c>
      <c r="T64" s="153"/>
      <c r="U64" s="77">
        <f>SUM(U14:U63)</f>
        <v>601.75</v>
      </c>
      <c r="V64" s="78"/>
      <c r="W64" s="152">
        <f>SUM(W14:X63)</f>
        <v>0</v>
      </c>
      <c r="X64" s="152"/>
      <c r="Y64" s="152">
        <f>SUM(Y14:Z63)</f>
        <v>120.5</v>
      </c>
      <c r="Z64" s="152"/>
      <c r="AA64" s="152">
        <f>SUM(AA14:AB63)</f>
        <v>121</v>
      </c>
      <c r="AB64" s="152"/>
      <c r="AC64" s="152">
        <f>SUM(AC14:AD63)</f>
        <v>120.5</v>
      </c>
      <c r="AD64" s="152"/>
      <c r="AE64" s="152">
        <f>SUM(AE14:AF63)</f>
        <v>113.5</v>
      </c>
      <c r="AF64" s="152"/>
      <c r="AG64" s="152">
        <f>SUM(AG14:AH63)</f>
        <v>112.5</v>
      </c>
      <c r="AH64" s="152"/>
      <c r="AI64" s="152">
        <f>SUM(AI14:AJ63)</f>
        <v>0</v>
      </c>
      <c r="AJ64" s="152"/>
      <c r="AK64" s="77">
        <f>SUM(AK14:AK63)</f>
        <v>588</v>
      </c>
      <c r="AL64" s="78"/>
      <c r="AM64" s="79">
        <f t="shared" ref="AM64:AS64" si="23">SUM(AM14:AM63)</f>
        <v>1101.25</v>
      </c>
      <c r="AN64" s="79">
        <f t="shared" si="23"/>
        <v>8.5</v>
      </c>
      <c r="AO64" s="79">
        <f t="shared" si="23"/>
        <v>0</v>
      </c>
      <c r="AP64" s="79">
        <f t="shared" si="23"/>
        <v>0</v>
      </c>
      <c r="AQ64" s="79">
        <f t="shared" si="23"/>
        <v>80</v>
      </c>
      <c r="AR64" s="80">
        <f t="shared" si="23"/>
        <v>0</v>
      </c>
      <c r="AS64" s="81">
        <f t="shared" si="23"/>
        <v>1189.75</v>
      </c>
      <c r="AT64" s="78"/>
      <c r="AU64" s="82">
        <f>SUM(AU14:AU63)</f>
        <v>0</v>
      </c>
      <c r="AV64" s="78"/>
      <c r="AW64" s="83">
        <f>SUM(AW14:AW63)</f>
        <v>1680</v>
      </c>
      <c r="BA64" s="2">
        <v>2016</v>
      </c>
      <c r="BB64" s="2">
        <v>11</v>
      </c>
      <c r="BC64" s="101">
        <v>42505</v>
      </c>
      <c r="BD64" s="101">
        <v>42518</v>
      </c>
    </row>
    <row r="65" spans="1:56" ht="15" thickTop="1" x14ac:dyDescent="0.35">
      <c r="A65" s="57"/>
      <c r="B65" s="54"/>
      <c r="C65" s="53"/>
      <c r="D65" s="53"/>
      <c r="E65" s="53"/>
      <c r="F65" s="98"/>
      <c r="G65" s="55"/>
      <c r="H65" s="55"/>
      <c r="I65" s="55"/>
      <c r="J65" s="55"/>
      <c r="K65" s="55"/>
      <c r="L65" s="55"/>
      <c r="M65" s="55"/>
      <c r="N65" s="55"/>
      <c r="O65" s="55"/>
      <c r="P65" s="55"/>
      <c r="Q65" s="55"/>
      <c r="R65" s="55"/>
      <c r="S65" s="55"/>
      <c r="T65" s="55"/>
      <c r="U65" s="56"/>
      <c r="V65" s="55"/>
      <c r="W65" s="55"/>
      <c r="X65" s="55"/>
      <c r="Y65" s="55"/>
      <c r="Z65" s="55"/>
      <c r="AA65" s="55"/>
      <c r="AB65" s="55"/>
      <c r="AC65" s="55"/>
      <c r="AD65" s="55"/>
      <c r="AE65" s="55"/>
      <c r="AF65" s="55"/>
      <c r="AG65" s="55"/>
      <c r="AH65" s="55"/>
      <c r="AI65" s="55"/>
      <c r="AJ65" s="55"/>
      <c r="AK65" s="56"/>
      <c r="AL65" s="55"/>
      <c r="AM65" s="55"/>
      <c r="AN65" s="55"/>
      <c r="AO65" s="55"/>
      <c r="AP65" s="55"/>
      <c r="AQ65" s="55"/>
      <c r="AR65" s="55"/>
      <c r="AS65" s="55"/>
      <c r="AT65" s="55"/>
      <c r="AU65" s="55"/>
      <c r="AV65" s="55"/>
      <c r="AW65" s="55"/>
      <c r="AX65" s="57"/>
      <c r="BA65" s="2">
        <v>2016</v>
      </c>
      <c r="BB65" s="2">
        <v>12</v>
      </c>
      <c r="BC65" s="101">
        <v>42519</v>
      </c>
      <c r="BD65" s="101">
        <v>42532</v>
      </c>
    </row>
    <row r="66" spans="1:56" x14ac:dyDescent="0.35">
      <c r="A66" s="57"/>
      <c r="B66" s="54" t="s">
        <v>52</v>
      </c>
      <c r="C66" s="53"/>
      <c r="D66" s="141" t="s">
        <v>73</v>
      </c>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56"/>
      <c r="AL66" s="55"/>
      <c r="AM66" s="55"/>
      <c r="AN66" s="55"/>
      <c r="AO66" s="55"/>
      <c r="AP66" s="55"/>
      <c r="AQ66" s="55"/>
      <c r="AR66" s="55"/>
      <c r="AS66" s="55"/>
      <c r="AT66" s="55"/>
      <c r="AU66" s="55"/>
      <c r="AV66" s="55"/>
      <c r="AW66" s="55"/>
      <c r="AX66" s="57"/>
      <c r="BA66" s="2">
        <v>2016</v>
      </c>
      <c r="BB66" s="2">
        <v>13</v>
      </c>
      <c r="BC66" s="101">
        <v>42533</v>
      </c>
      <c r="BD66" s="101">
        <v>42546</v>
      </c>
    </row>
    <row r="67" spans="1:56" x14ac:dyDescent="0.35">
      <c r="A67" s="53"/>
      <c r="B67" s="54"/>
      <c r="C67" s="53"/>
      <c r="D67" s="141" t="s">
        <v>72</v>
      </c>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56"/>
      <c r="AL67" s="55"/>
      <c r="AM67" s="55"/>
      <c r="AN67" s="55"/>
      <c r="AO67" s="55"/>
      <c r="AP67" s="55"/>
      <c r="AQ67" s="55"/>
      <c r="AR67" s="55"/>
      <c r="AS67" s="55"/>
      <c r="AT67" s="55"/>
      <c r="AU67" s="55"/>
      <c r="AV67" s="55"/>
      <c r="AW67" s="55"/>
      <c r="AX67" s="53"/>
      <c r="BA67" s="2">
        <v>2016</v>
      </c>
      <c r="BB67" s="2">
        <v>14</v>
      </c>
      <c r="BC67" s="101">
        <v>42547</v>
      </c>
      <c r="BD67" s="101">
        <v>42560</v>
      </c>
    </row>
    <row r="68" spans="1:56" x14ac:dyDescent="0.35">
      <c r="A68" s="53"/>
      <c r="B68" s="54"/>
      <c r="C68" s="53"/>
      <c r="D68" s="141" t="s">
        <v>75</v>
      </c>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56"/>
      <c r="AL68" s="55"/>
      <c r="AM68" s="55"/>
      <c r="AN68" s="55"/>
      <c r="AO68" s="55"/>
      <c r="AP68" s="55"/>
      <c r="AQ68" s="55"/>
      <c r="AR68" s="55"/>
      <c r="AS68" s="55"/>
      <c r="AT68" s="55"/>
      <c r="AU68" s="55"/>
      <c r="AV68" s="55"/>
      <c r="AW68" s="55"/>
      <c r="AX68" s="53"/>
      <c r="BA68" s="2">
        <v>2016</v>
      </c>
      <c r="BB68" s="2">
        <v>15</v>
      </c>
      <c r="BC68" s="101">
        <v>42561</v>
      </c>
      <c r="BD68" s="101">
        <v>42574</v>
      </c>
    </row>
    <row r="69" spans="1:56" x14ac:dyDescent="0.35">
      <c r="A69" s="53"/>
      <c r="B69" s="54"/>
      <c r="C69" s="53"/>
      <c r="D69" s="53"/>
      <c r="E69" s="53"/>
      <c r="F69" s="98"/>
      <c r="G69" s="55"/>
      <c r="H69" s="55"/>
      <c r="I69" s="55"/>
      <c r="J69" s="55"/>
      <c r="K69" s="55"/>
      <c r="L69" s="55"/>
      <c r="M69" s="55"/>
      <c r="N69" s="55"/>
      <c r="O69" s="55"/>
      <c r="P69" s="55"/>
      <c r="Q69" s="55"/>
      <c r="R69" s="55"/>
      <c r="S69" s="55"/>
      <c r="T69" s="55"/>
      <c r="U69" s="56"/>
      <c r="V69" s="55"/>
      <c r="W69" s="55"/>
      <c r="X69" s="55"/>
      <c r="Y69" s="55"/>
      <c r="Z69" s="55"/>
      <c r="AA69" s="55"/>
      <c r="AB69" s="55"/>
      <c r="AC69" s="55"/>
      <c r="AD69" s="55"/>
      <c r="AE69" s="55"/>
      <c r="AF69" s="55"/>
      <c r="AG69" s="55"/>
      <c r="AH69" s="55"/>
      <c r="AI69" s="55"/>
      <c r="AJ69" s="55"/>
      <c r="AK69" s="56"/>
      <c r="AL69" s="55"/>
      <c r="AM69" s="55"/>
      <c r="AN69" s="55"/>
      <c r="AO69" s="55"/>
      <c r="AP69" s="55"/>
      <c r="AQ69" s="55"/>
      <c r="AR69" s="55"/>
      <c r="AS69" s="55"/>
      <c r="AT69" s="55"/>
      <c r="AU69" s="55"/>
      <c r="AV69" s="55"/>
      <c r="AW69" s="55"/>
      <c r="AX69" s="53"/>
      <c r="BA69" s="2">
        <v>2016</v>
      </c>
      <c r="BB69" s="2">
        <v>16</v>
      </c>
      <c r="BC69" s="101">
        <v>42575</v>
      </c>
      <c r="BD69" s="101">
        <v>42588</v>
      </c>
    </row>
    <row r="70" spans="1:56" x14ac:dyDescent="0.35">
      <c r="A70" s="53"/>
      <c r="B70" s="54" t="s">
        <v>53</v>
      </c>
      <c r="C70" s="53"/>
      <c r="D70" s="31" t="s">
        <v>74</v>
      </c>
      <c r="E70" s="34"/>
      <c r="F70" s="99"/>
      <c r="G70" s="34"/>
      <c r="H70" s="34"/>
      <c r="I70" s="34"/>
      <c r="J70" s="34"/>
      <c r="K70" s="53"/>
      <c r="L70" s="55" t="s">
        <v>8</v>
      </c>
      <c r="M70" s="53"/>
      <c r="N70" s="142">
        <f ca="1">NOW()</f>
        <v>44720.650928935182</v>
      </c>
      <c r="O70" s="142"/>
      <c r="P70" s="142"/>
      <c r="Q70" s="53"/>
      <c r="R70" s="53"/>
      <c r="S70" s="53"/>
      <c r="T70" s="53"/>
      <c r="U70" s="53"/>
      <c r="V70" s="55"/>
      <c r="W70" s="55"/>
      <c r="X70" s="55"/>
      <c r="Y70" s="55"/>
      <c r="Z70" s="55"/>
      <c r="AA70" s="55"/>
      <c r="AB70" s="55"/>
      <c r="AC70" s="55"/>
      <c r="AD70" s="55"/>
      <c r="AE70" s="55"/>
      <c r="AF70" s="55"/>
      <c r="AG70" s="55"/>
      <c r="AH70" s="55"/>
      <c r="AI70" s="55"/>
      <c r="AJ70" s="55"/>
      <c r="AK70" s="56"/>
      <c r="AL70" s="55"/>
      <c r="AM70" s="55"/>
      <c r="AN70" s="55"/>
      <c r="AO70" s="55"/>
      <c r="AP70" s="55"/>
      <c r="AQ70" s="55"/>
      <c r="AR70" s="55"/>
      <c r="AS70" s="55"/>
      <c r="AT70" s="55"/>
      <c r="AU70" s="55"/>
      <c r="AV70" s="55"/>
      <c r="AW70" s="55"/>
      <c r="AX70" s="53"/>
      <c r="BA70" s="2">
        <v>2016</v>
      </c>
      <c r="BB70" s="2">
        <v>17</v>
      </c>
      <c r="BC70" s="101">
        <v>42589</v>
      </c>
      <c r="BD70" s="101">
        <v>42602</v>
      </c>
    </row>
    <row r="71" spans="1:56" x14ac:dyDescent="0.35">
      <c r="A71" s="53"/>
      <c r="B71" s="54"/>
      <c r="C71" s="53"/>
      <c r="D71" s="53"/>
      <c r="E71" s="53"/>
      <c r="F71" s="98"/>
      <c r="G71" s="55"/>
      <c r="H71" s="55"/>
      <c r="I71" s="55"/>
      <c r="J71" s="55"/>
      <c r="K71" s="53"/>
      <c r="L71" s="55"/>
      <c r="M71" s="53"/>
      <c r="N71" s="55"/>
      <c r="O71" s="56"/>
      <c r="P71" s="53"/>
      <c r="Q71" s="53"/>
      <c r="R71" s="53"/>
      <c r="S71" s="53"/>
      <c r="T71" s="53"/>
      <c r="U71" s="53"/>
      <c r="V71" s="55"/>
      <c r="W71" s="55"/>
      <c r="X71" s="55"/>
      <c r="Y71" s="55"/>
      <c r="Z71" s="55"/>
      <c r="AA71" s="55"/>
      <c r="AB71" s="55"/>
      <c r="AC71" s="55"/>
      <c r="AD71" s="55"/>
      <c r="AE71" s="55"/>
      <c r="AF71" s="55"/>
      <c r="AG71" s="55"/>
      <c r="AH71" s="55"/>
      <c r="AI71" s="55"/>
      <c r="AJ71" s="55"/>
      <c r="AK71" s="56"/>
      <c r="AL71" s="55"/>
      <c r="AM71" s="55"/>
      <c r="AN71" s="55"/>
      <c r="AO71" s="55"/>
      <c r="AP71" s="55"/>
      <c r="AQ71" s="55"/>
      <c r="AR71" s="55"/>
      <c r="AS71" s="55"/>
      <c r="AT71" s="55"/>
      <c r="AU71" s="55"/>
      <c r="AV71" s="55"/>
      <c r="AW71" s="55"/>
      <c r="AX71" s="53"/>
      <c r="BA71" s="2">
        <v>2016</v>
      </c>
      <c r="BB71" s="2">
        <v>18</v>
      </c>
      <c r="BC71" s="101">
        <v>42603</v>
      </c>
      <c r="BD71" s="101">
        <v>42616</v>
      </c>
    </row>
    <row r="72" spans="1:56" x14ac:dyDescent="0.35">
      <c r="A72" s="53"/>
      <c r="B72" s="54" t="s">
        <v>54</v>
      </c>
      <c r="C72" s="53"/>
      <c r="D72" s="31"/>
      <c r="E72" s="34"/>
      <c r="F72" s="99"/>
      <c r="G72" s="34"/>
      <c r="H72" s="34"/>
      <c r="I72" s="34"/>
      <c r="J72" s="34"/>
      <c r="K72" s="53"/>
      <c r="L72" s="55" t="s">
        <v>8</v>
      </c>
      <c r="M72" s="53"/>
      <c r="N72" s="142">
        <f ca="1">NOW()</f>
        <v>44720.650928935182</v>
      </c>
      <c r="O72" s="142"/>
      <c r="P72" s="142"/>
      <c r="Q72" s="53"/>
      <c r="R72" s="53"/>
      <c r="S72" s="53"/>
      <c r="T72" s="53"/>
      <c r="U72" s="53"/>
      <c r="V72" s="55"/>
      <c r="W72" s="55"/>
      <c r="X72" s="55"/>
      <c r="Y72" s="55"/>
      <c r="Z72" s="55"/>
      <c r="AA72" s="55"/>
      <c r="AB72" s="55"/>
      <c r="AC72" s="55"/>
      <c r="AD72" s="55"/>
      <c r="AE72" s="55"/>
      <c r="AF72" s="55"/>
      <c r="AG72" s="55"/>
      <c r="AH72" s="55"/>
      <c r="AI72" s="55"/>
      <c r="AJ72" s="55"/>
      <c r="AK72" s="56"/>
      <c r="AL72" s="55"/>
      <c r="AM72" s="55"/>
      <c r="AN72" s="55"/>
      <c r="AO72" s="55"/>
      <c r="AP72" s="55"/>
      <c r="AQ72" s="55"/>
      <c r="AR72" s="55"/>
      <c r="AS72" s="55"/>
      <c r="AT72" s="55"/>
      <c r="AU72" s="55"/>
      <c r="AV72" s="55"/>
      <c r="AW72" s="55"/>
      <c r="AX72" s="53"/>
      <c r="BA72" s="2">
        <v>2016</v>
      </c>
      <c r="BB72" s="2">
        <v>19</v>
      </c>
      <c r="BC72" s="101">
        <v>42617</v>
      </c>
      <c r="BD72" s="101">
        <v>42630</v>
      </c>
    </row>
    <row r="73" spans="1:56" x14ac:dyDescent="0.35">
      <c r="A73" s="53"/>
      <c r="B73" s="54"/>
      <c r="C73" s="53"/>
      <c r="D73" s="53"/>
      <c r="E73" s="53"/>
      <c r="F73" s="98"/>
      <c r="G73" s="55"/>
      <c r="H73" s="55"/>
      <c r="I73" s="55"/>
      <c r="J73" s="55"/>
      <c r="K73" s="55"/>
      <c r="L73" s="55"/>
      <c r="M73" s="55"/>
      <c r="N73" s="55"/>
      <c r="O73" s="55"/>
      <c r="P73" s="55"/>
      <c r="Q73" s="55"/>
      <c r="R73" s="55"/>
      <c r="S73" s="55"/>
      <c r="T73" s="55"/>
      <c r="U73" s="56"/>
      <c r="V73" s="55"/>
      <c r="W73" s="55"/>
      <c r="X73" s="55"/>
      <c r="Y73" s="55"/>
      <c r="Z73" s="55"/>
      <c r="AA73" s="55"/>
      <c r="AB73" s="55"/>
      <c r="AC73" s="55"/>
      <c r="AD73" s="55"/>
      <c r="AE73" s="55"/>
      <c r="AF73" s="55"/>
      <c r="AG73" s="55"/>
      <c r="AH73" s="55"/>
      <c r="AI73" s="55"/>
      <c r="AJ73" s="55"/>
      <c r="AK73" s="56"/>
      <c r="AL73" s="55"/>
      <c r="AM73" s="55"/>
      <c r="AN73" s="55"/>
      <c r="AO73" s="55"/>
      <c r="AP73" s="55"/>
      <c r="AQ73" s="55"/>
      <c r="AR73" s="55"/>
      <c r="AS73" s="55"/>
      <c r="AT73" s="55"/>
      <c r="AU73" s="55"/>
      <c r="AV73" s="55"/>
      <c r="AW73" s="55"/>
      <c r="AX73" s="53"/>
      <c r="BA73" s="2">
        <v>2016</v>
      </c>
      <c r="BB73" s="2">
        <v>20</v>
      </c>
      <c r="BC73" s="101">
        <v>42631</v>
      </c>
      <c r="BD73" s="101">
        <v>42644</v>
      </c>
    </row>
    <row r="74" spans="1:56" x14ac:dyDescent="0.35">
      <c r="A74" s="53"/>
      <c r="B74" s="54" t="s">
        <v>9</v>
      </c>
      <c r="C74" s="53"/>
      <c r="D74" s="53"/>
      <c r="E74" s="53"/>
      <c r="F74" s="98"/>
      <c r="G74" s="55"/>
      <c r="H74" s="55"/>
      <c r="I74" s="55"/>
      <c r="J74" s="55"/>
      <c r="K74" s="55"/>
      <c r="L74" s="55"/>
      <c r="M74" s="55"/>
      <c r="N74" s="55"/>
      <c r="O74" s="55"/>
      <c r="P74" s="55"/>
      <c r="Q74" s="55"/>
      <c r="R74" s="55"/>
      <c r="S74" s="55"/>
      <c r="T74" s="55"/>
      <c r="U74" s="56"/>
      <c r="V74" s="55"/>
      <c r="W74" s="55"/>
      <c r="X74" s="55"/>
      <c r="Y74" s="55"/>
      <c r="Z74" s="55"/>
      <c r="AA74" s="55"/>
      <c r="AB74" s="55"/>
      <c r="AC74" s="55"/>
      <c r="AD74" s="55"/>
      <c r="AE74" s="55"/>
      <c r="AF74" s="55"/>
      <c r="AG74" s="55"/>
      <c r="AH74" s="55"/>
      <c r="AI74" s="55"/>
      <c r="AJ74" s="55"/>
      <c r="AK74" s="56"/>
      <c r="AL74" s="55"/>
      <c r="AM74" s="55"/>
      <c r="AN74" s="55"/>
      <c r="AO74" s="55"/>
      <c r="AP74" s="55"/>
      <c r="AQ74" s="55"/>
      <c r="AR74" s="55"/>
      <c r="AS74" s="55"/>
      <c r="AT74" s="55"/>
      <c r="AU74" s="55"/>
      <c r="AV74" s="55"/>
      <c r="AW74" s="55"/>
      <c r="AX74" s="53"/>
      <c r="BA74" s="2">
        <v>2016</v>
      </c>
      <c r="BB74" s="2">
        <v>21</v>
      </c>
      <c r="BC74" s="101">
        <v>42645</v>
      </c>
      <c r="BD74" s="101">
        <v>42658</v>
      </c>
    </row>
    <row r="75" spans="1:56" x14ac:dyDescent="0.35">
      <c r="A75" s="53"/>
      <c r="G75" s="143" t="s">
        <v>10</v>
      </c>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X75" s="53"/>
      <c r="BA75" s="2">
        <v>2016</v>
      </c>
      <c r="BB75" s="2">
        <v>22</v>
      </c>
      <c r="BC75" s="101">
        <v>42659</v>
      </c>
      <c r="BD75" s="101">
        <v>42672</v>
      </c>
    </row>
    <row r="76" spans="1:56" x14ac:dyDescent="0.35">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BA76" s="2">
        <v>2016</v>
      </c>
      <c r="BB76" s="2">
        <v>23</v>
      </c>
      <c r="BC76" s="101">
        <v>42673</v>
      </c>
      <c r="BD76" s="101">
        <v>42686</v>
      </c>
    </row>
    <row r="77" spans="1:56" x14ac:dyDescent="0.35">
      <c r="G77" s="168"/>
      <c r="H77" s="168"/>
      <c r="I77" s="168"/>
      <c r="J77" s="168"/>
      <c r="K77" s="168"/>
      <c r="L77" s="168"/>
      <c r="M77" s="168"/>
      <c r="N77" s="168"/>
      <c r="O77" s="168"/>
      <c r="P77" s="168"/>
      <c r="Q77" s="168"/>
      <c r="R77" s="168"/>
      <c r="S77" s="168"/>
      <c r="T77" s="168"/>
      <c r="U77" s="168"/>
      <c r="W77" s="37" t="s">
        <v>12</v>
      </c>
      <c r="X77" s="86" t="s">
        <v>11</v>
      </c>
      <c r="Y77" s="84"/>
      <c r="BA77" s="2">
        <v>2016</v>
      </c>
      <c r="BB77" s="2">
        <v>24</v>
      </c>
      <c r="BC77" s="101">
        <v>42687</v>
      </c>
      <c r="BD77" s="101">
        <v>42700</v>
      </c>
    </row>
    <row r="78" spans="1:56" x14ac:dyDescent="0.35">
      <c r="G78" s="35" t="s">
        <v>0</v>
      </c>
      <c r="W78" s="37" t="s">
        <v>13</v>
      </c>
      <c r="X78" s="86" t="s">
        <v>14</v>
      </c>
      <c r="Y78" s="84"/>
      <c r="BA78" s="2">
        <v>2016</v>
      </c>
      <c r="BB78" s="2">
        <v>25</v>
      </c>
      <c r="BC78" s="101">
        <v>42701</v>
      </c>
      <c r="BD78" s="101">
        <v>42714</v>
      </c>
    </row>
    <row r="79" spans="1:56" x14ac:dyDescent="0.35">
      <c r="W79" s="37" t="s">
        <v>1</v>
      </c>
      <c r="X79" s="86" t="s">
        <v>15</v>
      </c>
      <c r="Y79" s="84"/>
      <c r="BA79" s="2">
        <v>2016</v>
      </c>
      <c r="BB79" s="2">
        <v>26</v>
      </c>
      <c r="BC79" s="101">
        <v>42715</v>
      </c>
      <c r="BD79" s="101">
        <v>42728</v>
      </c>
    </row>
    <row r="80" spans="1:56" x14ac:dyDescent="0.35">
      <c r="W80" s="37" t="s">
        <v>2</v>
      </c>
      <c r="X80" s="86" t="s">
        <v>16</v>
      </c>
      <c r="Y80" s="84"/>
      <c r="BA80" s="2">
        <v>2017</v>
      </c>
      <c r="BB80" s="2">
        <v>1</v>
      </c>
      <c r="BC80" s="101">
        <v>42729</v>
      </c>
      <c r="BD80" s="101">
        <v>42742</v>
      </c>
    </row>
    <row r="81" spans="2:56" ht="15" customHeight="1" x14ac:dyDescent="0.35">
      <c r="B81" s="154" t="s">
        <v>35</v>
      </c>
      <c r="C81" s="84"/>
      <c r="D81" s="84"/>
      <c r="E81" s="84"/>
      <c r="G81" s="154" t="s">
        <v>36</v>
      </c>
      <c r="H81" s="154"/>
      <c r="I81" s="154"/>
      <c r="J81" s="84"/>
      <c r="K81" s="154" t="s">
        <v>36</v>
      </c>
      <c r="L81" s="154"/>
      <c r="M81" s="154"/>
      <c r="N81" s="84"/>
      <c r="O81" s="84"/>
      <c r="P81" s="84"/>
      <c r="Q81" s="84"/>
      <c r="R81" s="84"/>
      <c r="S81" s="84"/>
      <c r="T81" s="84"/>
      <c r="U81" s="84"/>
      <c r="W81" s="37" t="s">
        <v>3</v>
      </c>
      <c r="X81" s="86" t="s">
        <v>17</v>
      </c>
      <c r="Y81" s="84"/>
      <c r="BA81" s="2">
        <v>2017</v>
      </c>
      <c r="BB81" s="2">
        <v>2</v>
      </c>
      <c r="BC81" s="101">
        <v>42743</v>
      </c>
      <c r="BD81" s="101">
        <v>42756</v>
      </c>
    </row>
    <row r="82" spans="2:56" x14ac:dyDescent="0.35">
      <c r="B82" s="155"/>
      <c r="C82" s="84"/>
      <c r="D82" s="37" t="s">
        <v>34</v>
      </c>
      <c r="E82" s="84"/>
      <c r="G82" s="154"/>
      <c r="H82" s="154"/>
      <c r="I82" s="154"/>
      <c r="J82" s="84"/>
      <c r="K82" s="154"/>
      <c r="L82" s="154"/>
      <c r="M82" s="154"/>
      <c r="N82" s="84"/>
      <c r="O82" s="84"/>
      <c r="P82" s="84"/>
      <c r="Q82" s="84"/>
      <c r="R82" s="84"/>
      <c r="S82" s="84"/>
      <c r="T82" s="84"/>
      <c r="U82" s="84"/>
      <c r="W82" s="38"/>
      <c r="BA82" s="2">
        <v>2017</v>
      </c>
      <c r="BB82" s="2">
        <v>3</v>
      </c>
      <c r="BC82" s="101">
        <v>42757</v>
      </c>
      <c r="BD82" s="101">
        <v>42770</v>
      </c>
    </row>
    <row r="83" spans="2:56" x14ac:dyDescent="0.35">
      <c r="B83" s="85">
        <f>B9+1</f>
        <v>11</v>
      </c>
      <c r="C83" s="84"/>
      <c r="D83" s="96">
        <f>D9</f>
        <v>2021</v>
      </c>
      <c r="E83" s="87" t="s">
        <v>38</v>
      </c>
      <c r="G83" s="156">
        <f>K9+1</f>
        <v>44325</v>
      </c>
      <c r="H83" s="157"/>
      <c r="I83" s="158"/>
      <c r="J83" s="37" t="s">
        <v>37</v>
      </c>
      <c r="K83" s="156">
        <f>IF(G83="","",G83+13)</f>
        <v>44338</v>
      </c>
      <c r="L83" s="157"/>
      <c r="M83" s="158"/>
      <c r="N83" s="84"/>
      <c r="O83" s="84"/>
      <c r="P83" s="159" t="s">
        <v>39</v>
      </c>
      <c r="Q83" s="160"/>
      <c r="R83" s="160"/>
      <c r="S83" s="160"/>
      <c r="T83" s="161"/>
      <c r="U83" s="24">
        <v>80</v>
      </c>
      <c r="BA83" s="2">
        <v>2017</v>
      </c>
      <c r="BB83" s="2">
        <v>4</v>
      </c>
      <c r="BC83" s="101">
        <v>42771</v>
      </c>
      <c r="BD83" s="101">
        <v>42784</v>
      </c>
    </row>
    <row r="84" spans="2:56" x14ac:dyDescent="0.35">
      <c r="D84" s="84"/>
      <c r="E84" s="84"/>
      <c r="AM84" s="144" t="s">
        <v>4</v>
      </c>
      <c r="AN84" s="144"/>
      <c r="AO84" s="144"/>
      <c r="AP84" s="144"/>
      <c r="AQ84" s="144"/>
      <c r="AR84" s="144"/>
      <c r="AS84" s="144"/>
      <c r="AU84" s="66" t="s">
        <v>4</v>
      </c>
      <c r="BA84" s="2">
        <v>2017</v>
      </c>
      <c r="BB84" s="2">
        <v>5</v>
      </c>
      <c r="BC84" s="101">
        <v>42785</v>
      </c>
      <c r="BD84" s="101">
        <v>42798</v>
      </c>
    </row>
    <row r="85" spans="2:56" ht="15" customHeight="1" x14ac:dyDescent="0.35">
      <c r="B85" s="40"/>
      <c r="C85" s="41"/>
      <c r="D85" s="42" t="s">
        <v>32</v>
      </c>
      <c r="E85" s="43" t="s">
        <v>5</v>
      </c>
      <c r="G85" s="162">
        <f>G83</f>
        <v>44325</v>
      </c>
      <c r="H85" s="163"/>
      <c r="I85" s="162">
        <f>IF(G85="","",G85+1)</f>
        <v>44326</v>
      </c>
      <c r="J85" s="163"/>
      <c r="K85" s="162">
        <f>IF(I85="","",I85+1)</f>
        <v>44327</v>
      </c>
      <c r="L85" s="163"/>
      <c r="M85" s="162">
        <f>IF(K85="","",K85+1)</f>
        <v>44328</v>
      </c>
      <c r="N85" s="163"/>
      <c r="O85" s="162">
        <f>IF(M85="","",M85+1)</f>
        <v>44329</v>
      </c>
      <c r="P85" s="163"/>
      <c r="Q85" s="162">
        <f>IF(O85="","",O85+1)</f>
        <v>44330</v>
      </c>
      <c r="R85" s="163"/>
      <c r="S85" s="162">
        <f>IF(Q85="","",Q85+1)</f>
        <v>44331</v>
      </c>
      <c r="T85" s="164"/>
      <c r="U85" s="44"/>
      <c r="V85" s="84"/>
      <c r="W85" s="162">
        <f>IF(S85="","",S85+1)</f>
        <v>44332</v>
      </c>
      <c r="X85" s="163"/>
      <c r="Y85" s="162">
        <f>IF(W85="","",W85+1)</f>
        <v>44333</v>
      </c>
      <c r="Z85" s="163"/>
      <c r="AA85" s="162">
        <f>IF(Y85="","",Y85+1)</f>
        <v>44334</v>
      </c>
      <c r="AB85" s="163"/>
      <c r="AC85" s="162">
        <f>IF(AA85="","",AA85+1)</f>
        <v>44335</v>
      </c>
      <c r="AD85" s="163"/>
      <c r="AE85" s="162">
        <f>IF(AC85="","",AC85+1)</f>
        <v>44336</v>
      </c>
      <c r="AF85" s="163"/>
      <c r="AG85" s="162">
        <f>IF(AE85="","",AE85+1)</f>
        <v>44337</v>
      </c>
      <c r="AH85" s="163"/>
      <c r="AI85" s="162">
        <f>IF(AG85="","",AG85+1)</f>
        <v>44338</v>
      </c>
      <c r="AJ85" s="164"/>
      <c r="AK85" s="44"/>
      <c r="AL85" s="84"/>
      <c r="AM85" s="145" t="s">
        <v>18</v>
      </c>
      <c r="AN85" s="165" t="s">
        <v>55</v>
      </c>
      <c r="AO85" s="145" t="s">
        <v>19</v>
      </c>
      <c r="AP85" s="145" t="s">
        <v>20</v>
      </c>
      <c r="AQ85" s="145" t="s">
        <v>21</v>
      </c>
      <c r="AR85" s="166" t="s">
        <v>22</v>
      </c>
      <c r="AS85" s="167" t="s">
        <v>23</v>
      </c>
      <c r="AT85" s="84"/>
      <c r="AU85" s="144" t="s">
        <v>6</v>
      </c>
      <c r="AV85" s="84"/>
      <c r="AW85" s="145" t="s">
        <v>24</v>
      </c>
      <c r="BA85" s="2">
        <v>2017</v>
      </c>
      <c r="BB85" s="2">
        <v>6</v>
      </c>
      <c r="BC85" s="101">
        <v>42799</v>
      </c>
      <c r="BD85" s="101">
        <v>42812</v>
      </c>
    </row>
    <row r="86" spans="2:56" x14ac:dyDescent="0.35">
      <c r="B86" s="45" t="s">
        <v>33</v>
      </c>
      <c r="C86" s="46"/>
      <c r="D86" s="47"/>
      <c r="E86" s="47"/>
      <c r="G86" s="146" t="s">
        <v>25</v>
      </c>
      <c r="H86" s="147"/>
      <c r="I86" s="146" t="s">
        <v>26</v>
      </c>
      <c r="J86" s="147"/>
      <c r="K86" s="146" t="s">
        <v>27</v>
      </c>
      <c r="L86" s="147"/>
      <c r="M86" s="146" t="s">
        <v>28</v>
      </c>
      <c r="N86" s="147"/>
      <c r="O86" s="146" t="s">
        <v>29</v>
      </c>
      <c r="P86" s="147"/>
      <c r="Q86" s="146" t="s">
        <v>30</v>
      </c>
      <c r="R86" s="147"/>
      <c r="S86" s="146" t="s">
        <v>31</v>
      </c>
      <c r="T86" s="148"/>
      <c r="U86" s="48" t="s">
        <v>7</v>
      </c>
      <c r="V86" s="84"/>
      <c r="W86" s="146" t="s">
        <v>25</v>
      </c>
      <c r="X86" s="147"/>
      <c r="Y86" s="146" t="s">
        <v>26</v>
      </c>
      <c r="Z86" s="147"/>
      <c r="AA86" s="146" t="s">
        <v>27</v>
      </c>
      <c r="AB86" s="147"/>
      <c r="AC86" s="146" t="s">
        <v>28</v>
      </c>
      <c r="AD86" s="147"/>
      <c r="AE86" s="146" t="s">
        <v>29</v>
      </c>
      <c r="AF86" s="147"/>
      <c r="AG86" s="146" t="s">
        <v>30</v>
      </c>
      <c r="AH86" s="147"/>
      <c r="AI86" s="146" t="s">
        <v>31</v>
      </c>
      <c r="AJ86" s="148"/>
      <c r="AK86" s="48" t="s">
        <v>7</v>
      </c>
      <c r="AL86" s="84"/>
      <c r="AM86" s="145"/>
      <c r="AN86" s="165"/>
      <c r="AO86" s="145"/>
      <c r="AP86" s="145"/>
      <c r="AQ86" s="145"/>
      <c r="AR86" s="166"/>
      <c r="AS86" s="167"/>
      <c r="AT86" s="84"/>
      <c r="AU86" s="144"/>
      <c r="AV86" s="84"/>
      <c r="AW86" s="145"/>
      <c r="BA86" s="2">
        <v>2017</v>
      </c>
      <c r="BB86" s="2">
        <v>7</v>
      </c>
      <c r="BC86" s="101">
        <v>42813</v>
      </c>
      <c r="BD86" s="101">
        <v>42826</v>
      </c>
    </row>
    <row r="87" spans="2:56" x14ac:dyDescent="0.35">
      <c r="B87" s="63"/>
      <c r="C87" s="25"/>
      <c r="D87" s="25"/>
      <c r="E87" s="25"/>
      <c r="BA87" s="2">
        <v>2017</v>
      </c>
      <c r="BB87" s="2">
        <v>8</v>
      </c>
      <c r="BC87" s="101">
        <v>42827</v>
      </c>
      <c r="BD87" s="101">
        <v>42840</v>
      </c>
    </row>
    <row r="88" spans="2:56" x14ac:dyDescent="0.35">
      <c r="B88" s="107"/>
      <c r="C88" s="108"/>
      <c r="D88" s="109"/>
      <c r="E88" s="110" t="str">
        <f>IF(E14="","",E14)</f>
        <v/>
      </c>
      <c r="F88" s="111">
        <f>B83</f>
        <v>11</v>
      </c>
      <c r="G88" s="112"/>
      <c r="H88" s="113"/>
      <c r="I88" s="106"/>
      <c r="J88" s="105" t="s">
        <v>3</v>
      </c>
      <c r="K88" s="106"/>
      <c r="L88" s="105" t="s">
        <v>3</v>
      </c>
      <c r="M88" s="106"/>
      <c r="N88" s="105" t="s">
        <v>3</v>
      </c>
      <c r="O88" s="106"/>
      <c r="P88" s="105" t="s">
        <v>3</v>
      </c>
      <c r="Q88" s="106"/>
      <c r="R88" s="105" t="s">
        <v>3</v>
      </c>
      <c r="S88" s="112"/>
      <c r="T88" s="113"/>
      <c r="U88" s="114"/>
      <c r="V88" s="2"/>
      <c r="W88" s="112"/>
      <c r="X88" s="113"/>
      <c r="Y88" s="106"/>
      <c r="Z88" s="105"/>
      <c r="AA88" s="106"/>
      <c r="AB88" s="105"/>
      <c r="AC88" s="106"/>
      <c r="AD88" s="105"/>
      <c r="AE88" s="106"/>
      <c r="AF88" s="105"/>
      <c r="AG88" s="106"/>
      <c r="AH88" s="105"/>
      <c r="AI88" s="59"/>
      <c r="AJ88" s="64"/>
      <c r="AK88" s="44"/>
      <c r="AL88" s="84"/>
      <c r="AM88" s="49"/>
      <c r="AN88" s="49"/>
      <c r="AO88" s="49"/>
      <c r="AP88" s="49"/>
      <c r="AQ88" s="49"/>
      <c r="AR88" s="40"/>
      <c r="AS88" s="51"/>
      <c r="AU88" s="49"/>
      <c r="AW88" s="52"/>
      <c r="BA88" s="2">
        <v>2017</v>
      </c>
      <c r="BB88" s="2">
        <v>9</v>
      </c>
      <c r="BC88" s="101">
        <v>42841</v>
      </c>
      <c r="BD88" s="101">
        <v>42854</v>
      </c>
    </row>
    <row r="89" spans="2:56" x14ac:dyDescent="0.35">
      <c r="B89" s="30" t="s">
        <v>76</v>
      </c>
      <c r="C89" s="115"/>
      <c r="D89" s="116"/>
      <c r="E89" s="117">
        <v>93542</v>
      </c>
      <c r="F89" s="111">
        <f>B83</f>
        <v>11</v>
      </c>
      <c r="G89" s="95"/>
      <c r="H89" s="118"/>
      <c r="I89" s="104"/>
      <c r="J89" s="103">
        <v>0</v>
      </c>
      <c r="K89" s="104"/>
      <c r="L89" s="103">
        <v>0</v>
      </c>
      <c r="M89" s="104"/>
      <c r="N89" s="103">
        <v>0</v>
      </c>
      <c r="O89" s="104"/>
      <c r="P89" s="103">
        <v>0</v>
      </c>
      <c r="Q89" s="104"/>
      <c r="R89" s="103">
        <v>0</v>
      </c>
      <c r="S89" s="119"/>
      <c r="T89" s="118"/>
      <c r="U89" s="120">
        <f>SUM(G89:T89)</f>
        <v>0</v>
      </c>
      <c r="V89" s="121"/>
      <c r="W89" s="119"/>
      <c r="X89" s="118"/>
      <c r="Y89" s="104"/>
      <c r="Z89" s="103">
        <v>8</v>
      </c>
      <c r="AA89" s="104"/>
      <c r="AB89" s="103">
        <v>8</v>
      </c>
      <c r="AC89" s="104"/>
      <c r="AD89" s="103">
        <v>8</v>
      </c>
      <c r="AE89" s="104"/>
      <c r="AF89" s="103">
        <v>8</v>
      </c>
      <c r="AG89" s="104"/>
      <c r="AH89" s="103">
        <v>8</v>
      </c>
      <c r="AI89" s="69"/>
      <c r="AJ89" s="70"/>
      <c r="AK89" s="71">
        <f>SUM(W89:AJ89)</f>
        <v>40</v>
      </c>
      <c r="AL89" s="72"/>
      <c r="AM89" s="73">
        <f>SUMIF($G88:$T88,"",$G89:$T89)+SUMIF($W88:$AJ88,"",$W89:$AJ89)-AN89</f>
        <v>40</v>
      </c>
      <c r="AN89" s="88">
        <f>IF(SUMIF($G88:$T88,"",$G89:$T89)+SUMIF($G88:$T88,"F",$G89:$T89)+SUMIF($G88:$T88,"V",$G89:$T89)-40&lt;0,0,SUMIF($G88:$T88,"",$G89:$T89)+SUMIF($G88:$T88,"F",$G89:$T89)+SUMIF($G88:$T88,"V",$G89:$T89)-($U$9/2))+IF(SUMIF($W88:$AJ88,"",$W89:$AJ89)+SUMIF($W88:$AJ88,"F",$W89:$AJ89)+SUMIF($W88:$AJ88,"V",$W89:$AJ89)-40&lt;0,0,SUMIF($W88:$AJ88,"",$W89:$AJ89)+SUMIF($W88:$AJ88,"F",$W89:$AJ89)+SUMIF($W88:$AJ88,"V",$W89:$AJ89)-($U$9/2))</f>
        <v>0</v>
      </c>
      <c r="AO89" s="73">
        <f>SUMIF($G88:$T88,"M",$G89:$T89)+SUMIF($W88:$AJ88,"M",$W89:$AJ89)</f>
        <v>0</v>
      </c>
      <c r="AP89" s="73">
        <f>SUMIF($G88:$T88,"F",$G89:$T89)+SUMIF($W88:$AJ88,"F",$W89:$AJ89)</f>
        <v>0</v>
      </c>
      <c r="AQ89" s="73">
        <f>SUMIF($G88:$T88,"V",$G89:$T89)+SUMIF($W88:$AJ88,"V",$W89:$AJ89)</f>
        <v>0</v>
      </c>
      <c r="AR89" s="74">
        <f>SUMIF($G88:$T88,"O",$G89:$T89)+SUMIF($W88:$AJ88,"O",$W89:$AJ89)</f>
        <v>0</v>
      </c>
      <c r="AS89" s="75">
        <f>SUM(AM89:AR89)</f>
        <v>40</v>
      </c>
      <c r="AT89" s="72"/>
      <c r="AU89" s="73">
        <f>SUMIF($G88:$T88,"A",$G89:$T89)+SUMIF($W88:$AJ88,"A",$W89:$AJ89)</f>
        <v>0</v>
      </c>
      <c r="AV89" s="72"/>
      <c r="AW89" s="76">
        <f>IF(B89="",0,IF($U$9="",0,$U$9))</f>
        <v>80</v>
      </c>
      <c r="BA89" s="2">
        <v>2017</v>
      </c>
      <c r="BB89" s="2">
        <v>10</v>
      </c>
      <c r="BC89" s="101">
        <v>42855</v>
      </c>
      <c r="BD89" s="101">
        <v>42868</v>
      </c>
    </row>
    <row r="90" spans="2:56" x14ac:dyDescent="0.35">
      <c r="B90" s="107"/>
      <c r="C90" s="108"/>
      <c r="D90" s="109">
        <f t="shared" ref="D90" si="24">IF(D16="","",D16)</f>
        <v>24287</v>
      </c>
      <c r="E90" s="110" t="str">
        <f t="shared" ref="E90:E137" si="25">IF(E16="","",E16)</f>
        <v/>
      </c>
      <c r="F90" s="111">
        <f>B83</f>
        <v>11</v>
      </c>
      <c r="G90" s="112"/>
      <c r="H90" s="113"/>
      <c r="I90" s="106"/>
      <c r="J90" s="105"/>
      <c r="K90" s="106"/>
      <c r="L90" s="105"/>
      <c r="M90" s="106"/>
      <c r="N90" s="105"/>
      <c r="O90" s="106"/>
      <c r="P90" s="105"/>
      <c r="Q90" s="106"/>
      <c r="R90" s="105"/>
      <c r="S90" s="112"/>
      <c r="T90" s="113"/>
      <c r="U90" s="114"/>
      <c r="V90" s="2"/>
      <c r="W90" s="112"/>
      <c r="X90" s="113"/>
      <c r="Y90" s="106"/>
      <c r="Z90" s="105"/>
      <c r="AA90" s="106"/>
      <c r="AB90" s="105"/>
      <c r="AC90" s="106"/>
      <c r="AD90" s="105"/>
      <c r="AE90" s="106"/>
      <c r="AF90" s="105"/>
      <c r="AG90" s="106"/>
      <c r="AH90" s="105"/>
      <c r="AI90" s="59"/>
      <c r="AJ90" s="64"/>
      <c r="AK90" s="44"/>
      <c r="AL90" s="84"/>
      <c r="AM90" s="49"/>
      <c r="AN90" s="49"/>
      <c r="AO90" s="49"/>
      <c r="AP90" s="49"/>
      <c r="AQ90" s="49"/>
      <c r="AR90" s="40"/>
      <c r="AS90" s="51"/>
      <c r="AU90" s="49"/>
      <c r="AW90" s="52"/>
      <c r="BA90" s="2">
        <v>2017</v>
      </c>
      <c r="BB90" s="2">
        <v>11</v>
      </c>
      <c r="BC90" s="101">
        <v>42869</v>
      </c>
      <c r="BD90" s="101">
        <v>42882</v>
      </c>
    </row>
    <row r="91" spans="2:56" x14ac:dyDescent="0.35">
      <c r="B91" s="30" t="str">
        <f>IF(B17="","",B17)</f>
        <v>Barrata, Dominic(Avance $500.00)</v>
      </c>
      <c r="C91" s="115"/>
      <c r="D91" s="116"/>
      <c r="E91" s="117">
        <f t="shared" si="25"/>
        <v>93595935</v>
      </c>
      <c r="F91" s="111">
        <f>B83</f>
        <v>11</v>
      </c>
      <c r="G91" s="119"/>
      <c r="H91" s="118"/>
      <c r="I91" s="104"/>
      <c r="J91" s="103" t="s">
        <v>69</v>
      </c>
      <c r="K91" s="104"/>
      <c r="L91" s="103" t="s">
        <v>69</v>
      </c>
      <c r="M91" s="104"/>
      <c r="N91" s="103" t="s">
        <v>69</v>
      </c>
      <c r="O91" s="104"/>
      <c r="P91" s="103" t="s">
        <v>69</v>
      </c>
      <c r="Q91" s="104"/>
      <c r="R91" s="103" t="s">
        <v>69</v>
      </c>
      <c r="S91" s="119"/>
      <c r="T91" s="118"/>
      <c r="U91" s="120">
        <f t="shared" ref="U91" si="26">SUM(G91:T91)</f>
        <v>0</v>
      </c>
      <c r="V91" s="121"/>
      <c r="W91" s="119"/>
      <c r="X91" s="118"/>
      <c r="Y91" s="104"/>
      <c r="Z91" s="103" t="s">
        <v>69</v>
      </c>
      <c r="AA91" s="104"/>
      <c r="AB91" s="103" t="s">
        <v>69</v>
      </c>
      <c r="AC91" s="104"/>
      <c r="AD91" s="103" t="s">
        <v>69</v>
      </c>
      <c r="AE91" s="104"/>
      <c r="AF91" s="103" t="s">
        <v>69</v>
      </c>
      <c r="AG91" s="104"/>
      <c r="AH91" s="103" t="s">
        <v>69</v>
      </c>
      <c r="AI91" s="69"/>
      <c r="AJ91" s="70"/>
      <c r="AK91" s="71">
        <f>SUM(W91:AJ91)</f>
        <v>0</v>
      </c>
      <c r="AL91" s="72"/>
      <c r="AM91" s="73">
        <f>SUMIF($G90:$T90,"",$G91:$T91)+SUMIF($W90:$AJ90,"",$W91:$AJ91)-AN91</f>
        <v>0</v>
      </c>
      <c r="AN91" s="88">
        <f>IF(SUMIF($G90:$T90,"",$G91:$T91)+SUMIF($G90:$T90,"F",$G91:$T91)+SUMIF($G90:$T90,"V",$G91:$T91)-40&lt;0,0,SUMIF($G90:$T90,"",$G91:$T91)+SUMIF($G90:$T90,"F",$G91:$T91)+SUMIF($G90:$T90,"V",$G91:$T91)-($U$9/2))+IF(SUMIF($W90:$AJ90,"",$W91:$AJ91)+SUMIF($W90:$AJ90,"F",$W91:$AJ91)+SUMIF($W90:$AJ90,"V",$W91:$AJ91)-40&lt;0,0,SUMIF($W90:$AJ90,"",$W91:$AJ91)+SUMIF($W90:$AJ90,"F",$W91:$AJ91)+SUMIF($W90:$AJ90,"V",$W91:$AJ91)-($U$9/2))</f>
        <v>0</v>
      </c>
      <c r="AO91" s="73">
        <f>SUMIF($G90:$T90,"M",$G91:$T91)+SUMIF($W90:$AJ90,"M",$W91:$AJ91)</f>
        <v>0</v>
      </c>
      <c r="AP91" s="73">
        <f>SUMIF($G90:$T90,"F",$G91:$T91)+SUMIF($W90:$AJ90,"F",$W91:$AJ91)</f>
        <v>0</v>
      </c>
      <c r="AQ91" s="73">
        <f>SUMIF($G90:$T90,"V",$G91:$T91)+SUMIF($W90:$AJ90,"V",$W91:$AJ91)</f>
        <v>0</v>
      </c>
      <c r="AR91" s="74">
        <f>SUMIF($G90:$T90,"O",$G91:$T91)+SUMIF($W90:$AJ90,"O",$W91:$AJ91)</f>
        <v>0</v>
      </c>
      <c r="AS91" s="75">
        <f>SUM(AM91:AR91)</f>
        <v>0</v>
      </c>
      <c r="AT91" s="72"/>
      <c r="AU91" s="73">
        <f>SUMIF($G90:$T90,"A",$G91:$T91)+SUMIF($W90:$AJ90,"A",$W91:$AJ91)</f>
        <v>0</v>
      </c>
      <c r="AV91" s="72"/>
      <c r="AW91" s="76">
        <f>IF(B91="",0,IF($U$9="",0,$U$9))</f>
        <v>80</v>
      </c>
      <c r="BA91" s="2">
        <v>2017</v>
      </c>
      <c r="BB91" s="2">
        <v>12</v>
      </c>
      <c r="BC91" s="101">
        <v>42883</v>
      </c>
      <c r="BD91" s="101">
        <v>42896</v>
      </c>
    </row>
    <row r="92" spans="2:56" x14ac:dyDescent="0.35">
      <c r="B92" s="107"/>
      <c r="C92" s="108"/>
      <c r="D92" s="109">
        <f t="shared" ref="D92" si="27">IF(D18="","",D18)</f>
        <v>92032</v>
      </c>
      <c r="E92" s="110" t="str">
        <f t="shared" si="25"/>
        <v/>
      </c>
      <c r="F92" s="111">
        <f>B83</f>
        <v>11</v>
      </c>
      <c r="G92" s="112"/>
      <c r="H92" s="113"/>
      <c r="I92" s="106"/>
      <c r="J92" s="105"/>
      <c r="K92" s="106"/>
      <c r="L92" s="105"/>
      <c r="M92" s="106"/>
      <c r="N92" s="105"/>
      <c r="O92" s="106"/>
      <c r="P92" s="105"/>
      <c r="Q92" s="106"/>
      <c r="R92" s="105"/>
      <c r="S92" s="112"/>
      <c r="T92" s="113"/>
      <c r="U92" s="114"/>
      <c r="V92" s="2"/>
      <c r="W92" s="112"/>
      <c r="X92" s="113"/>
      <c r="Y92" s="106"/>
      <c r="Z92" s="105"/>
      <c r="AA92" s="106"/>
      <c r="AB92" s="105"/>
      <c r="AC92" s="106"/>
      <c r="AD92" s="105"/>
      <c r="AE92" s="106"/>
      <c r="AF92" s="105"/>
      <c r="AG92" s="106"/>
      <c r="AH92" s="105"/>
      <c r="AI92" s="59"/>
      <c r="AJ92" s="64"/>
      <c r="AK92" s="44"/>
      <c r="AL92" s="84"/>
      <c r="AM92" s="49"/>
      <c r="AN92" s="49"/>
      <c r="AO92" s="49"/>
      <c r="AP92" s="49"/>
      <c r="AQ92" s="49"/>
      <c r="AR92" s="40"/>
      <c r="AS92" s="51"/>
      <c r="AU92" s="49"/>
      <c r="AW92" s="52"/>
      <c r="BA92" s="2">
        <v>2017</v>
      </c>
      <c r="BB92" s="2">
        <v>13</v>
      </c>
      <c r="BC92" s="101">
        <v>42897</v>
      </c>
      <c r="BD92" s="101">
        <v>42910</v>
      </c>
    </row>
    <row r="93" spans="2:56" x14ac:dyDescent="0.35">
      <c r="B93" s="30" t="str">
        <f t="shared" ref="B93" si="28">IF(B19="","",B19)</f>
        <v>Benoit, Jean-Paul(Avance $1,600.00)</v>
      </c>
      <c r="C93" s="115"/>
      <c r="D93" s="116"/>
      <c r="E93" s="117">
        <f t="shared" si="25"/>
        <v>93595935</v>
      </c>
      <c r="F93" s="111">
        <f>B83</f>
        <v>11</v>
      </c>
      <c r="G93" s="119"/>
      <c r="H93" s="118"/>
      <c r="I93" s="104"/>
      <c r="J93" s="103" t="s">
        <v>69</v>
      </c>
      <c r="K93" s="104"/>
      <c r="L93" s="103" t="s">
        <v>69</v>
      </c>
      <c r="M93" s="104"/>
      <c r="N93" s="103" t="s">
        <v>69</v>
      </c>
      <c r="O93" s="104"/>
      <c r="P93" s="103" t="s">
        <v>69</v>
      </c>
      <c r="Q93" s="104"/>
      <c r="R93" s="103" t="s">
        <v>69</v>
      </c>
      <c r="S93" s="119"/>
      <c r="T93" s="118"/>
      <c r="U93" s="120">
        <f t="shared" ref="U93" si="29">SUM(G93:T93)</f>
        <v>0</v>
      </c>
      <c r="V93" s="121"/>
      <c r="W93" s="119"/>
      <c r="X93" s="118"/>
      <c r="Y93" s="104"/>
      <c r="Z93" s="103" t="s">
        <v>69</v>
      </c>
      <c r="AA93" s="104"/>
      <c r="AB93" s="103" t="s">
        <v>69</v>
      </c>
      <c r="AC93" s="104"/>
      <c r="AD93" s="103" t="s">
        <v>69</v>
      </c>
      <c r="AE93" s="104"/>
      <c r="AF93" s="103" t="s">
        <v>69</v>
      </c>
      <c r="AG93" s="104"/>
      <c r="AH93" s="103" t="s">
        <v>69</v>
      </c>
      <c r="AI93" s="69"/>
      <c r="AJ93" s="70"/>
      <c r="AK93" s="71">
        <f>SUM(W93:AJ93)</f>
        <v>0</v>
      </c>
      <c r="AL93" s="72"/>
      <c r="AM93" s="73">
        <f>SUMIF($G92:$T92,"",$G93:$T93)+SUMIF($W92:$AJ92,"",$W93:$AJ93)-AN93</f>
        <v>0</v>
      </c>
      <c r="AN93" s="88">
        <f>IF(SUMIF($G92:$T92,"",$G93:$T93)+SUMIF($G92:$T92,"F",$G93:$T93)+SUMIF($G92:$T92,"V",$G93:$T93)-40&lt;0,0,SUMIF($G92:$T92,"",$G93:$T93)+SUMIF($G92:$T92,"F",$G93:$T93)+SUMIF($G92:$T92,"V",$G93:$T93)-($U$9/2))+IF(SUMIF($W92:$AJ92,"",$W93:$AJ93)+SUMIF($W92:$AJ92,"F",$W93:$AJ93)+SUMIF($W92:$AJ92,"V",$W93:$AJ93)-40&lt;0,0,SUMIF($W92:$AJ92,"",$W93:$AJ93)+SUMIF($W92:$AJ92,"F",$W93:$AJ93)+SUMIF($W92:$AJ92,"V",$W93:$AJ93)-($U$9/2))</f>
        <v>0</v>
      </c>
      <c r="AO93" s="73">
        <f>SUMIF($G92:$T92,"M",$G93:$T93)+SUMIF($W92:$AJ92,"M",$W93:$AJ93)</f>
        <v>0</v>
      </c>
      <c r="AP93" s="73">
        <f>SUMIF($G92:$T92,"F",$G93:$T93)+SUMIF($W92:$AJ92,"F",$W93:$AJ93)</f>
        <v>0</v>
      </c>
      <c r="AQ93" s="73">
        <f>SUMIF($G92:$T92,"V",$G93:$T93)+SUMIF($W92:$AJ92,"V",$W93:$AJ93)</f>
        <v>0</v>
      </c>
      <c r="AR93" s="74">
        <f>SUMIF($G92:$T92,"O",$G93:$T93)+SUMIF($W92:$AJ92,"O",$W93:$AJ93)</f>
        <v>0</v>
      </c>
      <c r="AS93" s="75">
        <f>SUM(AM93:AR93)</f>
        <v>0</v>
      </c>
      <c r="AT93" s="72"/>
      <c r="AU93" s="73">
        <f>SUMIF($G92:$T92,"A",$G93:$T93)+SUMIF($W92:$AJ92,"A",$W93:$AJ93)</f>
        <v>0</v>
      </c>
      <c r="AV93" s="72"/>
      <c r="AW93" s="76">
        <f>IF(B93="",0,IF($U$9="",0,$U$9))</f>
        <v>80</v>
      </c>
      <c r="BA93" s="2">
        <v>2017</v>
      </c>
      <c r="BB93" s="2">
        <v>14</v>
      </c>
      <c r="BC93" s="101">
        <v>42911</v>
      </c>
      <c r="BD93" s="101">
        <v>42924</v>
      </c>
    </row>
    <row r="94" spans="2:56" x14ac:dyDescent="0.35">
      <c r="B94" s="107"/>
      <c r="C94" s="108"/>
      <c r="D94" s="109">
        <f t="shared" ref="D94" si="30">IF(D20="","",D20)</f>
        <v>81077</v>
      </c>
      <c r="E94" s="110" t="str">
        <f t="shared" si="25"/>
        <v/>
      </c>
      <c r="F94" s="111">
        <f>B83</f>
        <v>11</v>
      </c>
      <c r="G94" s="122"/>
      <c r="H94" s="123"/>
      <c r="I94" s="106"/>
      <c r="J94" s="105"/>
      <c r="K94" s="106"/>
      <c r="L94" s="105"/>
      <c r="M94" s="106"/>
      <c r="N94" s="105"/>
      <c r="O94" s="106"/>
      <c r="P94" s="105"/>
      <c r="Q94" s="106"/>
      <c r="R94" s="105"/>
      <c r="S94" s="112"/>
      <c r="T94" s="113"/>
      <c r="U94" s="114"/>
      <c r="V94" s="2"/>
      <c r="W94" s="112"/>
      <c r="X94" s="113"/>
      <c r="Y94" s="106"/>
      <c r="Z94" s="105"/>
      <c r="AA94" s="106"/>
      <c r="AB94" s="105"/>
      <c r="AC94" s="106"/>
      <c r="AD94" s="105"/>
      <c r="AE94" s="106"/>
      <c r="AF94" s="105"/>
      <c r="AG94" s="106"/>
      <c r="AH94" s="105"/>
      <c r="AI94" s="59"/>
      <c r="AJ94" s="64"/>
      <c r="AK94" s="44"/>
      <c r="AL94" s="84"/>
      <c r="AM94" s="49"/>
      <c r="AN94" s="49"/>
      <c r="AO94" s="49"/>
      <c r="AP94" s="49"/>
      <c r="AQ94" s="49"/>
      <c r="AR94" s="40"/>
      <c r="AS94" s="51"/>
      <c r="AU94" s="49"/>
      <c r="AW94" s="52"/>
      <c r="BA94" s="2">
        <v>2017</v>
      </c>
      <c r="BB94" s="2">
        <v>15</v>
      </c>
      <c r="BC94" s="101">
        <v>42925</v>
      </c>
      <c r="BD94" s="101">
        <v>42938</v>
      </c>
    </row>
    <row r="95" spans="2:56" x14ac:dyDescent="0.35">
      <c r="B95" s="30" t="str">
        <f t="shared" ref="B95" si="31">IF(B21="","",B21)</f>
        <v>Bourassa, Julie</v>
      </c>
      <c r="C95" s="115"/>
      <c r="D95" s="116"/>
      <c r="E95" s="117">
        <f t="shared" si="25"/>
        <v>93540</v>
      </c>
      <c r="F95" s="111">
        <f>B83</f>
        <v>11</v>
      </c>
      <c r="G95" s="122"/>
      <c r="H95" s="123"/>
      <c r="I95" s="104"/>
      <c r="J95" s="103">
        <v>8.5</v>
      </c>
      <c r="K95" s="104"/>
      <c r="L95" s="103">
        <v>8.5</v>
      </c>
      <c r="M95" s="104"/>
      <c r="N95" s="103">
        <v>8.5</v>
      </c>
      <c r="O95" s="104"/>
      <c r="P95" s="103">
        <v>8.5</v>
      </c>
      <c r="Q95" s="104"/>
      <c r="R95" s="103">
        <v>8.5</v>
      </c>
      <c r="S95" s="119"/>
      <c r="T95" s="118"/>
      <c r="U95" s="120">
        <f t="shared" ref="U95" si="32">SUM(G95:T95)</f>
        <v>42.5</v>
      </c>
      <c r="V95" s="121"/>
      <c r="W95" s="119"/>
      <c r="X95" s="118"/>
      <c r="Y95" s="104"/>
      <c r="Z95" s="103">
        <v>8</v>
      </c>
      <c r="AA95" s="104"/>
      <c r="AB95" s="103">
        <v>8.5</v>
      </c>
      <c r="AC95" s="104"/>
      <c r="AD95" s="103">
        <v>8</v>
      </c>
      <c r="AE95" s="104"/>
      <c r="AF95" s="103">
        <v>8.5</v>
      </c>
      <c r="AG95" s="104"/>
      <c r="AH95" s="103">
        <v>8.5</v>
      </c>
      <c r="AI95" s="69"/>
      <c r="AJ95" s="70"/>
      <c r="AK95" s="71">
        <f>SUM(W95:AJ95)</f>
        <v>41.5</v>
      </c>
      <c r="AL95" s="72"/>
      <c r="AM95" s="73">
        <f>SUMIF($G94:$T94,"",$G95:$T95)+SUMIF($W94:$AJ94,"",$W95:$AJ95)-AN95</f>
        <v>80</v>
      </c>
      <c r="AN95" s="88">
        <f>IF(SUMIF($G94:$T94,"",$G95:$T95)+SUMIF($G94:$T94,"F",$G95:$T95)+SUMIF($G94:$T94,"V",$G95:$T95)-40&lt;0,0,SUMIF($G94:$T94,"",$G95:$T95)+SUMIF($G94:$T94,"F",$G95:$T95)+SUMIF($G94:$T94,"V",$G95:$T95)-($U$9/2))+IF(SUMIF($W94:$AJ94,"",$W95:$AJ95)+SUMIF($W94:$AJ94,"F",$W95:$AJ95)+SUMIF($W94:$AJ94,"V",$W95:$AJ95)-40&lt;0,0,SUMIF($W94:$AJ94,"",$W95:$AJ95)+SUMIF($W94:$AJ94,"F",$W95:$AJ95)+SUMIF($W94:$AJ94,"V",$W95:$AJ95)-($U$9/2))</f>
        <v>4</v>
      </c>
      <c r="AO95" s="73">
        <f>SUMIF($G94:$T94,"M",$G95:$T95)+SUMIF($W94:$AJ94,"M",$W95:$AJ95)</f>
        <v>0</v>
      </c>
      <c r="AP95" s="73">
        <f>SUMIF($G94:$T94,"F",$G95:$T95)+SUMIF($W94:$AJ94,"F",$W95:$AJ95)</f>
        <v>0</v>
      </c>
      <c r="AQ95" s="73">
        <f>SUMIF($G94:$T94,"V",$G95:$T95)+SUMIF($W94:$AJ94,"V",$W95:$AJ95)</f>
        <v>0</v>
      </c>
      <c r="AR95" s="74">
        <f>SUMIF($G94:$T94,"O",$G95:$T95)+SUMIF($W94:$AJ94,"O",$W95:$AJ95)</f>
        <v>0</v>
      </c>
      <c r="AS95" s="75">
        <f>SUM(AM95:AR95)</f>
        <v>84</v>
      </c>
      <c r="AT95" s="72"/>
      <c r="AU95" s="73">
        <f>SUMIF($G94:$T94,"A",$G95:$T95)+SUMIF($W94:$AJ94,"A",$W95:$AJ95)</f>
        <v>0</v>
      </c>
      <c r="AV95" s="72"/>
      <c r="AW95" s="76">
        <f>IF(B95="",0,IF($U$9="",0,$U$9))</f>
        <v>80</v>
      </c>
      <c r="BA95" s="2">
        <v>2017</v>
      </c>
      <c r="BB95" s="2">
        <v>16</v>
      </c>
      <c r="BC95" s="101">
        <v>42939</v>
      </c>
      <c r="BD95" s="101">
        <v>42952</v>
      </c>
    </row>
    <row r="96" spans="2:56" x14ac:dyDescent="0.35">
      <c r="B96" s="107"/>
      <c r="C96" s="108"/>
      <c r="D96" s="109">
        <f t="shared" ref="D96" si="33">IF(D22="","",D22)</f>
        <v>78475</v>
      </c>
      <c r="E96" s="110" t="str">
        <f t="shared" si="25"/>
        <v/>
      </c>
      <c r="F96" s="111">
        <f>B83</f>
        <v>11</v>
      </c>
      <c r="G96" s="112"/>
      <c r="H96" s="113"/>
      <c r="I96" s="106"/>
      <c r="J96" s="105"/>
      <c r="K96" s="106"/>
      <c r="L96" s="105"/>
      <c r="M96" s="106"/>
      <c r="N96" s="105"/>
      <c r="O96" s="106"/>
      <c r="P96" s="105"/>
      <c r="Q96" s="106"/>
      <c r="R96" s="105"/>
      <c r="S96" s="112"/>
      <c r="T96" s="113"/>
      <c r="U96" s="114"/>
      <c r="V96" s="2"/>
      <c r="W96" s="112"/>
      <c r="X96" s="113"/>
      <c r="Y96" s="106"/>
      <c r="Z96" s="105"/>
      <c r="AA96" s="106"/>
      <c r="AB96" s="105"/>
      <c r="AC96" s="106"/>
      <c r="AD96" s="105"/>
      <c r="AE96" s="106"/>
      <c r="AF96" s="105"/>
      <c r="AG96" s="106"/>
      <c r="AH96" s="105"/>
      <c r="AI96" s="59"/>
      <c r="AJ96" s="64"/>
      <c r="AK96" s="44"/>
      <c r="AL96" s="84"/>
      <c r="AM96" s="49"/>
      <c r="AN96" s="49"/>
      <c r="AO96" s="49"/>
      <c r="AP96" s="49"/>
      <c r="AQ96" s="49"/>
      <c r="AR96" s="40"/>
      <c r="AS96" s="51"/>
      <c r="AU96" s="49"/>
      <c r="AW96" s="52"/>
      <c r="BA96" s="2">
        <v>2017</v>
      </c>
      <c r="BB96" s="2">
        <v>17</v>
      </c>
      <c r="BC96" s="101">
        <v>42953</v>
      </c>
      <c r="BD96" s="101">
        <v>42966</v>
      </c>
    </row>
    <row r="97" spans="2:56" x14ac:dyDescent="0.35">
      <c r="B97" s="30" t="str">
        <f t="shared" ref="B97" si="34">IF(B23="","",B23)</f>
        <v>Charbonneau, Samuel</v>
      </c>
      <c r="C97" s="115"/>
      <c r="D97" s="116"/>
      <c r="E97" s="117">
        <f t="shared" si="25"/>
        <v>93540</v>
      </c>
      <c r="F97" s="111">
        <f>B83</f>
        <v>11</v>
      </c>
      <c r="G97" s="119"/>
      <c r="H97" s="118"/>
      <c r="I97" s="104"/>
      <c r="J97" s="103">
        <v>8.5</v>
      </c>
      <c r="K97" s="104"/>
      <c r="L97" s="103">
        <v>8</v>
      </c>
      <c r="M97" s="104"/>
      <c r="N97" s="103">
        <v>8.5</v>
      </c>
      <c r="O97" s="104"/>
      <c r="P97" s="103">
        <v>8</v>
      </c>
      <c r="Q97" s="104"/>
      <c r="R97" s="103">
        <v>8</v>
      </c>
      <c r="S97" s="119"/>
      <c r="T97" s="118"/>
      <c r="U97" s="120">
        <f t="shared" ref="U97" si="35">SUM(G97:T97)</f>
        <v>41</v>
      </c>
      <c r="V97" s="121"/>
      <c r="W97" s="119"/>
      <c r="X97" s="118"/>
      <c r="Y97" s="104"/>
      <c r="Z97" s="103">
        <v>8.5</v>
      </c>
      <c r="AA97" s="104"/>
      <c r="AB97" s="103">
        <v>8</v>
      </c>
      <c r="AC97" s="104"/>
      <c r="AD97" s="103">
        <v>8.5</v>
      </c>
      <c r="AE97" s="104"/>
      <c r="AF97" s="103">
        <v>8</v>
      </c>
      <c r="AG97" s="104"/>
      <c r="AH97" s="103">
        <v>8</v>
      </c>
      <c r="AI97" s="69"/>
      <c r="AJ97" s="70"/>
      <c r="AK97" s="71">
        <f>SUM(W97:AJ97)</f>
        <v>41</v>
      </c>
      <c r="AL97" s="72"/>
      <c r="AM97" s="73">
        <f>SUMIF($G96:$T96,"",$G97:$T97)+SUMIF($W96:$AJ96,"",$W97:$AJ97)-AN97</f>
        <v>80</v>
      </c>
      <c r="AN97" s="88">
        <f>IF(SUMIF($G96:$T96,"",$G97:$T97)+SUMIF($G96:$T96,"F",$G97:$T97)+SUMIF($G96:$T96,"V",$G97:$T97)-40&lt;0,0,SUMIF($G96:$T96,"",$G97:$T97)+SUMIF($G96:$T96,"F",$G97:$T97)+SUMIF($G96:$T96,"V",$G97:$T97)-($U$9/2))+IF(SUMIF($W96:$AJ96,"",$W97:$AJ97)+SUMIF($W96:$AJ96,"F",$W97:$AJ97)+SUMIF($W96:$AJ96,"V",$W97:$AJ97)-40&lt;0,0,SUMIF($W96:$AJ96,"",$W97:$AJ97)+SUMIF($W96:$AJ96,"F",$W97:$AJ97)+SUMIF($W96:$AJ96,"V",$W97:$AJ97)-($U$9/2))</f>
        <v>2</v>
      </c>
      <c r="AO97" s="73">
        <f>SUMIF($G96:$T96,"M",$G97:$T97)+SUMIF($W96:$AJ96,"M",$W97:$AJ97)</f>
        <v>0</v>
      </c>
      <c r="AP97" s="73">
        <f>SUMIF($G96:$T96,"F",$G97:$T97)+SUMIF($W96:$AJ96,"F",$W97:$AJ97)</f>
        <v>0</v>
      </c>
      <c r="AQ97" s="73">
        <f>SUMIF($G96:$T96,"V",$G97:$T97)+SUMIF($W96:$AJ96,"V",$W97:$AJ97)</f>
        <v>0</v>
      </c>
      <c r="AR97" s="74">
        <f>SUMIF($G96:$T96,"O",$G97:$T97)+SUMIF($W96:$AJ96,"O",$W97:$AJ97)</f>
        <v>0</v>
      </c>
      <c r="AS97" s="75">
        <f>SUM(AM97:AR97)</f>
        <v>82</v>
      </c>
      <c r="AT97" s="72"/>
      <c r="AU97" s="73">
        <f>SUMIF($G96:$T96,"A",$G97:$T97)+SUMIF($W96:$AJ96,"A",$W97:$AJ97)</f>
        <v>0</v>
      </c>
      <c r="AV97" s="72"/>
      <c r="AW97" s="76">
        <f>IF(B97="",0,IF($U$9="",0,$U$9))</f>
        <v>80</v>
      </c>
      <c r="BA97" s="2">
        <v>2017</v>
      </c>
      <c r="BB97" s="2">
        <v>18</v>
      </c>
      <c r="BC97" s="101">
        <v>42967</v>
      </c>
      <c r="BD97" s="101">
        <v>42980</v>
      </c>
    </row>
    <row r="98" spans="2:56" x14ac:dyDescent="0.35">
      <c r="B98" s="107"/>
      <c r="C98" s="108"/>
      <c r="D98" s="109">
        <f t="shared" ref="D98" si="36">IF(D24="","",D24)</f>
        <v>24238</v>
      </c>
      <c r="E98" s="110" t="str">
        <f t="shared" si="25"/>
        <v/>
      </c>
      <c r="F98" s="111">
        <f>B83</f>
        <v>11</v>
      </c>
      <c r="G98" s="112"/>
      <c r="H98" s="113"/>
      <c r="I98" s="106"/>
      <c r="J98" s="105"/>
      <c r="K98" s="106"/>
      <c r="L98" s="105"/>
      <c r="M98" s="106"/>
      <c r="N98" s="105"/>
      <c r="O98" s="106"/>
      <c r="P98" s="105"/>
      <c r="Q98" s="106"/>
      <c r="R98" s="105"/>
      <c r="S98" s="112"/>
      <c r="T98" s="113"/>
      <c r="U98" s="114"/>
      <c r="V98" s="2"/>
      <c r="W98" s="112"/>
      <c r="X98" s="113"/>
      <c r="Y98" s="106"/>
      <c r="Z98" s="105"/>
      <c r="AA98" s="106"/>
      <c r="AB98" s="105"/>
      <c r="AC98" s="106"/>
      <c r="AD98" s="105"/>
      <c r="AE98" s="106"/>
      <c r="AF98" s="105"/>
      <c r="AG98" s="106"/>
      <c r="AH98" s="105"/>
      <c r="AI98" s="59"/>
      <c r="AJ98" s="64"/>
      <c r="AK98" s="44"/>
      <c r="AL98" s="84"/>
      <c r="AM98" s="49"/>
      <c r="AN98" s="49"/>
      <c r="AO98" s="49"/>
      <c r="AP98" s="49"/>
      <c r="AQ98" s="49"/>
      <c r="AR98" s="40"/>
      <c r="AS98" s="51"/>
      <c r="AU98" s="49"/>
      <c r="AW98" s="52"/>
      <c r="BA98" s="2">
        <v>2017</v>
      </c>
      <c r="BB98" s="2">
        <v>19</v>
      </c>
      <c r="BC98" s="101">
        <v>42981</v>
      </c>
      <c r="BD98" s="101">
        <v>42994</v>
      </c>
    </row>
    <row r="99" spans="2:56" x14ac:dyDescent="0.35">
      <c r="B99" s="30" t="str">
        <f t="shared" ref="B99" si="37">IF(B25="","",B25)</f>
        <v>Curtis, Jason</v>
      </c>
      <c r="C99" s="115"/>
      <c r="D99" s="116"/>
      <c r="E99" s="117">
        <f t="shared" si="25"/>
        <v>93595935</v>
      </c>
      <c r="F99" s="111">
        <f>B83</f>
        <v>11</v>
      </c>
      <c r="G99" s="119"/>
      <c r="H99" s="118"/>
      <c r="I99" s="104"/>
      <c r="J99" s="103">
        <v>8</v>
      </c>
      <c r="K99" s="104"/>
      <c r="L99" s="103">
        <v>8</v>
      </c>
      <c r="M99" s="104"/>
      <c r="N99" s="103">
        <v>8</v>
      </c>
      <c r="O99" s="104"/>
      <c r="P99" s="103">
        <v>8</v>
      </c>
      <c r="Q99" s="104"/>
      <c r="R99" s="103">
        <v>8</v>
      </c>
      <c r="S99" s="119"/>
      <c r="T99" s="118"/>
      <c r="U99" s="120">
        <f t="shared" ref="U99" si="38">SUM(G99:T99)</f>
        <v>40</v>
      </c>
      <c r="V99" s="121"/>
      <c r="W99" s="119"/>
      <c r="X99" s="118"/>
      <c r="Y99" s="104"/>
      <c r="Z99" s="103">
        <v>8</v>
      </c>
      <c r="AA99" s="104"/>
      <c r="AB99" s="103">
        <v>8</v>
      </c>
      <c r="AC99" s="104"/>
      <c r="AD99" s="103">
        <v>8</v>
      </c>
      <c r="AE99" s="104"/>
      <c r="AF99" s="103">
        <v>8</v>
      </c>
      <c r="AG99" s="104"/>
      <c r="AH99" s="103">
        <v>8</v>
      </c>
      <c r="AI99" s="69"/>
      <c r="AJ99" s="70"/>
      <c r="AK99" s="71">
        <f>SUM(W99:AJ99)</f>
        <v>40</v>
      </c>
      <c r="AL99" s="72"/>
      <c r="AM99" s="73">
        <f>SUMIF($G98:$T98,"",$G99:$T99)+SUMIF($W98:$AJ98,"",$W99:$AJ99)-AN99</f>
        <v>80</v>
      </c>
      <c r="AN99" s="88">
        <f>IF(SUMIF($G98:$T98,"",$G99:$T99)+SUMIF($G98:$T98,"F",$G99:$T99)+SUMIF($G98:$T98,"V",$G99:$T99)-40&lt;0,0,SUMIF($G98:$T98,"",$G99:$T99)+SUMIF($G98:$T98,"F",$G99:$T99)+SUMIF($G98:$T98,"V",$G99:$T99)-($U$9/2))+IF(SUMIF($W98:$AJ98,"",$W99:$AJ99)+SUMIF($W98:$AJ98,"F",$W99:$AJ99)+SUMIF($W98:$AJ98,"V",$W99:$AJ99)-40&lt;0,0,SUMIF($W98:$AJ98,"",$W99:$AJ99)+SUMIF($W98:$AJ98,"F",$W99:$AJ99)+SUMIF($W98:$AJ98,"V",$W99:$AJ99)-($U$9/2))</f>
        <v>0</v>
      </c>
      <c r="AO99" s="73">
        <f>SUMIF($G98:$T98,"M",$G99:$T99)+SUMIF($W98:$AJ98,"M",$W99:$AJ99)</f>
        <v>0</v>
      </c>
      <c r="AP99" s="73">
        <f>SUMIF($G98:$T98,"F",$G99:$T99)+SUMIF($W98:$AJ98,"F",$W99:$AJ99)</f>
        <v>0</v>
      </c>
      <c r="AQ99" s="73">
        <f>SUMIF($G98:$T98,"V",$G99:$T99)+SUMIF($W98:$AJ98,"V",$W99:$AJ99)</f>
        <v>0</v>
      </c>
      <c r="AR99" s="74">
        <f>SUMIF($G98:$T98,"O",$G99:$T99)+SUMIF($W98:$AJ98,"O",$W99:$AJ99)</f>
        <v>0</v>
      </c>
      <c r="AS99" s="75">
        <f>SUM(AM99:AR99)</f>
        <v>80</v>
      </c>
      <c r="AT99" s="72"/>
      <c r="AU99" s="73">
        <f>SUMIF($G98:$T98,"A",$G99:$T99)+SUMIF($W98:$AJ98,"A",$W99:$AJ99)</f>
        <v>0</v>
      </c>
      <c r="AV99" s="72"/>
      <c r="AW99" s="76">
        <f>IF(B99="",0,IF($U$9="",0,$U$9))</f>
        <v>80</v>
      </c>
      <c r="BA99" s="2">
        <v>2017</v>
      </c>
      <c r="BB99" s="2">
        <v>20</v>
      </c>
      <c r="BC99" s="101">
        <v>42995</v>
      </c>
      <c r="BD99" s="101">
        <v>43008</v>
      </c>
    </row>
    <row r="100" spans="2:56" x14ac:dyDescent="0.35">
      <c r="B100" s="107"/>
      <c r="C100" s="108"/>
      <c r="D100" s="109">
        <f t="shared" ref="D100" si="39">IF(D26="","",D26)</f>
        <v>79709</v>
      </c>
      <c r="E100" s="110" t="str">
        <f t="shared" si="25"/>
        <v/>
      </c>
      <c r="F100" s="111">
        <f>B83</f>
        <v>11</v>
      </c>
      <c r="G100" s="112"/>
      <c r="H100" s="113"/>
      <c r="I100" s="106"/>
      <c r="J100" s="105"/>
      <c r="K100" s="106"/>
      <c r="L100" s="105"/>
      <c r="M100" s="106"/>
      <c r="N100" s="105"/>
      <c r="O100" s="106"/>
      <c r="P100" s="105"/>
      <c r="Q100" s="106"/>
      <c r="R100" s="105"/>
      <c r="S100" s="112"/>
      <c r="T100" s="113"/>
      <c r="U100" s="114"/>
      <c r="V100" s="2"/>
      <c r="W100" s="112"/>
      <c r="X100" s="113"/>
      <c r="Y100" s="106"/>
      <c r="Z100" s="105"/>
      <c r="AA100" s="106"/>
      <c r="AB100" s="105"/>
      <c r="AC100" s="106"/>
      <c r="AD100" s="105"/>
      <c r="AE100" s="106"/>
      <c r="AF100" s="105"/>
      <c r="AG100" s="106"/>
      <c r="AH100" s="105"/>
      <c r="AI100" s="59"/>
      <c r="AJ100" s="64"/>
      <c r="AK100" s="44"/>
      <c r="AL100" s="84"/>
      <c r="AM100" s="49"/>
      <c r="AN100" s="49"/>
      <c r="AO100" s="49"/>
      <c r="AP100" s="49"/>
      <c r="AQ100" s="49"/>
      <c r="AR100" s="40"/>
      <c r="AS100" s="51"/>
      <c r="AU100" s="49"/>
      <c r="AW100" s="52"/>
      <c r="BA100" s="2">
        <v>2017</v>
      </c>
      <c r="BB100" s="2">
        <v>21</v>
      </c>
      <c r="BC100" s="101">
        <v>43009</v>
      </c>
      <c r="BD100" s="101">
        <v>43022</v>
      </c>
    </row>
    <row r="101" spans="2:56" x14ac:dyDescent="0.35">
      <c r="B101" s="30" t="str">
        <f t="shared" ref="B101" si="40">IF(B27="","",B27)</f>
        <v>De Rose, Natale</v>
      </c>
      <c r="C101" s="115"/>
      <c r="D101" s="116"/>
      <c r="E101" s="117">
        <f t="shared" si="25"/>
        <v>93595935</v>
      </c>
      <c r="F101" s="111">
        <f>B83</f>
        <v>11</v>
      </c>
      <c r="G101" s="119"/>
      <c r="H101" s="118"/>
      <c r="I101" s="104"/>
      <c r="J101" s="103">
        <v>8</v>
      </c>
      <c r="K101" s="104"/>
      <c r="L101" s="103">
        <v>8</v>
      </c>
      <c r="M101" s="104"/>
      <c r="N101" s="103">
        <v>8</v>
      </c>
      <c r="O101" s="104"/>
      <c r="P101" s="103">
        <v>8</v>
      </c>
      <c r="Q101" s="104"/>
      <c r="R101" s="103">
        <v>8</v>
      </c>
      <c r="S101" s="119"/>
      <c r="T101" s="118"/>
      <c r="U101" s="120">
        <f t="shared" ref="U101" si="41">SUM(G101:T101)</f>
        <v>40</v>
      </c>
      <c r="V101" s="121"/>
      <c r="W101" s="119"/>
      <c r="X101" s="118"/>
      <c r="Y101" s="104"/>
      <c r="Z101" s="103">
        <v>8</v>
      </c>
      <c r="AA101" s="104"/>
      <c r="AB101" s="103">
        <v>8</v>
      </c>
      <c r="AC101" s="104"/>
      <c r="AD101" s="103">
        <v>8</v>
      </c>
      <c r="AE101" s="104"/>
      <c r="AF101" s="103">
        <v>8</v>
      </c>
      <c r="AG101" s="104"/>
      <c r="AH101" s="103">
        <v>8</v>
      </c>
      <c r="AI101" s="69"/>
      <c r="AJ101" s="70"/>
      <c r="AK101" s="71">
        <f>SUM(W101:AJ101)</f>
        <v>40</v>
      </c>
      <c r="AL101" s="72"/>
      <c r="AM101" s="73">
        <f>SUMIF($G100:$T100,"",$G101:$T101)+SUMIF($W100:$AJ100,"",$W101:$AJ101)-AN101</f>
        <v>80</v>
      </c>
      <c r="AN101" s="88">
        <f>IF(SUMIF($G100:$T100,"",$G101:$T101)+SUMIF($G100:$T100,"F",$G101:$T101)+SUMIF($G100:$T100,"V",$G101:$T101)-40&lt;0,0,SUMIF($G100:$T100,"",$G101:$T101)+SUMIF($G100:$T100,"F",$G101:$T101)+SUMIF($G100:$T100,"V",$G101:$T101)-($U$9/2))+IF(SUMIF($W100:$AJ100,"",$W101:$AJ101)+SUMIF($W100:$AJ100,"F",$W101:$AJ101)+SUMIF($W100:$AJ100,"V",$W101:$AJ101)-40&lt;0,0,SUMIF($W100:$AJ100,"",$W101:$AJ101)+SUMIF($W100:$AJ100,"F",$W101:$AJ101)+SUMIF($W100:$AJ100,"V",$W101:$AJ101)-($U$9/2))</f>
        <v>0</v>
      </c>
      <c r="AO101" s="73">
        <f>SUMIF($G100:$T100,"M",$G101:$T101)+SUMIF($W100:$AJ100,"M",$W101:$AJ101)</f>
        <v>0</v>
      </c>
      <c r="AP101" s="73">
        <f>SUMIF($G100:$T100,"F",$G101:$T101)+SUMIF($W100:$AJ100,"F",$W101:$AJ101)</f>
        <v>0</v>
      </c>
      <c r="AQ101" s="73">
        <f>SUMIF($G100:$T100,"V",$G101:$T101)+SUMIF($W100:$AJ100,"V",$W101:$AJ101)</f>
        <v>0</v>
      </c>
      <c r="AR101" s="74">
        <f>SUMIF($G100:$T100,"O",$G101:$T101)+SUMIF($W100:$AJ100,"O",$W101:$AJ101)</f>
        <v>0</v>
      </c>
      <c r="AS101" s="75">
        <f>SUM(AM101:AR101)</f>
        <v>80</v>
      </c>
      <c r="AT101" s="72"/>
      <c r="AU101" s="73">
        <f>SUMIF($G100:$T100,"A",$G101:$T101)+SUMIF($W100:$AJ100,"A",$W101:$AJ101)</f>
        <v>0</v>
      </c>
      <c r="AV101" s="72"/>
      <c r="AW101" s="76">
        <f>IF(B101="",0,IF($U$9="",0,$U$9))</f>
        <v>80</v>
      </c>
      <c r="BA101" s="2">
        <v>2017</v>
      </c>
      <c r="BB101" s="2">
        <v>22</v>
      </c>
      <c r="BC101" s="101">
        <v>43023</v>
      </c>
      <c r="BD101" s="101">
        <v>43036</v>
      </c>
    </row>
    <row r="102" spans="2:56" x14ac:dyDescent="0.35">
      <c r="B102" s="107"/>
      <c r="C102" s="108"/>
      <c r="D102" s="109">
        <f t="shared" ref="D102" si="42">IF(D28="","",D28)</f>
        <v>92027</v>
      </c>
      <c r="E102" s="110" t="str">
        <f t="shared" si="25"/>
        <v/>
      </c>
      <c r="F102" s="111">
        <f>B83</f>
        <v>11</v>
      </c>
      <c r="G102" s="112"/>
      <c r="H102" s="113"/>
      <c r="I102" s="106"/>
      <c r="J102" s="105"/>
      <c r="K102" s="106"/>
      <c r="L102" s="105"/>
      <c r="M102" s="106"/>
      <c r="N102" s="105"/>
      <c r="O102" s="106"/>
      <c r="P102" s="105"/>
      <c r="Q102" s="106"/>
      <c r="R102" s="105"/>
      <c r="S102" s="112"/>
      <c r="T102" s="113"/>
      <c r="U102" s="114"/>
      <c r="V102" s="2"/>
      <c r="W102" s="112"/>
      <c r="X102" s="113"/>
      <c r="Y102" s="106"/>
      <c r="Z102" s="105"/>
      <c r="AA102" s="106"/>
      <c r="AB102" s="105"/>
      <c r="AC102" s="106"/>
      <c r="AD102" s="105"/>
      <c r="AE102" s="106"/>
      <c r="AF102" s="105"/>
      <c r="AG102" s="106"/>
      <c r="AH102" s="105"/>
      <c r="AI102" s="59"/>
      <c r="AJ102" s="64"/>
      <c r="AK102" s="44"/>
      <c r="AL102" s="84"/>
      <c r="AM102" s="49"/>
      <c r="AN102" s="49"/>
      <c r="AO102" s="49"/>
      <c r="AP102" s="49"/>
      <c r="AQ102" s="49"/>
      <c r="AR102" s="40"/>
      <c r="AS102" s="51"/>
      <c r="AU102" s="49"/>
      <c r="AW102" s="52"/>
      <c r="BA102" s="2">
        <v>2017</v>
      </c>
      <c r="BB102" s="2">
        <v>23</v>
      </c>
      <c r="BC102" s="101">
        <v>43037</v>
      </c>
      <c r="BD102" s="101">
        <v>43050</v>
      </c>
    </row>
    <row r="103" spans="2:56" x14ac:dyDescent="0.35">
      <c r="B103" s="30" t="str">
        <f t="shared" ref="B103" si="43">IF(B29="","",B29)</f>
        <v>Descoteaux, Gerald</v>
      </c>
      <c r="C103" s="115"/>
      <c r="D103" s="116"/>
      <c r="E103" s="117">
        <f t="shared" si="25"/>
        <v>93595935</v>
      </c>
      <c r="F103" s="111">
        <f>B83</f>
        <v>11</v>
      </c>
      <c r="G103" s="119"/>
      <c r="H103" s="118"/>
      <c r="I103" s="104"/>
      <c r="J103" s="103">
        <v>8</v>
      </c>
      <c r="K103" s="104"/>
      <c r="L103" s="103">
        <v>8</v>
      </c>
      <c r="M103" s="104"/>
      <c r="N103" s="103">
        <v>8</v>
      </c>
      <c r="O103" s="104"/>
      <c r="P103" s="103">
        <v>8</v>
      </c>
      <c r="Q103" s="104"/>
      <c r="R103" s="103">
        <v>8</v>
      </c>
      <c r="S103" s="119"/>
      <c r="T103" s="118"/>
      <c r="U103" s="120">
        <f t="shared" ref="U103" si="44">SUM(G103:T103)</f>
        <v>40</v>
      </c>
      <c r="V103" s="121"/>
      <c r="W103" s="119"/>
      <c r="X103" s="118"/>
      <c r="Y103" s="104"/>
      <c r="Z103" s="103">
        <v>8</v>
      </c>
      <c r="AA103" s="104"/>
      <c r="AB103" s="103">
        <v>8</v>
      </c>
      <c r="AC103" s="104"/>
      <c r="AD103" s="103">
        <v>8</v>
      </c>
      <c r="AE103" s="104"/>
      <c r="AF103" s="103">
        <v>8</v>
      </c>
      <c r="AG103" s="104"/>
      <c r="AH103" s="103">
        <v>8</v>
      </c>
      <c r="AI103" s="69"/>
      <c r="AJ103" s="70"/>
      <c r="AK103" s="71">
        <f>SUM(W103:AJ103)</f>
        <v>40</v>
      </c>
      <c r="AL103" s="72"/>
      <c r="AM103" s="73">
        <f>SUMIF($G102:$T102,"",$G103:$T103)+SUMIF($W102:$AJ102,"",$W103:$AJ103)-AN103</f>
        <v>80</v>
      </c>
      <c r="AN103" s="88">
        <f>IF(SUMIF($G102:$T102,"",$G103:$T103)+SUMIF($G102:$T102,"F",$G103:$T103)+SUMIF($G102:$T102,"V",$G103:$T103)-40&lt;0,0,SUMIF($G102:$T102,"",$G103:$T103)+SUMIF($G102:$T102,"F",$G103:$T103)+SUMIF($G102:$T102,"V",$G103:$T103)-($U$9/2))+IF(SUMIF($W102:$AJ102,"",$W103:$AJ103)+SUMIF($W102:$AJ102,"F",$W103:$AJ103)+SUMIF($W102:$AJ102,"V",$W103:$AJ103)-40&lt;0,0,SUMIF($W102:$AJ102,"",$W103:$AJ103)+SUMIF($W102:$AJ102,"F",$W103:$AJ103)+SUMIF($W102:$AJ102,"V",$W103:$AJ103)-($U$9/2))</f>
        <v>0</v>
      </c>
      <c r="AO103" s="73">
        <f>SUMIF($G102:$T102,"M",$G103:$T103)+SUMIF($W102:$AJ102,"M",$W103:$AJ103)</f>
        <v>0</v>
      </c>
      <c r="AP103" s="73">
        <f>SUMIF($G102:$T102,"F",$G103:$T103)+SUMIF($W102:$AJ102,"F",$W103:$AJ103)</f>
        <v>0</v>
      </c>
      <c r="AQ103" s="73">
        <f>SUMIF($G102:$T102,"V",$G103:$T103)+SUMIF($W102:$AJ102,"V",$W103:$AJ103)</f>
        <v>0</v>
      </c>
      <c r="AR103" s="74">
        <f>SUMIF($G102:$T102,"O",$G103:$T103)+SUMIF($W102:$AJ102,"O",$W103:$AJ103)</f>
        <v>0</v>
      </c>
      <c r="AS103" s="75">
        <f>SUM(AM103:AR103)</f>
        <v>80</v>
      </c>
      <c r="AT103" s="72"/>
      <c r="AU103" s="73">
        <f>SUMIF($G102:$T102,"A",$G103:$T103)+SUMIF($W102:$AJ102,"A",$W103:$AJ103)</f>
        <v>0</v>
      </c>
      <c r="AV103" s="72"/>
      <c r="AW103" s="76">
        <f>IF(B103="",0,IF($U$9="",0,$U$9))</f>
        <v>80</v>
      </c>
      <c r="BA103" s="2">
        <v>2017</v>
      </c>
      <c r="BB103" s="2">
        <v>24</v>
      </c>
      <c r="BC103" s="101">
        <v>43051</v>
      </c>
      <c r="BD103" s="101">
        <v>43064</v>
      </c>
    </row>
    <row r="104" spans="2:56" x14ac:dyDescent="0.35">
      <c r="B104" s="107"/>
      <c r="C104" s="108"/>
      <c r="D104" s="109">
        <f t="shared" ref="D104" si="45">IF(D30="","",D30)</f>
        <v>73795</v>
      </c>
      <c r="E104" s="110" t="str">
        <f t="shared" si="25"/>
        <v/>
      </c>
      <c r="F104" s="111">
        <f>B83</f>
        <v>11</v>
      </c>
      <c r="G104" s="112"/>
      <c r="H104" s="113"/>
      <c r="I104" s="106"/>
      <c r="J104" s="105"/>
      <c r="K104" s="106"/>
      <c r="L104" s="105" t="s">
        <v>12</v>
      </c>
      <c r="M104" s="106"/>
      <c r="N104" s="105"/>
      <c r="O104" s="106"/>
      <c r="P104" s="105"/>
      <c r="Q104" s="106"/>
      <c r="R104" s="105"/>
      <c r="S104" s="112"/>
      <c r="T104" s="113"/>
      <c r="U104" s="114"/>
      <c r="V104" s="2"/>
      <c r="W104" s="112"/>
      <c r="X104" s="113"/>
      <c r="Y104" s="106"/>
      <c r="Z104" s="105"/>
      <c r="AA104" s="106"/>
      <c r="AB104" s="105"/>
      <c r="AC104" s="106"/>
      <c r="AD104" s="105"/>
      <c r="AE104" s="106"/>
      <c r="AF104" s="105"/>
      <c r="AG104" s="106"/>
      <c r="AH104" s="105"/>
      <c r="AI104" s="59"/>
      <c r="AJ104" s="64"/>
      <c r="AK104" s="44"/>
      <c r="AL104" s="84"/>
      <c r="AM104" s="49"/>
      <c r="AN104" s="49"/>
      <c r="AO104" s="49"/>
      <c r="AP104" s="49"/>
      <c r="AQ104" s="49"/>
      <c r="AR104" s="40"/>
      <c r="AS104" s="51"/>
      <c r="AU104" s="49"/>
      <c r="AW104" s="52"/>
      <c r="BA104" s="2">
        <v>2017</v>
      </c>
      <c r="BB104" s="2">
        <v>25</v>
      </c>
      <c r="BC104" s="101">
        <v>43065</v>
      </c>
      <c r="BD104" s="101">
        <v>43078</v>
      </c>
    </row>
    <row r="105" spans="2:56" x14ac:dyDescent="0.35">
      <c r="B105" s="30" t="str">
        <f t="shared" ref="B105" si="46">IF(B31="","",B31)</f>
        <v>Fortin, Veronique</v>
      </c>
      <c r="C105" s="115"/>
      <c r="D105" s="116"/>
      <c r="E105" s="117">
        <f t="shared" si="25"/>
        <v>93540</v>
      </c>
      <c r="F105" s="111">
        <f>B83</f>
        <v>11</v>
      </c>
      <c r="G105" s="119"/>
      <c r="H105" s="118"/>
      <c r="I105" s="104"/>
      <c r="J105" s="103">
        <v>8</v>
      </c>
      <c r="K105" s="104"/>
      <c r="L105" s="103">
        <v>8</v>
      </c>
      <c r="M105" s="104"/>
      <c r="N105" s="103">
        <v>8</v>
      </c>
      <c r="O105" s="104"/>
      <c r="P105" s="103">
        <v>8</v>
      </c>
      <c r="Q105" s="104"/>
      <c r="R105" s="103">
        <v>7.5</v>
      </c>
      <c r="S105" s="119"/>
      <c r="T105" s="118"/>
      <c r="U105" s="120">
        <f t="shared" ref="U105" si="47">SUM(G105:T105)</f>
        <v>39.5</v>
      </c>
      <c r="V105" s="121"/>
      <c r="W105" s="119"/>
      <c r="X105" s="118"/>
      <c r="Y105" s="104"/>
      <c r="Z105" s="103">
        <v>8</v>
      </c>
      <c r="AA105" s="104"/>
      <c r="AB105" s="103">
        <v>8</v>
      </c>
      <c r="AC105" s="104"/>
      <c r="AD105" s="103">
        <v>8</v>
      </c>
      <c r="AE105" s="104"/>
      <c r="AF105" s="103">
        <v>8</v>
      </c>
      <c r="AG105" s="104"/>
      <c r="AH105" s="103">
        <v>7.5</v>
      </c>
      <c r="AI105" s="69"/>
      <c r="AJ105" s="70"/>
      <c r="AK105" s="71">
        <f>SUM(W105:AJ105)</f>
        <v>39.5</v>
      </c>
      <c r="AL105" s="72"/>
      <c r="AM105" s="73">
        <f>SUMIF($G104:$T104,"",$G105:$T105)+SUMIF($W104:$AJ104,"",$W105:$AJ105)-AN105</f>
        <v>71</v>
      </c>
      <c r="AN105" s="88">
        <f>IF(SUMIF($G104:$T104,"",$G105:$T105)+SUMIF($G104:$T104,"F",$G105:$T105)+SUMIF($G104:$T104,"V",$G105:$T105)-40&lt;0,0,SUMIF($G104:$T104,"",$G105:$T105)+SUMIF($G104:$T104,"F",$G105:$T105)+SUMIF($G104:$T104,"V",$G105:$T105)-($U$9/2))+IF(SUMIF($W104:$AJ104,"",$W105:$AJ105)+SUMIF($W104:$AJ104,"F",$W105:$AJ105)+SUMIF($W104:$AJ104,"V",$W105:$AJ105)-40&lt;0,0,SUMIF($W104:$AJ104,"",$W105:$AJ105)+SUMIF($W104:$AJ104,"F",$W105:$AJ105)+SUMIF($W104:$AJ104,"V",$W105:$AJ105)-($U$9/2))</f>
        <v>0</v>
      </c>
      <c r="AO105" s="73">
        <f>SUMIF($G104:$T104,"M",$G105:$T105)+SUMIF($W104:$AJ104,"M",$W105:$AJ105)</f>
        <v>8</v>
      </c>
      <c r="AP105" s="73">
        <f>SUMIF($G104:$T104,"F",$G105:$T105)+SUMIF($W104:$AJ104,"F",$W105:$AJ105)</f>
        <v>0</v>
      </c>
      <c r="AQ105" s="73">
        <f>SUMIF($G104:$T104,"V",$G105:$T105)+SUMIF($W104:$AJ104,"V",$W105:$AJ105)</f>
        <v>0</v>
      </c>
      <c r="AR105" s="74">
        <f>SUMIF($G104:$T104,"O",$G105:$T105)+SUMIF($W104:$AJ104,"O",$W105:$AJ105)</f>
        <v>0</v>
      </c>
      <c r="AS105" s="75">
        <f>SUM(AM105:AR105)</f>
        <v>79</v>
      </c>
      <c r="AT105" s="72"/>
      <c r="AU105" s="73">
        <f>SUMIF($G104:$T104,"A",$G105:$T105)+SUMIF($W104:$AJ104,"A",$W105:$AJ105)</f>
        <v>0</v>
      </c>
      <c r="AV105" s="72"/>
      <c r="AW105" s="76">
        <f>IF(B105="",0,IF($U$9="",0,$U$9))</f>
        <v>80</v>
      </c>
      <c r="BA105" s="2">
        <v>2017</v>
      </c>
      <c r="BB105" s="2">
        <v>26</v>
      </c>
      <c r="BC105" s="101">
        <v>43079</v>
      </c>
      <c r="BD105" s="101">
        <v>43092</v>
      </c>
    </row>
    <row r="106" spans="2:56" x14ac:dyDescent="0.35">
      <c r="B106" s="107"/>
      <c r="C106" s="108"/>
      <c r="D106" s="109">
        <f t="shared" ref="D106" si="48">IF(D32="","",D32)</f>
        <v>23206</v>
      </c>
      <c r="E106" s="110" t="str">
        <f t="shared" si="25"/>
        <v/>
      </c>
      <c r="F106" s="111">
        <f>B83</f>
        <v>11</v>
      </c>
      <c r="G106" s="112"/>
      <c r="H106" s="113"/>
      <c r="I106" s="106"/>
      <c r="J106" s="105"/>
      <c r="K106" s="106"/>
      <c r="L106" s="105"/>
      <c r="M106" s="106"/>
      <c r="N106" s="105"/>
      <c r="O106" s="106"/>
      <c r="P106" s="105"/>
      <c r="Q106" s="106"/>
      <c r="R106" s="105"/>
      <c r="S106" s="112"/>
      <c r="T106" s="113"/>
      <c r="U106" s="114"/>
      <c r="V106" s="2"/>
      <c r="W106" s="112"/>
      <c r="X106" s="113"/>
      <c r="Y106" s="106"/>
      <c r="Z106" s="105"/>
      <c r="AA106" s="106"/>
      <c r="AB106" s="105"/>
      <c r="AC106" s="106"/>
      <c r="AD106" s="105" t="s">
        <v>2</v>
      </c>
      <c r="AE106" s="106"/>
      <c r="AF106" s="105" t="s">
        <v>2</v>
      </c>
      <c r="AG106" s="106"/>
      <c r="AH106" s="105" t="s">
        <v>2</v>
      </c>
      <c r="AI106" s="59"/>
      <c r="AJ106" s="64"/>
      <c r="AK106" s="44"/>
      <c r="AL106" s="84"/>
      <c r="AM106" s="49"/>
      <c r="AN106" s="49"/>
      <c r="AO106" s="49"/>
      <c r="AP106" s="49"/>
      <c r="AQ106" s="49"/>
      <c r="AR106" s="40"/>
      <c r="AS106" s="51"/>
      <c r="AU106" s="49"/>
      <c r="AW106" s="52"/>
      <c r="BA106" s="2">
        <v>2018</v>
      </c>
      <c r="BB106" s="2">
        <v>1</v>
      </c>
      <c r="BC106" s="101">
        <v>43093</v>
      </c>
      <c r="BD106" s="101">
        <v>43106</v>
      </c>
    </row>
    <row r="107" spans="2:56" x14ac:dyDescent="0.35">
      <c r="B107" s="30" t="str">
        <f t="shared" ref="B107" si="49">IF(B33="","",B33)</f>
        <v>Gadbois, Dominic</v>
      </c>
      <c r="C107" s="115"/>
      <c r="D107" s="116"/>
      <c r="E107" s="117">
        <f t="shared" si="25"/>
        <v>93545</v>
      </c>
      <c r="F107" s="111">
        <f>B83</f>
        <v>11</v>
      </c>
      <c r="G107" s="119"/>
      <c r="H107" s="118"/>
      <c r="I107" s="104"/>
      <c r="J107" s="103">
        <v>8</v>
      </c>
      <c r="K107" s="104"/>
      <c r="L107" s="103">
        <v>8</v>
      </c>
      <c r="M107" s="104"/>
      <c r="N107" s="103">
        <v>8</v>
      </c>
      <c r="O107" s="104"/>
      <c r="P107" s="103">
        <v>8</v>
      </c>
      <c r="Q107" s="104"/>
      <c r="R107" s="103">
        <v>8</v>
      </c>
      <c r="S107" s="119"/>
      <c r="T107" s="118"/>
      <c r="U107" s="120">
        <f t="shared" ref="U107" si="50">SUM(G107:T107)</f>
        <v>40</v>
      </c>
      <c r="V107" s="121"/>
      <c r="W107" s="119"/>
      <c r="X107" s="118"/>
      <c r="Y107" s="104"/>
      <c r="Z107" s="103">
        <v>8</v>
      </c>
      <c r="AA107" s="104"/>
      <c r="AB107" s="103">
        <v>8</v>
      </c>
      <c r="AC107" s="104"/>
      <c r="AD107" s="103">
        <v>0</v>
      </c>
      <c r="AE107" s="104"/>
      <c r="AF107" s="103">
        <v>0</v>
      </c>
      <c r="AG107" s="104"/>
      <c r="AH107" s="103">
        <v>0</v>
      </c>
      <c r="AI107" s="69"/>
      <c r="AJ107" s="70"/>
      <c r="AK107" s="71">
        <f>SUM(W107:AJ107)</f>
        <v>16</v>
      </c>
      <c r="AL107" s="72"/>
      <c r="AM107" s="73">
        <f>SUMIF($G106:$T106,"",$G107:$T107)+SUMIF($W106:$AJ106,"",$W107:$AJ107)-AN107</f>
        <v>56</v>
      </c>
      <c r="AN107" s="88">
        <f>IF(SUMIF($G106:$T106,"",$G107:$T107)+SUMIF($G106:$T106,"F",$G107:$T107)+SUMIF($G106:$T106,"V",$G107:$T107)-40&lt;0,0,SUMIF($G106:$T106,"",$G107:$T107)+SUMIF($G106:$T106,"F",$G107:$T107)+SUMIF($G106:$T106,"V",$G107:$T107)-($U$9/2))+IF(SUMIF($W106:$AJ106,"",$W107:$AJ107)+SUMIF($W106:$AJ106,"F",$W107:$AJ107)+SUMIF($W106:$AJ106,"V",$W107:$AJ107)-40&lt;0,0,SUMIF($W106:$AJ106,"",$W107:$AJ107)+SUMIF($W106:$AJ106,"F",$W107:$AJ107)+SUMIF($W106:$AJ106,"V",$W107:$AJ107)-($U$9/2))</f>
        <v>0</v>
      </c>
      <c r="AO107" s="73">
        <f>SUMIF($G106:$T106,"M",$G107:$T107)+SUMIF($W106:$AJ106,"M",$W107:$AJ107)</f>
        <v>0</v>
      </c>
      <c r="AP107" s="73">
        <f>SUMIF($G106:$T106,"F",$G107:$T107)+SUMIF($W106:$AJ106,"F",$W107:$AJ107)</f>
        <v>0</v>
      </c>
      <c r="AQ107" s="73">
        <f>SUMIF($G106:$T106,"V",$G107:$T107)+SUMIF($W106:$AJ106,"V",$W107:$AJ107)</f>
        <v>0</v>
      </c>
      <c r="AR107" s="74">
        <f>SUMIF($G106:$T106,"O",$G107:$T107)+SUMIF($W106:$AJ106,"O",$W107:$AJ107)</f>
        <v>0</v>
      </c>
      <c r="AS107" s="75">
        <f>SUM(AM107:AR107)</f>
        <v>56</v>
      </c>
      <c r="AT107" s="72"/>
      <c r="AU107" s="73">
        <f>SUMIF($G106:$T106,"A",$G107:$T107)+SUMIF($W106:$AJ106,"A",$W107:$AJ107)</f>
        <v>0</v>
      </c>
      <c r="AV107" s="72"/>
      <c r="AW107" s="76">
        <f>IF(B107="",0,IF($U$9="",0,$U$9))</f>
        <v>80</v>
      </c>
      <c r="BA107" s="2">
        <v>2018</v>
      </c>
      <c r="BB107" s="2">
        <v>2</v>
      </c>
      <c r="BC107" s="101">
        <v>43107</v>
      </c>
      <c r="BD107" s="101">
        <v>43120</v>
      </c>
    </row>
    <row r="108" spans="2:56" x14ac:dyDescent="0.35">
      <c r="B108" s="107"/>
      <c r="C108" s="108"/>
      <c r="D108" s="109">
        <f t="shared" ref="D108" si="51">IF(D34="","",D34)</f>
        <v>33664</v>
      </c>
      <c r="E108" s="110" t="str">
        <f t="shared" si="25"/>
        <v/>
      </c>
      <c r="F108" s="111">
        <f>B83</f>
        <v>11</v>
      </c>
      <c r="G108" s="112"/>
      <c r="H108" s="113"/>
      <c r="I108" s="106"/>
      <c r="J108" s="105"/>
      <c r="K108" s="106"/>
      <c r="L108" s="105"/>
      <c r="M108" s="106"/>
      <c r="N108" s="105"/>
      <c r="O108" s="106"/>
      <c r="P108" s="105"/>
      <c r="Q108" s="106"/>
      <c r="R108" s="105"/>
      <c r="S108" s="112"/>
      <c r="T108" s="113"/>
      <c r="U108" s="114"/>
      <c r="V108" s="2"/>
      <c r="W108" s="112"/>
      <c r="X108" s="113"/>
      <c r="Y108" s="106"/>
      <c r="Z108" s="105"/>
      <c r="AA108" s="106"/>
      <c r="AB108" s="105"/>
      <c r="AC108" s="106"/>
      <c r="AD108" s="105"/>
      <c r="AE108" s="106"/>
      <c r="AF108" s="105"/>
      <c r="AG108" s="106"/>
      <c r="AH108" s="105"/>
      <c r="AI108" s="59"/>
      <c r="AJ108" s="64"/>
      <c r="AK108" s="44"/>
      <c r="AL108" s="84"/>
      <c r="AM108" s="49"/>
      <c r="AN108" s="49"/>
      <c r="AO108" s="49"/>
      <c r="AP108" s="49"/>
      <c r="AQ108" s="49"/>
      <c r="AR108" s="40"/>
      <c r="AS108" s="51"/>
      <c r="AU108" s="49"/>
      <c r="AW108" s="52"/>
      <c r="BA108" s="2">
        <v>2018</v>
      </c>
      <c r="BB108" s="2">
        <v>3</v>
      </c>
      <c r="BC108" s="101">
        <v>43121</v>
      </c>
      <c r="BD108" s="101">
        <v>43134</v>
      </c>
    </row>
    <row r="109" spans="2:56" x14ac:dyDescent="0.35">
      <c r="B109" s="30" t="str">
        <f t="shared" ref="B109" si="52">IF(B35="","",B35)</f>
        <v>Knox Michaud, Jessy</v>
      </c>
      <c r="C109" s="115"/>
      <c r="D109" s="116"/>
      <c r="E109" s="117">
        <f t="shared" si="25"/>
        <v>93542</v>
      </c>
      <c r="F109" s="111">
        <f>B83</f>
        <v>11</v>
      </c>
      <c r="G109" s="119"/>
      <c r="H109" s="118"/>
      <c r="I109" s="104"/>
      <c r="J109" s="103">
        <v>8</v>
      </c>
      <c r="K109" s="104"/>
      <c r="L109" s="103">
        <v>8</v>
      </c>
      <c r="M109" s="104"/>
      <c r="N109" s="103">
        <v>8</v>
      </c>
      <c r="O109" s="104"/>
      <c r="P109" s="103">
        <v>8</v>
      </c>
      <c r="Q109" s="104"/>
      <c r="R109" s="103">
        <v>8</v>
      </c>
      <c r="S109" s="119"/>
      <c r="T109" s="118"/>
      <c r="U109" s="120">
        <f t="shared" ref="U109" si="53">SUM(G109:T109)</f>
        <v>40</v>
      </c>
      <c r="V109" s="121"/>
      <c r="W109" s="119"/>
      <c r="X109" s="118"/>
      <c r="Y109" s="104"/>
      <c r="Z109" s="103">
        <v>8</v>
      </c>
      <c r="AA109" s="104"/>
      <c r="AB109" s="103">
        <v>8.5</v>
      </c>
      <c r="AC109" s="104"/>
      <c r="AD109" s="103">
        <v>7.75</v>
      </c>
      <c r="AE109" s="104"/>
      <c r="AF109" s="103">
        <v>8</v>
      </c>
      <c r="AG109" s="104"/>
      <c r="AH109" s="103">
        <v>8</v>
      </c>
      <c r="AI109" s="69"/>
      <c r="AJ109" s="70"/>
      <c r="AK109" s="71">
        <f>SUM(W109:AJ109)</f>
        <v>40.25</v>
      </c>
      <c r="AL109" s="72"/>
      <c r="AM109" s="73">
        <f>SUMIF($G108:$T108,"",$G109:$T109)+SUMIF($W108:$AJ108,"",$W109:$AJ109)-AN109</f>
        <v>80</v>
      </c>
      <c r="AN109" s="88">
        <f>IF(SUMIF($G108:$T108,"",$G109:$T109)+SUMIF($G108:$T108,"F",$G109:$T109)+SUMIF($G108:$T108,"V",$G109:$T109)-40&lt;0,0,SUMIF($G108:$T108,"",$G109:$T109)+SUMIF($G108:$T108,"F",$G109:$T109)+SUMIF($G108:$T108,"V",$G109:$T109)-($U$9/2))+IF(SUMIF($W108:$AJ108,"",$W109:$AJ109)+SUMIF($W108:$AJ108,"F",$W109:$AJ109)+SUMIF($W108:$AJ108,"V",$W109:$AJ109)-40&lt;0,0,SUMIF($W108:$AJ108,"",$W109:$AJ109)+SUMIF($W108:$AJ108,"F",$W109:$AJ109)+SUMIF($W108:$AJ108,"V",$W109:$AJ109)-($U$9/2))</f>
        <v>0.25</v>
      </c>
      <c r="AO109" s="73">
        <f>SUMIF($G108:$T108,"M",$G109:$T109)+SUMIF($W108:$AJ108,"M",$W109:$AJ109)</f>
        <v>0</v>
      </c>
      <c r="AP109" s="73">
        <f>SUMIF($G108:$T108,"F",$G109:$T109)+SUMIF($W108:$AJ108,"F",$W109:$AJ109)</f>
        <v>0</v>
      </c>
      <c r="AQ109" s="73">
        <f>SUMIF($G108:$T108,"V",$G109:$T109)+SUMIF($W108:$AJ108,"V",$W109:$AJ109)</f>
        <v>0</v>
      </c>
      <c r="AR109" s="74">
        <f>SUMIF($G108:$T108,"O",$G109:$T109)+SUMIF($W108:$AJ108,"O",$W109:$AJ109)</f>
        <v>0</v>
      </c>
      <c r="AS109" s="75">
        <f>SUM(AM109:AR109)</f>
        <v>80.25</v>
      </c>
      <c r="AT109" s="72"/>
      <c r="AU109" s="73">
        <f>SUMIF($G108:$T108,"A",$G109:$T109)+SUMIF($W108:$AJ108,"A",$W109:$AJ109)</f>
        <v>0</v>
      </c>
      <c r="AV109" s="72"/>
      <c r="AW109" s="76">
        <f>IF(B109="",0,IF($U$9="",0,$U$9))</f>
        <v>80</v>
      </c>
      <c r="BA109" s="2">
        <v>2018</v>
      </c>
      <c r="BB109" s="2">
        <v>4</v>
      </c>
      <c r="BC109" s="101">
        <v>43135</v>
      </c>
      <c r="BD109" s="101">
        <v>43148</v>
      </c>
    </row>
    <row r="110" spans="2:56" x14ac:dyDescent="0.35">
      <c r="B110" s="107"/>
      <c r="C110" s="108"/>
      <c r="D110" s="109">
        <f t="shared" ref="D110" si="54">IF(D36="","",D36)</f>
        <v>14206</v>
      </c>
      <c r="E110" s="110" t="str">
        <f t="shared" si="25"/>
        <v/>
      </c>
      <c r="F110" s="111">
        <f>B83</f>
        <v>11</v>
      </c>
      <c r="G110" s="112"/>
      <c r="H110" s="113"/>
      <c r="I110" s="106"/>
      <c r="J110" s="130" t="s">
        <v>1</v>
      </c>
      <c r="K110" s="106"/>
      <c r="L110" s="130" t="s">
        <v>1</v>
      </c>
      <c r="M110" s="106"/>
      <c r="N110" s="130" t="s">
        <v>1</v>
      </c>
      <c r="O110" s="106"/>
      <c r="P110" s="130" t="s">
        <v>1</v>
      </c>
      <c r="Q110" s="106"/>
      <c r="R110" s="131"/>
      <c r="S110" s="112"/>
      <c r="T110" s="113"/>
      <c r="U110" s="114"/>
      <c r="V110" s="2"/>
      <c r="W110" s="112"/>
      <c r="X110" s="113"/>
      <c r="Y110" s="106"/>
      <c r="Z110" s="105"/>
      <c r="AA110" s="106"/>
      <c r="AB110" s="105"/>
      <c r="AC110" s="106"/>
      <c r="AD110" s="105"/>
      <c r="AE110" s="106"/>
      <c r="AF110" s="105"/>
      <c r="AG110" s="106"/>
      <c r="AH110" s="105"/>
      <c r="AI110" s="59"/>
      <c r="AJ110" s="64"/>
      <c r="AK110" s="44"/>
      <c r="AL110" s="84"/>
      <c r="AM110" s="49"/>
      <c r="AN110" s="49"/>
      <c r="AO110" s="49"/>
      <c r="AP110" s="49"/>
      <c r="AQ110" s="49"/>
      <c r="AR110" s="40"/>
      <c r="AS110" s="51"/>
      <c r="AU110" s="49"/>
      <c r="AW110" s="52"/>
      <c r="BA110" s="2">
        <v>2018</v>
      </c>
      <c r="BB110" s="2">
        <v>5</v>
      </c>
      <c r="BC110" s="101">
        <v>43149</v>
      </c>
      <c r="BD110" s="101">
        <v>43162</v>
      </c>
    </row>
    <row r="111" spans="2:56" x14ac:dyDescent="0.35">
      <c r="B111" s="30" t="str">
        <f t="shared" ref="B111" si="55">IF(B37="","",B37)</f>
        <v>Landry, Bernard</v>
      </c>
      <c r="C111" s="115"/>
      <c r="D111" s="116"/>
      <c r="E111" s="117">
        <f t="shared" si="25"/>
        <v>93545</v>
      </c>
      <c r="F111" s="111">
        <f>B83</f>
        <v>11</v>
      </c>
      <c r="G111" s="119"/>
      <c r="H111" s="118"/>
      <c r="I111" s="104"/>
      <c r="J111" s="103">
        <v>8</v>
      </c>
      <c r="K111" s="104"/>
      <c r="L111" s="103">
        <v>8</v>
      </c>
      <c r="M111" s="104"/>
      <c r="N111" s="103">
        <v>8</v>
      </c>
      <c r="O111" s="104"/>
      <c r="P111" s="103">
        <v>8</v>
      </c>
      <c r="Q111" s="104"/>
      <c r="R111" s="103">
        <v>8</v>
      </c>
      <c r="S111" s="119"/>
      <c r="T111" s="118"/>
      <c r="U111" s="120">
        <f t="shared" ref="U111" si="56">SUM(G111:T111)</f>
        <v>40</v>
      </c>
      <c r="V111" s="121"/>
      <c r="W111" s="119"/>
      <c r="X111" s="118"/>
      <c r="Y111" s="104"/>
      <c r="Z111" s="103">
        <v>8</v>
      </c>
      <c r="AA111" s="104"/>
      <c r="AB111" s="103">
        <v>8</v>
      </c>
      <c r="AC111" s="104"/>
      <c r="AD111" s="103">
        <v>8</v>
      </c>
      <c r="AE111" s="104"/>
      <c r="AF111" s="103">
        <v>8</v>
      </c>
      <c r="AG111" s="104"/>
      <c r="AH111" s="103">
        <v>8</v>
      </c>
      <c r="AI111" s="69"/>
      <c r="AJ111" s="70"/>
      <c r="AK111" s="71">
        <f>SUM(W111:AJ111)</f>
        <v>40</v>
      </c>
      <c r="AL111" s="72"/>
      <c r="AM111" s="73">
        <f>SUMIF($G110:$T110,"",$G111:$T111)+SUMIF($W110:$AJ110,"",$W111:$AJ111)-AN111</f>
        <v>48</v>
      </c>
      <c r="AN111" s="88">
        <f>IF(SUMIF($G110:$T110,"",$G111:$T111)+SUMIF($G110:$T110,"F",$G111:$T111)+SUMIF($G110:$T110,"V",$G111:$T111)-40&lt;0,0,SUMIF($G110:$T110,"",$G111:$T111)+SUMIF($G110:$T110,"F",$G111:$T111)+SUMIF($G110:$T110,"V",$G111:$T111)-($U$9/2))+IF(SUMIF($W110:$AJ110,"",$W111:$AJ111)+SUMIF($W110:$AJ110,"F",$W111:$AJ111)+SUMIF($W110:$AJ110,"V",$W111:$AJ111)-40&lt;0,0,SUMIF($W110:$AJ110,"",$W111:$AJ111)+SUMIF($W110:$AJ110,"F",$W111:$AJ111)+SUMIF($W110:$AJ110,"V",$W111:$AJ111)-($U$9/2))</f>
        <v>0</v>
      </c>
      <c r="AO111" s="73">
        <f>SUMIF($G110:$T110,"M",$G111:$T111)+SUMIF($W110:$AJ110,"M",$W111:$AJ111)</f>
        <v>0</v>
      </c>
      <c r="AP111" s="73">
        <f>SUMIF($G110:$T110,"F",$G111:$T111)+SUMIF($W110:$AJ110,"F",$W111:$AJ111)</f>
        <v>0</v>
      </c>
      <c r="AQ111" s="73">
        <f>SUMIF($G110:$T110,"V",$G111:$T111)+SUMIF($W110:$AJ110,"V",$W111:$AJ111)</f>
        <v>32</v>
      </c>
      <c r="AR111" s="74">
        <f>SUMIF($G110:$T110,"O",$G111:$T111)+SUMIF($W110:$AJ110,"O",$W111:$AJ111)</f>
        <v>0</v>
      </c>
      <c r="AS111" s="75">
        <f>SUM(AM111:AR111)</f>
        <v>80</v>
      </c>
      <c r="AT111" s="72"/>
      <c r="AU111" s="73">
        <f>SUMIF($G110:$T110,"A",$G111:$T111)+SUMIF($W110:$AJ110,"A",$W111:$AJ111)</f>
        <v>0</v>
      </c>
      <c r="AV111" s="72"/>
      <c r="AW111" s="76">
        <f>IF(B111="",0,IF($U$9="",0,$U$9))</f>
        <v>80</v>
      </c>
      <c r="BA111" s="2">
        <v>2018</v>
      </c>
      <c r="BB111" s="2">
        <v>6</v>
      </c>
      <c r="BC111" s="101">
        <v>43163</v>
      </c>
      <c r="BD111" s="101">
        <v>43176</v>
      </c>
    </row>
    <row r="112" spans="2:56" x14ac:dyDescent="0.35">
      <c r="B112" s="107"/>
      <c r="C112" s="108"/>
      <c r="D112" s="109">
        <f t="shared" ref="D112" si="57">IF(D38="","",D38)</f>
        <v>92257</v>
      </c>
      <c r="E112" s="110" t="str">
        <f t="shared" si="25"/>
        <v/>
      </c>
      <c r="F112" s="111">
        <f>B83</f>
        <v>11</v>
      </c>
      <c r="G112" s="112"/>
      <c r="H112" s="113"/>
      <c r="I112" s="106"/>
      <c r="J112" s="105"/>
      <c r="K112" s="106"/>
      <c r="L112" s="105"/>
      <c r="M112" s="106"/>
      <c r="N112" s="105"/>
      <c r="O112" s="106"/>
      <c r="P112" s="105"/>
      <c r="Q112" s="106"/>
      <c r="R112" s="105"/>
      <c r="S112" s="112"/>
      <c r="T112" s="113"/>
      <c r="U112" s="114"/>
      <c r="V112" s="2"/>
      <c r="W112" s="112"/>
      <c r="X112" s="113"/>
      <c r="Y112" s="106"/>
      <c r="Z112" s="105"/>
      <c r="AA112" s="106"/>
      <c r="AB112" s="105"/>
      <c r="AC112" s="106"/>
      <c r="AD112" s="105"/>
      <c r="AE112" s="106"/>
      <c r="AF112" s="105"/>
      <c r="AG112" s="106"/>
      <c r="AH112" s="130" t="s">
        <v>1</v>
      </c>
      <c r="AI112" s="59"/>
      <c r="AJ112" s="64"/>
      <c r="AK112" s="44"/>
      <c r="AL112" s="84"/>
      <c r="AM112" s="49"/>
      <c r="AN112" s="49"/>
      <c r="AO112" s="49"/>
      <c r="AP112" s="49"/>
      <c r="AQ112" s="49"/>
      <c r="AR112" s="40"/>
      <c r="AS112" s="51"/>
      <c r="AU112" s="49"/>
      <c r="AW112" s="52"/>
      <c r="BA112" s="2">
        <v>2018</v>
      </c>
      <c r="BB112" s="2">
        <v>7</v>
      </c>
      <c r="BC112" s="101">
        <v>43177</v>
      </c>
      <c r="BD112" s="101">
        <v>43190</v>
      </c>
    </row>
    <row r="113" spans="1:56" x14ac:dyDescent="0.35">
      <c r="B113" s="30" t="str">
        <f t="shared" ref="B113" si="58">IF(B39="","",B39)</f>
        <v>Lelievre, Anik</v>
      </c>
      <c r="C113" s="115"/>
      <c r="D113" s="116"/>
      <c r="E113" s="117">
        <f t="shared" si="25"/>
        <v>93513</v>
      </c>
      <c r="F113" s="111">
        <f>B83</f>
        <v>11</v>
      </c>
      <c r="G113" s="119"/>
      <c r="H113" s="118"/>
      <c r="I113" s="104"/>
      <c r="J113" s="103">
        <v>8</v>
      </c>
      <c r="K113" s="104"/>
      <c r="L113" s="103">
        <v>8</v>
      </c>
      <c r="M113" s="104"/>
      <c r="N113" s="103">
        <v>8</v>
      </c>
      <c r="O113" s="104"/>
      <c r="P113" s="103">
        <v>8</v>
      </c>
      <c r="Q113" s="104"/>
      <c r="R113" s="103">
        <v>8</v>
      </c>
      <c r="S113" s="119"/>
      <c r="T113" s="118"/>
      <c r="U113" s="120">
        <f t="shared" ref="U113" si="59">SUM(G113:T113)</f>
        <v>40</v>
      </c>
      <c r="V113" s="121"/>
      <c r="W113" s="119"/>
      <c r="X113" s="118"/>
      <c r="Y113" s="104"/>
      <c r="Z113" s="103">
        <v>8</v>
      </c>
      <c r="AA113" s="104"/>
      <c r="AB113" s="103">
        <v>8</v>
      </c>
      <c r="AC113" s="104"/>
      <c r="AD113" s="103">
        <v>8</v>
      </c>
      <c r="AE113" s="104"/>
      <c r="AF113" s="103">
        <v>8</v>
      </c>
      <c r="AG113" s="104"/>
      <c r="AH113" s="103">
        <v>8</v>
      </c>
      <c r="AI113" s="69"/>
      <c r="AJ113" s="70"/>
      <c r="AK113" s="71">
        <f>SUM(W113:AJ113)</f>
        <v>40</v>
      </c>
      <c r="AL113" s="72"/>
      <c r="AM113" s="73">
        <f>SUMIF($G112:$T112,"",$G113:$T113)+SUMIF($W112:$AJ112,"",$W113:$AJ113)-AN113</f>
        <v>72</v>
      </c>
      <c r="AN113" s="88">
        <f>IF(SUMIF($G112:$T112,"",$G113:$T113)+SUMIF($G112:$T112,"F",$G113:$T113)+SUMIF($G112:$T112,"V",$G113:$T113)-40&lt;0,0,SUMIF($G112:$T112,"",$G113:$T113)+SUMIF($G112:$T112,"F",$G113:$T113)+SUMIF($G112:$T112,"V",$G113:$T113)-($U$9/2))+IF(SUMIF($W112:$AJ112,"",$W113:$AJ113)+SUMIF($W112:$AJ112,"F",$W113:$AJ113)+SUMIF($W112:$AJ112,"V",$W113:$AJ113)-40&lt;0,0,SUMIF($W112:$AJ112,"",$W113:$AJ113)+SUMIF($W112:$AJ112,"F",$W113:$AJ113)+SUMIF($W112:$AJ112,"V",$W113:$AJ113)-($U$9/2))</f>
        <v>0</v>
      </c>
      <c r="AO113" s="73">
        <f>SUMIF($G112:$T112,"M",$G113:$T113)+SUMIF($W112:$AJ112,"M",$W113:$AJ113)</f>
        <v>0</v>
      </c>
      <c r="AP113" s="73">
        <f>SUMIF($G112:$T112,"F",$G113:$T113)+SUMIF($W112:$AJ112,"F",$W113:$AJ113)</f>
        <v>0</v>
      </c>
      <c r="AQ113" s="73">
        <f>SUMIF($G112:$T112,"V",$G113:$T113)+SUMIF($W112:$AJ112,"V",$W113:$AJ113)</f>
        <v>8</v>
      </c>
      <c r="AR113" s="74">
        <f>SUMIF($G112:$T112,"O",$G113:$T113)+SUMIF($W112:$AJ112,"O",$W113:$AJ113)</f>
        <v>0</v>
      </c>
      <c r="AS113" s="75">
        <f>SUM(AM113:AR113)</f>
        <v>80</v>
      </c>
      <c r="AT113" s="72"/>
      <c r="AU113" s="73">
        <f>SUMIF($G112:$T112,"A",$G113:$T113)+SUMIF($W112:$AJ112,"A",$W113:$AJ113)</f>
        <v>0</v>
      </c>
      <c r="AV113" s="72"/>
      <c r="AW113" s="76">
        <f>IF(B113="",0,IF($U$9="",0,$U$9))</f>
        <v>80</v>
      </c>
      <c r="BA113" s="2">
        <v>2018</v>
      </c>
      <c r="BB113" s="2">
        <v>8</v>
      </c>
      <c r="BC113" s="101">
        <v>43191</v>
      </c>
      <c r="BD113" s="101">
        <v>43204</v>
      </c>
    </row>
    <row r="114" spans="1:56" x14ac:dyDescent="0.35">
      <c r="B114" s="107"/>
      <c r="C114" s="108"/>
      <c r="D114" s="109">
        <f t="shared" ref="D114" si="60">IF(D40="","",D40)</f>
        <v>81042</v>
      </c>
      <c r="E114" s="110" t="str">
        <f t="shared" si="25"/>
        <v/>
      </c>
      <c r="F114" s="111">
        <f>B83</f>
        <v>11</v>
      </c>
      <c r="G114" s="112"/>
      <c r="H114" s="113"/>
      <c r="I114" s="106"/>
      <c r="J114" s="105"/>
      <c r="K114" s="106"/>
      <c r="L114" s="105"/>
      <c r="M114" s="106"/>
      <c r="N114" s="105"/>
      <c r="O114" s="106"/>
      <c r="P114" s="105"/>
      <c r="Q114" s="106"/>
      <c r="R114" s="105"/>
      <c r="S114" s="112"/>
      <c r="T114" s="113"/>
      <c r="U114" s="114"/>
      <c r="V114" s="2"/>
      <c r="W114" s="112"/>
      <c r="X114" s="113"/>
      <c r="Y114" s="106"/>
      <c r="Z114" s="105"/>
      <c r="AA114" s="106"/>
      <c r="AB114" s="105"/>
      <c r="AC114" s="106"/>
      <c r="AD114" s="105"/>
      <c r="AE114" s="106"/>
      <c r="AF114" s="130" t="s">
        <v>1</v>
      </c>
      <c r="AG114" s="106"/>
      <c r="AH114" s="105"/>
      <c r="AI114" s="59"/>
      <c r="AJ114" s="64"/>
      <c r="AK114" s="44"/>
      <c r="AL114" s="84"/>
      <c r="AM114" s="49"/>
      <c r="AN114" s="49"/>
      <c r="AO114" s="49"/>
      <c r="AP114" s="49"/>
      <c r="AQ114" s="49"/>
      <c r="AR114" s="40"/>
      <c r="AS114" s="51"/>
      <c r="AU114" s="49"/>
      <c r="AW114" s="52"/>
      <c r="BA114" s="2">
        <v>2018</v>
      </c>
      <c r="BB114" s="2">
        <v>9</v>
      </c>
      <c r="BC114" s="101">
        <v>43205</v>
      </c>
      <c r="BD114" s="101">
        <v>43218</v>
      </c>
    </row>
    <row r="115" spans="1:56" x14ac:dyDescent="0.35">
      <c r="B115" s="30" t="str">
        <f t="shared" ref="B115" si="61">IF(B41="","",B41)</f>
        <v>Letarte, Martin</v>
      </c>
      <c r="C115" s="115"/>
      <c r="D115" s="116"/>
      <c r="E115" s="117">
        <f t="shared" si="25"/>
        <v>93545</v>
      </c>
      <c r="F115" s="111">
        <f>B83</f>
        <v>11</v>
      </c>
      <c r="G115" s="119"/>
      <c r="H115" s="118"/>
      <c r="I115" s="104"/>
      <c r="J115" s="103">
        <v>8</v>
      </c>
      <c r="K115" s="104"/>
      <c r="L115" s="103">
        <v>8</v>
      </c>
      <c r="M115" s="104"/>
      <c r="N115" s="103">
        <v>8</v>
      </c>
      <c r="O115" s="104"/>
      <c r="P115" s="103">
        <v>8</v>
      </c>
      <c r="Q115" s="104"/>
      <c r="R115" s="103">
        <v>8</v>
      </c>
      <c r="S115" s="119"/>
      <c r="T115" s="118"/>
      <c r="U115" s="120">
        <f t="shared" ref="U115" si="62">SUM(G115:T115)</f>
        <v>40</v>
      </c>
      <c r="V115" s="121"/>
      <c r="W115" s="119"/>
      <c r="X115" s="118"/>
      <c r="Y115" s="104"/>
      <c r="Z115" s="103">
        <v>8</v>
      </c>
      <c r="AA115" s="104"/>
      <c r="AB115" s="103">
        <v>8</v>
      </c>
      <c r="AC115" s="104"/>
      <c r="AD115" s="103">
        <v>8</v>
      </c>
      <c r="AE115" s="104"/>
      <c r="AF115" s="103">
        <v>8</v>
      </c>
      <c r="AG115" s="104"/>
      <c r="AH115" s="103">
        <v>8</v>
      </c>
      <c r="AI115" s="69"/>
      <c r="AJ115" s="70"/>
      <c r="AK115" s="71">
        <f>SUM(W115:AJ115)</f>
        <v>40</v>
      </c>
      <c r="AL115" s="72"/>
      <c r="AM115" s="73">
        <f>SUMIF($G114:$T114,"",$G115:$T115)+SUMIF($W114:$AJ114,"",$W115:$AJ115)-AN115</f>
        <v>72</v>
      </c>
      <c r="AN115" s="88">
        <f>IF(SUMIF($G114:$T114,"",$G115:$T115)+SUMIF($G114:$T114,"F",$G115:$T115)+SUMIF($G114:$T114,"V",$G115:$T115)-40&lt;0,0,SUMIF($G114:$T114,"",$G115:$T115)+SUMIF($G114:$T114,"F",$G115:$T115)+SUMIF($G114:$T114,"V",$G115:$T115)-($U$9/2))+IF(SUMIF($W114:$AJ114,"",$W115:$AJ115)+SUMIF($W114:$AJ114,"F",$W115:$AJ115)+SUMIF($W114:$AJ114,"V",$W115:$AJ115)-40&lt;0,0,SUMIF($W114:$AJ114,"",$W115:$AJ115)+SUMIF($W114:$AJ114,"F",$W115:$AJ115)+SUMIF($W114:$AJ114,"V",$W115:$AJ115)-($U$9/2))</f>
        <v>0</v>
      </c>
      <c r="AO115" s="73">
        <f>SUMIF($G114:$T114,"M",$G115:$T115)+SUMIF($W114:$AJ114,"M",$W115:$AJ115)</f>
        <v>0</v>
      </c>
      <c r="AP115" s="73">
        <f>SUMIF($G114:$T114,"F",$G115:$T115)+SUMIF($W114:$AJ114,"F",$W115:$AJ115)</f>
        <v>0</v>
      </c>
      <c r="AQ115" s="73">
        <f>SUMIF($G114:$T114,"V",$G115:$T115)+SUMIF($W114:$AJ114,"V",$W115:$AJ115)</f>
        <v>8</v>
      </c>
      <c r="AR115" s="74">
        <f>SUMIF($G114:$T114,"O",$G115:$T115)+SUMIF($W114:$AJ114,"O",$W115:$AJ115)</f>
        <v>0</v>
      </c>
      <c r="AS115" s="75">
        <f>SUM(AM115:AR115)</f>
        <v>80</v>
      </c>
      <c r="AT115" s="72"/>
      <c r="AU115" s="73">
        <f>SUMIF($G114:$T114,"A",$G115:$T115)+SUMIF($W114:$AJ114,"A",$W115:$AJ115)</f>
        <v>0</v>
      </c>
      <c r="AV115" s="72"/>
      <c r="AW115" s="76">
        <f>IF(B115="",0,IF($U$9="",0,$U$9))</f>
        <v>80</v>
      </c>
      <c r="BA115" s="2">
        <v>2018</v>
      </c>
      <c r="BB115" s="2">
        <v>10</v>
      </c>
      <c r="BC115" s="101">
        <v>43219</v>
      </c>
      <c r="BD115" s="101">
        <v>43232</v>
      </c>
    </row>
    <row r="116" spans="1:56" x14ac:dyDescent="0.35">
      <c r="B116" s="107"/>
      <c r="C116" s="108"/>
      <c r="D116" s="109">
        <f t="shared" ref="D116" si="63">IF(D42="","",D42)</f>
        <v>23930</v>
      </c>
      <c r="E116" s="110" t="str">
        <f t="shared" si="25"/>
        <v/>
      </c>
      <c r="F116" s="111">
        <f>B83</f>
        <v>11</v>
      </c>
      <c r="G116" s="112"/>
      <c r="H116" s="113"/>
      <c r="I116" s="106"/>
      <c r="J116" s="105"/>
      <c r="K116" s="106"/>
      <c r="L116" s="105"/>
      <c r="M116" s="106"/>
      <c r="N116" s="105"/>
      <c r="O116" s="106"/>
      <c r="P116" s="105"/>
      <c r="Q116" s="106"/>
      <c r="R116" s="105"/>
      <c r="S116" s="112"/>
      <c r="T116" s="113"/>
      <c r="U116" s="114"/>
      <c r="V116" s="2"/>
      <c r="W116" s="112"/>
      <c r="X116" s="113"/>
      <c r="Y116" s="106"/>
      <c r="Z116" s="105"/>
      <c r="AA116" s="106"/>
      <c r="AB116" s="105"/>
      <c r="AC116" s="106"/>
      <c r="AD116" s="105"/>
      <c r="AE116" s="106"/>
      <c r="AF116" s="105"/>
      <c r="AG116" s="106"/>
      <c r="AH116" s="105" t="s">
        <v>12</v>
      </c>
      <c r="AI116" s="59"/>
      <c r="AJ116" s="64"/>
      <c r="AK116" s="44"/>
      <c r="AL116" s="84"/>
      <c r="AM116" s="49"/>
      <c r="AN116" s="49"/>
      <c r="AO116" s="49"/>
      <c r="AP116" s="49"/>
      <c r="AQ116" s="49"/>
      <c r="AR116" s="40"/>
      <c r="AS116" s="51"/>
      <c r="AU116" s="49"/>
      <c r="AW116" s="52"/>
      <c r="BA116" s="2">
        <v>2018</v>
      </c>
      <c r="BB116" s="2">
        <v>11</v>
      </c>
      <c r="BC116" s="101">
        <v>43233</v>
      </c>
      <c r="BD116" s="101">
        <v>43246</v>
      </c>
    </row>
    <row r="117" spans="1:56" x14ac:dyDescent="0.35">
      <c r="B117" s="30" t="str">
        <f t="shared" ref="B117" si="64">IF(B43="","",B43)</f>
        <v>Martinez Parada, José Francisco</v>
      </c>
      <c r="C117" s="115"/>
      <c r="D117" s="116"/>
      <c r="E117" s="117">
        <f t="shared" si="25"/>
        <v>93545</v>
      </c>
      <c r="F117" s="111">
        <f>B83</f>
        <v>11</v>
      </c>
      <c r="G117" s="119"/>
      <c r="H117" s="118"/>
      <c r="I117" s="104"/>
      <c r="J117" s="103">
        <v>8</v>
      </c>
      <c r="K117" s="104"/>
      <c r="L117" s="103">
        <v>8</v>
      </c>
      <c r="M117" s="104"/>
      <c r="N117" s="103">
        <v>8</v>
      </c>
      <c r="O117" s="104"/>
      <c r="P117" s="103">
        <v>8</v>
      </c>
      <c r="Q117" s="104"/>
      <c r="R117" s="103">
        <v>8</v>
      </c>
      <c r="S117" s="119"/>
      <c r="T117" s="118"/>
      <c r="U117" s="120">
        <f t="shared" ref="U117" si="65">SUM(G117:T117)</f>
        <v>40</v>
      </c>
      <c r="V117" s="121"/>
      <c r="W117" s="119"/>
      <c r="X117" s="118"/>
      <c r="Y117" s="104"/>
      <c r="Z117" s="103">
        <v>8</v>
      </c>
      <c r="AA117" s="104"/>
      <c r="AB117" s="103">
        <v>8</v>
      </c>
      <c r="AC117" s="104"/>
      <c r="AD117" s="103">
        <v>8</v>
      </c>
      <c r="AE117" s="104"/>
      <c r="AF117" s="103">
        <v>8</v>
      </c>
      <c r="AG117" s="104"/>
      <c r="AH117" s="103">
        <v>8</v>
      </c>
      <c r="AI117" s="69"/>
      <c r="AJ117" s="70"/>
      <c r="AK117" s="71">
        <f>SUM(W117:AJ117)</f>
        <v>40</v>
      </c>
      <c r="AL117" s="72"/>
      <c r="AM117" s="73">
        <f>SUMIF($G116:$T116,"",$G117:$T117)+SUMIF($W116:$AJ116,"",$W117:$AJ117)-AN117</f>
        <v>72</v>
      </c>
      <c r="AN117" s="88">
        <f>IF(SUMIF($G116:$T116,"",$G117:$T117)+SUMIF($G116:$T116,"F",$G117:$T117)+SUMIF($G116:$T116,"V",$G117:$T117)-40&lt;0,0,SUMIF($G116:$T116,"",$G117:$T117)+SUMIF($G116:$T116,"F",$G117:$T117)+SUMIF($G116:$T116,"V",$G117:$T117)-($U$9/2))+IF(SUMIF($W116:$AJ116,"",$W117:$AJ117)+SUMIF($W116:$AJ116,"F",$W117:$AJ117)+SUMIF($W116:$AJ116,"V",$W117:$AJ117)-40&lt;0,0,SUMIF($W116:$AJ116,"",$W117:$AJ117)+SUMIF($W116:$AJ116,"F",$W117:$AJ117)+SUMIF($W116:$AJ116,"V",$W117:$AJ117)-($U$9/2))</f>
        <v>0</v>
      </c>
      <c r="AO117" s="73">
        <f>SUMIF($G116:$T116,"M",$G117:$T117)+SUMIF($W116:$AJ116,"M",$W117:$AJ117)</f>
        <v>8</v>
      </c>
      <c r="AP117" s="73">
        <f>SUMIF($G116:$T116,"F",$G117:$T117)+SUMIF($W116:$AJ116,"F",$W117:$AJ117)</f>
        <v>0</v>
      </c>
      <c r="AQ117" s="73">
        <f>SUMIF($G116:$T116,"V",$G117:$T117)+SUMIF($W116:$AJ116,"V",$W117:$AJ117)</f>
        <v>0</v>
      </c>
      <c r="AR117" s="74">
        <f>SUMIF($G116:$T116,"O",$G117:$T117)+SUMIF($W116:$AJ116,"O",$W117:$AJ117)</f>
        <v>0</v>
      </c>
      <c r="AS117" s="75">
        <f>SUM(AM117:AR117)</f>
        <v>80</v>
      </c>
      <c r="AT117" s="72"/>
      <c r="AU117" s="73">
        <f>SUMIF($G116:$T116,"A",$G117:$T117)+SUMIF($W116:$AJ116,"A",$W117:$AJ117)</f>
        <v>0</v>
      </c>
      <c r="AV117" s="72"/>
      <c r="AW117" s="76">
        <f>IF(B117="",0,IF($U$9="",0,$U$9))</f>
        <v>80</v>
      </c>
      <c r="BA117" s="2">
        <v>2018</v>
      </c>
      <c r="BB117" s="2">
        <v>12</v>
      </c>
      <c r="BC117" s="101">
        <v>43247</v>
      </c>
      <c r="BD117" s="101">
        <v>43260</v>
      </c>
    </row>
    <row r="118" spans="1:56" x14ac:dyDescent="0.35">
      <c r="B118" s="107"/>
      <c r="C118" s="108"/>
      <c r="D118" s="109">
        <f t="shared" ref="D118" si="66">IF(D44="","",D44)</f>
        <v>11792</v>
      </c>
      <c r="E118" s="110" t="str">
        <f t="shared" si="25"/>
        <v/>
      </c>
      <c r="F118" s="111">
        <f>B83</f>
        <v>11</v>
      </c>
      <c r="G118" s="112"/>
      <c r="H118" s="113"/>
      <c r="I118" s="106"/>
      <c r="J118" s="105"/>
      <c r="K118" s="106"/>
      <c r="L118" s="105"/>
      <c r="M118" s="106"/>
      <c r="N118" s="105"/>
      <c r="O118" s="106"/>
      <c r="P118" s="105"/>
      <c r="Q118" s="106"/>
      <c r="R118" s="105"/>
      <c r="S118" s="112"/>
      <c r="T118" s="113"/>
      <c r="U118" s="114"/>
      <c r="V118" s="2"/>
      <c r="W118" s="112"/>
      <c r="X118" s="113"/>
      <c r="Y118" s="106"/>
      <c r="Z118" s="105"/>
      <c r="AA118" s="106"/>
      <c r="AB118" s="105"/>
      <c r="AC118" s="106"/>
      <c r="AD118" s="105"/>
      <c r="AE118" s="106"/>
      <c r="AF118" s="105"/>
      <c r="AG118" s="106"/>
      <c r="AH118" s="105"/>
      <c r="AI118" s="59"/>
      <c r="AJ118" s="64"/>
      <c r="AK118" s="44"/>
      <c r="AL118" s="84"/>
      <c r="AM118" s="49"/>
      <c r="AN118" s="49"/>
      <c r="AO118" s="49"/>
      <c r="AP118" s="49"/>
      <c r="AQ118" s="49"/>
      <c r="AR118" s="40"/>
      <c r="AS118" s="51"/>
      <c r="AU118" s="49"/>
      <c r="AW118" s="52"/>
      <c r="BA118" s="2">
        <v>2018</v>
      </c>
      <c r="BB118" s="2">
        <v>13</v>
      </c>
      <c r="BC118" s="101">
        <v>43261</v>
      </c>
      <c r="BD118" s="101">
        <v>43274</v>
      </c>
    </row>
    <row r="119" spans="1:56" x14ac:dyDescent="0.35">
      <c r="B119" s="30" t="str">
        <f t="shared" ref="B119" si="67">IF(B45="","",B45)</f>
        <v>Pellerin, Pierre</v>
      </c>
      <c r="C119" s="115"/>
      <c r="D119" s="116"/>
      <c r="E119" s="117">
        <f t="shared" si="25"/>
        <v>93595935</v>
      </c>
      <c r="F119" s="111">
        <f>B83</f>
        <v>11</v>
      </c>
      <c r="G119" s="119"/>
      <c r="H119" s="118"/>
      <c r="I119" s="104"/>
      <c r="J119" s="103">
        <v>8</v>
      </c>
      <c r="K119" s="104"/>
      <c r="L119" s="103">
        <v>8</v>
      </c>
      <c r="M119" s="104"/>
      <c r="N119" s="103">
        <v>8</v>
      </c>
      <c r="O119" s="104"/>
      <c r="P119" s="103">
        <v>8</v>
      </c>
      <c r="Q119" s="104"/>
      <c r="R119" s="103">
        <v>8</v>
      </c>
      <c r="S119" s="119"/>
      <c r="T119" s="118"/>
      <c r="U119" s="120">
        <f t="shared" ref="U119" si="68">SUM(G119:T119)</f>
        <v>40</v>
      </c>
      <c r="V119" s="121"/>
      <c r="W119" s="119"/>
      <c r="X119" s="118"/>
      <c r="Y119" s="104"/>
      <c r="Z119" s="103">
        <v>8</v>
      </c>
      <c r="AA119" s="104"/>
      <c r="AB119" s="103">
        <v>8</v>
      </c>
      <c r="AC119" s="104"/>
      <c r="AD119" s="103">
        <v>8</v>
      </c>
      <c r="AE119" s="104"/>
      <c r="AF119" s="103">
        <v>8</v>
      </c>
      <c r="AG119" s="104"/>
      <c r="AH119" s="103">
        <v>8</v>
      </c>
      <c r="AI119" s="69"/>
      <c r="AJ119" s="70"/>
      <c r="AK119" s="71">
        <f>SUM(Z119:AH119)</f>
        <v>40</v>
      </c>
      <c r="AL119" s="72"/>
      <c r="AM119" s="73">
        <f>SUMIF($G118:$T118,"",$G119:$T119)+SUMIF($W118:$AJ118,"",$W119:$AJ119)-AN119</f>
        <v>80</v>
      </c>
      <c r="AN119" s="88">
        <f>IF(SUMIF($G118:$T118,"",$G119:$T119)+SUMIF($G118:$T118,"F",$G119:$T119)+SUMIF($G118:$T118,"V",$G119:$T119)-40&lt;0,0,SUMIF($G118:$T118,"",$G119:$T119)+SUMIF($G118:$T118,"F",$G119:$T119)+SUMIF($G118:$T118,"V",$G119:$T119)-($U$9/2))+IF(SUMIF($W118:$AJ118,"",$W119:$AJ119)+SUMIF($W118:$AJ118,"F",$W119:$AJ119)+SUMIF($W118:$AJ118,"V",$W119:$AJ119)-40&lt;0,0,SUMIF($W118:$AJ118,"",$W119:$AJ119)+SUMIF($W118:$AJ118,"F",$W119:$AJ119)+SUMIF($W118:$AJ118,"V",$W119:$AJ119)-($U$9/2))</f>
        <v>0</v>
      </c>
      <c r="AO119" s="73">
        <f>SUMIF($G118:$T118,"M",$G119:$T119)+SUMIF($W118:$AJ118,"M",$W119:$AJ119)</f>
        <v>0</v>
      </c>
      <c r="AP119" s="73">
        <f>SUMIF($G118:$T118,"F",$G119:$T119)+SUMIF($W118:$AJ118,"F",$W119:$AJ119)</f>
        <v>0</v>
      </c>
      <c r="AQ119" s="73">
        <f>SUMIF($G118:$T118,"V",$G119:$T119)+SUMIF($W118:$AJ118,"V",$W119:$AJ119)</f>
        <v>0</v>
      </c>
      <c r="AR119" s="74">
        <f>SUMIF($G118:$T118,"O",$G119:$T119)+SUMIF($W118:$AJ118,"O",$W119:$AJ119)</f>
        <v>0</v>
      </c>
      <c r="AS119" s="75">
        <f>SUM(AM119:AR119)</f>
        <v>80</v>
      </c>
      <c r="AT119" s="72"/>
      <c r="AU119" s="73">
        <f>SUMIF($G118:$T118,"A",$G119:$T119)+SUMIF($W118:$AJ118,"A",$W119:$AJ119)</f>
        <v>0</v>
      </c>
      <c r="AV119" s="72"/>
      <c r="AW119" s="76">
        <f>IF(B119="",0,IF($U$9="",0,$U$9))</f>
        <v>80</v>
      </c>
      <c r="BA119" s="2">
        <v>2018</v>
      </c>
      <c r="BB119" s="2">
        <v>14</v>
      </c>
      <c r="BC119" s="101">
        <v>43275</v>
      </c>
      <c r="BD119" s="101">
        <v>43288</v>
      </c>
    </row>
    <row r="120" spans="1:56" x14ac:dyDescent="0.35">
      <c r="B120" s="107"/>
      <c r="C120" s="108"/>
      <c r="D120" s="109">
        <f t="shared" ref="D120" si="69">IF(D46="","",D46)</f>
        <v>81043</v>
      </c>
      <c r="E120" s="110" t="str">
        <f t="shared" si="25"/>
        <v/>
      </c>
      <c r="F120" s="111">
        <f>B83</f>
        <v>11</v>
      </c>
      <c r="G120" s="112"/>
      <c r="H120" s="113"/>
      <c r="I120" s="106"/>
      <c r="J120" s="105"/>
      <c r="K120" s="106"/>
      <c r="L120" s="105"/>
      <c r="M120" s="106"/>
      <c r="N120" s="105"/>
      <c r="O120" s="106"/>
      <c r="P120" s="105"/>
      <c r="Q120" s="106"/>
      <c r="R120" s="105"/>
      <c r="S120" s="112"/>
      <c r="T120" s="113"/>
      <c r="U120" s="114"/>
      <c r="V120" s="2"/>
      <c r="W120" s="112"/>
      <c r="X120" s="113"/>
      <c r="Y120" s="106"/>
      <c r="Z120" s="105"/>
      <c r="AA120" s="106"/>
      <c r="AB120" s="105"/>
      <c r="AC120" s="106"/>
      <c r="AD120" s="105"/>
      <c r="AE120" s="106"/>
      <c r="AF120" s="105"/>
      <c r="AG120" s="106"/>
      <c r="AH120" s="105" t="s">
        <v>1</v>
      </c>
      <c r="AI120" s="59"/>
      <c r="AJ120" s="64"/>
      <c r="AK120" s="44"/>
      <c r="AL120" s="84"/>
      <c r="AM120" s="49"/>
      <c r="AN120" s="49"/>
      <c r="AO120" s="49"/>
      <c r="AP120" s="49"/>
      <c r="AQ120" s="49"/>
      <c r="AR120" s="40"/>
      <c r="AS120" s="51"/>
      <c r="AU120" s="49"/>
      <c r="AW120" s="52"/>
      <c r="BA120" s="2">
        <v>2018</v>
      </c>
      <c r="BB120" s="2">
        <v>15</v>
      </c>
      <c r="BC120" s="101">
        <v>43289</v>
      </c>
      <c r="BD120" s="101">
        <v>43302</v>
      </c>
    </row>
    <row r="121" spans="1:56" x14ac:dyDescent="0.35">
      <c r="B121" s="30" t="str">
        <f t="shared" ref="B121" si="70">IF(B47="","",B47)</f>
        <v>Rodrigue, Frank</v>
      </c>
      <c r="C121" s="115"/>
      <c r="D121" s="116"/>
      <c r="E121" s="117">
        <f t="shared" si="25"/>
        <v>93545</v>
      </c>
      <c r="F121" s="111">
        <f>B83</f>
        <v>11</v>
      </c>
      <c r="G121" s="119"/>
      <c r="H121" s="118"/>
      <c r="I121" s="104"/>
      <c r="J121" s="103">
        <v>8</v>
      </c>
      <c r="K121" s="104"/>
      <c r="L121" s="103">
        <v>8</v>
      </c>
      <c r="M121" s="104"/>
      <c r="N121" s="103">
        <v>8</v>
      </c>
      <c r="O121" s="104"/>
      <c r="P121" s="103">
        <v>8</v>
      </c>
      <c r="Q121" s="104"/>
      <c r="R121" s="103">
        <v>8</v>
      </c>
      <c r="S121" s="119"/>
      <c r="T121" s="118"/>
      <c r="U121" s="120">
        <f t="shared" ref="U121" si="71">SUM(G121:T121)</f>
        <v>40</v>
      </c>
      <c r="V121" s="121"/>
      <c r="W121" s="119"/>
      <c r="X121" s="118"/>
      <c r="Y121" s="104"/>
      <c r="Z121" s="103">
        <v>8</v>
      </c>
      <c r="AA121" s="104"/>
      <c r="AB121" s="103">
        <v>8</v>
      </c>
      <c r="AC121" s="104"/>
      <c r="AD121" s="103">
        <v>8</v>
      </c>
      <c r="AE121" s="104"/>
      <c r="AF121" s="103">
        <v>8</v>
      </c>
      <c r="AG121" s="104"/>
      <c r="AH121" s="103">
        <v>8</v>
      </c>
      <c r="AI121" s="69"/>
      <c r="AJ121" s="70"/>
      <c r="AK121" s="71">
        <f>SUM(W121:AJ121)</f>
        <v>40</v>
      </c>
      <c r="AL121" s="72"/>
      <c r="AM121" s="73">
        <f>SUMIF($G120:$T120,"",$G121:$T121)+SUMIF($W120:$AJ120,"",$W121:$AJ121)-AN121</f>
        <v>72</v>
      </c>
      <c r="AN121" s="88">
        <f>IF(SUMIF($G120:$T120,"",$G121:$T121)+SUMIF($G120:$T120,"F",$G121:$T121)+SUMIF($G120:$T120,"V",$G121:$T121)-40&lt;0,0,SUMIF($G120:$T120,"",$G121:$T121)+SUMIF($G120:$T120,"F",$G121:$T121)+SUMIF($G120:$T120,"V",$G121:$T121)-($U$9/2))+IF(SUMIF($W120:$AJ120,"",$W121:$AJ121)+SUMIF($W120:$AJ120,"F",$W121:$AJ121)+SUMIF($W120:$AJ120,"V",$W121:$AJ121)-40&lt;0,0,SUMIF($W120:$AJ120,"",$W121:$AJ121)+SUMIF($W120:$AJ120,"F",$W121:$AJ121)+SUMIF($W120:$AJ120,"V",$W121:$AJ121)-($U$9/2))</f>
        <v>0</v>
      </c>
      <c r="AO121" s="73">
        <f>SUMIF($G120:$T120,"M",$G121:$T121)+SUMIF($W120:$AJ120,"M",$W121:$AJ121)</f>
        <v>0</v>
      </c>
      <c r="AP121" s="73">
        <f>SUMIF($G120:$T120,"F",$G121:$T121)+SUMIF($W120:$AJ120,"F",$W121:$AJ121)</f>
        <v>0</v>
      </c>
      <c r="AQ121" s="73">
        <f>SUMIF($G120:$T120,"V",$G121:$T121)+SUMIF($W120:$AJ120,"V",$W121:$AJ121)</f>
        <v>8</v>
      </c>
      <c r="AR121" s="74">
        <f>SUMIF($G120:$T120,"O",$G121:$T121)+SUMIF($W120:$AJ120,"O",$W121:$AJ121)</f>
        <v>0</v>
      </c>
      <c r="AS121" s="75">
        <f>SUM(AM121:AR121)</f>
        <v>80</v>
      </c>
      <c r="AT121" s="72"/>
      <c r="AU121" s="73">
        <f>SUMIF($G120:$T120,"A",$G121:$T121)+SUMIF($W120:$AJ120,"A",$W121:$AJ121)</f>
        <v>0</v>
      </c>
      <c r="AV121" s="72"/>
      <c r="AW121" s="76">
        <f>IF(B121="",0,IF($U$9="",0,$U$9))</f>
        <v>80</v>
      </c>
      <c r="BA121" s="2">
        <v>2018</v>
      </c>
      <c r="BB121" s="2">
        <v>16</v>
      </c>
      <c r="BC121" s="101">
        <v>43303</v>
      </c>
      <c r="BD121" s="101">
        <v>43316</v>
      </c>
    </row>
    <row r="122" spans="1:56" x14ac:dyDescent="0.35">
      <c r="B122" s="107"/>
      <c r="C122" s="108"/>
      <c r="D122" s="109">
        <f t="shared" ref="D122" si="72">IF(D48="","",D48)</f>
        <v>72673</v>
      </c>
      <c r="E122" s="110" t="str">
        <f t="shared" si="25"/>
        <v/>
      </c>
      <c r="F122" s="111">
        <f>B83</f>
        <v>11</v>
      </c>
      <c r="G122" s="112"/>
      <c r="H122" s="113"/>
      <c r="I122" s="106"/>
      <c r="J122" s="105"/>
      <c r="K122" s="106"/>
      <c r="L122" s="105"/>
      <c r="M122" s="106"/>
      <c r="N122" s="105"/>
      <c r="O122" s="106"/>
      <c r="P122" s="105"/>
      <c r="Q122" s="106"/>
      <c r="R122" s="105"/>
      <c r="S122" s="112"/>
      <c r="T122" s="113"/>
      <c r="U122" s="114"/>
      <c r="V122" s="2"/>
      <c r="W122" s="112"/>
      <c r="X122" s="113"/>
      <c r="Y122" s="106"/>
      <c r="Z122" s="105"/>
      <c r="AA122" s="106"/>
      <c r="AB122" s="105"/>
      <c r="AC122" s="106"/>
      <c r="AD122" s="105"/>
      <c r="AE122" s="106"/>
      <c r="AF122" s="105"/>
      <c r="AG122" s="106"/>
      <c r="AH122" s="105"/>
      <c r="AI122" s="59"/>
      <c r="AJ122" s="64"/>
      <c r="AK122" s="44"/>
      <c r="AL122" s="84"/>
      <c r="AM122" s="49"/>
      <c r="AN122" s="49"/>
      <c r="AO122" s="49"/>
      <c r="AP122" s="49"/>
      <c r="AQ122" s="49"/>
      <c r="AR122" s="40"/>
      <c r="AS122" s="51"/>
      <c r="AU122" s="49"/>
      <c r="AW122" s="52"/>
      <c r="BA122" s="2">
        <v>2018</v>
      </c>
      <c r="BB122" s="2">
        <v>17</v>
      </c>
      <c r="BC122" s="101">
        <v>43317</v>
      </c>
      <c r="BD122" s="101">
        <v>43330</v>
      </c>
    </row>
    <row r="123" spans="1:56" x14ac:dyDescent="0.35">
      <c r="B123" s="30" t="str">
        <f t="shared" ref="B123" si="73">IF(B49="","",B49)</f>
        <v>St-Georges, Manuel (avance $2,000)</v>
      </c>
      <c r="C123" s="115"/>
      <c r="D123" s="116"/>
      <c r="E123" s="117">
        <f t="shared" si="25"/>
        <v>93595935</v>
      </c>
      <c r="F123" s="111">
        <f>B83</f>
        <v>11</v>
      </c>
      <c r="G123" s="119"/>
      <c r="H123" s="118"/>
      <c r="I123" s="104"/>
      <c r="J123" s="103" t="s">
        <v>69</v>
      </c>
      <c r="K123" s="104"/>
      <c r="L123" s="103" t="s">
        <v>69</v>
      </c>
      <c r="M123" s="104"/>
      <c r="N123" s="103" t="s">
        <v>69</v>
      </c>
      <c r="O123" s="104"/>
      <c r="P123" s="103" t="s">
        <v>69</v>
      </c>
      <c r="Q123" s="104"/>
      <c r="R123" s="103" t="s">
        <v>69</v>
      </c>
      <c r="S123" s="119"/>
      <c r="T123" s="118"/>
      <c r="U123" s="120">
        <f t="shared" ref="U123" si="74">SUM(G123:T123)</f>
        <v>0</v>
      </c>
      <c r="V123" s="121"/>
      <c r="W123" s="119"/>
      <c r="X123" s="118"/>
      <c r="Y123" s="104"/>
      <c r="Z123" s="103" t="s">
        <v>69</v>
      </c>
      <c r="AA123" s="104"/>
      <c r="AB123" s="103" t="s">
        <v>69</v>
      </c>
      <c r="AC123" s="104"/>
      <c r="AD123" s="103" t="s">
        <v>69</v>
      </c>
      <c r="AE123" s="104"/>
      <c r="AF123" s="103" t="s">
        <v>69</v>
      </c>
      <c r="AG123" s="104"/>
      <c r="AH123" s="103" t="s">
        <v>69</v>
      </c>
      <c r="AI123" s="69"/>
      <c r="AJ123" s="70"/>
      <c r="AK123" s="71">
        <f>SUM(W123:AJ123)</f>
        <v>0</v>
      </c>
      <c r="AL123" s="72"/>
      <c r="AM123" s="73">
        <f>SUMIF($G122:$T122,"",$G123:$T123)+SUMIF($W122:$AJ122,"",$W123:$AJ123)-AN123</f>
        <v>0</v>
      </c>
      <c r="AN123" s="88">
        <f>IF(SUMIF($G122:$T122,"",$G123:$T123)+SUMIF($G122:$T122,"F",$G123:$T123)+SUMIF($G122:$T122,"V",$G123:$T123)-40&lt;0,0,SUMIF($G122:$T122,"",$G123:$T123)+SUMIF($G122:$T122,"F",$G123:$T123)+SUMIF($G122:$T122,"V",$G123:$T123)-($U$9/2))+IF(SUMIF($W122:$AJ122,"",$W123:$AJ123)+SUMIF($W122:$AJ122,"F",$W123:$AJ123)+SUMIF($W122:$AJ122,"V",$W123:$AJ123)-40&lt;0,0,SUMIF($W122:$AJ122,"",$W123:$AJ123)+SUMIF($W122:$AJ122,"F",$W123:$AJ123)+SUMIF($W122:$AJ122,"V",$W123:$AJ123)-($U$9/2))</f>
        <v>0</v>
      </c>
      <c r="AO123" s="73">
        <f>SUMIF($G122:$T122,"M",$G123:$T123)+SUMIF($W122:$AJ122,"M",$W123:$AJ123)</f>
        <v>0</v>
      </c>
      <c r="AP123" s="73">
        <f>SUMIF($G122:$T122,"F",$G123:$T123)+SUMIF($W122:$AJ122,"F",$W123:$AJ123)</f>
        <v>0</v>
      </c>
      <c r="AQ123" s="73">
        <f>SUMIF($G122:$T122,"V",$G123:$T123)+SUMIF($W122:$AJ122,"V",$W123:$AJ123)</f>
        <v>0</v>
      </c>
      <c r="AR123" s="74">
        <f>SUMIF($G122:$T122,"O",$G123:$T123)+SUMIF($W122:$AJ122,"O",$W123:$AJ123)</f>
        <v>0</v>
      </c>
      <c r="AS123" s="75">
        <f>SUM(AM123:AR123)</f>
        <v>0</v>
      </c>
      <c r="AT123" s="72"/>
      <c r="AU123" s="73">
        <f>SUMIF($G122:$T122,"A",$G123:$T123)+SUMIF($W122:$AJ122,"A",$W123:$AJ123)</f>
        <v>0</v>
      </c>
      <c r="AV123" s="72"/>
      <c r="AW123" s="76">
        <f>IF(B123="",0,IF($U$9="",0,$U$9))</f>
        <v>80</v>
      </c>
      <c r="BA123" s="2">
        <v>2018</v>
      </c>
      <c r="BB123" s="2">
        <v>18</v>
      </c>
      <c r="BC123" s="101">
        <v>43331</v>
      </c>
      <c r="BD123" s="101">
        <v>43344</v>
      </c>
    </row>
    <row r="124" spans="1:56" x14ac:dyDescent="0.35">
      <c r="B124" s="107"/>
      <c r="C124" s="108"/>
      <c r="D124" s="109">
        <f t="shared" ref="D124" si="75">IF(D50="","",D50)</f>
        <v>26641</v>
      </c>
      <c r="E124" s="110" t="str">
        <f t="shared" si="25"/>
        <v/>
      </c>
      <c r="F124" s="111">
        <f>B83</f>
        <v>11</v>
      </c>
      <c r="G124" s="112"/>
      <c r="H124" s="113"/>
      <c r="I124" s="106"/>
      <c r="J124" s="105"/>
      <c r="K124" s="106"/>
      <c r="L124" s="105"/>
      <c r="M124" s="106"/>
      <c r="N124" s="105"/>
      <c r="O124" s="106"/>
      <c r="P124" s="105"/>
      <c r="Q124" s="106"/>
      <c r="R124" s="105" t="s">
        <v>12</v>
      </c>
      <c r="S124" s="112"/>
      <c r="T124" s="113"/>
      <c r="U124" s="114"/>
      <c r="V124" s="2"/>
      <c r="W124" s="112"/>
      <c r="X124" s="113"/>
      <c r="Y124" s="106"/>
      <c r="Z124" s="105"/>
      <c r="AA124" s="106"/>
      <c r="AB124" s="105"/>
      <c r="AC124" s="106"/>
      <c r="AD124" s="105"/>
      <c r="AE124" s="106"/>
      <c r="AF124" s="105"/>
      <c r="AG124" s="106"/>
      <c r="AH124" s="105"/>
      <c r="AI124" s="59"/>
      <c r="AJ124" s="64"/>
      <c r="AK124" s="44"/>
      <c r="AL124" s="84"/>
      <c r="AM124" s="49"/>
      <c r="AN124" s="49"/>
      <c r="AO124" s="49"/>
      <c r="AP124" s="49"/>
      <c r="AQ124" s="49"/>
      <c r="AR124" s="40"/>
      <c r="AS124" s="51"/>
      <c r="AU124" s="49"/>
      <c r="AW124" s="52"/>
      <c r="BA124" s="2">
        <v>2018</v>
      </c>
      <c r="BB124" s="2">
        <v>19</v>
      </c>
      <c r="BC124" s="101">
        <v>43345</v>
      </c>
      <c r="BD124" s="101">
        <v>43358</v>
      </c>
    </row>
    <row r="125" spans="1:56" x14ac:dyDescent="0.35">
      <c r="B125" s="30" t="str">
        <f t="shared" ref="B125" si="76">IF(B51="","",B51)</f>
        <v>Simard, Pascal</v>
      </c>
      <c r="C125" s="115"/>
      <c r="D125" s="116"/>
      <c r="E125" s="117">
        <f t="shared" si="25"/>
        <v>93545</v>
      </c>
      <c r="F125" s="111">
        <f>B83</f>
        <v>11</v>
      </c>
      <c r="G125" s="119"/>
      <c r="H125" s="118"/>
      <c r="I125" s="104"/>
      <c r="J125" s="103">
        <v>8</v>
      </c>
      <c r="K125" s="104"/>
      <c r="L125" s="103">
        <v>8</v>
      </c>
      <c r="M125" s="104"/>
      <c r="N125" s="103">
        <v>8.25</v>
      </c>
      <c r="O125" s="104"/>
      <c r="P125" s="103">
        <v>8</v>
      </c>
      <c r="Q125" s="104"/>
      <c r="R125" s="103">
        <v>0</v>
      </c>
      <c r="S125" s="119"/>
      <c r="T125" s="118"/>
      <c r="U125" s="120">
        <f t="shared" ref="U125" si="77">SUM(G125:T125)</f>
        <v>32.25</v>
      </c>
      <c r="V125" s="121"/>
      <c r="W125" s="119"/>
      <c r="X125" s="118"/>
      <c r="Y125" s="104"/>
      <c r="Z125" s="103">
        <v>8</v>
      </c>
      <c r="AA125" s="104"/>
      <c r="AB125" s="103">
        <v>8</v>
      </c>
      <c r="AC125" s="104"/>
      <c r="AD125" s="103">
        <v>8</v>
      </c>
      <c r="AE125" s="104"/>
      <c r="AF125" s="103">
        <v>8</v>
      </c>
      <c r="AG125" s="104"/>
      <c r="AH125" s="103">
        <v>8</v>
      </c>
      <c r="AI125" s="69"/>
      <c r="AJ125" s="70"/>
      <c r="AK125" s="71">
        <f>SUM(W125:AJ125)</f>
        <v>40</v>
      </c>
      <c r="AL125" s="72"/>
      <c r="AM125" s="73">
        <f>SUMIF($G124:$T124,"",$G125:$T125)+SUMIF($W124:$AJ124,"",$W125:$AJ125)-AN125</f>
        <v>72.25</v>
      </c>
      <c r="AN125" s="88">
        <f>IF(SUMIF($G124:$T124,"",$G125:$T125)+SUMIF($G124:$T124,"F",$G125:$T125)+SUMIF($G124:$T124,"V",$G125:$T125)-40&lt;0,0,SUMIF($G124:$T124,"",$G125:$T125)+SUMIF($G124:$T124,"F",$G125:$T125)+SUMIF($G124:$T124,"V",$G125:$T125)-($U$9/2))+IF(SUMIF($W124:$AJ124,"",$W125:$AJ125)+SUMIF($W124:$AJ124,"F",$W125:$AJ125)+SUMIF($W124:$AJ124,"V",$W125:$AJ125)-40&lt;0,0,SUMIF($W124:$AJ124,"",$W125:$AJ125)+SUMIF($W124:$AJ124,"F",$W125:$AJ125)+SUMIF($W124:$AJ124,"V",$W125:$AJ125)-($U$9/2))</f>
        <v>0</v>
      </c>
      <c r="AO125" s="73">
        <f>SUMIF($G124:$T124,"M",$G125:$T125)+SUMIF($W124:$AJ124,"M",$W125:$AJ125)</f>
        <v>0</v>
      </c>
      <c r="AP125" s="73">
        <f>SUMIF($G124:$T124,"F",$G125:$T125)+SUMIF($W124:$AJ124,"F",$W125:$AJ125)</f>
        <v>0</v>
      </c>
      <c r="AQ125" s="73">
        <f>SUMIF($G124:$T124,"V",$G125:$T125)+SUMIF($W124:$AJ124,"V",$W125:$AJ125)</f>
        <v>0</v>
      </c>
      <c r="AR125" s="74">
        <f>SUMIF($G124:$T124,"O",$G125:$T125)+SUMIF($W124:$AJ124,"O",$W125:$AJ125)</f>
        <v>0</v>
      </c>
      <c r="AS125" s="75">
        <f>SUM(AM125:AR125)</f>
        <v>72.25</v>
      </c>
      <c r="AT125" s="72"/>
      <c r="AU125" s="73">
        <f>SUMIF($G124:$T124,"A",$G125:$T125)+SUMIF($W124:$AJ124,"A",$W125:$AJ125)</f>
        <v>0</v>
      </c>
      <c r="AV125" s="72"/>
      <c r="AW125" s="76">
        <f>IF(B125="",0,IF($U$9="",0,$U$9))</f>
        <v>80</v>
      </c>
      <c r="BA125" s="2">
        <v>2018</v>
      </c>
      <c r="BB125" s="2">
        <v>20</v>
      </c>
      <c r="BC125" s="101">
        <v>43359</v>
      </c>
      <c r="BD125" s="101">
        <v>43372</v>
      </c>
    </row>
    <row r="126" spans="1:56" x14ac:dyDescent="0.35">
      <c r="B126" s="107"/>
      <c r="C126" s="108"/>
      <c r="D126" s="109">
        <f t="shared" ref="D126" si="78">IF(D52="","",D52)</f>
        <v>23736</v>
      </c>
      <c r="E126" s="110" t="str">
        <f t="shared" si="25"/>
        <v/>
      </c>
      <c r="F126" s="111">
        <f>B83</f>
        <v>11</v>
      </c>
      <c r="G126" s="112"/>
      <c r="H126" s="113"/>
      <c r="I126" s="106"/>
      <c r="J126" s="105"/>
      <c r="K126" s="106"/>
      <c r="L126" s="105"/>
      <c r="M126" s="106"/>
      <c r="N126" s="105"/>
      <c r="O126" s="106"/>
      <c r="P126" s="105"/>
      <c r="Q126" s="106"/>
      <c r="R126" s="105"/>
      <c r="S126" s="112"/>
      <c r="T126" s="113"/>
      <c r="U126" s="114"/>
      <c r="V126" s="2"/>
      <c r="W126" s="112"/>
      <c r="X126" s="113"/>
      <c r="Y126" s="106"/>
      <c r="Z126" s="105"/>
      <c r="AA126" s="106"/>
      <c r="AB126" s="105"/>
      <c r="AC126" s="106"/>
      <c r="AD126" s="105"/>
      <c r="AE126" s="106"/>
      <c r="AF126" s="105"/>
      <c r="AG126" s="106"/>
      <c r="AH126" s="105"/>
      <c r="AI126" s="59"/>
      <c r="AJ126" s="64"/>
      <c r="AK126" s="44"/>
      <c r="AL126" s="84"/>
      <c r="AM126" s="49"/>
      <c r="AN126" s="49"/>
      <c r="AO126" s="49"/>
      <c r="AP126" s="49"/>
      <c r="AQ126" s="49"/>
      <c r="AR126" s="40"/>
      <c r="AS126" s="51"/>
      <c r="AU126" s="49"/>
      <c r="AW126" s="52"/>
      <c r="BA126" s="2">
        <v>2018</v>
      </c>
      <c r="BB126" s="2">
        <v>21</v>
      </c>
      <c r="BC126" s="101">
        <v>43373</v>
      </c>
      <c r="BD126" s="101">
        <v>43386</v>
      </c>
    </row>
    <row r="127" spans="1:56" x14ac:dyDescent="0.35">
      <c r="B127" s="30" t="str">
        <f t="shared" ref="B127" si="79">IF(B53="","",B53)</f>
        <v>Voster, Jean-Michel</v>
      </c>
      <c r="C127" s="115"/>
      <c r="D127" s="116"/>
      <c r="E127" s="117">
        <f t="shared" si="25"/>
        <v>93545</v>
      </c>
      <c r="F127" s="111">
        <f>B83</f>
        <v>11</v>
      </c>
      <c r="G127" s="119"/>
      <c r="H127" s="118"/>
      <c r="I127" s="104"/>
      <c r="J127" s="103">
        <v>8.5</v>
      </c>
      <c r="K127" s="104"/>
      <c r="L127" s="103">
        <v>8</v>
      </c>
      <c r="M127" s="104"/>
      <c r="N127" s="103">
        <v>7.75</v>
      </c>
      <c r="O127" s="104"/>
      <c r="P127" s="103">
        <v>8</v>
      </c>
      <c r="Q127" s="104"/>
      <c r="R127" s="103">
        <v>7.5</v>
      </c>
      <c r="S127" s="119"/>
      <c r="T127" s="118"/>
      <c r="U127" s="120">
        <f t="shared" ref="U127" si="80">SUM(G127:T127)</f>
        <v>39.75</v>
      </c>
      <c r="V127" s="121"/>
      <c r="W127" s="119"/>
      <c r="X127" s="118"/>
      <c r="Y127" s="104"/>
      <c r="Z127" s="103">
        <v>8</v>
      </c>
      <c r="AA127" s="104"/>
      <c r="AB127" s="103">
        <v>8</v>
      </c>
      <c r="AC127" s="104"/>
      <c r="AD127" s="103">
        <v>8</v>
      </c>
      <c r="AE127" s="104"/>
      <c r="AF127" s="103">
        <v>8</v>
      </c>
      <c r="AG127" s="104"/>
      <c r="AH127" s="103">
        <v>6.5</v>
      </c>
      <c r="AI127" s="69"/>
      <c r="AJ127" s="70"/>
      <c r="AK127" s="71">
        <f>SUM(W127:AJ127)</f>
        <v>38.5</v>
      </c>
      <c r="AL127" s="72"/>
      <c r="AM127" s="73">
        <f>SUMIF($G126:$T126,"",$G127:$T127)+SUMIF($W126:$AJ126,"",$W127:$AJ127)-AN127</f>
        <v>78.25</v>
      </c>
      <c r="AN127" s="88">
        <f>IF(SUMIF($G126:$T126,"",$G127:$T127)+SUMIF($G126:$T126,"F",$G127:$T127)+SUMIF($G126:$T126,"V",$G127:$T127)-40&lt;0,0,SUMIF($G126:$T126,"",$G127:$T127)+SUMIF($G126:$T126,"F",$G127:$T127)+SUMIF($G126:$T126,"V",$G127:$T127)-($U$9/2))+IF(SUMIF($W126:$AJ126,"",$W127:$AJ127)+SUMIF($W126:$AJ126,"F",$W127:$AJ127)+SUMIF($W126:$AJ126,"V",$W127:$AJ127)-40&lt;0,0,SUMIF($W126:$AJ126,"",$W127:$AJ127)+SUMIF($W126:$AJ126,"F",$W127:$AJ127)+SUMIF($W126:$AJ126,"V",$W127:$AJ127)-($U$9/2))</f>
        <v>0</v>
      </c>
      <c r="AO127" s="73">
        <f>SUMIF($G126:$T126,"M",$G127:$T127)+SUMIF($W126:$AJ126,"M",$W127:$AJ127)</f>
        <v>0</v>
      </c>
      <c r="AP127" s="73">
        <f>SUMIF($G126:$T126,"F",$G127:$T127)+SUMIF($W126:$AJ126,"F",$W127:$AJ127)</f>
        <v>0</v>
      </c>
      <c r="AQ127" s="73">
        <f>SUMIF($G126:$T126,"V",$G127:$T127)+SUMIF($W126:$AJ126,"V",$W127:$AJ127)</f>
        <v>0</v>
      </c>
      <c r="AR127" s="74">
        <f>SUMIF($G126:$T126,"O",$G127:$T127)+SUMIF($W126:$AJ126,"O",$W127:$AJ127)</f>
        <v>0</v>
      </c>
      <c r="AS127" s="75">
        <f>SUM(AM127:AR127)</f>
        <v>78.25</v>
      </c>
      <c r="AT127" s="72"/>
      <c r="AU127" s="73">
        <f>SUMIF($G126:$T126,"A",$G127:$T127)+SUMIF($W126:$AJ126,"A",$W127:$AJ127)</f>
        <v>0</v>
      </c>
      <c r="AV127" s="72"/>
      <c r="AW127" s="76">
        <f>IF(B127="",0,IF($U$9="",0,$U$9))</f>
        <v>80</v>
      </c>
      <c r="BA127" s="2">
        <v>2018</v>
      </c>
      <c r="BB127" s="2">
        <v>22</v>
      </c>
      <c r="BC127" s="101">
        <v>43387</v>
      </c>
      <c r="BD127" s="101">
        <v>43400</v>
      </c>
    </row>
    <row r="128" spans="1:56" s="53" customFormat="1" ht="15" customHeight="1" x14ac:dyDescent="0.35">
      <c r="A128" s="84"/>
      <c r="B128" s="107"/>
      <c r="C128" s="108"/>
      <c r="D128" s="109" t="str">
        <f t="shared" ref="D128" si="81">IF(D54="","",D54)</f>
        <v/>
      </c>
      <c r="E128" s="110" t="str">
        <f t="shared" si="25"/>
        <v/>
      </c>
      <c r="F128" s="111">
        <f>B83</f>
        <v>11</v>
      </c>
      <c r="G128" s="112"/>
      <c r="H128" s="113"/>
      <c r="I128" s="106"/>
      <c r="J128" s="105"/>
      <c r="K128" s="106"/>
      <c r="L128" s="105"/>
      <c r="M128" s="106"/>
      <c r="N128" s="105"/>
      <c r="O128" s="106"/>
      <c r="P128" s="105"/>
      <c r="Q128" s="106"/>
      <c r="R128" s="105"/>
      <c r="S128" s="112"/>
      <c r="T128" s="113"/>
      <c r="U128" s="114"/>
      <c r="V128" s="2"/>
      <c r="W128" s="112"/>
      <c r="X128" s="113"/>
      <c r="Y128" s="106"/>
      <c r="Z128" s="105"/>
      <c r="AA128" s="106"/>
      <c r="AB128" s="105"/>
      <c r="AC128" s="106"/>
      <c r="AD128" s="105"/>
      <c r="AE128" s="106"/>
      <c r="AF128" s="105"/>
      <c r="AG128" s="106"/>
      <c r="AH128" s="105"/>
      <c r="AI128" s="59"/>
      <c r="AJ128" s="64"/>
      <c r="AK128" s="44"/>
      <c r="AL128" s="84"/>
      <c r="AM128" s="49"/>
      <c r="AN128" s="49"/>
      <c r="AO128" s="49"/>
      <c r="AP128" s="49"/>
      <c r="AQ128" s="49"/>
      <c r="AR128" s="40"/>
      <c r="AS128" s="51"/>
      <c r="AT128" s="84"/>
      <c r="AU128" s="49"/>
      <c r="AV128" s="84"/>
      <c r="AW128" s="52"/>
      <c r="AX128" s="84"/>
      <c r="BA128" s="2">
        <v>2018</v>
      </c>
      <c r="BB128" s="2">
        <v>23</v>
      </c>
      <c r="BC128" s="101">
        <v>43401</v>
      </c>
      <c r="BD128" s="101">
        <v>43414</v>
      </c>
    </row>
    <row r="129" spans="1:56" s="57" customFormat="1" ht="15" customHeight="1" x14ac:dyDescent="0.35">
      <c r="A129" s="35"/>
      <c r="B129" s="30" t="str">
        <f t="shared" ref="B129" si="82">IF(B55="","",B55)</f>
        <v/>
      </c>
      <c r="C129" s="115"/>
      <c r="D129" s="116"/>
      <c r="E129" s="117" t="str">
        <f t="shared" si="25"/>
        <v/>
      </c>
      <c r="F129" s="111">
        <f>B83</f>
        <v>11</v>
      </c>
      <c r="G129" s="119"/>
      <c r="H129" s="118"/>
      <c r="I129" s="104"/>
      <c r="J129" s="103"/>
      <c r="K129" s="104"/>
      <c r="L129" s="103"/>
      <c r="M129" s="104"/>
      <c r="N129" s="103"/>
      <c r="O129" s="104"/>
      <c r="P129" s="103"/>
      <c r="Q129" s="104"/>
      <c r="R129" s="103"/>
      <c r="S129" s="119"/>
      <c r="T129" s="118"/>
      <c r="U129" s="120">
        <f t="shared" ref="U129" si="83">SUM(G129:T129)</f>
        <v>0</v>
      </c>
      <c r="V129" s="121"/>
      <c r="W129" s="119"/>
      <c r="X129" s="118"/>
      <c r="Y129" s="104"/>
      <c r="Z129" s="103"/>
      <c r="AA129" s="104"/>
      <c r="AB129" s="103"/>
      <c r="AC129" s="104"/>
      <c r="AD129" s="103"/>
      <c r="AE129" s="104"/>
      <c r="AF129" s="103"/>
      <c r="AG129" s="104"/>
      <c r="AH129" s="103"/>
      <c r="AI129" s="69"/>
      <c r="AJ129" s="70"/>
      <c r="AK129" s="71">
        <f>SUM(W129:AJ129)</f>
        <v>0</v>
      </c>
      <c r="AL129" s="72"/>
      <c r="AM129" s="73">
        <f>SUMIF($G128:$T128,"",$G129:$T129)+SUMIF($W128:$AJ128,"",$W129:$AJ129)-AN129</f>
        <v>0</v>
      </c>
      <c r="AN129" s="88">
        <f>IF(SUMIF($G128:$T128,"",$G129:$T129)+SUMIF($G128:$T128,"F",$G129:$T129)+SUMIF($G128:$T128,"V",$G129:$T129)-40&lt;0,0,SUMIF($G128:$T128,"",$G129:$T129)+SUMIF($G128:$T128,"F",$G129:$T129)+SUMIF($G128:$T128,"V",$G129:$T129)-($U$9/2))+IF(SUMIF($W128:$AJ128,"",$W129:$AJ129)+SUMIF($W128:$AJ128,"F",$W129:$AJ129)+SUMIF($W128:$AJ128,"V",$W129:$AJ129)-40&lt;0,0,SUMIF($W128:$AJ128,"",$W129:$AJ129)+SUMIF($W128:$AJ128,"F",$W129:$AJ129)+SUMIF($W128:$AJ128,"V",$W129:$AJ129)-($U$9/2))</f>
        <v>0</v>
      </c>
      <c r="AO129" s="73">
        <f>SUMIF($G128:$T128,"M",$G129:$T129)+SUMIF($W128:$AJ128,"M",$W129:$AJ129)</f>
        <v>0</v>
      </c>
      <c r="AP129" s="73">
        <f>SUMIF($G128:$T128,"F",$G129:$T129)+SUMIF($W128:$AJ128,"F",$W129:$AJ129)</f>
        <v>0</v>
      </c>
      <c r="AQ129" s="73">
        <f>SUMIF($G128:$T128,"V",$G129:$T129)+SUMIF($W128:$AJ128,"V",$W129:$AJ129)</f>
        <v>0</v>
      </c>
      <c r="AR129" s="74">
        <f>SUMIF($G128:$T128,"O",$G129:$T129)+SUMIF($W128:$AJ128,"O",$W129:$AJ129)</f>
        <v>0</v>
      </c>
      <c r="AS129" s="75">
        <f>SUM(AM129:AR129)</f>
        <v>0</v>
      </c>
      <c r="AT129" s="72"/>
      <c r="AU129" s="73">
        <f>SUMIF($G128:$T128,"A",$G129:$T129)+SUMIF($W128:$AJ128,"A",$W129:$AJ129)</f>
        <v>0</v>
      </c>
      <c r="AV129" s="72"/>
      <c r="AW129" s="76">
        <f>IF(B129="",0,IF($U$9="",0,$U$9))</f>
        <v>0</v>
      </c>
      <c r="AX129" s="35"/>
      <c r="BA129" s="2">
        <v>2018</v>
      </c>
      <c r="BB129" s="2">
        <v>24</v>
      </c>
      <c r="BC129" s="101">
        <v>43415</v>
      </c>
      <c r="BD129" s="101">
        <v>43428</v>
      </c>
    </row>
    <row r="130" spans="1:56" s="53" customFormat="1" ht="15" customHeight="1" x14ac:dyDescent="0.35">
      <c r="A130" s="35"/>
      <c r="B130" s="107"/>
      <c r="C130" s="108"/>
      <c r="D130" s="109" t="str">
        <f t="shared" ref="D130" si="84">IF(D56="","",D56)</f>
        <v/>
      </c>
      <c r="E130" s="110" t="str">
        <f t="shared" si="25"/>
        <v/>
      </c>
      <c r="F130" s="111">
        <f>B83</f>
        <v>11</v>
      </c>
      <c r="G130" s="112"/>
      <c r="H130" s="113"/>
      <c r="I130" s="106"/>
      <c r="J130" s="105"/>
      <c r="K130" s="106"/>
      <c r="L130" s="105"/>
      <c r="M130" s="106"/>
      <c r="N130" s="105"/>
      <c r="O130" s="106"/>
      <c r="P130" s="105"/>
      <c r="Q130" s="106"/>
      <c r="R130" s="105"/>
      <c r="S130" s="112"/>
      <c r="T130" s="113"/>
      <c r="U130" s="114"/>
      <c r="V130" s="2"/>
      <c r="W130" s="112"/>
      <c r="X130" s="113"/>
      <c r="Y130" s="106"/>
      <c r="Z130" s="105"/>
      <c r="AA130" s="106"/>
      <c r="AB130" s="105"/>
      <c r="AC130" s="106"/>
      <c r="AD130" s="105"/>
      <c r="AE130" s="106"/>
      <c r="AF130" s="105"/>
      <c r="AG130" s="106"/>
      <c r="AH130" s="105"/>
      <c r="AI130" s="59"/>
      <c r="AJ130" s="64"/>
      <c r="AK130" s="44"/>
      <c r="AL130" s="84"/>
      <c r="AM130" s="49"/>
      <c r="AN130" s="49"/>
      <c r="AO130" s="49"/>
      <c r="AP130" s="49"/>
      <c r="AQ130" s="49"/>
      <c r="AR130" s="40"/>
      <c r="AS130" s="51"/>
      <c r="AT130" s="35"/>
      <c r="AU130" s="49"/>
      <c r="AV130" s="35"/>
      <c r="AW130" s="52"/>
      <c r="AX130" s="35"/>
      <c r="BA130" s="2">
        <v>2018</v>
      </c>
      <c r="BB130" s="2">
        <v>25</v>
      </c>
      <c r="BC130" s="101">
        <v>43429</v>
      </c>
      <c r="BD130" s="101">
        <v>43442</v>
      </c>
    </row>
    <row r="131" spans="1:56" s="53" customFormat="1" x14ac:dyDescent="0.35">
      <c r="A131" s="35"/>
      <c r="B131" s="30" t="str">
        <f t="shared" ref="B131" si="85">IF(B57="","",B57)</f>
        <v/>
      </c>
      <c r="C131" s="115"/>
      <c r="D131" s="116"/>
      <c r="E131" s="117" t="str">
        <f t="shared" si="25"/>
        <v/>
      </c>
      <c r="F131" s="111">
        <f>B83</f>
        <v>11</v>
      </c>
      <c r="G131" s="119"/>
      <c r="H131" s="118"/>
      <c r="I131" s="104"/>
      <c r="J131" s="103"/>
      <c r="K131" s="104"/>
      <c r="L131" s="103"/>
      <c r="M131" s="104"/>
      <c r="N131" s="103"/>
      <c r="O131" s="104"/>
      <c r="P131" s="103"/>
      <c r="Q131" s="104"/>
      <c r="R131" s="103"/>
      <c r="S131" s="119"/>
      <c r="T131" s="118"/>
      <c r="U131" s="120">
        <f t="shared" ref="U131" si="86">SUM(G131:T131)</f>
        <v>0</v>
      </c>
      <c r="V131" s="121"/>
      <c r="W131" s="119"/>
      <c r="X131" s="118"/>
      <c r="Y131" s="104"/>
      <c r="Z131" s="103"/>
      <c r="AA131" s="104"/>
      <c r="AB131" s="103"/>
      <c r="AC131" s="104"/>
      <c r="AD131" s="103"/>
      <c r="AE131" s="104"/>
      <c r="AF131" s="103"/>
      <c r="AG131" s="104"/>
      <c r="AH131" s="103"/>
      <c r="AI131" s="69"/>
      <c r="AJ131" s="70"/>
      <c r="AK131" s="71">
        <f>SUM(W131:AJ131)</f>
        <v>0</v>
      </c>
      <c r="AL131" s="72"/>
      <c r="AM131" s="73">
        <f>SUMIF($G130:$T130,"",$G131:$T131)+SUMIF($W130:$AJ130,"",$W131:$AJ131)-AN131</f>
        <v>0</v>
      </c>
      <c r="AN131" s="88">
        <f>IF(SUMIF($G130:$T130,"",$G131:$T131)+SUMIF($G130:$T130,"F",$G131:$T131)+SUMIF($G130:$T130,"V",$G131:$T131)-40&lt;0,0,SUMIF($G130:$T130,"",$G131:$T131)+SUMIF($G130:$T130,"F",$G131:$T131)+SUMIF($G130:$T130,"V",$G131:$T131)-($U$9/2))+IF(SUMIF($W130:$AJ130,"",$W131:$AJ131)+SUMIF($W130:$AJ130,"F",$W131:$AJ131)+SUMIF($W130:$AJ130,"V",$W131:$AJ131)-40&lt;0,0,SUMIF($W130:$AJ130,"",$W131:$AJ131)+SUMIF($W130:$AJ130,"F",$W131:$AJ131)+SUMIF($W130:$AJ130,"V",$W131:$AJ131)-($U$9/2))</f>
        <v>0</v>
      </c>
      <c r="AO131" s="73">
        <f>SUMIF($G130:$T130,"M",$G131:$T131)+SUMIF($W130:$AJ130,"M",$W131:$AJ131)</f>
        <v>0</v>
      </c>
      <c r="AP131" s="73">
        <f>SUMIF($G130:$T130,"F",$G131:$T131)+SUMIF($W130:$AJ130,"F",$W131:$AJ131)</f>
        <v>0</v>
      </c>
      <c r="AQ131" s="73">
        <f>SUMIF($G130:$T130,"V",$G131:$T131)+SUMIF($W130:$AJ130,"V",$W131:$AJ131)</f>
        <v>0</v>
      </c>
      <c r="AR131" s="74">
        <f>SUMIF($G130:$T130,"O",$G131:$T131)+SUMIF($W130:$AJ130,"O",$W131:$AJ131)</f>
        <v>0</v>
      </c>
      <c r="AS131" s="75">
        <f>SUM(AM131:AR131)</f>
        <v>0</v>
      </c>
      <c r="AT131" s="72"/>
      <c r="AU131" s="73">
        <f>SUMIF($G130:$T130,"A",$G131:$T131)+SUMIF($W130:$AJ130,"A",$W131:$AJ131)</f>
        <v>0</v>
      </c>
      <c r="AV131" s="72"/>
      <c r="AW131" s="76">
        <f>IF(B131="",0,IF($U$9="",0,$U$9))</f>
        <v>0</v>
      </c>
      <c r="AX131" s="35"/>
      <c r="BA131" s="2">
        <v>2018</v>
      </c>
      <c r="BB131" s="2">
        <v>26</v>
      </c>
      <c r="BC131" s="101">
        <v>43443</v>
      </c>
      <c r="BD131" s="101">
        <v>43456</v>
      </c>
    </row>
    <row r="132" spans="1:56" s="53" customFormat="1" x14ac:dyDescent="0.35">
      <c r="A132" s="35"/>
      <c r="B132" s="107"/>
      <c r="C132" s="108"/>
      <c r="D132" s="109" t="str">
        <f t="shared" ref="D132" si="87">IF(D58="","",D58)</f>
        <v/>
      </c>
      <c r="E132" s="110" t="str">
        <f t="shared" si="25"/>
        <v/>
      </c>
      <c r="F132" s="111">
        <f>B83</f>
        <v>11</v>
      </c>
      <c r="G132" s="112"/>
      <c r="H132" s="113"/>
      <c r="I132" s="106"/>
      <c r="J132" s="105"/>
      <c r="K132" s="106"/>
      <c r="L132" s="105"/>
      <c r="M132" s="106"/>
      <c r="N132" s="105"/>
      <c r="O132" s="106"/>
      <c r="P132" s="105"/>
      <c r="Q132" s="106"/>
      <c r="R132" s="105"/>
      <c r="S132" s="112"/>
      <c r="T132" s="113"/>
      <c r="U132" s="114"/>
      <c r="V132" s="2"/>
      <c r="W132" s="112"/>
      <c r="X132" s="113"/>
      <c r="Y132" s="106"/>
      <c r="Z132" s="105"/>
      <c r="AA132" s="106"/>
      <c r="AB132" s="105"/>
      <c r="AC132" s="106"/>
      <c r="AD132" s="105"/>
      <c r="AE132" s="106"/>
      <c r="AF132" s="105"/>
      <c r="AG132" s="106"/>
      <c r="AH132" s="105"/>
      <c r="AI132" s="59"/>
      <c r="AJ132" s="64"/>
      <c r="AK132" s="44"/>
      <c r="AL132" s="84"/>
      <c r="AM132" s="49"/>
      <c r="AN132" s="49"/>
      <c r="AO132" s="49"/>
      <c r="AP132" s="49"/>
      <c r="AQ132" s="49"/>
      <c r="AR132" s="40"/>
      <c r="AS132" s="51"/>
      <c r="AT132" s="35"/>
      <c r="AU132" s="49"/>
      <c r="AV132" s="35"/>
      <c r="AW132" s="52"/>
      <c r="AX132" s="35"/>
      <c r="BA132" s="2">
        <v>2019</v>
      </c>
      <c r="BB132" s="2">
        <v>1</v>
      </c>
      <c r="BC132" s="101">
        <f>+BC131+14</f>
        <v>43457</v>
      </c>
      <c r="BD132" s="101">
        <f>+BD131+14</f>
        <v>43470</v>
      </c>
    </row>
    <row r="133" spans="1:56" s="53" customFormat="1" x14ac:dyDescent="0.35">
      <c r="A133" s="35"/>
      <c r="B133" s="30" t="str">
        <f t="shared" ref="B133" si="88">IF(B59="","",B59)</f>
        <v/>
      </c>
      <c r="C133" s="115"/>
      <c r="D133" s="116"/>
      <c r="E133" s="117" t="str">
        <f t="shared" si="25"/>
        <v/>
      </c>
      <c r="F133" s="111">
        <f>B83</f>
        <v>11</v>
      </c>
      <c r="G133" s="119"/>
      <c r="H133" s="118"/>
      <c r="I133" s="104"/>
      <c r="J133" s="103"/>
      <c r="K133" s="104"/>
      <c r="L133" s="103"/>
      <c r="M133" s="104"/>
      <c r="N133" s="103"/>
      <c r="O133" s="104"/>
      <c r="P133" s="103"/>
      <c r="Q133" s="104"/>
      <c r="R133" s="103"/>
      <c r="S133" s="119"/>
      <c r="T133" s="118"/>
      <c r="U133" s="120">
        <f t="shared" ref="U133" si="89">SUM(G133:T133)</f>
        <v>0</v>
      </c>
      <c r="V133" s="121"/>
      <c r="W133" s="119"/>
      <c r="X133" s="118"/>
      <c r="Y133" s="104"/>
      <c r="Z133" s="103"/>
      <c r="AA133" s="104"/>
      <c r="AB133" s="103"/>
      <c r="AC133" s="104"/>
      <c r="AD133" s="103"/>
      <c r="AE133" s="104"/>
      <c r="AF133" s="103"/>
      <c r="AG133" s="104"/>
      <c r="AH133" s="103"/>
      <c r="AI133" s="69"/>
      <c r="AJ133" s="70"/>
      <c r="AK133" s="71">
        <v>0</v>
      </c>
      <c r="AL133" s="72"/>
      <c r="AM133" s="73">
        <f>SUMIF($G132:$T132,"",$G133:$T133)+SUMIF($W132:$AJ132,"",$W133:$AJ133)-AN133</f>
        <v>0</v>
      </c>
      <c r="AN133" s="88">
        <f>IF(SUMIF($G132:$T132,"",$G133:$T133)+SUMIF($G132:$T132,"F",$G133:$T133)+SUMIF($G132:$T132,"V",$G133:$T133)-40&lt;0,0,SUMIF($G132:$T132,"",$G133:$T133)+SUMIF($G132:$T132,"F",$G133:$T133)+SUMIF($G132:$T132,"V",$G133:$T133)-($U$9/2))+IF(SUMIF($W132:$AJ132,"",$W133:$AJ133)+SUMIF($W132:$AJ132,"F",$W133:$AJ133)+SUMIF($W132:$AJ132,"V",$W133:$AJ133)-40&lt;0,0,SUMIF($W132:$AJ132,"",$W133:$AJ133)+SUMIF($W132:$AJ132,"F",$W133:$AJ133)+SUMIF($W132:$AJ132,"V",$W133:$AJ133)-($U$9/2))</f>
        <v>0</v>
      </c>
      <c r="AO133" s="73">
        <f>SUMIF($G132:$T132,"M",$G133:$T133)+SUMIF($W132:$AJ132,"M",$W133:$AJ133)</f>
        <v>0</v>
      </c>
      <c r="AP133" s="73">
        <f>SUMIF($G132:$T132,"F",$G133:$T133)+SUMIF($W132:$AJ132,"F",$W133:$AJ133)</f>
        <v>0</v>
      </c>
      <c r="AQ133" s="73">
        <f>SUMIF($G132:$T132,"V",$G133:$T133)+SUMIF($W132:$AJ132,"V",$W133:$AJ133)</f>
        <v>0</v>
      </c>
      <c r="AR133" s="74">
        <f>SUMIF($G132:$T132,"O",$G133:$T133)+SUMIF($W132:$AJ132,"O",$W133:$AJ133)</f>
        <v>0</v>
      </c>
      <c r="AS133" s="75">
        <f>SUM(AM133:AR133)</f>
        <v>0</v>
      </c>
      <c r="AT133" s="72"/>
      <c r="AU133" s="73">
        <f>SUMIF($G132:$T132,"A",$G133:$T133)+SUMIF($W132:$AJ132,"A",$W133:$AJ133)</f>
        <v>0</v>
      </c>
      <c r="AV133" s="72"/>
      <c r="AW133" s="76">
        <f>IF(B133="",0,IF($U$9="",0,$U$9))</f>
        <v>0</v>
      </c>
      <c r="AX133" s="35"/>
      <c r="BA133" s="2">
        <v>2019</v>
      </c>
      <c r="BB133" s="2">
        <v>2</v>
      </c>
      <c r="BC133" s="101">
        <f t="shared" ref="BC133:BD148" si="90">+BC132+14</f>
        <v>43471</v>
      </c>
      <c r="BD133" s="101">
        <f t="shared" si="90"/>
        <v>43484</v>
      </c>
    </row>
    <row r="134" spans="1:56" s="53" customFormat="1" x14ac:dyDescent="0.35">
      <c r="A134" s="35"/>
      <c r="B134" s="107"/>
      <c r="C134" s="108"/>
      <c r="D134" s="109" t="str">
        <f t="shared" ref="D134" si="91">IF(D60="","",D60)</f>
        <v/>
      </c>
      <c r="E134" s="110" t="str">
        <f t="shared" si="25"/>
        <v/>
      </c>
      <c r="F134" s="50">
        <f>B83</f>
        <v>11</v>
      </c>
      <c r="G134" s="59"/>
      <c r="H134" s="64"/>
      <c r="I134" s="58"/>
      <c r="J134" s="65"/>
      <c r="K134" s="58"/>
      <c r="L134" s="65"/>
      <c r="M134" s="58"/>
      <c r="N134" s="65"/>
      <c r="O134" s="58"/>
      <c r="P134" s="65"/>
      <c r="Q134" s="58"/>
      <c r="R134" s="65"/>
      <c r="S134" s="59"/>
      <c r="T134" s="64"/>
      <c r="U134" s="44"/>
      <c r="V134" s="84"/>
      <c r="W134" s="59"/>
      <c r="X134" s="64"/>
      <c r="Y134" s="58"/>
      <c r="Z134" s="65"/>
      <c r="AA134" s="58"/>
      <c r="AB134" s="65"/>
      <c r="AC134" s="58"/>
      <c r="AD134" s="65"/>
      <c r="AE134" s="58"/>
      <c r="AF134" s="65"/>
      <c r="AG134" s="58"/>
      <c r="AH134" s="65"/>
      <c r="AI134" s="59"/>
      <c r="AJ134" s="64"/>
      <c r="AK134" s="44"/>
      <c r="AL134" s="84"/>
      <c r="AM134" s="49"/>
      <c r="AN134" s="49"/>
      <c r="AO134" s="49"/>
      <c r="AP134" s="49"/>
      <c r="AQ134" s="49"/>
      <c r="AR134" s="40"/>
      <c r="AS134" s="51"/>
      <c r="AT134" s="35"/>
      <c r="AU134" s="49"/>
      <c r="AV134" s="35"/>
      <c r="AW134" s="52"/>
      <c r="AX134" s="35"/>
      <c r="BA134" s="2">
        <v>2019</v>
      </c>
      <c r="BB134" s="2">
        <v>3</v>
      </c>
      <c r="BC134" s="101">
        <f t="shared" si="90"/>
        <v>43485</v>
      </c>
      <c r="BD134" s="101">
        <f t="shared" si="90"/>
        <v>43498</v>
      </c>
    </row>
    <row r="135" spans="1:56" s="53" customFormat="1" x14ac:dyDescent="0.35">
      <c r="A135" s="35"/>
      <c r="B135" s="30" t="str">
        <f t="shared" ref="B135" si="92">IF(B61="","",B61)</f>
        <v/>
      </c>
      <c r="C135" s="115"/>
      <c r="D135" s="116"/>
      <c r="E135" s="117" t="str">
        <f t="shared" si="25"/>
        <v/>
      </c>
      <c r="F135" s="50">
        <f>B83</f>
        <v>11</v>
      </c>
      <c r="G135" s="69"/>
      <c r="H135" s="70"/>
      <c r="I135" s="67"/>
      <c r="J135" s="68"/>
      <c r="K135" s="67"/>
      <c r="L135" s="68"/>
      <c r="M135" s="67"/>
      <c r="N135" s="68"/>
      <c r="O135" s="67"/>
      <c r="P135" s="68"/>
      <c r="Q135" s="67"/>
      <c r="R135" s="68"/>
      <c r="S135" s="69"/>
      <c r="T135" s="70"/>
      <c r="U135" s="71">
        <f t="shared" ref="U135" si="93">SUM(G135:T135)</f>
        <v>0</v>
      </c>
      <c r="V135" s="72"/>
      <c r="W135" s="69"/>
      <c r="X135" s="70"/>
      <c r="Y135" s="67"/>
      <c r="Z135" s="68"/>
      <c r="AA135" s="67"/>
      <c r="AB135" s="68"/>
      <c r="AC135" s="67"/>
      <c r="AD135" s="68"/>
      <c r="AE135" s="67"/>
      <c r="AF135" s="68"/>
      <c r="AG135" s="67"/>
      <c r="AH135" s="68"/>
      <c r="AI135" s="69"/>
      <c r="AJ135" s="70"/>
      <c r="AK135" s="71">
        <v>0</v>
      </c>
      <c r="AL135" s="72"/>
      <c r="AM135" s="73">
        <v>0</v>
      </c>
      <c r="AN135" s="88">
        <v>0</v>
      </c>
      <c r="AO135" s="73">
        <v>0</v>
      </c>
      <c r="AP135" s="73">
        <v>0</v>
      </c>
      <c r="AQ135" s="73">
        <v>0</v>
      </c>
      <c r="AR135" s="74">
        <v>0</v>
      </c>
      <c r="AS135" s="75">
        <v>0</v>
      </c>
      <c r="AT135" s="72"/>
      <c r="AU135" s="73">
        <f>SUMIF($G134:$T134,"A",$G135:$T135)+SUMIF($W134:$AJ134,"A",$W135:$AJ135)</f>
        <v>0</v>
      </c>
      <c r="AV135" s="72"/>
      <c r="AW135" s="76">
        <f>IF(B135="",0,IF($U$9="",0,$U$9))</f>
        <v>0</v>
      </c>
      <c r="AX135" s="35"/>
      <c r="BA135" s="2">
        <v>2019</v>
      </c>
      <c r="BB135" s="2">
        <v>4</v>
      </c>
      <c r="BC135" s="101">
        <f t="shared" si="90"/>
        <v>43499</v>
      </c>
      <c r="BD135" s="101">
        <f t="shared" si="90"/>
        <v>43512</v>
      </c>
    </row>
    <row r="136" spans="1:56" s="53" customFormat="1" x14ac:dyDescent="0.35">
      <c r="A136" s="35"/>
      <c r="B136" s="107"/>
      <c r="C136" s="108"/>
      <c r="D136" s="109" t="str">
        <f t="shared" ref="D136" si="94">IF(D62="","",D62)</f>
        <v/>
      </c>
      <c r="E136" s="110" t="str">
        <f t="shared" si="25"/>
        <v/>
      </c>
      <c r="F136" s="50">
        <f>B83</f>
        <v>11</v>
      </c>
      <c r="G136" s="59"/>
      <c r="H136" s="64"/>
      <c r="I136" s="58"/>
      <c r="J136" s="65"/>
      <c r="K136" s="58"/>
      <c r="L136" s="65"/>
      <c r="M136" s="58"/>
      <c r="N136" s="65"/>
      <c r="O136" s="58"/>
      <c r="P136" s="65"/>
      <c r="Q136" s="58"/>
      <c r="R136" s="65"/>
      <c r="S136" s="59"/>
      <c r="T136" s="64"/>
      <c r="U136" s="44"/>
      <c r="V136" s="84"/>
      <c r="W136" s="59"/>
      <c r="X136" s="64"/>
      <c r="Y136" s="58"/>
      <c r="Z136" s="65"/>
      <c r="AA136" s="58"/>
      <c r="AB136" s="65"/>
      <c r="AC136" s="58"/>
      <c r="AD136" s="65"/>
      <c r="AE136" s="58"/>
      <c r="AF136" s="65"/>
      <c r="AG136" s="58"/>
      <c r="AH136" s="65"/>
      <c r="AI136" s="59"/>
      <c r="AJ136" s="64"/>
      <c r="AK136" s="44"/>
      <c r="AL136" s="84"/>
      <c r="AM136" s="49"/>
      <c r="AN136" s="49"/>
      <c r="AO136" s="49"/>
      <c r="AP136" s="49"/>
      <c r="AQ136" s="49"/>
      <c r="AR136" s="40"/>
      <c r="AS136" s="51"/>
      <c r="AT136" s="35"/>
      <c r="AU136" s="49"/>
      <c r="AV136" s="35"/>
      <c r="AW136" s="52"/>
      <c r="AX136" s="35"/>
      <c r="BA136" s="2">
        <v>2019</v>
      </c>
      <c r="BB136" s="2">
        <v>5</v>
      </c>
      <c r="BC136" s="101">
        <f t="shared" si="90"/>
        <v>43513</v>
      </c>
      <c r="BD136" s="101">
        <f t="shared" si="90"/>
        <v>43526</v>
      </c>
    </row>
    <row r="137" spans="1:56" s="53" customFormat="1" ht="15" thickBot="1" x14ac:dyDescent="0.4">
      <c r="A137" s="35"/>
      <c r="B137" s="30" t="str">
        <f t="shared" ref="B137" si="95">IF(B63="","",B63)</f>
        <v/>
      </c>
      <c r="C137" s="115"/>
      <c r="D137" s="116"/>
      <c r="E137" s="117" t="str">
        <f t="shared" si="25"/>
        <v/>
      </c>
      <c r="F137" s="50">
        <f>B83</f>
        <v>11</v>
      </c>
      <c r="G137" s="69"/>
      <c r="H137" s="70"/>
      <c r="I137" s="67"/>
      <c r="J137" s="68"/>
      <c r="K137" s="67"/>
      <c r="L137" s="68"/>
      <c r="M137" s="67"/>
      <c r="N137" s="68"/>
      <c r="O137" s="67"/>
      <c r="P137" s="68"/>
      <c r="Q137" s="67"/>
      <c r="R137" s="68"/>
      <c r="S137" s="69"/>
      <c r="T137" s="70"/>
      <c r="U137" s="71">
        <f t="shared" ref="U137" si="96">SUM(G137:T137)</f>
        <v>0</v>
      </c>
      <c r="V137" s="72"/>
      <c r="W137" s="69"/>
      <c r="X137" s="70"/>
      <c r="Y137" s="67"/>
      <c r="Z137" s="68"/>
      <c r="AA137" s="67"/>
      <c r="AB137" s="68"/>
      <c r="AC137" s="67"/>
      <c r="AD137" s="68"/>
      <c r="AE137" s="67"/>
      <c r="AF137" s="68"/>
      <c r="AG137" s="67"/>
      <c r="AH137" s="68"/>
      <c r="AI137" s="69"/>
      <c r="AJ137" s="70"/>
      <c r="AK137" s="71">
        <v>0</v>
      </c>
      <c r="AL137" s="72"/>
      <c r="AM137" s="73">
        <v>0</v>
      </c>
      <c r="AN137" s="88">
        <v>0</v>
      </c>
      <c r="AO137" s="73">
        <v>0</v>
      </c>
      <c r="AP137" s="73">
        <v>0</v>
      </c>
      <c r="AQ137" s="73">
        <v>0</v>
      </c>
      <c r="AR137" s="74">
        <v>0</v>
      </c>
      <c r="AS137" s="75">
        <v>0</v>
      </c>
      <c r="AT137" s="72"/>
      <c r="AU137" s="73">
        <f>SUMIF($G136:$T136,"A",$G137:$T137)+SUMIF($W136:$AJ136,"A",$W137:$AJ137)</f>
        <v>0</v>
      </c>
      <c r="AV137" s="72"/>
      <c r="AW137" s="76">
        <f>IF(B137="",0,IF($U$9="",0,$U$9))</f>
        <v>0</v>
      </c>
      <c r="AX137" s="35"/>
      <c r="BA137" s="2">
        <v>2019</v>
      </c>
      <c r="BB137" s="2">
        <v>6</v>
      </c>
      <c r="BC137" s="101">
        <f t="shared" si="90"/>
        <v>43527</v>
      </c>
      <c r="BD137" s="101">
        <f t="shared" si="90"/>
        <v>43540</v>
      </c>
    </row>
    <row r="138" spans="1:56" s="53" customFormat="1" ht="27.75" customHeight="1" thickBot="1" x14ac:dyDescent="0.4">
      <c r="A138" s="35"/>
      <c r="B138" s="149" t="s">
        <v>7</v>
      </c>
      <c r="C138" s="150"/>
      <c r="D138" s="150"/>
      <c r="E138" s="151"/>
      <c r="F138" s="97"/>
      <c r="G138" s="152">
        <f>SUM(G88:H137)</f>
        <v>0</v>
      </c>
      <c r="H138" s="152"/>
      <c r="I138" s="152">
        <f>SUM(I88:J137)</f>
        <v>129.5</v>
      </c>
      <c r="J138" s="152"/>
      <c r="K138" s="152">
        <f>SUM(K88:L137)</f>
        <v>128.5</v>
      </c>
      <c r="L138" s="152"/>
      <c r="M138" s="152">
        <f>SUM(M88:N137)</f>
        <v>129</v>
      </c>
      <c r="N138" s="152"/>
      <c r="O138" s="152">
        <f>SUM(O88:P137)</f>
        <v>128.5</v>
      </c>
      <c r="P138" s="152"/>
      <c r="Q138" s="152">
        <f>SUM(Q88:R137)</f>
        <v>119.5</v>
      </c>
      <c r="R138" s="152"/>
      <c r="S138" s="152">
        <f>SUM(S88:T137)</f>
        <v>0</v>
      </c>
      <c r="T138" s="153"/>
      <c r="U138" s="77">
        <f>SUM(U88:U137)</f>
        <v>635</v>
      </c>
      <c r="V138" s="78"/>
      <c r="W138" s="152">
        <f>SUM(W88:X137)</f>
        <v>0</v>
      </c>
      <c r="X138" s="152"/>
      <c r="Y138" s="152">
        <f>SUM(Y88:Z137)</f>
        <v>136.5</v>
      </c>
      <c r="Z138" s="152"/>
      <c r="AA138" s="152">
        <f>SUM(AA88:AB137)</f>
        <v>137</v>
      </c>
      <c r="AB138" s="152"/>
      <c r="AC138" s="152">
        <f>SUM(AC88:AD137)</f>
        <v>128.25</v>
      </c>
      <c r="AD138" s="152"/>
      <c r="AE138" s="152">
        <f>SUM(AE88:AF137)</f>
        <v>128.5</v>
      </c>
      <c r="AF138" s="152"/>
      <c r="AG138" s="152">
        <f>SUM(AG88:AH137)</f>
        <v>126.5</v>
      </c>
      <c r="AH138" s="152"/>
      <c r="AI138" s="152">
        <f>SUM(AI88:AJ137)</f>
        <v>0</v>
      </c>
      <c r="AJ138" s="152"/>
      <c r="AK138" s="77">
        <f>SUM(AK88:AK137)</f>
        <v>656.75</v>
      </c>
      <c r="AL138" s="78"/>
      <c r="AM138" s="79">
        <f t="shared" ref="AM138:AS138" si="97">SUM(AM88:AM137)</f>
        <v>1213.5</v>
      </c>
      <c r="AN138" s="79">
        <f t="shared" si="97"/>
        <v>6.25</v>
      </c>
      <c r="AO138" s="79">
        <f t="shared" si="97"/>
        <v>16</v>
      </c>
      <c r="AP138" s="79">
        <f t="shared" si="97"/>
        <v>0</v>
      </c>
      <c r="AQ138" s="79">
        <f t="shared" si="97"/>
        <v>56</v>
      </c>
      <c r="AR138" s="80">
        <f t="shared" si="97"/>
        <v>0</v>
      </c>
      <c r="AS138" s="81">
        <f t="shared" si="97"/>
        <v>1291.75</v>
      </c>
      <c r="AT138" s="78"/>
      <c r="AU138" s="82">
        <f>SUM(AU88:AU137)</f>
        <v>0</v>
      </c>
      <c r="AV138" s="78"/>
      <c r="AW138" s="83">
        <f>SUM(AW88:AW137)</f>
        <v>1600</v>
      </c>
      <c r="AX138" s="35"/>
      <c r="BA138" s="2">
        <v>2019</v>
      </c>
      <c r="BB138" s="2">
        <v>7</v>
      </c>
      <c r="BC138" s="101">
        <f t="shared" si="90"/>
        <v>43541</v>
      </c>
      <c r="BD138" s="101">
        <f t="shared" si="90"/>
        <v>43554</v>
      </c>
    </row>
    <row r="139" spans="1:56" s="53" customFormat="1" ht="15" thickTop="1" x14ac:dyDescent="0.35">
      <c r="B139" s="54"/>
      <c r="F139" s="98"/>
      <c r="G139" s="55"/>
      <c r="H139" s="55"/>
      <c r="I139" s="55"/>
      <c r="J139" s="55"/>
      <c r="K139" s="55"/>
      <c r="L139" s="55"/>
      <c r="M139" s="55"/>
      <c r="N139" s="55"/>
      <c r="O139" s="55"/>
      <c r="P139" s="55"/>
      <c r="Q139" s="55"/>
      <c r="R139" s="55"/>
      <c r="S139" s="55"/>
      <c r="T139" s="55"/>
      <c r="U139" s="56"/>
      <c r="V139" s="55"/>
      <c r="W139" s="55"/>
      <c r="X139" s="55"/>
      <c r="Y139" s="55"/>
      <c r="Z139" s="55"/>
      <c r="AA139" s="55"/>
      <c r="AB139" s="55"/>
      <c r="AC139" s="55"/>
      <c r="AD139" s="55"/>
      <c r="AE139" s="55"/>
      <c r="AF139" s="55"/>
      <c r="AG139" s="55"/>
      <c r="AH139" s="55"/>
      <c r="AI139" s="55"/>
      <c r="AJ139" s="55"/>
      <c r="AK139" s="56"/>
      <c r="AL139" s="55"/>
      <c r="AM139" s="55"/>
      <c r="AN139" s="55"/>
      <c r="AO139" s="55"/>
      <c r="AP139" s="55"/>
      <c r="AQ139" s="55"/>
      <c r="AR139" s="55"/>
      <c r="AS139" s="55"/>
      <c r="AT139" s="55"/>
      <c r="AU139" s="55"/>
      <c r="AV139" s="55"/>
      <c r="AW139" s="55"/>
      <c r="BA139" s="2">
        <v>2019</v>
      </c>
      <c r="BB139" s="2">
        <v>8</v>
      </c>
      <c r="BC139" s="101">
        <f t="shared" si="90"/>
        <v>43555</v>
      </c>
      <c r="BD139" s="101">
        <f t="shared" si="90"/>
        <v>43568</v>
      </c>
    </row>
    <row r="140" spans="1:56" s="53" customFormat="1" x14ac:dyDescent="0.35">
      <c r="B140" s="54" t="s">
        <v>52</v>
      </c>
      <c r="D140" s="141" t="s">
        <v>77</v>
      </c>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56"/>
      <c r="AL140" s="55"/>
      <c r="AM140" s="55"/>
      <c r="AN140" s="55"/>
      <c r="AO140" s="55"/>
      <c r="AP140" s="55"/>
      <c r="AQ140" s="55"/>
      <c r="AR140" s="55"/>
      <c r="AS140" s="55"/>
      <c r="AT140" s="55"/>
      <c r="AU140" s="55"/>
      <c r="AV140" s="55"/>
      <c r="AW140" s="55"/>
      <c r="BA140" s="2">
        <v>2019</v>
      </c>
      <c r="BB140" s="2">
        <v>9</v>
      </c>
      <c r="BC140" s="101">
        <f t="shared" si="90"/>
        <v>43569</v>
      </c>
      <c r="BD140" s="101">
        <f t="shared" si="90"/>
        <v>43582</v>
      </c>
    </row>
    <row r="141" spans="1:56" x14ac:dyDescent="0.35">
      <c r="A141" s="53"/>
      <c r="B141" s="54"/>
      <c r="C141" s="53"/>
      <c r="D141" s="141" t="s">
        <v>78</v>
      </c>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141"/>
      <c r="AH141" s="141"/>
      <c r="AI141" s="141"/>
      <c r="AJ141" s="141"/>
      <c r="AK141" s="56"/>
      <c r="AL141" s="55"/>
      <c r="AM141" s="55"/>
      <c r="AN141" s="55"/>
      <c r="AO141" s="55"/>
      <c r="AP141" s="55"/>
      <c r="AQ141" s="55"/>
      <c r="AR141" s="55"/>
      <c r="AS141" s="55"/>
      <c r="AT141" s="55"/>
      <c r="AU141" s="55"/>
      <c r="AV141" s="55"/>
      <c r="AW141" s="55"/>
      <c r="AX141" s="53"/>
      <c r="BA141" s="2">
        <v>2019</v>
      </c>
      <c r="BB141" s="2">
        <v>10</v>
      </c>
      <c r="BC141" s="101">
        <f t="shared" si="90"/>
        <v>43583</v>
      </c>
      <c r="BD141" s="101">
        <f t="shared" si="90"/>
        <v>43596</v>
      </c>
    </row>
    <row r="142" spans="1:56" x14ac:dyDescent="0.35">
      <c r="A142" s="53"/>
      <c r="B142" s="54"/>
      <c r="C142" s="53"/>
      <c r="D142" s="141" t="s">
        <v>79</v>
      </c>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141"/>
      <c r="AH142" s="141"/>
      <c r="AI142" s="141"/>
      <c r="AJ142" s="141"/>
      <c r="AK142" s="56"/>
      <c r="AL142" s="55"/>
      <c r="AM142" s="55"/>
      <c r="AN142" s="55"/>
      <c r="AO142" s="55"/>
      <c r="AP142" s="55"/>
      <c r="AQ142" s="55"/>
      <c r="AR142" s="55"/>
      <c r="AS142" s="55"/>
      <c r="AT142" s="55"/>
      <c r="AU142" s="55"/>
      <c r="AV142" s="55"/>
      <c r="AW142" s="55"/>
      <c r="AX142" s="53"/>
      <c r="BA142" s="2">
        <v>2019</v>
      </c>
      <c r="BB142" s="2">
        <v>11</v>
      </c>
      <c r="BC142" s="101">
        <f t="shared" si="90"/>
        <v>43597</v>
      </c>
      <c r="BD142" s="101">
        <f t="shared" si="90"/>
        <v>43610</v>
      </c>
    </row>
    <row r="143" spans="1:56" ht="15" customHeight="1" x14ac:dyDescent="0.35">
      <c r="A143" s="53"/>
      <c r="B143" s="54"/>
      <c r="C143" s="53"/>
      <c r="D143" s="53"/>
      <c r="E143" s="53"/>
      <c r="F143" s="98"/>
      <c r="G143" s="55"/>
      <c r="H143" s="55"/>
      <c r="I143" s="55"/>
      <c r="J143" s="55"/>
      <c r="K143" s="55"/>
      <c r="L143" s="55"/>
      <c r="M143" s="55"/>
      <c r="N143" s="55"/>
      <c r="O143" s="55"/>
      <c r="P143" s="55"/>
      <c r="Q143" s="55"/>
      <c r="R143" s="55"/>
      <c r="S143" s="55"/>
      <c r="T143" s="55"/>
      <c r="U143" s="56"/>
      <c r="V143" s="55"/>
      <c r="W143" s="55"/>
      <c r="X143" s="55"/>
      <c r="Y143" s="55"/>
      <c r="Z143" s="55"/>
      <c r="AA143" s="55"/>
      <c r="AB143" s="55"/>
      <c r="AC143" s="55"/>
      <c r="AD143" s="55"/>
      <c r="AE143" s="55"/>
      <c r="AF143" s="55"/>
      <c r="AG143" s="55"/>
      <c r="AH143" s="55"/>
      <c r="AI143" s="55"/>
      <c r="AJ143" s="55"/>
      <c r="AK143" s="56"/>
      <c r="AL143" s="55"/>
      <c r="AM143" s="55"/>
      <c r="AN143" s="55"/>
      <c r="AO143" s="55"/>
      <c r="AP143" s="55"/>
      <c r="AQ143" s="55"/>
      <c r="AR143" s="55"/>
      <c r="AS143" s="55"/>
      <c r="AT143" s="55"/>
      <c r="AU143" s="55"/>
      <c r="AV143" s="55"/>
      <c r="AW143" s="55"/>
      <c r="AX143" s="53"/>
      <c r="BA143" s="2">
        <v>2019</v>
      </c>
      <c r="BB143" s="2">
        <v>12</v>
      </c>
      <c r="BC143" s="101">
        <f t="shared" si="90"/>
        <v>43611</v>
      </c>
      <c r="BD143" s="101">
        <f t="shared" si="90"/>
        <v>43624</v>
      </c>
    </row>
    <row r="144" spans="1:56" ht="15" customHeight="1" x14ac:dyDescent="0.35">
      <c r="A144" s="53"/>
      <c r="B144" s="54" t="s">
        <v>53</v>
      </c>
      <c r="C144" s="53"/>
      <c r="D144" s="31" t="s">
        <v>74</v>
      </c>
      <c r="E144" s="34"/>
      <c r="F144" s="99"/>
      <c r="G144" s="34"/>
      <c r="H144" s="34"/>
      <c r="I144" s="34"/>
      <c r="J144" s="34"/>
      <c r="K144" s="53"/>
      <c r="L144" s="55" t="s">
        <v>8</v>
      </c>
      <c r="M144" s="53"/>
      <c r="N144" s="142">
        <f ca="1">NOW()</f>
        <v>44720.650928935182</v>
      </c>
      <c r="O144" s="142"/>
      <c r="P144" s="142"/>
      <c r="Q144" s="53"/>
      <c r="R144" s="53"/>
      <c r="S144" s="53"/>
      <c r="T144" s="53"/>
      <c r="U144" s="53"/>
      <c r="V144" s="55"/>
      <c r="W144" s="55"/>
      <c r="X144" s="55"/>
      <c r="Y144" s="55"/>
      <c r="Z144" s="55"/>
      <c r="AA144" s="55"/>
      <c r="AB144" s="55"/>
      <c r="AC144" s="55"/>
      <c r="AD144" s="55"/>
      <c r="AE144" s="55"/>
      <c r="AF144" s="55"/>
      <c r="AG144" s="55"/>
      <c r="AH144" s="55"/>
      <c r="AI144" s="55"/>
      <c r="AJ144" s="55"/>
      <c r="AK144" s="56"/>
      <c r="AL144" s="55"/>
      <c r="AM144" s="55"/>
      <c r="AN144" s="55"/>
      <c r="AO144" s="55"/>
      <c r="AP144" s="55"/>
      <c r="AQ144" s="55"/>
      <c r="AR144" s="55"/>
      <c r="AS144" s="55"/>
      <c r="AT144" s="55"/>
      <c r="AU144" s="55"/>
      <c r="AV144" s="55"/>
      <c r="AW144" s="55"/>
      <c r="AX144" s="53"/>
      <c r="BA144" s="2">
        <v>2019</v>
      </c>
      <c r="BB144" s="2">
        <v>13</v>
      </c>
      <c r="BC144" s="101">
        <f t="shared" si="90"/>
        <v>43625</v>
      </c>
      <c r="BD144" s="101">
        <f t="shared" si="90"/>
        <v>43638</v>
      </c>
    </row>
    <row r="145" spans="1:56" x14ac:dyDescent="0.35">
      <c r="A145" s="53"/>
      <c r="B145" s="54"/>
      <c r="C145" s="53"/>
      <c r="D145" s="53"/>
      <c r="E145" s="53"/>
      <c r="F145" s="98"/>
      <c r="G145" s="55"/>
      <c r="H145" s="55"/>
      <c r="I145" s="55"/>
      <c r="J145" s="55"/>
      <c r="K145" s="53"/>
      <c r="L145" s="55"/>
      <c r="M145" s="53"/>
      <c r="N145" s="55"/>
      <c r="O145" s="56"/>
      <c r="P145" s="53"/>
      <c r="Q145" s="53"/>
      <c r="R145" s="53"/>
      <c r="S145" s="53"/>
      <c r="T145" s="53"/>
      <c r="U145" s="53"/>
      <c r="V145" s="55"/>
      <c r="W145" s="55"/>
      <c r="X145" s="55"/>
      <c r="Y145" s="55"/>
      <c r="Z145" s="55"/>
      <c r="AA145" s="55"/>
      <c r="AB145" s="55"/>
      <c r="AC145" s="55"/>
      <c r="AD145" s="55"/>
      <c r="AE145" s="55"/>
      <c r="AF145" s="55"/>
      <c r="AG145" s="55"/>
      <c r="AH145" s="55"/>
      <c r="AI145" s="55"/>
      <c r="AJ145" s="55"/>
      <c r="AK145" s="56"/>
      <c r="AL145" s="55"/>
      <c r="AM145" s="55"/>
      <c r="AN145" s="55"/>
      <c r="AO145" s="55"/>
      <c r="AP145" s="55"/>
      <c r="AQ145" s="55"/>
      <c r="AR145" s="55"/>
      <c r="AS145" s="55"/>
      <c r="AT145" s="55"/>
      <c r="AU145" s="55"/>
      <c r="AV145" s="55"/>
      <c r="AW145" s="55"/>
      <c r="AX145" s="53"/>
      <c r="BA145" s="2">
        <v>2019</v>
      </c>
      <c r="BB145" s="2">
        <v>14</v>
      </c>
      <c r="BC145" s="101">
        <f t="shared" si="90"/>
        <v>43639</v>
      </c>
      <c r="BD145" s="101">
        <f t="shared" si="90"/>
        <v>43652</v>
      </c>
    </row>
    <row r="146" spans="1:56" x14ac:dyDescent="0.35">
      <c r="A146" s="53"/>
      <c r="B146" s="54" t="s">
        <v>54</v>
      </c>
      <c r="C146" s="53"/>
      <c r="D146" s="31"/>
      <c r="E146" s="34"/>
      <c r="F146" s="99"/>
      <c r="G146" s="34"/>
      <c r="H146" s="34"/>
      <c r="I146" s="34"/>
      <c r="J146" s="34"/>
      <c r="K146" s="53"/>
      <c r="L146" s="55" t="s">
        <v>8</v>
      </c>
      <c r="M146" s="53"/>
      <c r="N146" s="142">
        <f ca="1">NOW()</f>
        <v>44720.650928935182</v>
      </c>
      <c r="O146" s="142"/>
      <c r="P146" s="142"/>
      <c r="Q146" s="53"/>
      <c r="R146" s="53"/>
      <c r="S146" s="53"/>
      <c r="T146" s="53"/>
      <c r="U146" s="53"/>
      <c r="V146" s="55"/>
      <c r="W146" s="55"/>
      <c r="X146" s="55"/>
      <c r="Y146" s="55"/>
      <c r="Z146" s="55"/>
      <c r="AA146" s="55"/>
      <c r="AB146" s="55"/>
      <c r="AC146" s="55"/>
      <c r="AD146" s="55"/>
      <c r="AE146" s="55"/>
      <c r="AF146" s="55"/>
      <c r="AG146" s="55"/>
      <c r="AH146" s="55"/>
      <c r="AI146" s="55"/>
      <c r="AJ146" s="55"/>
      <c r="AK146" s="56"/>
      <c r="AL146" s="55"/>
      <c r="AM146" s="55"/>
      <c r="AN146" s="55"/>
      <c r="AO146" s="55"/>
      <c r="AP146" s="55"/>
      <c r="AQ146" s="55"/>
      <c r="AR146" s="55"/>
      <c r="AS146" s="55"/>
      <c r="AT146" s="55"/>
      <c r="AU146" s="55"/>
      <c r="AV146" s="55"/>
      <c r="AW146" s="55"/>
      <c r="AX146" s="53"/>
      <c r="BA146" s="2">
        <v>2019</v>
      </c>
      <c r="BB146" s="2">
        <v>15</v>
      </c>
      <c r="BC146" s="101">
        <f t="shared" si="90"/>
        <v>43653</v>
      </c>
      <c r="BD146" s="101">
        <f t="shared" si="90"/>
        <v>43666</v>
      </c>
    </row>
    <row r="147" spans="1:56" x14ac:dyDescent="0.35">
      <c r="A147" s="53"/>
      <c r="B147" s="54"/>
      <c r="C147" s="53"/>
      <c r="D147" s="53"/>
      <c r="E147" s="53"/>
      <c r="F147" s="98"/>
      <c r="G147" s="55"/>
      <c r="H147" s="55"/>
      <c r="I147" s="55"/>
      <c r="J147" s="55"/>
      <c r="K147" s="55"/>
      <c r="L147" s="55"/>
      <c r="M147" s="55"/>
      <c r="N147" s="55"/>
      <c r="O147" s="55"/>
      <c r="P147" s="55"/>
      <c r="Q147" s="55"/>
      <c r="R147" s="55"/>
      <c r="S147" s="55"/>
      <c r="T147" s="55"/>
      <c r="U147" s="56"/>
      <c r="V147" s="55"/>
      <c r="W147" s="55"/>
      <c r="X147" s="55"/>
      <c r="Y147" s="55"/>
      <c r="Z147" s="55"/>
      <c r="AA147" s="55"/>
      <c r="AB147" s="55"/>
      <c r="AC147" s="55"/>
      <c r="AD147" s="55"/>
      <c r="AE147" s="55"/>
      <c r="AF147" s="55"/>
      <c r="AG147" s="55"/>
      <c r="AH147" s="55"/>
      <c r="AI147" s="55"/>
      <c r="AJ147" s="55"/>
      <c r="AK147" s="56"/>
      <c r="AL147" s="55"/>
      <c r="AM147" s="55"/>
      <c r="AN147" s="55"/>
      <c r="AO147" s="55"/>
      <c r="AP147" s="55"/>
      <c r="AQ147" s="55"/>
      <c r="AR147" s="55"/>
      <c r="AS147" s="55"/>
      <c r="AT147" s="55"/>
      <c r="AU147" s="55"/>
      <c r="AV147" s="55"/>
      <c r="AW147" s="55"/>
      <c r="AX147" s="53"/>
      <c r="BA147" s="2">
        <v>2019</v>
      </c>
      <c r="BB147" s="2">
        <v>16</v>
      </c>
      <c r="BC147" s="101">
        <f t="shared" si="90"/>
        <v>43667</v>
      </c>
      <c r="BD147" s="101">
        <f t="shared" si="90"/>
        <v>43680</v>
      </c>
    </row>
    <row r="148" spans="1:56" x14ac:dyDescent="0.35">
      <c r="A148" s="53"/>
      <c r="B148" s="54" t="s">
        <v>9</v>
      </c>
      <c r="C148" s="53"/>
      <c r="D148" s="53"/>
      <c r="E148" s="53"/>
      <c r="F148" s="98"/>
      <c r="G148" s="55"/>
      <c r="H148" s="55"/>
      <c r="I148" s="55"/>
      <c r="J148" s="55"/>
      <c r="K148" s="55"/>
      <c r="L148" s="55"/>
      <c r="M148" s="55"/>
      <c r="N148" s="55"/>
      <c r="O148" s="55"/>
      <c r="P148" s="55"/>
      <c r="Q148" s="55"/>
      <c r="R148" s="55"/>
      <c r="S148" s="55"/>
      <c r="T148" s="55"/>
      <c r="U148" s="56"/>
      <c r="V148" s="55"/>
      <c r="W148" s="55"/>
      <c r="X148" s="55"/>
      <c r="Y148" s="55"/>
      <c r="Z148" s="55"/>
      <c r="AA148" s="55"/>
      <c r="AB148" s="55"/>
      <c r="AC148" s="55"/>
      <c r="AD148" s="55"/>
      <c r="AE148" s="55"/>
      <c r="AF148" s="55"/>
      <c r="AG148" s="55"/>
      <c r="AH148" s="55"/>
      <c r="AI148" s="55"/>
      <c r="AJ148" s="55"/>
      <c r="AK148" s="56"/>
      <c r="AL148" s="55"/>
      <c r="AM148" s="55"/>
      <c r="AN148" s="55"/>
      <c r="AO148" s="55"/>
      <c r="AP148" s="55"/>
      <c r="AQ148" s="55"/>
      <c r="AR148" s="55"/>
      <c r="AS148" s="55"/>
      <c r="AT148" s="55"/>
      <c r="AU148" s="55"/>
      <c r="AV148" s="55"/>
      <c r="AW148" s="55"/>
      <c r="AX148" s="53"/>
      <c r="BA148" s="2">
        <v>2019</v>
      </c>
      <c r="BB148" s="2">
        <v>17</v>
      </c>
      <c r="BC148" s="101">
        <f t="shared" si="90"/>
        <v>43681</v>
      </c>
      <c r="BD148" s="101">
        <f t="shared" si="90"/>
        <v>43694</v>
      </c>
    </row>
    <row r="149" spans="1:56" x14ac:dyDescent="0.35">
      <c r="BA149" s="2">
        <v>2019</v>
      </c>
      <c r="BB149" s="2">
        <v>18</v>
      </c>
      <c r="BC149" s="101">
        <f t="shared" ref="BC149:BD164" si="98">+BC148+14</f>
        <v>43695</v>
      </c>
      <c r="BD149" s="101">
        <f t="shared" si="98"/>
        <v>43708</v>
      </c>
    </row>
    <row r="150" spans="1:56" x14ac:dyDescent="0.35">
      <c r="G150" s="143" t="s">
        <v>10</v>
      </c>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BA150" s="2">
        <v>2019</v>
      </c>
      <c r="BB150" s="2">
        <v>19</v>
      </c>
      <c r="BC150" s="101">
        <f t="shared" si="98"/>
        <v>43709</v>
      </c>
      <c r="BD150" s="101">
        <f t="shared" si="98"/>
        <v>43722</v>
      </c>
    </row>
    <row r="151" spans="1:56" s="84" customFormat="1" ht="15" customHeight="1" x14ac:dyDescent="0.35">
      <c r="F151" s="50"/>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c r="AH151" s="143"/>
      <c r="AI151" s="143"/>
      <c r="AJ151" s="143"/>
      <c r="AK151" s="143"/>
      <c r="BA151" s="2">
        <v>2019</v>
      </c>
      <c r="BB151" s="2">
        <v>20</v>
      </c>
      <c r="BC151" s="101">
        <f t="shared" si="98"/>
        <v>43723</v>
      </c>
      <c r="BD151" s="101">
        <f t="shared" si="98"/>
        <v>43736</v>
      </c>
    </row>
    <row r="152" spans="1:56" s="84" customFormat="1" x14ac:dyDescent="0.35">
      <c r="F152" s="50"/>
      <c r="G152" s="84" t="s">
        <v>0</v>
      </c>
      <c r="W152" s="37" t="s">
        <v>13</v>
      </c>
      <c r="X152" s="86" t="s">
        <v>14</v>
      </c>
      <c r="BA152" s="2">
        <v>2019</v>
      </c>
      <c r="BB152" s="2">
        <v>21</v>
      </c>
      <c r="BC152" s="101">
        <f t="shared" si="98"/>
        <v>43737</v>
      </c>
      <c r="BD152" s="101">
        <f t="shared" si="98"/>
        <v>43750</v>
      </c>
    </row>
    <row r="153" spans="1:56" s="84" customFormat="1" x14ac:dyDescent="0.35">
      <c r="F153" s="50"/>
      <c r="W153" s="37" t="s">
        <v>1</v>
      </c>
      <c r="X153" s="86" t="s">
        <v>15</v>
      </c>
      <c r="BA153" s="2">
        <v>2019</v>
      </c>
      <c r="BB153" s="2">
        <v>22</v>
      </c>
      <c r="BC153" s="101">
        <f t="shared" si="98"/>
        <v>43751</v>
      </c>
      <c r="BD153" s="101">
        <f t="shared" si="98"/>
        <v>43764</v>
      </c>
    </row>
    <row r="154" spans="1:56" s="84" customFormat="1" x14ac:dyDescent="0.35">
      <c r="F154" s="50"/>
      <c r="W154" s="37" t="s">
        <v>2</v>
      </c>
      <c r="X154" s="86" t="s">
        <v>16</v>
      </c>
      <c r="BA154" s="2">
        <v>2019</v>
      </c>
      <c r="BB154" s="2">
        <v>23</v>
      </c>
      <c r="BC154" s="101">
        <f t="shared" si="98"/>
        <v>43765</v>
      </c>
      <c r="BD154" s="101">
        <f t="shared" si="98"/>
        <v>43778</v>
      </c>
    </row>
    <row r="155" spans="1:56" s="84" customFormat="1" ht="15" customHeight="1" x14ac:dyDescent="0.35">
      <c r="B155" s="154" t="s">
        <v>35</v>
      </c>
      <c r="F155" s="50"/>
      <c r="G155" s="154" t="s">
        <v>36</v>
      </c>
      <c r="H155" s="154"/>
      <c r="I155" s="154"/>
      <c r="K155" s="154" t="s">
        <v>36</v>
      </c>
      <c r="L155" s="154"/>
      <c r="M155" s="154"/>
      <c r="W155" s="37" t="s">
        <v>3</v>
      </c>
      <c r="X155" s="86" t="s">
        <v>17</v>
      </c>
      <c r="BA155" s="2">
        <v>2019</v>
      </c>
      <c r="BB155" s="2">
        <v>24</v>
      </c>
      <c r="BC155" s="101">
        <f t="shared" si="98"/>
        <v>43779</v>
      </c>
      <c r="BD155" s="101">
        <f t="shared" si="98"/>
        <v>43792</v>
      </c>
    </row>
    <row r="156" spans="1:56" s="84" customFormat="1" x14ac:dyDescent="0.35">
      <c r="B156" s="155"/>
      <c r="D156" s="37" t="s">
        <v>34</v>
      </c>
      <c r="F156" s="50"/>
      <c r="G156" s="154"/>
      <c r="H156" s="154"/>
      <c r="I156" s="154"/>
      <c r="K156" s="154"/>
      <c r="L156" s="154"/>
      <c r="M156" s="154"/>
      <c r="W156" s="38"/>
      <c r="BA156" s="2">
        <v>2019</v>
      </c>
      <c r="BB156" s="2">
        <v>25</v>
      </c>
      <c r="BC156" s="101">
        <f t="shared" si="98"/>
        <v>43793</v>
      </c>
      <c r="BD156" s="101">
        <f t="shared" si="98"/>
        <v>43806</v>
      </c>
    </row>
    <row r="157" spans="1:56" s="84" customFormat="1" x14ac:dyDescent="0.35">
      <c r="B157" s="100">
        <f>B83+1</f>
        <v>12</v>
      </c>
      <c r="D157" s="100">
        <f>D83</f>
        <v>2021</v>
      </c>
      <c r="E157" s="87" t="s">
        <v>38</v>
      </c>
      <c r="F157" s="50"/>
      <c r="G157" s="156">
        <f>K83+1</f>
        <v>44339</v>
      </c>
      <c r="H157" s="157"/>
      <c r="I157" s="158"/>
      <c r="J157" s="37" t="s">
        <v>37</v>
      </c>
      <c r="K157" s="156">
        <f>IF(G157="","",G157+13)</f>
        <v>44352</v>
      </c>
      <c r="L157" s="157"/>
      <c r="M157" s="158"/>
      <c r="P157" s="159" t="s">
        <v>39</v>
      </c>
      <c r="Q157" s="160"/>
      <c r="R157" s="160"/>
      <c r="S157" s="160"/>
      <c r="T157" s="161"/>
      <c r="U157" s="24">
        <v>80</v>
      </c>
      <c r="BA157" s="2">
        <v>2019</v>
      </c>
      <c r="BB157" s="2">
        <v>26</v>
      </c>
      <c r="BC157" s="101">
        <f t="shared" si="98"/>
        <v>43807</v>
      </c>
      <c r="BD157" s="101">
        <f t="shared" si="98"/>
        <v>43820</v>
      </c>
    </row>
    <row r="158" spans="1:56" s="84" customFormat="1" x14ac:dyDescent="0.35">
      <c r="F158" s="50"/>
      <c r="AM158" s="144" t="s">
        <v>4</v>
      </c>
      <c r="AN158" s="144"/>
      <c r="AO158" s="144"/>
      <c r="AP158" s="144"/>
      <c r="AQ158" s="144"/>
      <c r="AR158" s="144"/>
      <c r="AS158" s="144"/>
      <c r="AU158" s="100" t="s">
        <v>4</v>
      </c>
      <c r="BA158" s="2">
        <v>2020</v>
      </c>
      <c r="BB158" s="2">
        <v>1</v>
      </c>
      <c r="BC158" s="101">
        <f t="shared" si="98"/>
        <v>43821</v>
      </c>
      <c r="BD158" s="101">
        <f t="shared" si="98"/>
        <v>43834</v>
      </c>
    </row>
    <row r="159" spans="1:56" s="84" customFormat="1" ht="15" customHeight="1" x14ac:dyDescent="0.35">
      <c r="B159" s="40"/>
      <c r="C159" s="41"/>
      <c r="D159" s="42" t="s">
        <v>32</v>
      </c>
      <c r="E159" s="43" t="s">
        <v>5</v>
      </c>
      <c r="F159" s="50"/>
      <c r="G159" s="162">
        <f>G157</f>
        <v>44339</v>
      </c>
      <c r="H159" s="163"/>
      <c r="I159" s="162">
        <f>IF(G159="","",G159+1)</f>
        <v>44340</v>
      </c>
      <c r="J159" s="163"/>
      <c r="K159" s="162">
        <f>IF(I159="","",I159+1)</f>
        <v>44341</v>
      </c>
      <c r="L159" s="163"/>
      <c r="M159" s="162">
        <f>IF(K159="","",K159+1)</f>
        <v>44342</v>
      </c>
      <c r="N159" s="163"/>
      <c r="O159" s="162">
        <f>IF(M159="","",M159+1)</f>
        <v>44343</v>
      </c>
      <c r="P159" s="163"/>
      <c r="Q159" s="162">
        <f>IF(O159="","",O159+1)</f>
        <v>44344</v>
      </c>
      <c r="R159" s="163"/>
      <c r="S159" s="162">
        <f>IF(Q159="","",Q159+1)</f>
        <v>44345</v>
      </c>
      <c r="T159" s="164"/>
      <c r="U159" s="44"/>
      <c r="W159" s="162">
        <f>IF(S159="","",S159+1)</f>
        <v>44346</v>
      </c>
      <c r="X159" s="163"/>
      <c r="Y159" s="162">
        <f>IF(W159="","",W159+1)</f>
        <v>44347</v>
      </c>
      <c r="Z159" s="163"/>
      <c r="AA159" s="162">
        <f>IF(Y159="","",Y159+1)</f>
        <v>44348</v>
      </c>
      <c r="AB159" s="163"/>
      <c r="AC159" s="162">
        <f>IF(AA159="","",AA159+1)</f>
        <v>44349</v>
      </c>
      <c r="AD159" s="163"/>
      <c r="AE159" s="162">
        <f>IF(AC159="","",AC159+1)</f>
        <v>44350</v>
      </c>
      <c r="AF159" s="163"/>
      <c r="AG159" s="162">
        <f>IF(AE159="","",AE159+1)</f>
        <v>44351</v>
      </c>
      <c r="AH159" s="163"/>
      <c r="AI159" s="162">
        <f>IF(AG159="","",AG159+1)</f>
        <v>44352</v>
      </c>
      <c r="AJ159" s="164"/>
      <c r="AK159" s="44"/>
      <c r="AM159" s="145" t="s">
        <v>18</v>
      </c>
      <c r="AN159" s="165" t="s">
        <v>55</v>
      </c>
      <c r="AO159" s="145" t="s">
        <v>19</v>
      </c>
      <c r="AP159" s="145" t="s">
        <v>20</v>
      </c>
      <c r="AQ159" s="145" t="s">
        <v>21</v>
      </c>
      <c r="AR159" s="166" t="s">
        <v>22</v>
      </c>
      <c r="AS159" s="167" t="s">
        <v>23</v>
      </c>
      <c r="AU159" s="144" t="s">
        <v>6</v>
      </c>
      <c r="AW159" s="145" t="s">
        <v>24</v>
      </c>
      <c r="BA159" s="2">
        <v>2020</v>
      </c>
      <c r="BB159" s="2">
        <v>2</v>
      </c>
      <c r="BC159" s="101">
        <f t="shared" si="98"/>
        <v>43835</v>
      </c>
      <c r="BD159" s="101">
        <f t="shared" si="98"/>
        <v>43848</v>
      </c>
    </row>
    <row r="160" spans="1:56" s="84" customFormat="1" x14ac:dyDescent="0.35">
      <c r="B160" s="45" t="s">
        <v>33</v>
      </c>
      <c r="C160" s="46"/>
      <c r="D160" s="47"/>
      <c r="E160" s="47"/>
      <c r="F160" s="50"/>
      <c r="G160" s="146" t="s">
        <v>25</v>
      </c>
      <c r="H160" s="147"/>
      <c r="I160" s="146" t="s">
        <v>26</v>
      </c>
      <c r="J160" s="147"/>
      <c r="K160" s="146" t="s">
        <v>27</v>
      </c>
      <c r="L160" s="147"/>
      <c r="M160" s="146" t="s">
        <v>28</v>
      </c>
      <c r="N160" s="147"/>
      <c r="O160" s="146" t="s">
        <v>29</v>
      </c>
      <c r="P160" s="147"/>
      <c r="Q160" s="146" t="s">
        <v>30</v>
      </c>
      <c r="R160" s="147"/>
      <c r="S160" s="146" t="s">
        <v>31</v>
      </c>
      <c r="T160" s="148"/>
      <c r="U160" s="48" t="s">
        <v>7</v>
      </c>
      <c r="W160" s="146" t="s">
        <v>25</v>
      </c>
      <c r="X160" s="147"/>
      <c r="Y160" s="146" t="s">
        <v>26</v>
      </c>
      <c r="Z160" s="147"/>
      <c r="AA160" s="146" t="s">
        <v>27</v>
      </c>
      <c r="AB160" s="147"/>
      <c r="AC160" s="146" t="s">
        <v>28</v>
      </c>
      <c r="AD160" s="147"/>
      <c r="AE160" s="146" t="s">
        <v>29</v>
      </c>
      <c r="AF160" s="147"/>
      <c r="AG160" s="146" t="s">
        <v>30</v>
      </c>
      <c r="AH160" s="147"/>
      <c r="AI160" s="146" t="s">
        <v>31</v>
      </c>
      <c r="AJ160" s="148"/>
      <c r="AK160" s="48" t="s">
        <v>7</v>
      </c>
      <c r="AM160" s="145"/>
      <c r="AN160" s="165"/>
      <c r="AO160" s="145"/>
      <c r="AP160" s="145"/>
      <c r="AQ160" s="145"/>
      <c r="AR160" s="166"/>
      <c r="AS160" s="167"/>
      <c r="AU160" s="144"/>
      <c r="AW160" s="145"/>
      <c r="BA160" s="2">
        <v>2020</v>
      </c>
      <c r="BB160" s="2">
        <v>3</v>
      </c>
      <c r="BC160" s="101">
        <f t="shared" si="98"/>
        <v>43849</v>
      </c>
      <c r="BD160" s="101">
        <f t="shared" si="98"/>
        <v>43862</v>
      </c>
    </row>
    <row r="161" spans="2:56" s="84" customFormat="1" x14ac:dyDescent="0.35">
      <c r="B161" s="63"/>
      <c r="C161" s="25"/>
      <c r="D161" s="25"/>
      <c r="E161" s="25"/>
      <c r="F161" s="50"/>
      <c r="BA161" s="2">
        <v>2020</v>
      </c>
      <c r="BB161" s="2">
        <v>4</v>
      </c>
      <c r="BC161" s="101">
        <f t="shared" si="98"/>
        <v>43863</v>
      </c>
      <c r="BD161" s="101">
        <f t="shared" si="98"/>
        <v>43876</v>
      </c>
    </row>
    <row r="162" spans="2:56" s="84" customFormat="1" x14ac:dyDescent="0.35">
      <c r="B162" s="107"/>
      <c r="C162" s="108"/>
      <c r="D162" s="109">
        <v>31428</v>
      </c>
      <c r="E162" s="110" t="str">
        <f>IF(E88="","",E88)</f>
        <v/>
      </c>
      <c r="F162" s="111">
        <f>B157</f>
        <v>12</v>
      </c>
      <c r="G162" s="112"/>
      <c r="H162" s="113"/>
      <c r="I162" s="106"/>
      <c r="J162" s="105" t="s">
        <v>13</v>
      </c>
      <c r="K162" s="106"/>
      <c r="L162" s="105"/>
      <c r="M162" s="106"/>
      <c r="N162" s="105"/>
      <c r="O162" s="106"/>
      <c r="P162" s="105"/>
      <c r="Q162" s="106"/>
      <c r="R162" s="105"/>
      <c r="S162" s="112"/>
      <c r="T162" s="113"/>
      <c r="U162" s="114"/>
      <c r="V162" s="2"/>
      <c r="W162" s="112"/>
      <c r="X162" s="113"/>
      <c r="Y162" s="106"/>
      <c r="Z162" s="105"/>
      <c r="AA162" s="106"/>
      <c r="AB162" s="105" t="s">
        <v>12</v>
      </c>
      <c r="AC162" s="106"/>
      <c r="AD162" s="105"/>
      <c r="AE162" s="106"/>
      <c r="AF162" s="105"/>
      <c r="AG162" s="106"/>
      <c r="AH162" s="105"/>
      <c r="AI162" s="112"/>
      <c r="AJ162" s="113"/>
      <c r="AK162" s="44"/>
      <c r="AM162" s="49"/>
      <c r="AN162" s="49"/>
      <c r="AO162" s="49"/>
      <c r="AP162" s="49"/>
      <c r="AQ162" s="49"/>
      <c r="AR162" s="40"/>
      <c r="AS162" s="51"/>
      <c r="AU162" s="49"/>
      <c r="AW162" s="52"/>
      <c r="BA162" s="2">
        <v>2020</v>
      </c>
      <c r="BB162" s="2">
        <v>5</v>
      </c>
      <c r="BC162" s="101">
        <f t="shared" si="98"/>
        <v>43877</v>
      </c>
      <c r="BD162" s="101">
        <f t="shared" si="98"/>
        <v>43890</v>
      </c>
    </row>
    <row r="163" spans="2:56" s="84" customFormat="1" x14ac:dyDescent="0.35">
      <c r="B163" s="30" t="str">
        <f>IF(B89="","",B89)</f>
        <v>Gaulin, Francis</v>
      </c>
      <c r="C163" s="115"/>
      <c r="D163" s="116"/>
      <c r="E163" s="117">
        <f t="shared" ref="E163:E211" si="99">IF(E89="","",E89)</f>
        <v>93542</v>
      </c>
      <c r="F163" s="111">
        <f>B157</f>
        <v>12</v>
      </c>
      <c r="G163" s="95"/>
      <c r="H163" s="118"/>
      <c r="I163" s="104"/>
      <c r="J163" s="103">
        <v>2</v>
      </c>
      <c r="K163" s="104"/>
      <c r="L163" s="103">
        <v>8</v>
      </c>
      <c r="M163" s="104"/>
      <c r="N163" s="103">
        <v>8</v>
      </c>
      <c r="O163" s="104"/>
      <c r="P163" s="103">
        <v>8</v>
      </c>
      <c r="Q163" s="104"/>
      <c r="R163" s="103">
        <v>8</v>
      </c>
      <c r="S163" s="119"/>
      <c r="T163" s="118"/>
      <c r="U163" s="120">
        <f>SUM(G163:T163)</f>
        <v>34</v>
      </c>
      <c r="V163" s="121"/>
      <c r="W163" s="119"/>
      <c r="X163" s="118"/>
      <c r="Y163" s="104"/>
      <c r="Z163" s="103">
        <v>8</v>
      </c>
      <c r="AA163" s="104"/>
      <c r="AB163" s="103">
        <v>0</v>
      </c>
      <c r="AC163" s="104"/>
      <c r="AD163" s="103">
        <v>8</v>
      </c>
      <c r="AE163" s="104"/>
      <c r="AF163" s="103">
        <v>8</v>
      </c>
      <c r="AG163" s="104"/>
      <c r="AH163" s="103">
        <v>8</v>
      </c>
      <c r="AI163" s="119"/>
      <c r="AJ163" s="118"/>
      <c r="AK163" s="71">
        <f>SUM(W163:AJ163)</f>
        <v>32</v>
      </c>
      <c r="AL163" s="72"/>
      <c r="AM163" s="73">
        <f>SUMIF($G162:$T162,"",$G163:$T163)+SUMIF($W162:$AJ162,"",$W163:$AJ163)-AN163</f>
        <v>64</v>
      </c>
      <c r="AN163" s="88">
        <f>IF(SUMIF($G162:$T162,"",$G163:$T163)+SUMIF($G162:$T162,"F",$G163:$T163)+SUMIF($G162:$T162,"V",$G163:$T163)-40&lt;0,0,SUMIF($G162:$T162,"",$G163:$T163)+SUMIF($G162:$T162,"F",$G163:$T163)+SUMIF($G162:$T162,"V",$G163:$T163)-($U$9/2))+IF(SUMIF($W162:$AJ162,"",$W163:$AJ163)+SUMIF($W162:$AJ162,"F",$W163:$AJ163)+SUMIF($W162:$AJ162,"V",$W163:$AJ163)-40&lt;0,0,SUMIF($W162:$AJ162,"",$W163:$AJ163)+SUMIF($W162:$AJ162,"F",$W163:$AJ163)+SUMIF($W162:$AJ162,"V",$W163:$AJ163)-($U$9/2))</f>
        <v>0</v>
      </c>
      <c r="AO163" s="73">
        <f>SUMIF($G162:$T162,"M",$G163:$T163)+SUMIF($W162:$AJ162,"M",$W163:$AJ163)</f>
        <v>0</v>
      </c>
      <c r="AP163" s="73">
        <f>SUMIF($G162:$T162,"F",$G163:$T163)+SUMIF($W162:$AJ162,"F",$W163:$AJ163)</f>
        <v>2</v>
      </c>
      <c r="AQ163" s="73">
        <f>SUMIF($G162:$T162,"V",$G163:$T163)+SUMIF($W162:$AJ162,"V",$W163:$AJ163)</f>
        <v>0</v>
      </c>
      <c r="AR163" s="74">
        <f>SUMIF($G162:$T162,"O",$G163:$T163)+SUMIF($W162:$AJ162,"O",$W163:$AJ163)</f>
        <v>0</v>
      </c>
      <c r="AS163" s="75">
        <f>SUM(AM163:AR163)</f>
        <v>66</v>
      </c>
      <c r="AT163" s="72"/>
      <c r="AU163" s="73">
        <f>SUMIF($G162:$T162,"A",$G163:$T163)+SUMIF($W162:$AJ162,"A",$W163:$AJ163)</f>
        <v>0</v>
      </c>
      <c r="AV163" s="72"/>
      <c r="AW163" s="76">
        <f>IF(B163="",0,IF($U$9="",0,$U$9))</f>
        <v>80</v>
      </c>
      <c r="BA163" s="2">
        <v>2020</v>
      </c>
      <c r="BB163" s="2">
        <v>6</v>
      </c>
      <c r="BC163" s="101">
        <f t="shared" si="98"/>
        <v>43891</v>
      </c>
      <c r="BD163" s="101">
        <f t="shared" si="98"/>
        <v>43904</v>
      </c>
    </row>
    <row r="164" spans="2:56" s="84" customFormat="1" x14ac:dyDescent="0.35">
      <c r="B164" s="107"/>
      <c r="C164" s="108"/>
      <c r="D164" s="109">
        <f>IF(D90="","",D90)</f>
        <v>24287</v>
      </c>
      <c r="E164" s="110" t="str">
        <f t="shared" si="99"/>
        <v/>
      </c>
      <c r="F164" s="111">
        <f>B157</f>
        <v>12</v>
      </c>
      <c r="G164" s="112"/>
      <c r="H164" s="113"/>
      <c r="I164" s="106"/>
      <c r="J164" s="105"/>
      <c r="K164" s="106"/>
      <c r="L164" s="105"/>
      <c r="M164" s="106"/>
      <c r="N164" s="105"/>
      <c r="O164" s="106"/>
      <c r="P164" s="105"/>
      <c r="Q164" s="106"/>
      <c r="R164" s="105"/>
      <c r="S164" s="112"/>
      <c r="T164" s="113"/>
      <c r="U164" s="114"/>
      <c r="V164" s="2"/>
      <c r="W164" s="112"/>
      <c r="X164" s="113"/>
      <c r="Y164" s="106"/>
      <c r="Z164" s="105"/>
      <c r="AA164" s="106"/>
      <c r="AB164" s="105"/>
      <c r="AC164" s="106"/>
      <c r="AD164" s="105"/>
      <c r="AE164" s="106"/>
      <c r="AF164" s="105"/>
      <c r="AG164" s="106"/>
      <c r="AH164" s="105"/>
      <c r="AI164" s="112"/>
      <c r="AJ164" s="113"/>
      <c r="AK164" s="44"/>
      <c r="AM164" s="49"/>
      <c r="AN164" s="49"/>
      <c r="AO164" s="49"/>
      <c r="AP164" s="49"/>
      <c r="AQ164" s="49"/>
      <c r="AR164" s="40"/>
      <c r="AS164" s="51"/>
      <c r="AU164" s="49"/>
      <c r="AW164" s="52"/>
      <c r="BA164" s="2">
        <v>2020</v>
      </c>
      <c r="BB164" s="2">
        <v>7</v>
      </c>
      <c r="BC164" s="101">
        <f t="shared" si="98"/>
        <v>43905</v>
      </c>
      <c r="BD164" s="101">
        <f t="shared" si="98"/>
        <v>43918</v>
      </c>
    </row>
    <row r="165" spans="2:56" s="84" customFormat="1" x14ac:dyDescent="0.35">
      <c r="B165" s="30" t="str">
        <f>IF(B91="","",B91)</f>
        <v>Barrata, Dominic(Avance $500.00)</v>
      </c>
      <c r="C165" s="115"/>
      <c r="D165" s="116"/>
      <c r="E165" s="117">
        <f t="shared" si="99"/>
        <v>93595935</v>
      </c>
      <c r="F165" s="111">
        <f>B157</f>
        <v>12</v>
      </c>
      <c r="G165" s="119"/>
      <c r="H165" s="118"/>
      <c r="I165" s="104"/>
      <c r="J165" s="103" t="s">
        <v>69</v>
      </c>
      <c r="K165" s="104"/>
      <c r="L165" s="103" t="s">
        <v>69</v>
      </c>
      <c r="M165" s="104"/>
      <c r="N165" s="103" t="s">
        <v>69</v>
      </c>
      <c r="O165" s="104"/>
      <c r="P165" s="103" t="s">
        <v>69</v>
      </c>
      <c r="Q165" s="104"/>
      <c r="R165" s="103" t="s">
        <v>69</v>
      </c>
      <c r="S165" s="119"/>
      <c r="T165" s="118"/>
      <c r="U165" s="120">
        <f t="shared" ref="U165" si="100">SUM(G165:T165)</f>
        <v>0</v>
      </c>
      <c r="V165" s="121"/>
      <c r="W165" s="119"/>
      <c r="X165" s="118"/>
      <c r="Y165" s="104"/>
      <c r="Z165" s="103" t="s">
        <v>69</v>
      </c>
      <c r="AA165" s="104"/>
      <c r="AB165" s="103" t="s">
        <v>69</v>
      </c>
      <c r="AC165" s="104"/>
      <c r="AD165" s="103" t="s">
        <v>69</v>
      </c>
      <c r="AE165" s="104"/>
      <c r="AF165" s="103" t="s">
        <v>69</v>
      </c>
      <c r="AG165" s="104"/>
      <c r="AH165" s="103" t="s">
        <v>69</v>
      </c>
      <c r="AI165" s="119"/>
      <c r="AJ165" s="118"/>
      <c r="AK165" s="71">
        <f>SUM(W165:AJ165)</f>
        <v>0</v>
      </c>
      <c r="AL165" s="72"/>
      <c r="AM165" s="73">
        <f>SUMIF($G164:$T164,"",$G165:$T165)+SUMIF($W164:$AJ164,"",$W165:$AJ165)-AN165</f>
        <v>0</v>
      </c>
      <c r="AN165" s="88">
        <f>IF(SUMIF($G164:$T164,"",$G165:$T165)+SUMIF($G164:$T164,"F",$G165:$T165)+SUMIF($G164:$T164,"V",$G165:$T165)-40&lt;0,0,SUMIF($G164:$T164,"",$G165:$T165)+SUMIF($G164:$T164,"F",$G165:$T165)+SUMIF($G164:$T164,"V",$G165:$T165)-($U$9/2))+IF(SUMIF($W164:$AJ164,"",$W165:$AJ165)+SUMIF($W164:$AJ164,"F",$W165:$AJ165)+SUMIF($W164:$AJ164,"V",$W165:$AJ165)-40&lt;0,0,SUMIF($W164:$AJ164,"",$W165:$AJ165)+SUMIF($W164:$AJ164,"F",$W165:$AJ165)+SUMIF($W164:$AJ164,"V",$W165:$AJ165)-($U$9/2))</f>
        <v>0</v>
      </c>
      <c r="AO165" s="73">
        <f>SUMIF($G164:$T164,"M",$G165:$T165)+SUMIF($W164:$AJ164,"M",$W165:$AJ165)</f>
        <v>0</v>
      </c>
      <c r="AP165" s="73">
        <f>SUMIF($G164:$T164,"F",$G165:$T165)+SUMIF($W164:$AJ164,"F",$W165:$AJ165)</f>
        <v>0</v>
      </c>
      <c r="AQ165" s="73">
        <f>SUMIF($G164:$T164,"V",$G165:$T165)+SUMIF($W164:$AJ164,"V",$W165:$AJ165)</f>
        <v>0</v>
      </c>
      <c r="AR165" s="74">
        <f>SUMIF($G164:$T164,"O",$G165:$T165)+SUMIF($W164:$AJ164,"O",$W165:$AJ165)</f>
        <v>0</v>
      </c>
      <c r="AS165" s="75">
        <f>SUM(AM165:AR165)</f>
        <v>0</v>
      </c>
      <c r="AT165" s="72"/>
      <c r="AU165" s="73">
        <f>SUMIF($G164:$T164,"A",$G165:$T165)+SUMIF($W164:$AJ164,"A",$W165:$AJ165)</f>
        <v>0</v>
      </c>
      <c r="AV165" s="72"/>
      <c r="AW165" s="76">
        <f>IF(B165="",0,IF($U$9="",0,$U$9))</f>
        <v>80</v>
      </c>
      <c r="BA165" s="2">
        <v>2020</v>
      </c>
      <c r="BB165" s="2">
        <v>8</v>
      </c>
      <c r="BC165" s="101">
        <f t="shared" ref="BC165:BD180" si="101">+BC164+14</f>
        <v>43919</v>
      </c>
      <c r="BD165" s="101">
        <f t="shared" si="101"/>
        <v>43932</v>
      </c>
    </row>
    <row r="166" spans="2:56" s="84" customFormat="1" x14ac:dyDescent="0.35">
      <c r="B166" s="107"/>
      <c r="C166" s="108"/>
      <c r="D166" s="109">
        <f>IF(D92="","",D92)</f>
        <v>92032</v>
      </c>
      <c r="E166" s="110" t="str">
        <f t="shared" si="99"/>
        <v/>
      </c>
      <c r="F166" s="111">
        <f>B157</f>
        <v>12</v>
      </c>
      <c r="G166" s="112"/>
      <c r="H166" s="113"/>
      <c r="I166" s="106"/>
      <c r="J166" s="105"/>
      <c r="K166" s="106"/>
      <c r="L166" s="105"/>
      <c r="M166" s="106"/>
      <c r="N166" s="105"/>
      <c r="O166" s="106"/>
      <c r="P166" s="105"/>
      <c r="Q166" s="106"/>
      <c r="R166" s="105"/>
      <c r="S166" s="112"/>
      <c r="T166" s="113"/>
      <c r="U166" s="114"/>
      <c r="V166" s="2"/>
      <c r="W166" s="112"/>
      <c r="X166" s="113"/>
      <c r="Y166" s="106"/>
      <c r="Z166" s="105"/>
      <c r="AA166" s="106"/>
      <c r="AB166" s="105"/>
      <c r="AC166" s="106"/>
      <c r="AD166" s="105"/>
      <c r="AE166" s="106"/>
      <c r="AF166" s="105"/>
      <c r="AG166" s="106"/>
      <c r="AH166" s="105"/>
      <c r="AI166" s="112"/>
      <c r="AJ166" s="113"/>
      <c r="AK166" s="44"/>
      <c r="AM166" s="49"/>
      <c r="AN166" s="49"/>
      <c r="AO166" s="49"/>
      <c r="AP166" s="49"/>
      <c r="AQ166" s="49"/>
      <c r="AR166" s="40"/>
      <c r="AS166" s="51"/>
      <c r="AU166" s="49"/>
      <c r="AW166" s="52"/>
      <c r="BA166" s="2">
        <v>2020</v>
      </c>
      <c r="BB166" s="2">
        <v>9</v>
      </c>
      <c r="BC166" s="101">
        <f t="shared" si="101"/>
        <v>43933</v>
      </c>
      <c r="BD166" s="101">
        <f t="shared" si="101"/>
        <v>43946</v>
      </c>
    </row>
    <row r="167" spans="2:56" s="84" customFormat="1" x14ac:dyDescent="0.35">
      <c r="B167" s="30" t="str">
        <f>IF(B93="","",B93)</f>
        <v>Benoit, Jean-Paul(Avance $1,600.00)</v>
      </c>
      <c r="C167" s="115"/>
      <c r="D167" s="116"/>
      <c r="E167" s="117">
        <f t="shared" si="99"/>
        <v>93595935</v>
      </c>
      <c r="F167" s="111">
        <f>B157</f>
        <v>12</v>
      </c>
      <c r="G167" s="119"/>
      <c r="H167" s="118"/>
      <c r="I167" s="104"/>
      <c r="J167" s="103" t="s">
        <v>69</v>
      </c>
      <c r="K167" s="104"/>
      <c r="L167" s="103" t="s">
        <v>69</v>
      </c>
      <c r="M167" s="104"/>
      <c r="N167" s="103" t="s">
        <v>69</v>
      </c>
      <c r="O167" s="104"/>
      <c r="P167" s="103" t="s">
        <v>69</v>
      </c>
      <c r="Q167" s="104"/>
      <c r="R167" s="103" t="s">
        <v>69</v>
      </c>
      <c r="S167" s="119"/>
      <c r="T167" s="118"/>
      <c r="U167" s="120">
        <f t="shared" ref="U167" si="102">SUM(G167:T167)</f>
        <v>0</v>
      </c>
      <c r="V167" s="121"/>
      <c r="W167" s="119"/>
      <c r="X167" s="118"/>
      <c r="Y167" s="104"/>
      <c r="Z167" s="103" t="s">
        <v>69</v>
      </c>
      <c r="AA167" s="104"/>
      <c r="AB167" s="103" t="s">
        <v>69</v>
      </c>
      <c r="AC167" s="104"/>
      <c r="AD167" s="103" t="s">
        <v>69</v>
      </c>
      <c r="AE167" s="104"/>
      <c r="AF167" s="103" t="s">
        <v>69</v>
      </c>
      <c r="AG167" s="104"/>
      <c r="AH167" s="103" t="s">
        <v>69</v>
      </c>
      <c r="AI167" s="119"/>
      <c r="AJ167" s="118"/>
      <c r="AK167" s="71">
        <f>SUM(W167:AJ167)</f>
        <v>0</v>
      </c>
      <c r="AL167" s="72"/>
      <c r="AM167" s="73">
        <f>SUMIF($G166:$T166,"",$G167:$T167)+SUMIF($W166:$AJ166,"",$W167:$AJ167)-AN167</f>
        <v>0</v>
      </c>
      <c r="AN167" s="88">
        <f>IF(SUMIF($G166:$T166,"",$G167:$T167)+SUMIF($G166:$T166,"F",$G167:$T167)+SUMIF($G166:$T166,"V",$G167:$T167)-40&lt;0,0,SUMIF($G166:$T166,"",$G167:$T167)+SUMIF($G166:$T166,"F",$G167:$T167)+SUMIF($G166:$T166,"V",$G167:$T167)-($U$9/2))+IF(SUMIF($W166:$AJ166,"",$W167:$AJ167)+SUMIF($W166:$AJ166,"F",$W167:$AJ167)+SUMIF($W166:$AJ166,"V",$W167:$AJ167)-40&lt;0,0,SUMIF($W166:$AJ166,"",$W167:$AJ167)+SUMIF($W166:$AJ166,"F",$W167:$AJ167)+SUMIF($W166:$AJ166,"V",$W167:$AJ167)-($U$9/2))</f>
        <v>0</v>
      </c>
      <c r="AO167" s="73">
        <f>SUMIF($G166:$T166,"M",$G167:$T167)+SUMIF($W166:$AJ166,"M",$W167:$AJ167)</f>
        <v>0</v>
      </c>
      <c r="AP167" s="73">
        <f>SUMIF($G166:$T166,"F",$G167:$T167)+SUMIF($W166:$AJ166,"F",$W167:$AJ167)</f>
        <v>0</v>
      </c>
      <c r="AQ167" s="73">
        <f>SUMIF($G166:$T166,"V",$G167:$T167)+SUMIF($W166:$AJ166,"V",$W167:$AJ167)</f>
        <v>0</v>
      </c>
      <c r="AR167" s="74">
        <f>SUMIF($G166:$T166,"O",$G167:$T167)+SUMIF($W166:$AJ166,"O",$W167:$AJ167)</f>
        <v>0</v>
      </c>
      <c r="AS167" s="75">
        <f>SUM(AM167:AR167)</f>
        <v>0</v>
      </c>
      <c r="AT167" s="72"/>
      <c r="AU167" s="73">
        <f>SUMIF($G166:$T166,"A",$G167:$T167)+SUMIF($W166:$AJ166,"A",$W167:$AJ167)</f>
        <v>0</v>
      </c>
      <c r="AV167" s="72"/>
      <c r="AW167" s="76">
        <f>IF(B167="",0,IF($U$9="",0,$U$9))</f>
        <v>80</v>
      </c>
      <c r="BA167" s="2">
        <v>2020</v>
      </c>
      <c r="BB167" s="2">
        <v>10</v>
      </c>
      <c r="BC167" s="101">
        <f t="shared" si="101"/>
        <v>43947</v>
      </c>
      <c r="BD167" s="101">
        <f t="shared" si="101"/>
        <v>43960</v>
      </c>
    </row>
    <row r="168" spans="2:56" s="84" customFormat="1" x14ac:dyDescent="0.35">
      <c r="B168" s="107"/>
      <c r="C168" s="108"/>
      <c r="D168" s="109">
        <f>IF(D94="","",D94)</f>
        <v>81077</v>
      </c>
      <c r="E168" s="110" t="str">
        <f t="shared" si="99"/>
        <v/>
      </c>
      <c r="F168" s="111">
        <f>B157</f>
        <v>12</v>
      </c>
      <c r="G168" s="122"/>
      <c r="H168" s="123"/>
      <c r="I168" s="106"/>
      <c r="J168" s="105" t="s">
        <v>13</v>
      </c>
      <c r="K168" s="106"/>
      <c r="L168" s="105"/>
      <c r="M168" s="106"/>
      <c r="N168" s="105"/>
      <c r="O168" s="106"/>
      <c r="P168" s="105"/>
      <c r="Q168" s="106"/>
      <c r="R168" s="105"/>
      <c r="S168" s="112"/>
      <c r="T168" s="113"/>
      <c r="U168" s="114"/>
      <c r="V168" s="2"/>
      <c r="W168" s="112"/>
      <c r="X168" s="113"/>
      <c r="Y168" s="106"/>
      <c r="Z168" s="105"/>
      <c r="AA168" s="106"/>
      <c r="AB168" s="105"/>
      <c r="AC168" s="106"/>
      <c r="AD168" s="105"/>
      <c r="AE168" s="106"/>
      <c r="AF168" s="105"/>
      <c r="AG168" s="106"/>
      <c r="AH168" s="105"/>
      <c r="AI168" s="112"/>
      <c r="AJ168" s="113"/>
      <c r="AK168" s="44"/>
      <c r="AM168" s="49"/>
      <c r="AN168" s="49"/>
      <c r="AO168" s="49"/>
      <c r="AP168" s="49"/>
      <c r="AQ168" s="49"/>
      <c r="AR168" s="40"/>
      <c r="AS168" s="51"/>
      <c r="AU168" s="49"/>
      <c r="AW168" s="52"/>
      <c r="BA168" s="2">
        <v>2020</v>
      </c>
      <c r="BB168" s="2">
        <v>11</v>
      </c>
      <c r="BC168" s="101">
        <f t="shared" si="101"/>
        <v>43961</v>
      </c>
      <c r="BD168" s="101">
        <f t="shared" si="101"/>
        <v>43974</v>
      </c>
    </row>
    <row r="169" spans="2:56" s="84" customFormat="1" x14ac:dyDescent="0.35">
      <c r="B169" s="30" t="str">
        <f>IF(B95="","",B95)</f>
        <v>Bourassa, Julie</v>
      </c>
      <c r="C169" s="115"/>
      <c r="D169" s="116"/>
      <c r="E169" s="117">
        <f t="shared" si="99"/>
        <v>93540</v>
      </c>
      <c r="F169" s="111">
        <f>B157</f>
        <v>12</v>
      </c>
      <c r="G169" s="122"/>
      <c r="H169" s="123"/>
      <c r="I169" s="104"/>
      <c r="J169" s="103">
        <v>8</v>
      </c>
      <c r="K169" s="104"/>
      <c r="L169" s="103">
        <v>8.5</v>
      </c>
      <c r="M169" s="104"/>
      <c r="N169" s="103">
        <v>8</v>
      </c>
      <c r="O169" s="104"/>
      <c r="P169" s="103">
        <v>8.5</v>
      </c>
      <c r="Q169" s="104"/>
      <c r="R169" s="103">
        <v>7.5</v>
      </c>
      <c r="S169" s="119"/>
      <c r="T169" s="118"/>
      <c r="U169" s="120">
        <f t="shared" ref="U169" si="103">SUM(G169:T169)</f>
        <v>40.5</v>
      </c>
      <c r="V169" s="121"/>
      <c r="W169" s="119"/>
      <c r="X169" s="118"/>
      <c r="Y169" s="104"/>
      <c r="Z169" s="103">
        <v>8</v>
      </c>
      <c r="AA169" s="104"/>
      <c r="AB169" s="103">
        <v>8.5</v>
      </c>
      <c r="AC169" s="104"/>
      <c r="AD169" s="103">
        <v>8</v>
      </c>
      <c r="AE169" s="104"/>
      <c r="AF169" s="103">
        <v>8.5</v>
      </c>
      <c r="AG169" s="104"/>
      <c r="AH169" s="103">
        <v>8</v>
      </c>
      <c r="AI169" s="119"/>
      <c r="AJ169" s="118"/>
      <c r="AK169" s="71">
        <f>SUM(W169:AJ169)</f>
        <v>41</v>
      </c>
      <c r="AL169" s="72"/>
      <c r="AM169" s="73">
        <f>SUMIF($G168:$T168,"",$G169:$T169)+SUMIF($W168:$AJ168,"",$W169:$AJ169)-AN169</f>
        <v>72</v>
      </c>
      <c r="AN169" s="88">
        <f>IF(SUMIF($G168:$T168,"",$G169:$T169)+SUMIF($G168:$T168,"F",$G169:$T169)+SUMIF($G168:$T168,"V",$G169:$T169)-40&lt;0,0,SUMIF($G168:$T168,"",$G169:$T169)+SUMIF($G168:$T168,"F",$G169:$T169)+SUMIF($G168:$T168,"V",$G169:$T169)-($U$9/2))+IF(SUMIF($W168:$AJ168,"",$W169:$AJ169)+SUMIF($W168:$AJ168,"F",$W169:$AJ169)+SUMIF($W168:$AJ168,"V",$W169:$AJ169)-40&lt;0,0,SUMIF($W168:$AJ168,"",$W169:$AJ169)+SUMIF($W168:$AJ168,"F",$W169:$AJ169)+SUMIF($W168:$AJ168,"V",$W169:$AJ169)-($U$9/2))</f>
        <v>1.5</v>
      </c>
      <c r="AO169" s="73">
        <f>SUMIF($G168:$T168,"M",$G169:$T169)+SUMIF($W168:$AJ168,"M",$W169:$AJ169)</f>
        <v>0</v>
      </c>
      <c r="AP169" s="73">
        <f>SUMIF($G168:$T168,"F",$G169:$T169)+SUMIF($W168:$AJ168,"F",$W169:$AJ169)</f>
        <v>8</v>
      </c>
      <c r="AQ169" s="73">
        <f>SUMIF($G168:$T168,"V",$G169:$T169)+SUMIF($W168:$AJ168,"V",$W169:$AJ169)</f>
        <v>0</v>
      </c>
      <c r="AR169" s="74">
        <f>SUMIF($G168:$T168,"O",$G169:$T169)+SUMIF($W168:$AJ168,"O",$W169:$AJ169)</f>
        <v>0</v>
      </c>
      <c r="AS169" s="75">
        <f>SUM(AM169:AR169)</f>
        <v>81.5</v>
      </c>
      <c r="AT169" s="72"/>
      <c r="AU169" s="73">
        <f>SUMIF($G168:$T168,"A",$G169:$T169)+SUMIF($W168:$AJ168,"A",$W169:$AJ169)</f>
        <v>0</v>
      </c>
      <c r="AV169" s="72"/>
      <c r="AW169" s="76">
        <f>IF(B169="",0,IF($U$9="",0,$U$9))</f>
        <v>80</v>
      </c>
      <c r="BA169" s="2">
        <v>2020</v>
      </c>
      <c r="BB169" s="2">
        <v>12</v>
      </c>
      <c r="BC169" s="101">
        <f t="shared" si="101"/>
        <v>43975</v>
      </c>
      <c r="BD169" s="101">
        <f t="shared" si="101"/>
        <v>43988</v>
      </c>
    </row>
    <row r="170" spans="2:56" s="84" customFormat="1" x14ac:dyDescent="0.35">
      <c r="B170" s="107"/>
      <c r="C170" s="108"/>
      <c r="D170" s="109">
        <f>IF(D96="","",D96)</f>
        <v>78475</v>
      </c>
      <c r="E170" s="110" t="str">
        <f t="shared" si="99"/>
        <v/>
      </c>
      <c r="F170" s="111">
        <f>B157</f>
        <v>12</v>
      </c>
      <c r="G170" s="112"/>
      <c r="H170" s="113"/>
      <c r="I170" s="106"/>
      <c r="J170" s="105" t="s">
        <v>13</v>
      </c>
      <c r="K170" s="106"/>
      <c r="L170" s="105"/>
      <c r="M170" s="106"/>
      <c r="N170" s="105"/>
      <c r="O170" s="106"/>
      <c r="P170" s="105"/>
      <c r="Q170" s="106"/>
      <c r="R170" s="105"/>
      <c r="S170" s="112"/>
      <c r="T170" s="113"/>
      <c r="U170" s="114"/>
      <c r="V170" s="2"/>
      <c r="W170" s="112"/>
      <c r="X170" s="113"/>
      <c r="Y170" s="106"/>
      <c r="Z170" s="105"/>
      <c r="AA170" s="106"/>
      <c r="AB170" s="105"/>
      <c r="AC170" s="106"/>
      <c r="AD170" s="105"/>
      <c r="AE170" s="106"/>
      <c r="AF170" s="105"/>
      <c r="AG170" s="106"/>
      <c r="AH170" s="105" t="s">
        <v>1</v>
      </c>
      <c r="AI170" s="112"/>
      <c r="AJ170" s="113"/>
      <c r="AK170" s="44"/>
      <c r="AM170" s="49"/>
      <c r="AN170" s="49"/>
      <c r="AO170" s="49"/>
      <c r="AP170" s="49"/>
      <c r="AQ170" s="49"/>
      <c r="AR170" s="40"/>
      <c r="AS170" s="51"/>
      <c r="AU170" s="49"/>
      <c r="AW170" s="52"/>
      <c r="BA170" s="2">
        <v>2020</v>
      </c>
      <c r="BB170" s="2">
        <v>13</v>
      </c>
      <c r="BC170" s="101">
        <f t="shared" si="101"/>
        <v>43989</v>
      </c>
      <c r="BD170" s="101">
        <f t="shared" si="101"/>
        <v>44002</v>
      </c>
    </row>
    <row r="171" spans="2:56" s="84" customFormat="1" x14ac:dyDescent="0.35">
      <c r="B171" s="30" t="str">
        <f>IF(B97="","",B97)</f>
        <v>Charbonneau, Samuel</v>
      </c>
      <c r="C171" s="115"/>
      <c r="D171" s="116"/>
      <c r="E171" s="117">
        <f t="shared" si="99"/>
        <v>93540</v>
      </c>
      <c r="F171" s="111">
        <f>B157</f>
        <v>12</v>
      </c>
      <c r="G171" s="119"/>
      <c r="H171" s="118"/>
      <c r="I171" s="104"/>
      <c r="J171" s="103">
        <v>8</v>
      </c>
      <c r="K171" s="104"/>
      <c r="L171" s="103">
        <v>8</v>
      </c>
      <c r="M171" s="104"/>
      <c r="N171" s="103">
        <v>8.5</v>
      </c>
      <c r="O171" s="104"/>
      <c r="P171" s="103">
        <v>8</v>
      </c>
      <c r="Q171" s="104"/>
      <c r="R171" s="103">
        <v>8</v>
      </c>
      <c r="S171" s="119"/>
      <c r="T171" s="118"/>
      <c r="U171" s="120">
        <f t="shared" ref="U171" si="104">SUM(G171:T171)</f>
        <v>40.5</v>
      </c>
      <c r="V171" s="121"/>
      <c r="W171" s="119"/>
      <c r="X171" s="118"/>
      <c r="Y171" s="104"/>
      <c r="Z171" s="103">
        <v>8.5</v>
      </c>
      <c r="AA171" s="104"/>
      <c r="AB171" s="103">
        <v>8</v>
      </c>
      <c r="AC171" s="104"/>
      <c r="AD171" s="103">
        <v>8.5</v>
      </c>
      <c r="AE171" s="104"/>
      <c r="AF171" s="103">
        <v>8</v>
      </c>
      <c r="AG171" s="104"/>
      <c r="AH171" s="103">
        <v>8</v>
      </c>
      <c r="AI171" s="119"/>
      <c r="AJ171" s="118"/>
      <c r="AK171" s="71">
        <f>SUM(W171:AJ171)</f>
        <v>41</v>
      </c>
      <c r="AL171" s="72"/>
      <c r="AM171" s="73">
        <f>SUMIF($G170:$T170,"",$G171:$T171)+SUMIF($W170:$AJ170,"",$W171:$AJ171)-AN171</f>
        <v>64</v>
      </c>
      <c r="AN171" s="88">
        <f>IF(SUMIF($G170:$T170,"",$G171:$T171)+SUMIF($G170:$T170,"F",$G171:$T171)+SUMIF($G170:$T170,"V",$G171:$T171)-40&lt;0,0,SUMIF($G170:$T170,"",$G171:$T171)+SUMIF($G170:$T170,"F",$G171:$T171)+SUMIF($G170:$T170,"V",$G171:$T171)-($U$9/2))+IF(SUMIF($W170:$AJ170,"",$W171:$AJ171)+SUMIF($W170:$AJ170,"F",$W171:$AJ171)+SUMIF($W170:$AJ170,"V",$W171:$AJ171)-40&lt;0,0,SUMIF($W170:$AJ170,"",$W171:$AJ171)+SUMIF($W170:$AJ170,"F",$W171:$AJ171)+SUMIF($W170:$AJ170,"V",$W171:$AJ171)-($U$9/2))</f>
        <v>1.5</v>
      </c>
      <c r="AO171" s="73">
        <f>SUMIF($G170:$T170,"M",$G171:$T171)+SUMIF($W170:$AJ170,"M",$W171:$AJ171)</f>
        <v>0</v>
      </c>
      <c r="AP171" s="73">
        <f>SUMIF($G170:$T170,"F",$G171:$T171)+SUMIF($W170:$AJ170,"F",$W171:$AJ171)</f>
        <v>8</v>
      </c>
      <c r="AQ171" s="73">
        <f>SUMIF($G170:$T170,"V",$G171:$T171)+SUMIF($W170:$AJ170,"V",$W171:$AJ171)</f>
        <v>8</v>
      </c>
      <c r="AR171" s="74">
        <f>SUMIF($G170:$T170,"O",$G171:$T171)+SUMIF($W170:$AJ170,"O",$W171:$AJ171)</f>
        <v>0</v>
      </c>
      <c r="AS171" s="75">
        <f>SUM(AM171:AR171)</f>
        <v>81.5</v>
      </c>
      <c r="AT171" s="72"/>
      <c r="AU171" s="73">
        <f>SUMIF($G170:$T170,"A",$G171:$T171)+SUMIF($W170:$AJ170,"A",$W171:$AJ171)</f>
        <v>0</v>
      </c>
      <c r="AV171" s="72"/>
      <c r="AW171" s="76">
        <f>IF(B171="",0,IF($U$9="",0,$U$9))</f>
        <v>80</v>
      </c>
      <c r="BA171" s="2">
        <v>2020</v>
      </c>
      <c r="BB171" s="2">
        <v>14</v>
      </c>
      <c r="BC171" s="101">
        <f t="shared" si="101"/>
        <v>44003</v>
      </c>
      <c r="BD171" s="101">
        <f t="shared" si="101"/>
        <v>44016</v>
      </c>
    </row>
    <row r="172" spans="2:56" s="84" customFormat="1" x14ac:dyDescent="0.35">
      <c r="B172" s="107"/>
      <c r="C172" s="108"/>
      <c r="D172" s="109">
        <f>IF(D98="","",D98)</f>
        <v>24238</v>
      </c>
      <c r="E172" s="110" t="str">
        <f t="shared" si="99"/>
        <v/>
      </c>
      <c r="F172" s="111">
        <f>B157</f>
        <v>12</v>
      </c>
      <c r="G172" s="112"/>
      <c r="H172" s="113"/>
      <c r="I172" s="106"/>
      <c r="J172" s="105" t="s">
        <v>13</v>
      </c>
      <c r="K172" s="106"/>
      <c r="L172" s="105"/>
      <c r="M172" s="106"/>
      <c r="N172" s="105"/>
      <c r="O172" s="106"/>
      <c r="P172" s="105"/>
      <c r="Q172" s="106"/>
      <c r="R172" s="105"/>
      <c r="S172" s="112"/>
      <c r="T172" s="113"/>
      <c r="U172" s="114"/>
      <c r="V172" s="2"/>
      <c r="W172" s="112"/>
      <c r="X172" s="113"/>
      <c r="Y172" s="106"/>
      <c r="Z172" s="105"/>
      <c r="AA172" s="106"/>
      <c r="AB172" s="105"/>
      <c r="AC172" s="106"/>
      <c r="AD172" s="105"/>
      <c r="AE172" s="106"/>
      <c r="AF172" s="105"/>
      <c r="AG172" s="106"/>
      <c r="AH172" s="105"/>
      <c r="AI172" s="112"/>
      <c r="AJ172" s="113"/>
      <c r="AK172" s="44"/>
      <c r="AM172" s="49"/>
      <c r="AN172" s="49"/>
      <c r="AO172" s="49"/>
      <c r="AP172" s="49"/>
      <c r="AQ172" s="49"/>
      <c r="AR172" s="40"/>
      <c r="AS172" s="51"/>
      <c r="AU172" s="49"/>
      <c r="AW172" s="52"/>
      <c r="BA172" s="2">
        <v>2020</v>
      </c>
      <c r="BB172" s="2">
        <v>15</v>
      </c>
      <c r="BC172" s="101">
        <f t="shared" si="101"/>
        <v>44017</v>
      </c>
      <c r="BD172" s="101">
        <f t="shared" si="101"/>
        <v>44030</v>
      </c>
    </row>
    <row r="173" spans="2:56" s="84" customFormat="1" x14ac:dyDescent="0.35">
      <c r="B173" s="30" t="str">
        <f>IF(B99="","",B99)</f>
        <v>Curtis, Jason</v>
      </c>
      <c r="C173" s="115"/>
      <c r="D173" s="116"/>
      <c r="E173" s="117">
        <f t="shared" si="99"/>
        <v>93595935</v>
      </c>
      <c r="F173" s="111">
        <f>B157</f>
        <v>12</v>
      </c>
      <c r="G173" s="119"/>
      <c r="H173" s="118"/>
      <c r="I173" s="104"/>
      <c r="J173" s="103">
        <v>8</v>
      </c>
      <c r="K173" s="104"/>
      <c r="L173" s="103">
        <v>8</v>
      </c>
      <c r="M173" s="104"/>
      <c r="N173" s="103">
        <v>8</v>
      </c>
      <c r="O173" s="104"/>
      <c r="P173" s="103">
        <v>8</v>
      </c>
      <c r="Q173" s="104"/>
      <c r="R173" s="103">
        <v>8</v>
      </c>
      <c r="S173" s="119"/>
      <c r="T173" s="118"/>
      <c r="U173" s="120">
        <f t="shared" ref="U173" si="105">SUM(G173:T173)</f>
        <v>40</v>
      </c>
      <c r="V173" s="121"/>
      <c r="W173" s="119"/>
      <c r="X173" s="118"/>
      <c r="Y173" s="104"/>
      <c r="Z173" s="103">
        <v>8</v>
      </c>
      <c r="AA173" s="104"/>
      <c r="AB173" s="103">
        <v>8</v>
      </c>
      <c r="AC173" s="104"/>
      <c r="AD173" s="103">
        <v>8</v>
      </c>
      <c r="AE173" s="104"/>
      <c r="AF173" s="103">
        <v>8</v>
      </c>
      <c r="AG173" s="104"/>
      <c r="AH173" s="103">
        <v>8</v>
      </c>
      <c r="AI173" s="119"/>
      <c r="AJ173" s="118"/>
      <c r="AK173" s="71">
        <f>SUM(W173:AJ173)</f>
        <v>40</v>
      </c>
      <c r="AL173" s="72"/>
      <c r="AM173" s="73">
        <f>SUMIF($G172:$T172,"",$G173:$T173)+SUMIF($W172:$AJ172,"",$W173:$AJ173)-AN173</f>
        <v>72</v>
      </c>
      <c r="AN173" s="88">
        <f>IF(SUMIF($G172:$T172,"",$G173:$T173)+SUMIF($G172:$T172,"F",$G173:$T173)+SUMIF($G172:$T172,"V",$G173:$T173)-40&lt;0,0,SUMIF($G172:$T172,"",$G173:$T173)+SUMIF($G172:$T172,"F",$G173:$T173)+SUMIF($G172:$T172,"V",$G173:$T173)-($U$9/2))+IF(SUMIF($W172:$AJ172,"",$W173:$AJ173)+SUMIF($W172:$AJ172,"F",$W173:$AJ173)+SUMIF($W172:$AJ172,"V",$W173:$AJ173)-40&lt;0,0,SUMIF($W172:$AJ172,"",$W173:$AJ173)+SUMIF($W172:$AJ172,"F",$W173:$AJ173)+SUMIF($W172:$AJ172,"V",$W173:$AJ173)-($U$9/2))</f>
        <v>0</v>
      </c>
      <c r="AO173" s="73">
        <f>SUMIF($G172:$T172,"M",$G173:$T173)+SUMIF($W172:$AJ172,"M",$W173:$AJ173)</f>
        <v>0</v>
      </c>
      <c r="AP173" s="73">
        <f>SUMIF($G172:$T172,"F",$G173:$T173)+SUMIF($W172:$AJ172,"F",$W173:$AJ173)</f>
        <v>8</v>
      </c>
      <c r="AQ173" s="73">
        <f>SUMIF($G172:$T172,"V",$G173:$T173)+SUMIF($W172:$AJ172,"V",$W173:$AJ173)</f>
        <v>0</v>
      </c>
      <c r="AR173" s="74">
        <f>SUMIF($G172:$T172,"O",$G173:$T173)+SUMIF($W172:$AJ172,"O",$W173:$AJ173)</f>
        <v>0</v>
      </c>
      <c r="AS173" s="75">
        <f>SUM(AM173:AR173)</f>
        <v>80</v>
      </c>
      <c r="AT173" s="72"/>
      <c r="AU173" s="73">
        <f>SUMIF($G172:$T172,"A",$G173:$T173)+SUMIF($W172:$AJ172,"A",$W173:$AJ173)</f>
        <v>0</v>
      </c>
      <c r="AV173" s="72"/>
      <c r="AW173" s="76">
        <f>IF(B173="",0,IF($U$9="",0,$U$9))</f>
        <v>80</v>
      </c>
      <c r="BA173" s="2">
        <v>2020</v>
      </c>
      <c r="BB173" s="2">
        <v>16</v>
      </c>
      <c r="BC173" s="101">
        <f t="shared" si="101"/>
        <v>44031</v>
      </c>
      <c r="BD173" s="101">
        <f t="shared" si="101"/>
        <v>44044</v>
      </c>
    </row>
    <row r="174" spans="2:56" s="84" customFormat="1" x14ac:dyDescent="0.35">
      <c r="B174" s="107"/>
      <c r="C174" s="108"/>
      <c r="D174" s="109">
        <f>IF(D100="","",D100)</f>
        <v>79709</v>
      </c>
      <c r="E174" s="110" t="str">
        <f t="shared" si="99"/>
        <v/>
      </c>
      <c r="F174" s="111">
        <f>B157</f>
        <v>12</v>
      </c>
      <c r="G174" s="112"/>
      <c r="H174" s="113"/>
      <c r="I174" s="106"/>
      <c r="J174" s="105" t="s">
        <v>13</v>
      </c>
      <c r="K174" s="106"/>
      <c r="L174" s="105"/>
      <c r="M174" s="106"/>
      <c r="N174" s="105"/>
      <c r="O174" s="106"/>
      <c r="P174" s="105"/>
      <c r="Q174" s="106"/>
      <c r="R174" s="105"/>
      <c r="S174" s="112"/>
      <c r="T174" s="113"/>
      <c r="U174" s="114"/>
      <c r="V174" s="2"/>
      <c r="W174" s="112"/>
      <c r="X174" s="113"/>
      <c r="Y174" s="106"/>
      <c r="Z174" s="105"/>
      <c r="AA174" s="106"/>
      <c r="AB174" s="105"/>
      <c r="AC174" s="106"/>
      <c r="AD174" s="105"/>
      <c r="AE174" s="106"/>
      <c r="AF174" s="105"/>
      <c r="AG174" s="106"/>
      <c r="AH174" s="105"/>
      <c r="AI174" s="112"/>
      <c r="AJ174" s="113"/>
      <c r="AK174" s="44"/>
      <c r="AM174" s="49"/>
      <c r="AN174" s="49"/>
      <c r="AO174" s="49"/>
      <c r="AP174" s="49"/>
      <c r="AQ174" s="49"/>
      <c r="AR174" s="40"/>
      <c r="AS174" s="51"/>
      <c r="AU174" s="49"/>
      <c r="AW174" s="52"/>
      <c r="BA174" s="2">
        <v>2020</v>
      </c>
      <c r="BB174" s="2">
        <v>17</v>
      </c>
      <c r="BC174" s="101">
        <f t="shared" si="101"/>
        <v>44045</v>
      </c>
      <c r="BD174" s="101">
        <f t="shared" si="101"/>
        <v>44058</v>
      </c>
    </row>
    <row r="175" spans="2:56" s="84" customFormat="1" x14ac:dyDescent="0.35">
      <c r="B175" s="30" t="str">
        <f>IF(B101="","",B101)</f>
        <v>De Rose, Natale</v>
      </c>
      <c r="C175" s="115"/>
      <c r="D175" s="116"/>
      <c r="E175" s="117">
        <f t="shared" si="99"/>
        <v>93595935</v>
      </c>
      <c r="F175" s="111">
        <f>B157</f>
        <v>12</v>
      </c>
      <c r="G175" s="119"/>
      <c r="H175" s="118"/>
      <c r="I175" s="104"/>
      <c r="J175" s="103">
        <v>8</v>
      </c>
      <c r="K175" s="104"/>
      <c r="L175" s="103">
        <v>8</v>
      </c>
      <c r="M175" s="104"/>
      <c r="N175" s="103">
        <v>8</v>
      </c>
      <c r="O175" s="104"/>
      <c r="P175" s="103">
        <v>8</v>
      </c>
      <c r="Q175" s="104"/>
      <c r="R175" s="103">
        <v>8</v>
      </c>
      <c r="S175" s="119"/>
      <c r="T175" s="118"/>
      <c r="U175" s="120">
        <f t="shared" ref="U175" si="106">SUM(G175:T175)</f>
        <v>40</v>
      </c>
      <c r="V175" s="121"/>
      <c r="W175" s="119"/>
      <c r="X175" s="118"/>
      <c r="Y175" s="104"/>
      <c r="Z175" s="103">
        <v>8</v>
      </c>
      <c r="AA175" s="104"/>
      <c r="AB175" s="103">
        <v>8</v>
      </c>
      <c r="AC175" s="104"/>
      <c r="AD175" s="103">
        <v>8</v>
      </c>
      <c r="AE175" s="104"/>
      <c r="AF175" s="103">
        <v>8</v>
      </c>
      <c r="AG175" s="104"/>
      <c r="AH175" s="103">
        <v>8</v>
      </c>
      <c r="AI175" s="119"/>
      <c r="AJ175" s="118"/>
      <c r="AK175" s="71">
        <f>SUM(W175:AJ175)</f>
        <v>40</v>
      </c>
      <c r="AL175" s="72"/>
      <c r="AM175" s="73">
        <f>SUMIF($G174:$T174,"",$G175:$T175)+SUMIF($W174:$AJ174,"",$W175:$AJ175)-AN175</f>
        <v>72</v>
      </c>
      <c r="AN175" s="88">
        <f>IF(SUMIF($G174:$T174,"",$G175:$T175)+SUMIF($G174:$T174,"F",$G175:$T175)+SUMIF($G174:$T174,"V",$G175:$T175)-40&lt;0,0,SUMIF($G174:$T174,"",$G175:$T175)+SUMIF($G174:$T174,"F",$G175:$T175)+SUMIF($G174:$T174,"V",$G175:$T175)-($U$9/2))+IF(SUMIF($W174:$AJ174,"",$W175:$AJ175)+SUMIF($W174:$AJ174,"F",$W175:$AJ175)+SUMIF($W174:$AJ174,"V",$W175:$AJ175)-40&lt;0,0,SUMIF($W174:$AJ174,"",$W175:$AJ175)+SUMIF($W174:$AJ174,"F",$W175:$AJ175)+SUMIF($W174:$AJ174,"V",$W175:$AJ175)-($U$9/2))</f>
        <v>0</v>
      </c>
      <c r="AO175" s="73">
        <f>SUMIF($G174:$T174,"M",$G175:$T175)+SUMIF($W174:$AJ174,"M",$W175:$AJ175)</f>
        <v>0</v>
      </c>
      <c r="AP175" s="73">
        <f>SUMIF($G174:$T174,"F",$G175:$T175)+SUMIF($W174:$AJ174,"F",$W175:$AJ175)</f>
        <v>8</v>
      </c>
      <c r="AQ175" s="73">
        <f>SUMIF($G174:$T174,"V",$G175:$T175)+SUMIF($W174:$AJ174,"V",$W175:$AJ175)</f>
        <v>0</v>
      </c>
      <c r="AR175" s="74">
        <f>SUMIF($G174:$T174,"O",$G175:$T175)+SUMIF($W174:$AJ174,"O",$W175:$AJ175)</f>
        <v>0</v>
      </c>
      <c r="AS175" s="75">
        <f>SUM(AM175:AR175)</f>
        <v>80</v>
      </c>
      <c r="AT175" s="72"/>
      <c r="AU175" s="73">
        <f>SUMIF($G174:$T174,"A",$G175:$T175)+SUMIF($W174:$AJ174,"A",$W175:$AJ175)</f>
        <v>0</v>
      </c>
      <c r="AV175" s="72"/>
      <c r="AW175" s="76">
        <f>IF(B175="",0,IF($U$9="",0,$U$9))</f>
        <v>80</v>
      </c>
      <c r="BA175" s="2">
        <v>2020</v>
      </c>
      <c r="BB175" s="2">
        <v>18</v>
      </c>
      <c r="BC175" s="101">
        <f t="shared" si="101"/>
        <v>44059</v>
      </c>
      <c r="BD175" s="101">
        <f t="shared" si="101"/>
        <v>44072</v>
      </c>
    </row>
    <row r="176" spans="2:56" s="84" customFormat="1" x14ac:dyDescent="0.35">
      <c r="B176" s="107"/>
      <c r="C176" s="108"/>
      <c r="D176" s="109">
        <f>IF(D102="","",D102)</f>
        <v>92027</v>
      </c>
      <c r="E176" s="110" t="str">
        <f t="shared" si="99"/>
        <v/>
      </c>
      <c r="F176" s="111">
        <f>B157</f>
        <v>12</v>
      </c>
      <c r="G176" s="112"/>
      <c r="H176" s="113"/>
      <c r="I176" s="106"/>
      <c r="J176" s="105" t="s">
        <v>13</v>
      </c>
      <c r="K176" s="106"/>
      <c r="L176" s="105"/>
      <c r="M176" s="106"/>
      <c r="N176" s="105"/>
      <c r="O176" s="106"/>
      <c r="P176" s="105"/>
      <c r="Q176" s="106"/>
      <c r="R176" s="105"/>
      <c r="S176" s="112"/>
      <c r="T176" s="113"/>
      <c r="U176" s="114"/>
      <c r="V176" s="2"/>
      <c r="W176" s="112"/>
      <c r="X176" s="113"/>
      <c r="Y176" s="106"/>
      <c r="Z176" s="105"/>
      <c r="AA176" s="106"/>
      <c r="AB176" s="105"/>
      <c r="AC176" s="106"/>
      <c r="AD176" s="105"/>
      <c r="AE176" s="106"/>
      <c r="AF176" s="105"/>
      <c r="AG176" s="106"/>
      <c r="AH176" s="105"/>
      <c r="AI176" s="112"/>
      <c r="AJ176" s="113"/>
      <c r="AK176" s="44"/>
      <c r="AM176" s="49"/>
      <c r="AN176" s="49"/>
      <c r="AO176" s="49"/>
      <c r="AP176" s="49"/>
      <c r="AQ176" s="49"/>
      <c r="AR176" s="40"/>
      <c r="AS176" s="51"/>
      <c r="AU176" s="49"/>
      <c r="AW176" s="52"/>
      <c r="BA176" s="2">
        <v>2020</v>
      </c>
      <c r="BB176" s="2">
        <v>19</v>
      </c>
      <c r="BC176" s="101">
        <f t="shared" si="101"/>
        <v>44073</v>
      </c>
      <c r="BD176" s="101">
        <f t="shared" si="101"/>
        <v>44086</v>
      </c>
    </row>
    <row r="177" spans="2:56" s="84" customFormat="1" x14ac:dyDescent="0.35">
      <c r="B177" s="30" t="str">
        <f>IF(B103="","",B103)</f>
        <v>Descoteaux, Gerald</v>
      </c>
      <c r="C177" s="115"/>
      <c r="D177" s="116"/>
      <c r="E177" s="117">
        <f t="shared" si="99"/>
        <v>93595935</v>
      </c>
      <c r="F177" s="111">
        <f>B157</f>
        <v>12</v>
      </c>
      <c r="G177" s="119"/>
      <c r="H177" s="118"/>
      <c r="I177" s="104"/>
      <c r="J177" s="103">
        <v>8</v>
      </c>
      <c r="K177" s="104"/>
      <c r="L177" s="103">
        <v>8</v>
      </c>
      <c r="M177" s="104"/>
      <c r="N177" s="103">
        <v>8</v>
      </c>
      <c r="O177" s="104"/>
      <c r="P177" s="103">
        <v>8</v>
      </c>
      <c r="Q177" s="104"/>
      <c r="R177" s="103">
        <v>8</v>
      </c>
      <c r="S177" s="119"/>
      <c r="T177" s="118"/>
      <c r="U177" s="120">
        <f t="shared" ref="U177" si="107">SUM(G177:T177)</f>
        <v>40</v>
      </c>
      <c r="V177" s="121"/>
      <c r="W177" s="119"/>
      <c r="X177" s="118"/>
      <c r="Y177" s="104"/>
      <c r="Z177" s="103">
        <v>8</v>
      </c>
      <c r="AA177" s="104"/>
      <c r="AB177" s="103">
        <v>8</v>
      </c>
      <c r="AC177" s="104"/>
      <c r="AD177" s="103">
        <v>8</v>
      </c>
      <c r="AE177" s="104"/>
      <c r="AF177" s="103">
        <v>8</v>
      </c>
      <c r="AG177" s="104"/>
      <c r="AH177" s="103">
        <v>8</v>
      </c>
      <c r="AI177" s="119"/>
      <c r="AJ177" s="118"/>
      <c r="AK177" s="71">
        <f>SUM(W177:AJ177)</f>
        <v>40</v>
      </c>
      <c r="AL177" s="72"/>
      <c r="AM177" s="73">
        <f>SUMIF($G176:$T176,"",$G177:$T177)+SUMIF($W176:$AJ176,"",$W177:$AJ177)-AN177</f>
        <v>72</v>
      </c>
      <c r="AN177" s="88">
        <f>IF(SUMIF($G176:$T176,"",$G177:$T177)+SUMIF($G176:$T176,"F",$G177:$T177)+SUMIF($G176:$T176,"V",$G177:$T177)-40&lt;0,0,SUMIF($G176:$T176,"",$G177:$T177)+SUMIF($G176:$T176,"F",$G177:$T177)+SUMIF($G176:$T176,"V",$G177:$T177)-($U$9/2))+IF(SUMIF($W176:$AJ176,"",$W177:$AJ177)+SUMIF($W176:$AJ176,"F",$W177:$AJ177)+SUMIF($W176:$AJ176,"V",$W177:$AJ177)-40&lt;0,0,SUMIF($W176:$AJ176,"",$W177:$AJ177)+SUMIF($W176:$AJ176,"F",$W177:$AJ177)+SUMIF($W176:$AJ176,"V",$W177:$AJ177)-($U$9/2))</f>
        <v>0</v>
      </c>
      <c r="AO177" s="73">
        <f>SUMIF($G176:$T176,"M",$G177:$T177)+SUMIF($W176:$AJ176,"M",$W177:$AJ177)</f>
        <v>0</v>
      </c>
      <c r="AP177" s="73">
        <f>SUMIF($G176:$T176,"F",$G177:$T177)+SUMIF($W176:$AJ176,"F",$W177:$AJ177)</f>
        <v>8</v>
      </c>
      <c r="AQ177" s="73">
        <f>SUMIF($G176:$T176,"V",$G177:$T177)+SUMIF($W176:$AJ176,"V",$W177:$AJ177)</f>
        <v>0</v>
      </c>
      <c r="AR177" s="74">
        <f>SUMIF($G176:$T176,"O",$G177:$T177)+SUMIF($W176:$AJ176,"O",$W177:$AJ177)</f>
        <v>0</v>
      </c>
      <c r="AS177" s="75">
        <f>SUM(AM177:AR177)</f>
        <v>80</v>
      </c>
      <c r="AT177" s="72"/>
      <c r="AU177" s="73">
        <f>SUMIF($G176:$T176,"A",$G177:$T177)+SUMIF($W176:$AJ176,"A",$W177:$AJ177)</f>
        <v>0</v>
      </c>
      <c r="AV177" s="72"/>
      <c r="AW177" s="76">
        <f>IF(B177="",0,IF($U$9="",0,$U$9))</f>
        <v>80</v>
      </c>
      <c r="BA177" s="2">
        <v>2020</v>
      </c>
      <c r="BB177" s="2">
        <v>20</v>
      </c>
      <c r="BC177" s="101">
        <f t="shared" si="101"/>
        <v>44087</v>
      </c>
      <c r="BD177" s="101">
        <f t="shared" si="101"/>
        <v>44100</v>
      </c>
    </row>
    <row r="178" spans="2:56" s="84" customFormat="1" x14ac:dyDescent="0.35">
      <c r="B178" s="107"/>
      <c r="C178" s="108"/>
      <c r="D178" s="109">
        <f>IF(D104="","",D104)</f>
        <v>73795</v>
      </c>
      <c r="E178" s="110" t="str">
        <f t="shared" si="99"/>
        <v/>
      </c>
      <c r="F178" s="111">
        <f>B157</f>
        <v>12</v>
      </c>
      <c r="G178" s="112"/>
      <c r="H178" s="113"/>
      <c r="I178" s="106"/>
      <c r="J178" s="105" t="s">
        <v>13</v>
      </c>
      <c r="K178" s="106"/>
      <c r="L178" s="105"/>
      <c r="M178" s="106"/>
      <c r="N178" s="105"/>
      <c r="O178" s="106"/>
      <c r="P178" s="105"/>
      <c r="Q178" s="106"/>
      <c r="R178" s="105"/>
      <c r="S178" s="112"/>
      <c r="T178" s="113"/>
      <c r="U178" s="114"/>
      <c r="V178" s="2"/>
      <c r="W178" s="112"/>
      <c r="X178" s="113"/>
      <c r="Y178" s="106"/>
      <c r="Z178" s="105"/>
      <c r="AA178" s="106"/>
      <c r="AB178" s="105"/>
      <c r="AC178" s="106"/>
      <c r="AD178" s="105"/>
      <c r="AE178" s="106"/>
      <c r="AF178" s="105"/>
      <c r="AG178" s="106"/>
      <c r="AH178" s="105"/>
      <c r="AI178" s="112"/>
      <c r="AJ178" s="113"/>
      <c r="AK178" s="44"/>
      <c r="AM178" s="49"/>
      <c r="AN178" s="49"/>
      <c r="AO178" s="49"/>
      <c r="AP178" s="49"/>
      <c r="AQ178" s="49"/>
      <c r="AR178" s="40"/>
      <c r="AS178" s="51"/>
      <c r="AU178" s="49"/>
      <c r="AW178" s="52"/>
      <c r="BA178" s="2">
        <v>2020</v>
      </c>
      <c r="BB178" s="2">
        <v>21</v>
      </c>
      <c r="BC178" s="101">
        <f t="shared" si="101"/>
        <v>44101</v>
      </c>
      <c r="BD178" s="101">
        <f t="shared" si="101"/>
        <v>44114</v>
      </c>
    </row>
    <row r="179" spans="2:56" s="84" customFormat="1" x14ac:dyDescent="0.35">
      <c r="B179" s="30" t="str">
        <f>IF(B105="","",B105)</f>
        <v>Fortin, Veronique</v>
      </c>
      <c r="C179" s="115"/>
      <c r="D179" s="116"/>
      <c r="E179" s="117">
        <f t="shared" si="99"/>
        <v>93540</v>
      </c>
      <c r="F179" s="111">
        <f>B157</f>
        <v>12</v>
      </c>
      <c r="G179" s="119"/>
      <c r="H179" s="118"/>
      <c r="I179" s="104"/>
      <c r="J179" s="103">
        <v>8</v>
      </c>
      <c r="K179" s="104"/>
      <c r="L179" s="103">
        <v>8</v>
      </c>
      <c r="M179" s="104"/>
      <c r="N179" s="103">
        <v>8</v>
      </c>
      <c r="O179" s="104"/>
      <c r="P179" s="103">
        <v>8</v>
      </c>
      <c r="Q179" s="104"/>
      <c r="R179" s="103">
        <v>7.5</v>
      </c>
      <c r="S179" s="119"/>
      <c r="T179" s="118"/>
      <c r="U179" s="120">
        <f t="shared" ref="U179" si="108">SUM(G179:T179)</f>
        <v>39.5</v>
      </c>
      <c r="V179" s="121"/>
      <c r="W179" s="119"/>
      <c r="X179" s="118"/>
      <c r="Y179" s="104"/>
      <c r="Z179" s="103">
        <v>8</v>
      </c>
      <c r="AA179" s="104"/>
      <c r="AB179" s="103">
        <v>8</v>
      </c>
      <c r="AC179" s="104"/>
      <c r="AD179" s="103">
        <v>8</v>
      </c>
      <c r="AE179" s="104"/>
      <c r="AF179" s="103">
        <v>8</v>
      </c>
      <c r="AG179" s="104"/>
      <c r="AH179" s="103">
        <v>7.5</v>
      </c>
      <c r="AI179" s="119"/>
      <c r="AJ179" s="118"/>
      <c r="AK179" s="71">
        <f>SUM(W179:AJ179)</f>
        <v>39.5</v>
      </c>
      <c r="AL179" s="72"/>
      <c r="AM179" s="73">
        <f>SUMIF($G178:$T178,"",$G179:$T179)+SUMIF($W178:$AJ178,"",$W179:$AJ179)-AN179</f>
        <v>71</v>
      </c>
      <c r="AN179" s="88">
        <f>IF(SUMIF($G178:$T178,"",$G179:$T179)+SUMIF($G178:$T178,"F",$G179:$T179)+SUMIF($G178:$T178,"V",$G179:$T179)-40&lt;0,0,SUMIF($G178:$T178,"",$G179:$T179)+SUMIF($G178:$T178,"F",$G179:$T179)+SUMIF($G178:$T178,"V",$G179:$T179)-($U$9/2))+IF(SUMIF($W178:$AJ178,"",$W179:$AJ179)+SUMIF($W178:$AJ178,"F",$W179:$AJ179)+SUMIF($W178:$AJ178,"V",$W179:$AJ179)-40&lt;0,0,SUMIF($W178:$AJ178,"",$W179:$AJ179)+SUMIF($W178:$AJ178,"F",$W179:$AJ179)+SUMIF($W178:$AJ178,"V",$W179:$AJ179)-($U$9/2))</f>
        <v>0</v>
      </c>
      <c r="AO179" s="73">
        <f>SUMIF($G178:$T178,"M",$G179:$T179)+SUMIF($W178:$AJ178,"M",$W179:$AJ179)</f>
        <v>0</v>
      </c>
      <c r="AP179" s="73">
        <f>SUMIF($G178:$T178,"F",$G179:$T179)+SUMIF($W178:$AJ178,"F",$W179:$AJ179)</f>
        <v>8</v>
      </c>
      <c r="AQ179" s="73">
        <f>SUMIF($G178:$T178,"V",$G179:$T179)+SUMIF($W178:$AJ178,"V",$W179:$AJ179)</f>
        <v>0</v>
      </c>
      <c r="AR179" s="74">
        <f>SUMIF($G178:$T178,"O",$G179:$T179)+SUMIF($W178:$AJ178,"O",$W179:$AJ179)</f>
        <v>0</v>
      </c>
      <c r="AS179" s="75">
        <f>SUM(AM179:AR179)</f>
        <v>79</v>
      </c>
      <c r="AT179" s="72"/>
      <c r="AU179" s="73">
        <f>SUMIF($G178:$T178,"A",$G179:$T179)+SUMIF($W178:$AJ178,"A",$W179:$AJ179)</f>
        <v>0</v>
      </c>
      <c r="AV179" s="72"/>
      <c r="AW179" s="76">
        <f>IF(B179="",0,IF($U$9="",0,$U$9))</f>
        <v>80</v>
      </c>
      <c r="BA179" s="2">
        <v>2020</v>
      </c>
      <c r="BB179" s="2">
        <v>22</v>
      </c>
      <c r="BC179" s="101">
        <f t="shared" si="101"/>
        <v>44115</v>
      </c>
      <c r="BD179" s="101">
        <f t="shared" si="101"/>
        <v>44128</v>
      </c>
    </row>
    <row r="180" spans="2:56" s="84" customFormat="1" x14ac:dyDescent="0.35">
      <c r="B180" s="107"/>
      <c r="C180" s="108"/>
      <c r="D180" s="109">
        <f>IF(D106="","",D106)</f>
        <v>23206</v>
      </c>
      <c r="E180" s="110" t="str">
        <f t="shared" si="99"/>
        <v/>
      </c>
      <c r="F180" s="111">
        <f>B157</f>
        <v>12</v>
      </c>
      <c r="G180" s="112"/>
      <c r="H180" s="113"/>
      <c r="I180" s="106"/>
      <c r="J180" s="105" t="s">
        <v>13</v>
      </c>
      <c r="K180" s="106"/>
      <c r="L180" s="105"/>
      <c r="M180" s="106"/>
      <c r="N180" s="105"/>
      <c r="O180" s="106"/>
      <c r="P180" s="105"/>
      <c r="Q180" s="106"/>
      <c r="R180" s="105"/>
      <c r="S180" s="112"/>
      <c r="T180" s="113"/>
      <c r="U180" s="114"/>
      <c r="V180" s="2"/>
      <c r="W180" s="112"/>
      <c r="X180" s="113"/>
      <c r="Y180" s="106"/>
      <c r="Z180" s="105"/>
      <c r="AA180" s="106"/>
      <c r="AB180" s="105"/>
      <c r="AC180" s="106"/>
      <c r="AD180" s="105"/>
      <c r="AE180" s="106"/>
      <c r="AF180" s="105"/>
      <c r="AG180" s="106"/>
      <c r="AH180" s="105"/>
      <c r="AI180" s="112"/>
      <c r="AJ180" s="113"/>
      <c r="AK180" s="44"/>
      <c r="AM180" s="49"/>
      <c r="AN180" s="49"/>
      <c r="AO180" s="49"/>
      <c r="AP180" s="49"/>
      <c r="AQ180" s="49"/>
      <c r="AR180" s="40"/>
      <c r="AS180" s="51"/>
      <c r="AU180" s="49"/>
      <c r="AW180" s="52"/>
      <c r="BA180" s="2">
        <v>2020</v>
      </c>
      <c r="BB180" s="2">
        <v>23</v>
      </c>
      <c r="BC180" s="101">
        <f t="shared" si="101"/>
        <v>44129</v>
      </c>
      <c r="BD180" s="101">
        <f t="shared" si="101"/>
        <v>44142</v>
      </c>
    </row>
    <row r="181" spans="2:56" s="84" customFormat="1" x14ac:dyDescent="0.35">
      <c r="B181" s="30" t="str">
        <f>IF(B107="","",B107)</f>
        <v>Gadbois, Dominic</v>
      </c>
      <c r="C181" s="115"/>
      <c r="D181" s="116"/>
      <c r="E181" s="117">
        <f t="shared" si="99"/>
        <v>93545</v>
      </c>
      <c r="F181" s="111">
        <f>B157</f>
        <v>12</v>
      </c>
      <c r="G181" s="119"/>
      <c r="H181" s="118"/>
      <c r="I181" s="104"/>
      <c r="J181" s="103">
        <v>8</v>
      </c>
      <c r="K181" s="104"/>
      <c r="L181" s="103">
        <v>8</v>
      </c>
      <c r="M181" s="104"/>
      <c r="N181" s="103">
        <v>8</v>
      </c>
      <c r="O181" s="104"/>
      <c r="P181" s="103">
        <v>8.25</v>
      </c>
      <c r="Q181" s="104"/>
      <c r="R181" s="103">
        <v>8</v>
      </c>
      <c r="S181" s="119"/>
      <c r="T181" s="118"/>
      <c r="U181" s="120">
        <f t="shared" ref="U181" si="109">SUM(G181:T181)</f>
        <v>40.25</v>
      </c>
      <c r="V181" s="121"/>
      <c r="W181" s="119"/>
      <c r="X181" s="118"/>
      <c r="Y181" s="104"/>
      <c r="Z181" s="103">
        <v>8</v>
      </c>
      <c r="AA181" s="104"/>
      <c r="AB181" s="103">
        <v>8</v>
      </c>
      <c r="AC181" s="104"/>
      <c r="AD181" s="103">
        <v>7</v>
      </c>
      <c r="AE181" s="104"/>
      <c r="AF181" s="103">
        <v>8</v>
      </c>
      <c r="AG181" s="104"/>
      <c r="AH181" s="103">
        <v>8</v>
      </c>
      <c r="AI181" s="119"/>
      <c r="AJ181" s="118"/>
      <c r="AK181" s="71">
        <f>SUM(W181:AJ181)</f>
        <v>39</v>
      </c>
      <c r="AL181" s="72"/>
      <c r="AM181" s="73">
        <f>SUMIF($G180:$T180,"",$G181:$T181)+SUMIF($W180:$AJ180,"",$W181:$AJ181)-AN181</f>
        <v>71</v>
      </c>
      <c r="AN181" s="88">
        <f>IF(SUMIF($G180:$T180,"",$G181:$T181)+SUMIF($G180:$T180,"F",$G181:$T181)+SUMIF($G180:$T180,"V",$G181:$T181)-40&lt;0,0,SUMIF($G180:$T180,"",$G181:$T181)+SUMIF($G180:$T180,"F",$G181:$T181)+SUMIF($G180:$T180,"V",$G181:$T181)-($U$9/2))+IF(SUMIF($W180:$AJ180,"",$W181:$AJ181)+SUMIF($W180:$AJ180,"F",$W181:$AJ181)+SUMIF($W180:$AJ180,"V",$W181:$AJ181)-40&lt;0,0,SUMIF($W180:$AJ180,"",$W181:$AJ181)+SUMIF($W180:$AJ180,"F",$W181:$AJ181)+SUMIF($W180:$AJ180,"V",$W181:$AJ181)-($U$9/2))</f>
        <v>0.25</v>
      </c>
      <c r="AO181" s="73">
        <f>SUMIF($G180:$T180,"M",$G181:$T181)+SUMIF($W180:$AJ180,"M",$W181:$AJ181)</f>
        <v>0</v>
      </c>
      <c r="AP181" s="73">
        <f>SUMIF($G180:$T180,"F",$G181:$T181)+SUMIF($W180:$AJ180,"F",$W181:$AJ181)</f>
        <v>8</v>
      </c>
      <c r="AQ181" s="73">
        <f>SUMIF($G180:$T180,"V",$G181:$T181)+SUMIF($W180:$AJ180,"V",$W181:$AJ181)</f>
        <v>0</v>
      </c>
      <c r="AR181" s="74">
        <f>SUMIF($G180:$T180,"O",$G181:$T181)+SUMIF($W180:$AJ180,"O",$W181:$AJ181)</f>
        <v>0</v>
      </c>
      <c r="AS181" s="75">
        <f>SUM(AM181:AR181)</f>
        <v>79.25</v>
      </c>
      <c r="AT181" s="72"/>
      <c r="AU181" s="73">
        <f>SUMIF($G180:$T180,"A",$G181:$T181)+SUMIF($W180:$AJ180,"A",$W181:$AJ181)</f>
        <v>0</v>
      </c>
      <c r="AV181" s="72"/>
      <c r="AW181" s="76">
        <f>IF(B181="",0,IF($U$9="",0,$U$9))</f>
        <v>80</v>
      </c>
      <c r="BA181" s="2">
        <v>2020</v>
      </c>
      <c r="BB181" s="2">
        <v>24</v>
      </c>
      <c r="BC181" s="101">
        <f t="shared" ref="BC181:BD196" si="110">+BC180+14</f>
        <v>44143</v>
      </c>
      <c r="BD181" s="101">
        <f t="shared" si="110"/>
        <v>44156</v>
      </c>
    </row>
    <row r="182" spans="2:56" s="84" customFormat="1" x14ac:dyDescent="0.35">
      <c r="B182" s="107"/>
      <c r="C182" s="108"/>
      <c r="D182" s="109">
        <f>IF(D108="","",D108)</f>
        <v>33664</v>
      </c>
      <c r="E182" s="110" t="str">
        <f t="shared" si="99"/>
        <v/>
      </c>
      <c r="F182" s="111">
        <f>B157</f>
        <v>12</v>
      </c>
      <c r="G182" s="112"/>
      <c r="H182" s="113"/>
      <c r="I182" s="106"/>
      <c r="J182" s="105" t="s">
        <v>13</v>
      </c>
      <c r="K182" s="106"/>
      <c r="L182" s="105"/>
      <c r="M182" s="106"/>
      <c r="N182" s="105"/>
      <c r="O182" s="106"/>
      <c r="P182" s="105"/>
      <c r="Q182" s="106"/>
      <c r="R182" s="105"/>
      <c r="S182" s="112"/>
      <c r="T182" s="113"/>
      <c r="U182" s="114"/>
      <c r="V182" s="2"/>
      <c r="W182" s="112"/>
      <c r="X182" s="113"/>
      <c r="Y182" s="106"/>
      <c r="Z182" s="105"/>
      <c r="AA182" s="106"/>
      <c r="AB182" s="105"/>
      <c r="AC182" s="106"/>
      <c r="AD182" s="105"/>
      <c r="AE182" s="106"/>
      <c r="AF182" s="105"/>
      <c r="AG182" s="106"/>
      <c r="AH182" s="105"/>
      <c r="AI182" s="112"/>
      <c r="AJ182" s="113"/>
      <c r="AK182" s="44"/>
      <c r="AM182" s="49"/>
      <c r="AN182" s="49"/>
      <c r="AO182" s="49"/>
      <c r="AP182" s="49"/>
      <c r="AQ182" s="49"/>
      <c r="AR182" s="40"/>
      <c r="AS182" s="51"/>
      <c r="AU182" s="49"/>
      <c r="AW182" s="52"/>
      <c r="BA182" s="2">
        <v>2020</v>
      </c>
      <c r="BB182" s="2">
        <v>25</v>
      </c>
      <c r="BC182" s="101">
        <f t="shared" si="110"/>
        <v>44157</v>
      </c>
      <c r="BD182" s="101">
        <f t="shared" si="110"/>
        <v>44170</v>
      </c>
    </row>
    <row r="183" spans="2:56" s="84" customFormat="1" x14ac:dyDescent="0.35">
      <c r="B183" s="30" t="str">
        <f>IF(B109="","",B109)</f>
        <v>Knox Michaud, Jessy</v>
      </c>
      <c r="C183" s="115"/>
      <c r="D183" s="116"/>
      <c r="E183" s="117">
        <f t="shared" si="99"/>
        <v>93542</v>
      </c>
      <c r="F183" s="111">
        <f>B157</f>
        <v>12</v>
      </c>
      <c r="G183" s="119"/>
      <c r="H183" s="118"/>
      <c r="I183" s="104"/>
      <c r="J183" s="103">
        <v>8</v>
      </c>
      <c r="K183" s="104"/>
      <c r="L183" s="103">
        <v>8</v>
      </c>
      <c r="M183" s="104"/>
      <c r="N183" s="103">
        <v>8</v>
      </c>
      <c r="O183" s="104"/>
      <c r="P183" s="103">
        <v>8</v>
      </c>
      <c r="Q183" s="104"/>
      <c r="R183" s="103">
        <v>8</v>
      </c>
      <c r="S183" s="119"/>
      <c r="T183" s="118"/>
      <c r="U183" s="120">
        <f t="shared" ref="U183" si="111">SUM(G183:T183)</f>
        <v>40</v>
      </c>
      <c r="V183" s="121"/>
      <c r="W183" s="119"/>
      <c r="X183" s="118"/>
      <c r="Y183" s="104"/>
      <c r="Z183" s="103">
        <v>8</v>
      </c>
      <c r="AA183" s="104"/>
      <c r="AB183" s="103">
        <v>8</v>
      </c>
      <c r="AC183" s="104"/>
      <c r="AD183" s="103">
        <v>8</v>
      </c>
      <c r="AE183" s="104"/>
      <c r="AF183" s="103">
        <v>8</v>
      </c>
      <c r="AG183" s="104"/>
      <c r="AH183" s="103">
        <v>8</v>
      </c>
      <c r="AI183" s="119"/>
      <c r="AJ183" s="118"/>
      <c r="AK183" s="71">
        <f>SUM(W183:AJ183)</f>
        <v>40</v>
      </c>
      <c r="AL183" s="72"/>
      <c r="AM183" s="73">
        <f>SUMIF($G182:$T182,"",$G183:$T183)+SUMIF($W182:$AJ182,"",$W183:$AJ183)-AN183</f>
        <v>72</v>
      </c>
      <c r="AN183" s="88">
        <f>IF(SUMIF($G182:$T182,"",$G183:$T183)+SUMIF($G182:$T182,"F",$G183:$T183)+SUMIF($G182:$T182,"V",$G183:$T183)-40&lt;0,0,SUMIF($G182:$T182,"",$G183:$T183)+SUMIF($G182:$T182,"F",$G183:$T183)+SUMIF($G182:$T182,"V",$G183:$T183)-($U$9/2))+IF(SUMIF($W182:$AJ182,"",$W183:$AJ183)+SUMIF($W182:$AJ182,"F",$W183:$AJ183)+SUMIF($W182:$AJ182,"V",$W183:$AJ183)-40&lt;0,0,SUMIF($W182:$AJ182,"",$W183:$AJ183)+SUMIF($W182:$AJ182,"F",$W183:$AJ183)+SUMIF($W182:$AJ182,"V",$W183:$AJ183)-($U$9/2))</f>
        <v>0</v>
      </c>
      <c r="AO183" s="73">
        <f>SUMIF($G182:$T182,"M",$G183:$T183)+SUMIF($W182:$AJ182,"M",$W183:$AJ183)</f>
        <v>0</v>
      </c>
      <c r="AP183" s="73">
        <f>SUMIF($G182:$T182,"F",$G183:$T183)+SUMIF($W182:$AJ182,"F",$W183:$AJ183)</f>
        <v>8</v>
      </c>
      <c r="AQ183" s="73">
        <f>SUMIF($G182:$T182,"V",$G183:$T183)+SUMIF($W182:$AJ182,"V",$W183:$AJ183)</f>
        <v>0</v>
      </c>
      <c r="AR183" s="74">
        <f>SUMIF($G182:$T182,"O",$G183:$T183)+SUMIF($W182:$AJ182,"O",$W183:$AJ183)</f>
        <v>0</v>
      </c>
      <c r="AS183" s="75">
        <f>SUM(AM183:AR183)</f>
        <v>80</v>
      </c>
      <c r="AT183" s="72"/>
      <c r="AU183" s="73">
        <f>SUMIF($G182:$T182,"A",$G183:$T183)+SUMIF($W182:$AJ182,"A",$W183:$AJ183)</f>
        <v>0</v>
      </c>
      <c r="AV183" s="72"/>
      <c r="AW183" s="76">
        <f>IF(B183="",0,IF($U$9="",0,$U$9))</f>
        <v>80</v>
      </c>
      <c r="BA183" s="2">
        <v>2020</v>
      </c>
      <c r="BB183" s="2">
        <v>26</v>
      </c>
      <c r="BC183" s="101">
        <f t="shared" si="110"/>
        <v>44171</v>
      </c>
      <c r="BD183" s="101">
        <f t="shared" si="110"/>
        <v>44184</v>
      </c>
    </row>
    <row r="184" spans="2:56" s="84" customFormat="1" x14ac:dyDescent="0.35">
      <c r="B184" s="107"/>
      <c r="C184" s="108"/>
      <c r="D184" s="109">
        <f>IF(D110="","",D110)</f>
        <v>14206</v>
      </c>
      <c r="E184" s="110" t="str">
        <f t="shared" si="99"/>
        <v/>
      </c>
      <c r="F184" s="111">
        <f>B157</f>
        <v>12</v>
      </c>
      <c r="G184" s="112"/>
      <c r="H184" s="113"/>
      <c r="I184" s="106"/>
      <c r="J184" s="105" t="s">
        <v>13</v>
      </c>
      <c r="K184" s="106"/>
      <c r="L184" s="105"/>
      <c r="M184" s="106"/>
      <c r="N184" s="105"/>
      <c r="O184" s="106"/>
      <c r="P184" s="105"/>
      <c r="Q184" s="106"/>
      <c r="R184" s="105"/>
      <c r="S184" s="112"/>
      <c r="T184" s="113"/>
      <c r="U184" s="114"/>
      <c r="V184" s="2"/>
      <c r="W184" s="112"/>
      <c r="X184" s="113"/>
      <c r="Y184" s="106"/>
      <c r="Z184" s="105"/>
      <c r="AA184" s="106"/>
      <c r="AB184" s="105"/>
      <c r="AC184" s="106"/>
      <c r="AD184" s="105"/>
      <c r="AE184" s="106"/>
      <c r="AF184" s="105"/>
      <c r="AG184" s="106"/>
      <c r="AH184" s="105"/>
      <c r="AI184" s="112"/>
      <c r="AJ184" s="113"/>
      <c r="AK184" s="44"/>
      <c r="AM184" s="49"/>
      <c r="AN184" s="49"/>
      <c r="AO184" s="49"/>
      <c r="AP184" s="49"/>
      <c r="AQ184" s="49"/>
      <c r="AR184" s="40"/>
      <c r="AS184" s="51"/>
      <c r="AU184" s="49"/>
      <c r="AW184" s="52"/>
      <c r="BA184" s="2">
        <v>2021</v>
      </c>
      <c r="BB184" s="2">
        <v>1</v>
      </c>
      <c r="BC184" s="101">
        <f t="shared" si="110"/>
        <v>44185</v>
      </c>
      <c r="BD184" s="101">
        <f t="shared" si="110"/>
        <v>44198</v>
      </c>
    </row>
    <row r="185" spans="2:56" s="84" customFormat="1" x14ac:dyDescent="0.35">
      <c r="B185" s="30" t="str">
        <f>IF(B111="","",B111)</f>
        <v>Landry, Bernard</v>
      </c>
      <c r="C185" s="115"/>
      <c r="D185" s="116"/>
      <c r="E185" s="117">
        <f t="shared" si="99"/>
        <v>93545</v>
      </c>
      <c r="F185" s="111">
        <f>B157</f>
        <v>12</v>
      </c>
      <c r="G185" s="119"/>
      <c r="H185" s="118"/>
      <c r="I185" s="104"/>
      <c r="J185" s="103">
        <v>8</v>
      </c>
      <c r="K185" s="104"/>
      <c r="L185" s="103">
        <v>8</v>
      </c>
      <c r="M185" s="104"/>
      <c r="N185" s="103">
        <v>8</v>
      </c>
      <c r="O185" s="104"/>
      <c r="P185" s="103">
        <v>8</v>
      </c>
      <c r="Q185" s="104"/>
      <c r="R185" s="103">
        <v>8</v>
      </c>
      <c r="S185" s="119"/>
      <c r="T185" s="118"/>
      <c r="U185" s="120">
        <f t="shared" ref="U185" si="112">SUM(G185:T185)</f>
        <v>40</v>
      </c>
      <c r="V185" s="121"/>
      <c r="W185" s="119"/>
      <c r="X185" s="118"/>
      <c r="Y185" s="104"/>
      <c r="Z185" s="103">
        <v>8</v>
      </c>
      <c r="AA185" s="104"/>
      <c r="AB185" s="103">
        <v>8</v>
      </c>
      <c r="AC185" s="104"/>
      <c r="AD185" s="103">
        <v>8</v>
      </c>
      <c r="AE185" s="104"/>
      <c r="AF185" s="103">
        <v>8</v>
      </c>
      <c r="AG185" s="104"/>
      <c r="AH185" s="103">
        <v>8</v>
      </c>
      <c r="AI185" s="119"/>
      <c r="AJ185" s="118"/>
      <c r="AK185" s="71">
        <f>SUM(W185:AJ185)</f>
        <v>40</v>
      </c>
      <c r="AL185" s="72"/>
      <c r="AM185" s="73">
        <f>SUMIF($G184:$T184,"",$G185:$T185)+SUMIF($W184:$AJ184,"",$W185:$AJ185)-AN185</f>
        <v>72</v>
      </c>
      <c r="AN185" s="88">
        <f>IF(SUMIF($G184:$T184,"",$G185:$T185)+SUMIF($G184:$T184,"F",$G185:$T185)+SUMIF($G184:$T184,"V",$G185:$T185)-40&lt;0,0,SUMIF($G184:$T184,"",$G185:$T185)+SUMIF($G184:$T184,"F",$G185:$T185)+SUMIF($G184:$T184,"V",$G185:$T185)-($U$9/2))+IF(SUMIF($W184:$AJ184,"",$W185:$AJ185)+SUMIF($W184:$AJ184,"F",$W185:$AJ185)+SUMIF($W184:$AJ184,"V",$W185:$AJ185)-40&lt;0,0,SUMIF($W184:$AJ184,"",$W185:$AJ185)+SUMIF($W184:$AJ184,"F",$W185:$AJ185)+SUMIF($W184:$AJ184,"V",$W185:$AJ185)-($U$9/2))</f>
        <v>0</v>
      </c>
      <c r="AO185" s="73">
        <f>SUMIF($G184:$T184,"M",$G185:$T185)+SUMIF($W184:$AJ184,"M",$W185:$AJ185)</f>
        <v>0</v>
      </c>
      <c r="AP185" s="73">
        <f>SUMIF($G184:$T184,"F",$G185:$T185)+SUMIF($W184:$AJ184,"F",$W185:$AJ185)</f>
        <v>8</v>
      </c>
      <c r="AQ185" s="73">
        <f>SUMIF($G184:$T184,"V",$G185:$T185)+SUMIF($W184:$AJ184,"V",$W185:$AJ185)</f>
        <v>0</v>
      </c>
      <c r="AR185" s="74">
        <f>SUMIF($G184:$T184,"O",$G185:$T185)+SUMIF($W184:$AJ184,"O",$W185:$AJ185)</f>
        <v>0</v>
      </c>
      <c r="AS185" s="75">
        <f>SUM(AM185:AR185)</f>
        <v>80</v>
      </c>
      <c r="AT185" s="72"/>
      <c r="AU185" s="73">
        <f>SUMIF($G184:$T184,"A",$G185:$T185)+SUMIF($W184:$AJ184,"A",$W185:$AJ185)</f>
        <v>0</v>
      </c>
      <c r="AV185" s="72"/>
      <c r="AW185" s="76">
        <f>IF(B185="",0,IF($U$9="",0,$U$9))</f>
        <v>80</v>
      </c>
      <c r="BA185" s="2">
        <v>2021</v>
      </c>
      <c r="BB185" s="2">
        <v>2</v>
      </c>
      <c r="BC185" s="101">
        <f t="shared" si="110"/>
        <v>44199</v>
      </c>
      <c r="BD185" s="101">
        <f t="shared" si="110"/>
        <v>44212</v>
      </c>
    </row>
    <row r="186" spans="2:56" s="84" customFormat="1" x14ac:dyDescent="0.35">
      <c r="B186" s="107"/>
      <c r="C186" s="108"/>
      <c r="D186" s="109">
        <f>IF(D112="","",D112)</f>
        <v>92257</v>
      </c>
      <c r="E186" s="110" t="str">
        <f t="shared" si="99"/>
        <v/>
      </c>
      <c r="F186" s="111">
        <f>B157</f>
        <v>12</v>
      </c>
      <c r="G186" s="112"/>
      <c r="H186" s="113"/>
      <c r="I186" s="106"/>
      <c r="J186" s="105" t="s">
        <v>13</v>
      </c>
      <c r="K186" s="106"/>
      <c r="L186" s="105"/>
      <c r="M186" s="106"/>
      <c r="N186" s="105"/>
      <c r="O186" s="106"/>
      <c r="P186" s="105"/>
      <c r="Q186" s="106"/>
      <c r="R186" s="105"/>
      <c r="S186" s="112"/>
      <c r="T186" s="113"/>
      <c r="U186" s="114"/>
      <c r="V186" s="2"/>
      <c r="W186" s="112"/>
      <c r="X186" s="113"/>
      <c r="Y186" s="106"/>
      <c r="Z186" s="105"/>
      <c r="AA186" s="106"/>
      <c r="AB186" s="105"/>
      <c r="AC186" s="106"/>
      <c r="AD186" s="105"/>
      <c r="AE186" s="106"/>
      <c r="AF186" s="105"/>
      <c r="AG186" s="106"/>
      <c r="AH186" s="105"/>
      <c r="AI186" s="112"/>
      <c r="AJ186" s="113"/>
      <c r="AK186" s="44"/>
      <c r="AM186" s="49"/>
      <c r="AN186" s="49"/>
      <c r="AO186" s="49"/>
      <c r="AP186" s="49"/>
      <c r="AQ186" s="49"/>
      <c r="AR186" s="40"/>
      <c r="AS186" s="51"/>
      <c r="AU186" s="49"/>
      <c r="AW186" s="52"/>
      <c r="BA186" s="2">
        <v>2021</v>
      </c>
      <c r="BB186" s="2">
        <v>3</v>
      </c>
      <c r="BC186" s="101">
        <f t="shared" si="110"/>
        <v>44213</v>
      </c>
      <c r="BD186" s="101">
        <f t="shared" si="110"/>
        <v>44226</v>
      </c>
    </row>
    <row r="187" spans="2:56" s="84" customFormat="1" x14ac:dyDescent="0.35">
      <c r="B187" s="30" t="str">
        <f>IF(B113="","",B113)</f>
        <v>Lelievre, Anik</v>
      </c>
      <c r="C187" s="115"/>
      <c r="D187" s="116"/>
      <c r="E187" s="117">
        <f t="shared" si="99"/>
        <v>93513</v>
      </c>
      <c r="F187" s="111">
        <f>B157</f>
        <v>12</v>
      </c>
      <c r="G187" s="119"/>
      <c r="H187" s="118"/>
      <c r="I187" s="104"/>
      <c r="J187" s="103">
        <v>8</v>
      </c>
      <c r="K187" s="104"/>
      <c r="L187" s="103">
        <v>8</v>
      </c>
      <c r="M187" s="104"/>
      <c r="N187" s="103">
        <v>8</v>
      </c>
      <c r="O187" s="104"/>
      <c r="P187" s="103">
        <v>8</v>
      </c>
      <c r="Q187" s="104"/>
      <c r="R187" s="103">
        <v>8</v>
      </c>
      <c r="S187" s="119"/>
      <c r="T187" s="118"/>
      <c r="U187" s="120">
        <f t="shared" ref="U187" si="113">SUM(G187:T187)</f>
        <v>40</v>
      </c>
      <c r="V187" s="121"/>
      <c r="W187" s="119"/>
      <c r="X187" s="118"/>
      <c r="Y187" s="104"/>
      <c r="Z187" s="103">
        <v>8</v>
      </c>
      <c r="AA187" s="104"/>
      <c r="AB187" s="103">
        <v>8</v>
      </c>
      <c r="AC187" s="104"/>
      <c r="AD187" s="103">
        <v>8</v>
      </c>
      <c r="AE187" s="104"/>
      <c r="AF187" s="103">
        <v>8</v>
      </c>
      <c r="AG187" s="104"/>
      <c r="AH187" s="103">
        <v>8</v>
      </c>
      <c r="AI187" s="119"/>
      <c r="AJ187" s="118"/>
      <c r="AK187" s="71">
        <f>SUM(W187:AJ187)</f>
        <v>40</v>
      </c>
      <c r="AL187" s="72"/>
      <c r="AM187" s="73">
        <f>SUMIF($G186:$T186,"",$G187:$T187)+SUMIF($W186:$AJ186,"",$W187:$AJ187)-AN187</f>
        <v>72</v>
      </c>
      <c r="AN187" s="88">
        <f>IF(SUMIF($G186:$T186,"",$G187:$T187)+SUMIF($G186:$T186,"F",$G187:$T187)+SUMIF($G186:$T186,"V",$G187:$T187)-40&lt;0,0,SUMIF($G186:$T186,"",$G187:$T187)+SUMIF($G186:$T186,"F",$G187:$T187)+SUMIF($G186:$T186,"V",$G187:$T187)-($U$9/2))+IF(SUMIF($W186:$AJ186,"",$W187:$AJ187)+SUMIF($W186:$AJ186,"F",$W187:$AJ187)+SUMIF($W186:$AJ186,"V",$W187:$AJ187)-40&lt;0,0,SUMIF($W186:$AJ186,"",$W187:$AJ187)+SUMIF($W186:$AJ186,"F",$W187:$AJ187)+SUMIF($W186:$AJ186,"V",$W187:$AJ187)-($U$9/2))</f>
        <v>0</v>
      </c>
      <c r="AO187" s="73">
        <f>SUMIF($G186:$T186,"M",$G187:$T187)+SUMIF($W186:$AJ186,"M",$W187:$AJ187)</f>
        <v>0</v>
      </c>
      <c r="AP187" s="73">
        <f>SUMIF($G186:$T186,"F",$G187:$T187)+SUMIF($W186:$AJ186,"F",$W187:$AJ187)</f>
        <v>8</v>
      </c>
      <c r="AQ187" s="73">
        <f>SUMIF($G186:$T186,"V",$G187:$T187)+SUMIF($W186:$AJ186,"V",$W187:$AJ187)</f>
        <v>0</v>
      </c>
      <c r="AR187" s="74">
        <f>SUMIF($G186:$T186,"O",$G187:$T187)+SUMIF($W186:$AJ186,"O",$W187:$AJ187)</f>
        <v>0</v>
      </c>
      <c r="AS187" s="75">
        <f>SUM(AM187:AR187)</f>
        <v>80</v>
      </c>
      <c r="AT187" s="72"/>
      <c r="AU187" s="73">
        <f>SUMIF($G186:$T186,"A",$G187:$T187)+SUMIF($W186:$AJ186,"A",$W187:$AJ187)</f>
        <v>0</v>
      </c>
      <c r="AV187" s="72"/>
      <c r="AW187" s="76">
        <f>IF(B187="",0,IF($U$9="",0,$U$9))</f>
        <v>80</v>
      </c>
      <c r="BA187" s="2">
        <v>2021</v>
      </c>
      <c r="BB187" s="2">
        <v>4</v>
      </c>
      <c r="BC187" s="101">
        <f t="shared" si="110"/>
        <v>44227</v>
      </c>
      <c r="BD187" s="101">
        <f t="shared" si="110"/>
        <v>44240</v>
      </c>
    </row>
    <row r="188" spans="2:56" s="84" customFormat="1" x14ac:dyDescent="0.35">
      <c r="B188" s="107"/>
      <c r="C188" s="108"/>
      <c r="D188" s="109">
        <f>IF(D114="","",D114)</f>
        <v>81042</v>
      </c>
      <c r="E188" s="110" t="str">
        <f t="shared" si="99"/>
        <v/>
      </c>
      <c r="F188" s="111">
        <f>B157</f>
        <v>12</v>
      </c>
      <c r="G188" s="112"/>
      <c r="H188" s="113"/>
      <c r="I188" s="106"/>
      <c r="J188" s="105" t="s">
        <v>13</v>
      </c>
      <c r="K188" s="106"/>
      <c r="L188" s="105"/>
      <c r="M188" s="106"/>
      <c r="N188" s="105"/>
      <c r="O188" s="106"/>
      <c r="P188" s="105" t="s">
        <v>1</v>
      </c>
      <c r="Q188" s="106"/>
      <c r="R188" s="105"/>
      <c r="S188" s="112"/>
      <c r="T188" s="113"/>
      <c r="U188" s="114"/>
      <c r="V188" s="2"/>
      <c r="W188" s="112"/>
      <c r="X188" s="113"/>
      <c r="Y188" s="106"/>
      <c r="Z188" s="105"/>
      <c r="AA188" s="106"/>
      <c r="AB188" s="105" t="s">
        <v>1</v>
      </c>
      <c r="AC188" s="106"/>
      <c r="AD188" s="105"/>
      <c r="AE188" s="106"/>
      <c r="AF188" s="105" t="s">
        <v>1</v>
      </c>
      <c r="AG188" s="106"/>
      <c r="AH188" s="105"/>
      <c r="AI188" s="112"/>
      <c r="AJ188" s="113"/>
      <c r="AK188" s="44"/>
      <c r="AM188" s="49"/>
      <c r="AN188" s="49"/>
      <c r="AO188" s="49"/>
      <c r="AP188" s="49"/>
      <c r="AQ188" s="49"/>
      <c r="AR188" s="40"/>
      <c r="AS188" s="51"/>
      <c r="AU188" s="49"/>
      <c r="AW188" s="52"/>
      <c r="BA188" s="2">
        <v>2021</v>
      </c>
      <c r="BB188" s="2">
        <v>5</v>
      </c>
      <c r="BC188" s="101">
        <f t="shared" si="110"/>
        <v>44241</v>
      </c>
      <c r="BD188" s="101">
        <f t="shared" si="110"/>
        <v>44254</v>
      </c>
    </row>
    <row r="189" spans="2:56" s="84" customFormat="1" x14ac:dyDescent="0.35">
      <c r="B189" s="30" t="str">
        <f>IF(B115="","",B115)</f>
        <v>Letarte, Martin</v>
      </c>
      <c r="C189" s="115"/>
      <c r="D189" s="116"/>
      <c r="E189" s="117">
        <f t="shared" si="99"/>
        <v>93545</v>
      </c>
      <c r="F189" s="111">
        <f>B157</f>
        <v>12</v>
      </c>
      <c r="G189" s="119"/>
      <c r="H189" s="118"/>
      <c r="I189" s="104"/>
      <c r="J189" s="103">
        <v>8</v>
      </c>
      <c r="K189" s="104"/>
      <c r="L189" s="103">
        <v>8</v>
      </c>
      <c r="M189" s="104"/>
      <c r="N189" s="103">
        <v>8</v>
      </c>
      <c r="O189" s="104"/>
      <c r="P189" s="103">
        <v>8</v>
      </c>
      <c r="Q189" s="104"/>
      <c r="R189" s="103">
        <v>8</v>
      </c>
      <c r="S189" s="119"/>
      <c r="T189" s="118"/>
      <c r="U189" s="120">
        <f t="shared" ref="U189" si="114">SUM(G189:T189)</f>
        <v>40</v>
      </c>
      <c r="V189" s="121"/>
      <c r="W189" s="119"/>
      <c r="X189" s="118"/>
      <c r="Y189" s="104"/>
      <c r="Z189" s="103">
        <v>8</v>
      </c>
      <c r="AA189" s="104"/>
      <c r="AB189" s="103">
        <v>8</v>
      </c>
      <c r="AC189" s="104"/>
      <c r="AD189" s="103">
        <v>8</v>
      </c>
      <c r="AE189" s="104"/>
      <c r="AF189" s="103">
        <v>8</v>
      </c>
      <c r="AG189" s="104"/>
      <c r="AH189" s="103">
        <v>8</v>
      </c>
      <c r="AI189" s="119"/>
      <c r="AJ189" s="118"/>
      <c r="AK189" s="71">
        <f>SUM(W189:AJ189)</f>
        <v>40</v>
      </c>
      <c r="AL189" s="72"/>
      <c r="AM189" s="73">
        <f>SUMIF($G188:$T188,"",$G189:$T189)+SUMIF($W188:$AJ188,"",$W189:$AJ189)-AN189</f>
        <v>48</v>
      </c>
      <c r="AN189" s="88">
        <f>IF(SUMIF($G188:$T188,"",$G189:$T189)+SUMIF($G188:$T188,"F",$G189:$T189)+SUMIF($G188:$T188,"V",$G189:$T189)-40&lt;0,0,SUMIF($G188:$T188,"",$G189:$T189)+SUMIF($G188:$T188,"F",$G189:$T189)+SUMIF($G188:$T188,"V",$G189:$T189)-($U$9/2))+IF(SUMIF($W188:$AJ188,"",$W189:$AJ189)+SUMIF($W188:$AJ188,"F",$W189:$AJ189)+SUMIF($W188:$AJ188,"V",$W189:$AJ189)-40&lt;0,0,SUMIF($W188:$AJ188,"",$W189:$AJ189)+SUMIF($W188:$AJ188,"F",$W189:$AJ189)+SUMIF($W188:$AJ188,"V",$W189:$AJ189)-($U$9/2))</f>
        <v>0</v>
      </c>
      <c r="AO189" s="73">
        <f>SUMIF($G188:$T188,"M",$G189:$T189)+SUMIF($W188:$AJ188,"M",$W189:$AJ189)</f>
        <v>0</v>
      </c>
      <c r="AP189" s="73">
        <f>SUMIF($G188:$T188,"F",$G189:$T189)+SUMIF($W188:$AJ188,"F",$W189:$AJ189)</f>
        <v>8</v>
      </c>
      <c r="AQ189" s="73">
        <f>SUMIF($G188:$T188,"V",$G189:$T189)+SUMIF($W188:$AJ188,"V",$W189:$AJ189)</f>
        <v>24</v>
      </c>
      <c r="AR189" s="74">
        <f>SUMIF($G188:$T188,"O",$G189:$T189)+SUMIF($W188:$AJ188,"O",$W189:$AJ189)</f>
        <v>0</v>
      </c>
      <c r="AS189" s="75">
        <f>SUM(AM189:AR189)</f>
        <v>80</v>
      </c>
      <c r="AT189" s="72"/>
      <c r="AU189" s="73">
        <f>SUMIF($G188:$T188,"A",$G189:$T189)+SUMIF($W188:$AJ188,"A",$W189:$AJ189)</f>
        <v>0</v>
      </c>
      <c r="AV189" s="72"/>
      <c r="AW189" s="76">
        <f>IF(B189="",0,IF($U$9="",0,$U$9))</f>
        <v>80</v>
      </c>
      <c r="BA189" s="2">
        <v>2021</v>
      </c>
      <c r="BB189" s="2">
        <v>6</v>
      </c>
      <c r="BC189" s="101">
        <f t="shared" si="110"/>
        <v>44255</v>
      </c>
      <c r="BD189" s="101">
        <f t="shared" si="110"/>
        <v>44268</v>
      </c>
    </row>
    <row r="190" spans="2:56" s="84" customFormat="1" x14ac:dyDescent="0.35">
      <c r="B190" s="107"/>
      <c r="C190" s="108"/>
      <c r="D190" s="109">
        <f>IF(D116="","",D116)</f>
        <v>23930</v>
      </c>
      <c r="E190" s="110" t="str">
        <f t="shared" si="99"/>
        <v/>
      </c>
      <c r="F190" s="111">
        <f>B157</f>
        <v>12</v>
      </c>
      <c r="G190" s="112"/>
      <c r="H190" s="113"/>
      <c r="I190" s="106"/>
      <c r="J190" s="105" t="s">
        <v>13</v>
      </c>
      <c r="K190" s="106"/>
      <c r="L190" s="105"/>
      <c r="M190" s="106"/>
      <c r="N190" s="105"/>
      <c r="O190" s="106"/>
      <c r="P190" s="105"/>
      <c r="Q190" s="106"/>
      <c r="R190" s="105"/>
      <c r="S190" s="112"/>
      <c r="T190" s="113"/>
      <c r="U190" s="114"/>
      <c r="V190" s="2"/>
      <c r="W190" s="112"/>
      <c r="X190" s="113"/>
      <c r="Y190" s="106"/>
      <c r="Z190" s="105"/>
      <c r="AA190" s="106"/>
      <c r="AB190" s="105"/>
      <c r="AC190" s="106"/>
      <c r="AD190" s="105"/>
      <c r="AE190" s="106"/>
      <c r="AF190" s="105"/>
      <c r="AG190" s="106"/>
      <c r="AH190" s="105"/>
      <c r="AI190" s="112"/>
      <c r="AJ190" s="113"/>
      <c r="AK190" s="44"/>
      <c r="AM190" s="49"/>
      <c r="AN190" s="49"/>
      <c r="AO190" s="49"/>
      <c r="AP190" s="49"/>
      <c r="AQ190" s="49"/>
      <c r="AR190" s="40"/>
      <c r="AS190" s="51"/>
      <c r="AU190" s="49"/>
      <c r="AW190" s="52"/>
      <c r="BA190" s="2">
        <v>2021</v>
      </c>
      <c r="BB190" s="2">
        <v>7</v>
      </c>
      <c r="BC190" s="101">
        <f t="shared" si="110"/>
        <v>44269</v>
      </c>
      <c r="BD190" s="101">
        <f t="shared" si="110"/>
        <v>44282</v>
      </c>
    </row>
    <row r="191" spans="2:56" s="84" customFormat="1" x14ac:dyDescent="0.35">
      <c r="B191" s="30" t="str">
        <f>IF(B117="","",B117)</f>
        <v>Martinez Parada, José Francisco</v>
      </c>
      <c r="C191" s="115"/>
      <c r="D191" s="116"/>
      <c r="E191" s="117">
        <f t="shared" si="99"/>
        <v>93545</v>
      </c>
      <c r="F191" s="111">
        <f>B157</f>
        <v>12</v>
      </c>
      <c r="G191" s="119"/>
      <c r="H191" s="118"/>
      <c r="I191" s="104"/>
      <c r="J191" s="103">
        <v>8</v>
      </c>
      <c r="K191" s="104"/>
      <c r="L191" s="103">
        <v>8</v>
      </c>
      <c r="M191" s="104"/>
      <c r="N191" s="103">
        <v>8</v>
      </c>
      <c r="O191" s="104"/>
      <c r="P191" s="103">
        <v>8</v>
      </c>
      <c r="Q191" s="104"/>
      <c r="R191" s="103">
        <v>8</v>
      </c>
      <c r="S191" s="119"/>
      <c r="T191" s="118"/>
      <c r="U191" s="120">
        <f t="shared" ref="U191" si="115">SUM(G191:T191)</f>
        <v>40</v>
      </c>
      <c r="V191" s="121"/>
      <c r="W191" s="119"/>
      <c r="X191" s="118"/>
      <c r="Y191" s="104"/>
      <c r="Z191" s="103">
        <v>8</v>
      </c>
      <c r="AA191" s="104"/>
      <c r="AB191" s="103">
        <v>8</v>
      </c>
      <c r="AC191" s="104"/>
      <c r="AD191" s="103">
        <v>8</v>
      </c>
      <c r="AE191" s="104"/>
      <c r="AF191" s="103">
        <v>8</v>
      </c>
      <c r="AG191" s="104"/>
      <c r="AH191" s="103">
        <v>8</v>
      </c>
      <c r="AI191" s="119"/>
      <c r="AJ191" s="118"/>
      <c r="AK191" s="71">
        <f>SUM(W191:AJ191)</f>
        <v>40</v>
      </c>
      <c r="AL191" s="72"/>
      <c r="AM191" s="73">
        <f>SUMIF($G190:$T190,"",$G191:$T191)+SUMIF($W190:$AJ190,"",$W191:$AJ191)-AN191</f>
        <v>72</v>
      </c>
      <c r="AN191" s="88">
        <f>IF(SUMIF($G190:$T190,"",$G191:$T191)+SUMIF($G190:$T190,"F",$G191:$T191)+SUMIF($G190:$T190,"V",$G191:$T191)-40&lt;0,0,SUMIF($G190:$T190,"",$G191:$T191)+SUMIF($G190:$T190,"F",$G191:$T191)+SUMIF($G190:$T190,"V",$G191:$T191)-($U$9/2))+IF(SUMIF($W190:$AJ190,"",$W191:$AJ191)+SUMIF($W190:$AJ190,"F",$W191:$AJ191)+SUMIF($W190:$AJ190,"V",$W191:$AJ191)-40&lt;0,0,SUMIF($W190:$AJ190,"",$W191:$AJ191)+SUMIF($W190:$AJ190,"F",$W191:$AJ191)+SUMIF($W190:$AJ190,"V",$W191:$AJ191)-($U$9/2))</f>
        <v>0</v>
      </c>
      <c r="AO191" s="73">
        <f>SUMIF($G190:$T190,"M",$G191:$T191)+SUMIF($W190:$AJ190,"M",$W191:$AJ191)</f>
        <v>0</v>
      </c>
      <c r="AP191" s="73">
        <f>SUMIF($G190:$T190,"F",$G191:$T191)+SUMIF($W190:$AJ190,"F",$W191:$AJ191)</f>
        <v>8</v>
      </c>
      <c r="AQ191" s="73">
        <f>SUMIF($G190:$T190,"V",$G191:$T191)+SUMIF($W190:$AJ190,"V",$W191:$AJ191)</f>
        <v>0</v>
      </c>
      <c r="AR191" s="74">
        <f>SUMIF($G190:$T190,"O",$G191:$T191)+SUMIF($W190:$AJ190,"O",$W191:$AJ191)</f>
        <v>0</v>
      </c>
      <c r="AS191" s="75">
        <f>SUM(AM191:AR191)</f>
        <v>80</v>
      </c>
      <c r="AT191" s="72"/>
      <c r="AU191" s="73">
        <f>SUMIF($G190:$T190,"A",$G191:$T191)+SUMIF($W190:$AJ190,"A",$W191:$AJ191)</f>
        <v>0</v>
      </c>
      <c r="AV191" s="72"/>
      <c r="AW191" s="76">
        <f>IF(B191="",0,IF($U$9="",0,$U$9))</f>
        <v>80</v>
      </c>
      <c r="BA191" s="2">
        <v>2021</v>
      </c>
      <c r="BB191" s="2">
        <v>8</v>
      </c>
      <c r="BC191" s="101">
        <f t="shared" si="110"/>
        <v>44283</v>
      </c>
      <c r="BD191" s="101">
        <f t="shared" si="110"/>
        <v>44296</v>
      </c>
    </row>
    <row r="192" spans="2:56" s="84" customFormat="1" x14ac:dyDescent="0.35">
      <c r="B192" s="107"/>
      <c r="C192" s="108"/>
      <c r="D192" s="109">
        <f>IF(D118="","",D118)</f>
        <v>11792</v>
      </c>
      <c r="E192" s="110" t="str">
        <f t="shared" si="99"/>
        <v/>
      </c>
      <c r="F192" s="111">
        <f>B157</f>
        <v>12</v>
      </c>
      <c r="G192" s="112"/>
      <c r="H192" s="113"/>
      <c r="I192" s="106"/>
      <c r="J192" s="105" t="s">
        <v>13</v>
      </c>
      <c r="K192" s="106"/>
      <c r="L192" s="105"/>
      <c r="M192" s="106"/>
      <c r="N192" s="105"/>
      <c r="O192" s="106"/>
      <c r="P192" s="105"/>
      <c r="Q192" s="106"/>
      <c r="R192" s="105"/>
      <c r="S192" s="112"/>
      <c r="T192" s="113"/>
      <c r="U192" s="114"/>
      <c r="V192" s="2"/>
      <c r="W192" s="112"/>
      <c r="X192" s="113"/>
      <c r="Y192" s="106"/>
      <c r="Z192" s="105"/>
      <c r="AA192" s="106"/>
      <c r="AB192" s="105"/>
      <c r="AC192" s="106"/>
      <c r="AD192" s="105"/>
      <c r="AE192" s="106"/>
      <c r="AF192" s="105"/>
      <c r="AG192" s="106"/>
      <c r="AH192" s="105"/>
      <c r="AI192" s="112"/>
      <c r="AJ192" s="113"/>
      <c r="AK192" s="44"/>
      <c r="AM192" s="49"/>
      <c r="AN192" s="49"/>
      <c r="AO192" s="49"/>
      <c r="AP192" s="49"/>
      <c r="AQ192" s="49"/>
      <c r="AR192" s="40"/>
      <c r="AS192" s="51"/>
      <c r="AU192" s="49"/>
      <c r="AW192" s="52"/>
      <c r="BA192" s="2">
        <v>2021</v>
      </c>
      <c r="BB192" s="2">
        <v>9</v>
      </c>
      <c r="BC192" s="101">
        <f t="shared" si="110"/>
        <v>44297</v>
      </c>
      <c r="BD192" s="101">
        <f t="shared" si="110"/>
        <v>44310</v>
      </c>
    </row>
    <row r="193" spans="1:56" s="84" customFormat="1" x14ac:dyDescent="0.35">
      <c r="B193" s="30" t="str">
        <f>IF(B119="","",B119)</f>
        <v>Pellerin, Pierre</v>
      </c>
      <c r="C193" s="115"/>
      <c r="D193" s="116"/>
      <c r="E193" s="117">
        <f t="shared" si="99"/>
        <v>93595935</v>
      </c>
      <c r="F193" s="111">
        <f>B157</f>
        <v>12</v>
      </c>
      <c r="G193" s="119"/>
      <c r="H193" s="118"/>
      <c r="I193" s="104"/>
      <c r="J193" s="103">
        <v>8</v>
      </c>
      <c r="K193" s="104"/>
      <c r="L193" s="103">
        <v>8</v>
      </c>
      <c r="M193" s="104"/>
      <c r="N193" s="103">
        <v>8</v>
      </c>
      <c r="O193" s="104"/>
      <c r="P193" s="103">
        <v>8</v>
      </c>
      <c r="Q193" s="104"/>
      <c r="R193" s="103">
        <v>8</v>
      </c>
      <c r="S193" s="119"/>
      <c r="T193" s="118"/>
      <c r="U193" s="120">
        <f t="shared" ref="U193" si="116">SUM(G193:T193)</f>
        <v>40</v>
      </c>
      <c r="V193" s="121"/>
      <c r="W193" s="119"/>
      <c r="X193" s="118"/>
      <c r="Y193" s="104"/>
      <c r="Z193" s="103">
        <v>8</v>
      </c>
      <c r="AA193" s="104"/>
      <c r="AB193" s="103">
        <v>8</v>
      </c>
      <c r="AC193" s="104"/>
      <c r="AD193" s="103">
        <v>8</v>
      </c>
      <c r="AE193" s="104"/>
      <c r="AF193" s="103">
        <v>8</v>
      </c>
      <c r="AG193" s="104"/>
      <c r="AH193" s="103">
        <v>8</v>
      </c>
      <c r="AI193" s="119"/>
      <c r="AJ193" s="118"/>
      <c r="AK193" s="71">
        <f>SUM(Z193:AH193)</f>
        <v>40</v>
      </c>
      <c r="AL193" s="72"/>
      <c r="AM193" s="73">
        <f>SUMIF($G192:$T192,"",$G193:$T193)+SUMIF($W192:$AJ192,"",$W193:$AJ193)-AN193</f>
        <v>72</v>
      </c>
      <c r="AN193" s="88">
        <f>IF(SUMIF($G192:$T192,"",$G193:$T193)+SUMIF($G192:$T192,"F",$G193:$T193)+SUMIF($G192:$T192,"V",$G193:$T193)-40&lt;0,0,SUMIF($G192:$T192,"",$G193:$T193)+SUMIF($G192:$T192,"F",$G193:$T193)+SUMIF($G192:$T192,"V",$G193:$T193)-($U$9/2))+IF(SUMIF($W192:$AJ192,"",$W193:$AJ193)+SUMIF($W192:$AJ192,"F",$W193:$AJ193)+SUMIF($W192:$AJ192,"V",$W193:$AJ193)-40&lt;0,0,SUMIF($W192:$AJ192,"",$W193:$AJ193)+SUMIF($W192:$AJ192,"F",$W193:$AJ193)+SUMIF($W192:$AJ192,"V",$W193:$AJ193)-($U$9/2))</f>
        <v>0</v>
      </c>
      <c r="AO193" s="73">
        <f>SUMIF($G192:$T192,"M",$G193:$T193)+SUMIF($W192:$AJ192,"M",$W193:$AJ193)</f>
        <v>0</v>
      </c>
      <c r="AP193" s="73">
        <f>SUMIF($G192:$T192,"F",$G193:$T193)+SUMIF($W192:$AJ192,"F",$W193:$AJ193)</f>
        <v>8</v>
      </c>
      <c r="AQ193" s="73">
        <f>SUMIF($G192:$T192,"V",$G193:$T193)+SUMIF($W192:$AJ192,"V",$W193:$AJ193)</f>
        <v>0</v>
      </c>
      <c r="AR193" s="74">
        <f>SUMIF($G192:$T192,"O",$G193:$T193)+SUMIF($W192:$AJ192,"O",$W193:$AJ193)</f>
        <v>0</v>
      </c>
      <c r="AS193" s="75">
        <f>SUM(AM193:AR193)</f>
        <v>80</v>
      </c>
      <c r="AT193" s="72"/>
      <c r="AU193" s="73">
        <f>SUMIF($G192:$T192,"A",$G193:$T193)+SUMIF($W192:$AJ192,"A",$W193:$AJ193)</f>
        <v>0</v>
      </c>
      <c r="AV193" s="72"/>
      <c r="AW193" s="76">
        <f>IF(B193="",0,IF($U$9="",0,$U$9))</f>
        <v>80</v>
      </c>
      <c r="BA193" s="2">
        <v>2021</v>
      </c>
      <c r="BB193" s="2">
        <v>10</v>
      </c>
      <c r="BC193" s="101">
        <f t="shared" si="110"/>
        <v>44311</v>
      </c>
      <c r="BD193" s="101">
        <f t="shared" si="110"/>
        <v>44324</v>
      </c>
    </row>
    <row r="194" spans="1:56" s="84" customFormat="1" x14ac:dyDescent="0.35">
      <c r="B194" s="107"/>
      <c r="C194" s="108"/>
      <c r="D194" s="109">
        <f>IF(D120="","",D120)</f>
        <v>81043</v>
      </c>
      <c r="E194" s="110" t="str">
        <f t="shared" si="99"/>
        <v/>
      </c>
      <c r="F194" s="111">
        <f>B157</f>
        <v>12</v>
      </c>
      <c r="G194" s="112"/>
      <c r="H194" s="113"/>
      <c r="I194" s="106"/>
      <c r="J194" s="105" t="s">
        <v>13</v>
      </c>
      <c r="K194" s="106"/>
      <c r="L194" s="105"/>
      <c r="M194" s="106"/>
      <c r="N194" s="105"/>
      <c r="O194" s="106"/>
      <c r="P194" s="105"/>
      <c r="Q194" s="106"/>
      <c r="R194" s="105" t="s">
        <v>1</v>
      </c>
      <c r="S194" s="112"/>
      <c r="T194" s="113"/>
      <c r="U194" s="114"/>
      <c r="V194" s="2"/>
      <c r="W194" s="112"/>
      <c r="X194" s="113"/>
      <c r="Y194" s="106"/>
      <c r="Z194" s="105"/>
      <c r="AA194" s="106"/>
      <c r="AB194" s="105"/>
      <c r="AC194" s="106"/>
      <c r="AD194" s="105"/>
      <c r="AE194" s="106"/>
      <c r="AF194" s="105"/>
      <c r="AG194" s="106"/>
      <c r="AH194" s="105" t="s">
        <v>1</v>
      </c>
      <c r="AI194" s="112"/>
      <c r="AJ194" s="113"/>
      <c r="AK194" s="44"/>
      <c r="AM194" s="49"/>
      <c r="AN194" s="49"/>
      <c r="AO194" s="49"/>
      <c r="AP194" s="49"/>
      <c r="AQ194" s="49"/>
      <c r="AR194" s="40"/>
      <c r="AS194" s="51"/>
      <c r="AU194" s="49"/>
      <c r="AW194" s="52"/>
      <c r="BA194" s="2">
        <v>2021</v>
      </c>
      <c r="BB194" s="2">
        <v>11</v>
      </c>
      <c r="BC194" s="101">
        <f t="shared" si="110"/>
        <v>44325</v>
      </c>
      <c r="BD194" s="101">
        <f t="shared" si="110"/>
        <v>44338</v>
      </c>
    </row>
    <row r="195" spans="1:56" s="84" customFormat="1" x14ac:dyDescent="0.35">
      <c r="B195" s="30" t="str">
        <f>IF(B121="","",B121)</f>
        <v>Rodrigue, Frank</v>
      </c>
      <c r="C195" s="115"/>
      <c r="D195" s="116"/>
      <c r="E195" s="117">
        <f t="shared" si="99"/>
        <v>93545</v>
      </c>
      <c r="F195" s="111">
        <f>B157</f>
        <v>12</v>
      </c>
      <c r="G195" s="119"/>
      <c r="H195" s="118"/>
      <c r="I195" s="104"/>
      <c r="J195" s="103">
        <v>8</v>
      </c>
      <c r="K195" s="104"/>
      <c r="L195" s="103">
        <v>8</v>
      </c>
      <c r="M195" s="104"/>
      <c r="N195" s="103">
        <v>8</v>
      </c>
      <c r="O195" s="104"/>
      <c r="P195" s="103">
        <v>8</v>
      </c>
      <c r="Q195" s="104"/>
      <c r="R195" s="103">
        <v>8</v>
      </c>
      <c r="S195" s="119"/>
      <c r="T195" s="118"/>
      <c r="U195" s="120">
        <f t="shared" ref="U195" si="117">SUM(G195:T195)</f>
        <v>40</v>
      </c>
      <c r="V195" s="121"/>
      <c r="W195" s="119"/>
      <c r="X195" s="118"/>
      <c r="Y195" s="104"/>
      <c r="Z195" s="103">
        <v>8</v>
      </c>
      <c r="AA195" s="104"/>
      <c r="AB195" s="103">
        <v>8</v>
      </c>
      <c r="AC195" s="104"/>
      <c r="AD195" s="103">
        <v>8</v>
      </c>
      <c r="AE195" s="104"/>
      <c r="AF195" s="103">
        <v>8</v>
      </c>
      <c r="AG195" s="104"/>
      <c r="AH195" s="103">
        <v>8</v>
      </c>
      <c r="AI195" s="119"/>
      <c r="AJ195" s="118"/>
      <c r="AK195" s="71">
        <f>SUM(W195:AJ195)</f>
        <v>40</v>
      </c>
      <c r="AL195" s="72"/>
      <c r="AM195" s="73">
        <f>SUMIF($G194:$T194,"",$G195:$T195)+SUMIF($W194:$AJ194,"",$W195:$AJ195)-AN195</f>
        <v>56</v>
      </c>
      <c r="AN195" s="88">
        <f>IF(SUMIF($G194:$T194,"",$G195:$T195)+SUMIF($G194:$T194,"F",$G195:$T195)+SUMIF($G194:$T194,"V",$G195:$T195)-40&lt;0,0,SUMIF($G194:$T194,"",$G195:$T195)+SUMIF($G194:$T194,"F",$G195:$T195)+SUMIF($G194:$T194,"V",$G195:$T195)-($U$9/2))+IF(SUMIF($W194:$AJ194,"",$W195:$AJ195)+SUMIF($W194:$AJ194,"F",$W195:$AJ195)+SUMIF($W194:$AJ194,"V",$W195:$AJ195)-40&lt;0,0,SUMIF($W194:$AJ194,"",$W195:$AJ195)+SUMIF($W194:$AJ194,"F",$W195:$AJ195)+SUMIF($W194:$AJ194,"V",$W195:$AJ195)-($U$9/2))</f>
        <v>0</v>
      </c>
      <c r="AO195" s="73">
        <f>SUMIF($G194:$T194,"M",$G195:$T195)+SUMIF($W194:$AJ194,"M",$W195:$AJ195)</f>
        <v>0</v>
      </c>
      <c r="AP195" s="73">
        <f>SUMIF($G194:$T194,"F",$G195:$T195)+SUMIF($W194:$AJ194,"F",$W195:$AJ195)</f>
        <v>8</v>
      </c>
      <c r="AQ195" s="73">
        <f>SUMIF($G194:$T194,"V",$G195:$T195)+SUMIF($W194:$AJ194,"V",$W195:$AJ195)</f>
        <v>16</v>
      </c>
      <c r="AR195" s="74">
        <f>SUMIF($G194:$T194,"O",$G195:$T195)+SUMIF($W194:$AJ194,"O",$W195:$AJ195)</f>
        <v>0</v>
      </c>
      <c r="AS195" s="75">
        <f>SUM(AM195:AR195)</f>
        <v>80</v>
      </c>
      <c r="AT195" s="72"/>
      <c r="AU195" s="73">
        <f>SUMIF($G194:$T194,"A",$G195:$T195)+SUMIF($W194:$AJ194,"A",$W195:$AJ195)</f>
        <v>0</v>
      </c>
      <c r="AV195" s="72"/>
      <c r="AW195" s="76">
        <f>IF(B195="",0,IF($U$9="",0,$U$9))</f>
        <v>80</v>
      </c>
      <c r="BA195" s="2">
        <v>2021</v>
      </c>
      <c r="BB195" s="2">
        <v>12</v>
      </c>
      <c r="BC195" s="101">
        <f t="shared" si="110"/>
        <v>44339</v>
      </c>
      <c r="BD195" s="101">
        <f t="shared" si="110"/>
        <v>44352</v>
      </c>
    </row>
    <row r="196" spans="1:56" s="84" customFormat="1" x14ac:dyDescent="0.35">
      <c r="B196" s="107"/>
      <c r="C196" s="108"/>
      <c r="D196" s="109">
        <f>IF(D122="","",D122)</f>
        <v>72673</v>
      </c>
      <c r="E196" s="110" t="str">
        <f t="shared" si="99"/>
        <v/>
      </c>
      <c r="F196" s="111">
        <f>B157</f>
        <v>12</v>
      </c>
      <c r="G196" s="112"/>
      <c r="H196" s="113"/>
      <c r="I196" s="106"/>
      <c r="J196" s="105"/>
      <c r="K196" s="106"/>
      <c r="L196" s="105"/>
      <c r="M196" s="106"/>
      <c r="N196" s="105"/>
      <c r="O196" s="106"/>
      <c r="P196" s="105"/>
      <c r="Q196" s="106"/>
      <c r="R196" s="105"/>
      <c r="S196" s="112"/>
      <c r="T196" s="113"/>
      <c r="U196" s="114"/>
      <c r="V196" s="2"/>
      <c r="W196" s="112"/>
      <c r="X196" s="113"/>
      <c r="Y196" s="106"/>
      <c r="Z196" s="105"/>
      <c r="AA196" s="106"/>
      <c r="AB196" s="105"/>
      <c r="AC196" s="106"/>
      <c r="AD196" s="105"/>
      <c r="AE196" s="106"/>
      <c r="AF196" s="105"/>
      <c r="AG196" s="106"/>
      <c r="AH196" s="105"/>
      <c r="AI196" s="112"/>
      <c r="AJ196" s="113"/>
      <c r="AK196" s="44"/>
      <c r="AM196" s="49"/>
      <c r="AN196" s="49"/>
      <c r="AO196" s="49"/>
      <c r="AP196" s="49"/>
      <c r="AQ196" s="49"/>
      <c r="AR196" s="40"/>
      <c r="AS196" s="51"/>
      <c r="AU196" s="49"/>
      <c r="AW196" s="52"/>
      <c r="BA196" s="2">
        <v>2021</v>
      </c>
      <c r="BB196" s="2">
        <v>13</v>
      </c>
      <c r="BC196" s="101">
        <f t="shared" si="110"/>
        <v>44353</v>
      </c>
      <c r="BD196" s="101">
        <f t="shared" si="110"/>
        <v>44366</v>
      </c>
    </row>
    <row r="197" spans="1:56" s="84" customFormat="1" x14ac:dyDescent="0.35">
      <c r="B197" s="30" t="str">
        <f>IF(B123="","",B123)</f>
        <v>St-Georges, Manuel (avance $2,000)</v>
      </c>
      <c r="C197" s="115"/>
      <c r="D197" s="116"/>
      <c r="E197" s="117">
        <f t="shared" si="99"/>
        <v>93595935</v>
      </c>
      <c r="F197" s="111">
        <f>B157</f>
        <v>12</v>
      </c>
      <c r="G197" s="119"/>
      <c r="H197" s="118"/>
      <c r="I197" s="104"/>
      <c r="J197" s="103" t="s">
        <v>69</v>
      </c>
      <c r="K197" s="104"/>
      <c r="L197" s="103" t="s">
        <v>69</v>
      </c>
      <c r="M197" s="104"/>
      <c r="N197" s="103" t="s">
        <v>69</v>
      </c>
      <c r="O197" s="104"/>
      <c r="P197" s="103" t="s">
        <v>69</v>
      </c>
      <c r="Q197" s="104"/>
      <c r="R197" s="103" t="s">
        <v>69</v>
      </c>
      <c r="S197" s="119"/>
      <c r="T197" s="118"/>
      <c r="U197" s="120">
        <f t="shared" ref="U197" si="118">SUM(G197:T197)</f>
        <v>0</v>
      </c>
      <c r="V197" s="121"/>
      <c r="W197" s="119"/>
      <c r="X197" s="118"/>
      <c r="Y197" s="104"/>
      <c r="Z197" s="103" t="s">
        <v>69</v>
      </c>
      <c r="AA197" s="104"/>
      <c r="AB197" s="103" t="s">
        <v>69</v>
      </c>
      <c r="AC197" s="104"/>
      <c r="AD197" s="103" t="s">
        <v>69</v>
      </c>
      <c r="AE197" s="104"/>
      <c r="AF197" s="103" t="s">
        <v>69</v>
      </c>
      <c r="AG197" s="104"/>
      <c r="AH197" s="103" t="s">
        <v>69</v>
      </c>
      <c r="AI197" s="119"/>
      <c r="AJ197" s="118"/>
      <c r="AK197" s="71">
        <f>SUM(W197:AJ197)</f>
        <v>0</v>
      </c>
      <c r="AL197" s="72"/>
      <c r="AM197" s="73">
        <f>SUMIF($G196:$T196,"",$G197:$T197)+SUMIF($W196:$AJ196,"",$W197:$AJ197)-AN197</f>
        <v>0</v>
      </c>
      <c r="AN197" s="88">
        <f>IF(SUMIF($G196:$T196,"",$G197:$T197)+SUMIF($G196:$T196,"F",$G197:$T197)+SUMIF($G196:$T196,"V",$G197:$T197)-40&lt;0,0,SUMIF($G196:$T196,"",$G197:$T197)+SUMIF($G196:$T196,"F",$G197:$T197)+SUMIF($G196:$T196,"V",$G197:$T197)-($U$9/2))+IF(SUMIF($W196:$AJ196,"",$W197:$AJ197)+SUMIF($W196:$AJ196,"F",$W197:$AJ197)+SUMIF($W196:$AJ196,"V",$W197:$AJ197)-40&lt;0,0,SUMIF($W196:$AJ196,"",$W197:$AJ197)+SUMIF($W196:$AJ196,"F",$W197:$AJ197)+SUMIF($W196:$AJ196,"V",$W197:$AJ197)-($U$9/2))</f>
        <v>0</v>
      </c>
      <c r="AO197" s="73">
        <f>SUMIF($G196:$T196,"M",$G197:$T197)+SUMIF($W196:$AJ196,"M",$W197:$AJ197)</f>
        <v>0</v>
      </c>
      <c r="AP197" s="73">
        <f>SUMIF($G196:$T196,"F",$G197:$T197)+SUMIF($W196:$AJ196,"F",$W197:$AJ197)</f>
        <v>0</v>
      </c>
      <c r="AQ197" s="73">
        <f>SUMIF($G196:$T196,"V",$G197:$T197)+SUMIF($W196:$AJ196,"V",$W197:$AJ197)</f>
        <v>0</v>
      </c>
      <c r="AR197" s="74">
        <f>SUMIF($G196:$T196,"O",$G197:$T197)+SUMIF($W196:$AJ196,"O",$W197:$AJ197)</f>
        <v>0</v>
      </c>
      <c r="AS197" s="75">
        <f>SUM(AM197:AR197)</f>
        <v>0</v>
      </c>
      <c r="AT197" s="72"/>
      <c r="AU197" s="73">
        <f>SUMIF($G196:$T196,"A",$G197:$T197)+SUMIF($W196:$AJ196,"A",$W197:$AJ197)</f>
        <v>0</v>
      </c>
      <c r="AV197" s="72"/>
      <c r="AW197" s="76">
        <f>IF(B197="",0,IF($U$9="",0,$U$9))</f>
        <v>80</v>
      </c>
      <c r="BA197" s="2">
        <v>2021</v>
      </c>
      <c r="BB197" s="2">
        <v>14</v>
      </c>
      <c r="BC197" s="101">
        <f t="shared" ref="BC197:BD212" si="119">+BC196+14</f>
        <v>44367</v>
      </c>
      <c r="BD197" s="101">
        <f t="shared" si="119"/>
        <v>44380</v>
      </c>
    </row>
    <row r="198" spans="1:56" s="84" customFormat="1" x14ac:dyDescent="0.35">
      <c r="B198" s="107"/>
      <c r="C198" s="108"/>
      <c r="D198" s="109">
        <f>IF(D124="","",D124)</f>
        <v>26641</v>
      </c>
      <c r="E198" s="110" t="str">
        <f t="shared" si="99"/>
        <v/>
      </c>
      <c r="F198" s="111">
        <f>B157</f>
        <v>12</v>
      </c>
      <c r="G198" s="112"/>
      <c r="H198" s="113"/>
      <c r="I198" s="106"/>
      <c r="J198" s="105" t="s">
        <v>13</v>
      </c>
      <c r="K198" s="106"/>
      <c r="L198" s="105"/>
      <c r="M198" s="106"/>
      <c r="N198" s="105"/>
      <c r="O198" s="106"/>
      <c r="P198" s="105"/>
      <c r="Q198" s="106"/>
      <c r="R198" s="105"/>
      <c r="S198" s="112"/>
      <c r="T198" s="113"/>
      <c r="U198" s="114"/>
      <c r="V198" s="2"/>
      <c r="W198" s="112"/>
      <c r="X198" s="113"/>
      <c r="Y198" s="106"/>
      <c r="Z198" s="105"/>
      <c r="AA198" s="106"/>
      <c r="AB198" s="105"/>
      <c r="AC198" s="106"/>
      <c r="AD198" s="105"/>
      <c r="AE198" s="106"/>
      <c r="AF198" s="105"/>
      <c r="AG198" s="106"/>
      <c r="AH198" s="105"/>
      <c r="AI198" s="112"/>
      <c r="AJ198" s="113"/>
      <c r="AK198" s="44"/>
      <c r="AM198" s="49"/>
      <c r="AN198" s="49"/>
      <c r="AO198" s="49"/>
      <c r="AP198" s="49"/>
      <c r="AQ198" s="49"/>
      <c r="AR198" s="40"/>
      <c r="AS198" s="51"/>
      <c r="AU198" s="49"/>
      <c r="AW198" s="52"/>
      <c r="BA198" s="2">
        <v>2021</v>
      </c>
      <c r="BB198" s="2">
        <v>15</v>
      </c>
      <c r="BC198" s="101">
        <f t="shared" si="119"/>
        <v>44381</v>
      </c>
      <c r="BD198" s="101">
        <f t="shared" si="119"/>
        <v>44394</v>
      </c>
    </row>
    <row r="199" spans="1:56" s="84" customFormat="1" x14ac:dyDescent="0.35">
      <c r="B199" s="30" t="str">
        <f>IF(B125="","",B125)</f>
        <v>Simard, Pascal</v>
      </c>
      <c r="C199" s="115"/>
      <c r="D199" s="116"/>
      <c r="E199" s="117">
        <f t="shared" si="99"/>
        <v>93545</v>
      </c>
      <c r="F199" s="111">
        <f>B157</f>
        <v>12</v>
      </c>
      <c r="G199" s="119"/>
      <c r="H199" s="118"/>
      <c r="I199" s="104"/>
      <c r="J199" s="103">
        <v>8</v>
      </c>
      <c r="K199" s="104"/>
      <c r="L199" s="103">
        <v>7.75</v>
      </c>
      <c r="M199" s="104"/>
      <c r="N199" s="103">
        <v>8</v>
      </c>
      <c r="O199" s="104"/>
      <c r="P199" s="103">
        <v>8</v>
      </c>
      <c r="Q199" s="104"/>
      <c r="R199" s="103">
        <v>8</v>
      </c>
      <c r="S199" s="119"/>
      <c r="T199" s="118"/>
      <c r="U199" s="120">
        <f t="shared" ref="U199" si="120">SUM(G199:T199)</f>
        <v>39.75</v>
      </c>
      <c r="V199" s="121"/>
      <c r="W199" s="119"/>
      <c r="X199" s="118"/>
      <c r="Y199" s="104"/>
      <c r="Z199" s="103">
        <v>8</v>
      </c>
      <c r="AA199" s="104"/>
      <c r="AB199" s="103">
        <v>8</v>
      </c>
      <c r="AC199" s="104"/>
      <c r="AD199" s="103">
        <v>8</v>
      </c>
      <c r="AE199" s="104"/>
      <c r="AF199" s="103">
        <v>8</v>
      </c>
      <c r="AG199" s="104"/>
      <c r="AH199" s="103">
        <v>8</v>
      </c>
      <c r="AI199" s="119"/>
      <c r="AJ199" s="118"/>
      <c r="AK199" s="71">
        <f>SUM(W199:AJ199)</f>
        <v>40</v>
      </c>
      <c r="AL199" s="72"/>
      <c r="AM199" s="73">
        <f>SUMIF($G198:$T198,"",$G199:$T199)+SUMIF($W198:$AJ198,"",$W199:$AJ199)-AN199</f>
        <v>71.75</v>
      </c>
      <c r="AN199" s="88">
        <f>IF(SUMIF($G198:$T198,"",$G199:$T199)+SUMIF($G198:$T198,"F",$G199:$T199)+SUMIF($G198:$T198,"V",$G199:$T199)-40&lt;0,0,SUMIF($G198:$T198,"",$G199:$T199)+SUMIF($G198:$T198,"F",$G199:$T199)+SUMIF($G198:$T198,"V",$G199:$T199)-($U$9/2))+IF(SUMIF($W198:$AJ198,"",$W199:$AJ199)+SUMIF($W198:$AJ198,"F",$W199:$AJ199)+SUMIF($W198:$AJ198,"V",$W199:$AJ199)-40&lt;0,0,SUMIF($W198:$AJ198,"",$W199:$AJ199)+SUMIF($W198:$AJ198,"F",$W199:$AJ199)+SUMIF($W198:$AJ198,"V",$W199:$AJ199)-($U$9/2))</f>
        <v>0</v>
      </c>
      <c r="AO199" s="73">
        <f>SUMIF($G198:$T198,"M",$G199:$T199)+SUMIF($W198:$AJ198,"M",$W199:$AJ199)</f>
        <v>0</v>
      </c>
      <c r="AP199" s="73">
        <f>SUMIF($G198:$T198,"F",$G199:$T199)+SUMIF($W198:$AJ198,"F",$W199:$AJ199)</f>
        <v>8</v>
      </c>
      <c r="AQ199" s="73">
        <f>SUMIF($G198:$T198,"V",$G199:$T199)+SUMIF($W198:$AJ198,"V",$W199:$AJ199)</f>
        <v>0</v>
      </c>
      <c r="AR199" s="74">
        <f>SUMIF($G198:$T198,"O",$G199:$T199)+SUMIF($W198:$AJ198,"O",$W199:$AJ199)</f>
        <v>0</v>
      </c>
      <c r="AS199" s="75">
        <f>SUM(AM199:AR199)</f>
        <v>79.75</v>
      </c>
      <c r="AT199" s="72"/>
      <c r="AU199" s="73">
        <f>SUMIF($G198:$T198,"A",$G199:$T199)+SUMIF($W198:$AJ198,"A",$W199:$AJ199)</f>
        <v>0</v>
      </c>
      <c r="AV199" s="72"/>
      <c r="AW199" s="76">
        <f>IF(B199="",0,IF($U$9="",0,$U$9))</f>
        <v>80</v>
      </c>
      <c r="BA199" s="2">
        <v>2021</v>
      </c>
      <c r="BB199" s="2">
        <v>16</v>
      </c>
      <c r="BC199" s="101">
        <f t="shared" si="119"/>
        <v>44395</v>
      </c>
      <c r="BD199" s="101">
        <f t="shared" si="119"/>
        <v>44408</v>
      </c>
    </row>
    <row r="200" spans="1:56" s="84" customFormat="1" x14ac:dyDescent="0.35">
      <c r="B200" s="107"/>
      <c r="C200" s="108"/>
      <c r="D200" s="109">
        <f>IF(D126="","",D126)</f>
        <v>23736</v>
      </c>
      <c r="E200" s="110" t="str">
        <f t="shared" si="99"/>
        <v/>
      </c>
      <c r="F200" s="111">
        <f>B157</f>
        <v>12</v>
      </c>
      <c r="G200" s="112"/>
      <c r="H200" s="113"/>
      <c r="I200" s="106"/>
      <c r="J200" s="105" t="s">
        <v>13</v>
      </c>
      <c r="K200" s="106"/>
      <c r="L200" s="105" t="s">
        <v>12</v>
      </c>
      <c r="M200" s="106"/>
      <c r="N200" s="105"/>
      <c r="O200" s="106"/>
      <c r="P200" s="105"/>
      <c r="Q200" s="106"/>
      <c r="R200" s="105"/>
      <c r="S200" s="112"/>
      <c r="T200" s="113"/>
      <c r="U200" s="114"/>
      <c r="V200" s="2"/>
      <c r="W200" s="112"/>
      <c r="X200" s="113"/>
      <c r="Y200" s="106"/>
      <c r="Z200" s="105"/>
      <c r="AA200" s="106"/>
      <c r="AB200" s="105"/>
      <c r="AC200" s="106"/>
      <c r="AD200" s="105"/>
      <c r="AE200" s="106"/>
      <c r="AF200" s="105"/>
      <c r="AG200" s="106"/>
      <c r="AH200" s="105"/>
      <c r="AI200" s="112"/>
      <c r="AJ200" s="113"/>
      <c r="AK200" s="44"/>
      <c r="AM200" s="49"/>
      <c r="AN200" s="49"/>
      <c r="AO200" s="49"/>
      <c r="AP200" s="49"/>
      <c r="AQ200" s="49"/>
      <c r="AR200" s="40"/>
      <c r="AS200" s="51"/>
      <c r="AU200" s="49"/>
      <c r="AW200" s="52"/>
      <c r="BA200" s="2">
        <v>2021</v>
      </c>
      <c r="BB200" s="2">
        <v>17</v>
      </c>
      <c r="BC200" s="101">
        <f t="shared" si="119"/>
        <v>44409</v>
      </c>
      <c r="BD200" s="101">
        <f t="shared" si="119"/>
        <v>44422</v>
      </c>
    </row>
    <row r="201" spans="1:56" s="84" customFormat="1" x14ac:dyDescent="0.35">
      <c r="B201" s="30" t="str">
        <f>IF(B127="","",B127)</f>
        <v>Voster, Jean-Michel</v>
      </c>
      <c r="C201" s="115"/>
      <c r="D201" s="116"/>
      <c r="E201" s="117">
        <f t="shared" si="99"/>
        <v>93545</v>
      </c>
      <c r="F201" s="111">
        <f>B157</f>
        <v>12</v>
      </c>
      <c r="G201" s="119"/>
      <c r="H201" s="118"/>
      <c r="I201" s="104"/>
      <c r="J201" s="103">
        <v>8</v>
      </c>
      <c r="K201" s="104"/>
      <c r="L201" s="103">
        <v>8</v>
      </c>
      <c r="M201" s="104"/>
      <c r="N201" s="103">
        <v>8</v>
      </c>
      <c r="O201" s="104"/>
      <c r="P201" s="103">
        <v>8</v>
      </c>
      <c r="Q201" s="104"/>
      <c r="R201" s="103">
        <v>8</v>
      </c>
      <c r="S201" s="119"/>
      <c r="T201" s="118"/>
      <c r="U201" s="120">
        <f t="shared" ref="U201" si="121">SUM(G201:T201)</f>
        <v>40</v>
      </c>
      <c r="V201" s="121"/>
      <c r="W201" s="119"/>
      <c r="X201" s="118"/>
      <c r="Y201" s="104"/>
      <c r="Z201" s="103">
        <v>8</v>
      </c>
      <c r="AA201" s="104"/>
      <c r="AB201" s="103">
        <v>8</v>
      </c>
      <c r="AC201" s="104"/>
      <c r="AD201" s="103">
        <v>8</v>
      </c>
      <c r="AE201" s="104"/>
      <c r="AF201" s="103">
        <v>6</v>
      </c>
      <c r="AG201" s="104"/>
      <c r="AH201" s="103">
        <v>8</v>
      </c>
      <c r="AI201" s="119"/>
      <c r="AJ201" s="118"/>
      <c r="AK201" s="71">
        <f>SUM(W201:AJ201)</f>
        <v>38</v>
      </c>
      <c r="AL201" s="72"/>
      <c r="AM201" s="73">
        <f>SUMIF($G200:$T200,"",$G201:$T201)+SUMIF($W200:$AJ200,"",$W201:$AJ201)-AN201</f>
        <v>62</v>
      </c>
      <c r="AN201" s="88">
        <f>IF(SUMIF($G200:$T200,"",$G201:$T201)+SUMIF($G200:$T200,"F",$G201:$T201)+SUMIF($G200:$T200,"V",$G201:$T201)-40&lt;0,0,SUMIF($G200:$T200,"",$G201:$T201)+SUMIF($G200:$T200,"F",$G201:$T201)+SUMIF($G200:$T200,"V",$G201:$T201)-($U$9/2))+IF(SUMIF($W200:$AJ200,"",$W201:$AJ201)+SUMIF($W200:$AJ200,"F",$W201:$AJ201)+SUMIF($W200:$AJ200,"V",$W201:$AJ201)-40&lt;0,0,SUMIF($W200:$AJ200,"",$W201:$AJ201)+SUMIF($W200:$AJ200,"F",$W201:$AJ201)+SUMIF($W200:$AJ200,"V",$W201:$AJ201)-($U$9/2))</f>
        <v>0</v>
      </c>
      <c r="AO201" s="73">
        <f>SUMIF($G200:$T200,"M",$G201:$T201)+SUMIF($W200:$AJ200,"M",$W201:$AJ201)</f>
        <v>8</v>
      </c>
      <c r="AP201" s="73">
        <f>SUMIF($G200:$T200,"F",$G201:$T201)+SUMIF($W200:$AJ200,"F",$W201:$AJ201)</f>
        <v>8</v>
      </c>
      <c r="AQ201" s="73">
        <f>SUMIF($G200:$T200,"V",$G201:$T201)+SUMIF($W200:$AJ200,"V",$W201:$AJ201)</f>
        <v>0</v>
      </c>
      <c r="AR201" s="74">
        <f>SUMIF($G200:$T200,"O",$G201:$T201)+SUMIF($W200:$AJ200,"O",$W201:$AJ201)</f>
        <v>0</v>
      </c>
      <c r="AS201" s="75">
        <f>SUM(AM201:AR201)</f>
        <v>78</v>
      </c>
      <c r="AT201" s="72"/>
      <c r="AU201" s="73">
        <f>SUMIF($G200:$T200,"A",$G201:$T201)+SUMIF($W200:$AJ200,"A",$W201:$AJ201)</f>
        <v>0</v>
      </c>
      <c r="AV201" s="72"/>
      <c r="AW201" s="76">
        <f>IF(B201="",0,IF($U$9="",0,$U$9))</f>
        <v>80</v>
      </c>
      <c r="BA201" s="2">
        <v>2021</v>
      </c>
      <c r="BB201" s="2">
        <v>18</v>
      </c>
      <c r="BC201" s="101">
        <f t="shared" si="119"/>
        <v>44423</v>
      </c>
      <c r="BD201" s="101">
        <f t="shared" si="119"/>
        <v>44436</v>
      </c>
    </row>
    <row r="202" spans="1:56" s="53" customFormat="1" ht="15" customHeight="1" x14ac:dyDescent="0.35">
      <c r="A202" s="84"/>
      <c r="B202" s="107"/>
      <c r="C202" s="108"/>
      <c r="D202" s="109" t="str">
        <f>IF(D128="","",D128)</f>
        <v/>
      </c>
      <c r="E202" s="110" t="str">
        <f t="shared" si="99"/>
        <v/>
      </c>
      <c r="F202" s="111">
        <f>B157</f>
        <v>12</v>
      </c>
      <c r="G202" s="112"/>
      <c r="H202" s="113"/>
      <c r="I202" s="106"/>
      <c r="J202" s="105"/>
      <c r="K202" s="106"/>
      <c r="L202" s="105"/>
      <c r="M202" s="106"/>
      <c r="N202" s="105"/>
      <c r="O202" s="106"/>
      <c r="P202" s="105"/>
      <c r="Q202" s="106"/>
      <c r="R202" s="105"/>
      <c r="S202" s="112"/>
      <c r="T202" s="113"/>
      <c r="U202" s="114"/>
      <c r="V202" s="2"/>
      <c r="W202" s="112"/>
      <c r="X202" s="113"/>
      <c r="Y202" s="106"/>
      <c r="Z202" s="105"/>
      <c r="AA202" s="106"/>
      <c r="AB202" s="105"/>
      <c r="AC202" s="106"/>
      <c r="AD202" s="105"/>
      <c r="AE202" s="106"/>
      <c r="AF202" s="105"/>
      <c r="AG202" s="106"/>
      <c r="AH202" s="105"/>
      <c r="AI202" s="112"/>
      <c r="AJ202" s="113"/>
      <c r="AK202" s="44"/>
      <c r="AL202" s="84"/>
      <c r="AM202" s="49"/>
      <c r="AN202" s="49"/>
      <c r="AO202" s="49"/>
      <c r="AP202" s="49"/>
      <c r="AQ202" s="49"/>
      <c r="AR202" s="40"/>
      <c r="AS202" s="51"/>
      <c r="AT202" s="84"/>
      <c r="AU202" s="49"/>
      <c r="AV202" s="84"/>
      <c r="AW202" s="52"/>
      <c r="AX202" s="84"/>
      <c r="BA202" s="2">
        <v>2021</v>
      </c>
      <c r="BB202" s="2">
        <v>19</v>
      </c>
      <c r="BC202" s="101">
        <f t="shared" si="119"/>
        <v>44437</v>
      </c>
      <c r="BD202" s="101">
        <f t="shared" si="119"/>
        <v>44450</v>
      </c>
    </row>
    <row r="203" spans="1:56" s="57" customFormat="1" ht="15" customHeight="1" x14ac:dyDescent="0.35">
      <c r="A203" s="84"/>
      <c r="B203" s="30" t="str">
        <f>IF(B129="","",B129)</f>
        <v/>
      </c>
      <c r="C203" s="115"/>
      <c r="D203" s="116"/>
      <c r="E203" s="117" t="str">
        <f t="shared" si="99"/>
        <v/>
      </c>
      <c r="F203" s="111">
        <f>B157</f>
        <v>12</v>
      </c>
      <c r="G203" s="119"/>
      <c r="H203" s="118"/>
      <c r="I203" s="104"/>
      <c r="J203" s="103"/>
      <c r="K203" s="104"/>
      <c r="L203" s="103"/>
      <c r="M203" s="104"/>
      <c r="N203" s="103"/>
      <c r="O203" s="104"/>
      <c r="P203" s="103"/>
      <c r="Q203" s="104"/>
      <c r="R203" s="103"/>
      <c r="S203" s="119"/>
      <c r="T203" s="118"/>
      <c r="U203" s="120">
        <f t="shared" ref="U203" si="122">SUM(G203:T203)</f>
        <v>0</v>
      </c>
      <c r="V203" s="121"/>
      <c r="W203" s="119"/>
      <c r="X203" s="118"/>
      <c r="Y203" s="104"/>
      <c r="Z203" s="103"/>
      <c r="AA203" s="104"/>
      <c r="AB203" s="103"/>
      <c r="AC203" s="104"/>
      <c r="AD203" s="103"/>
      <c r="AE203" s="104"/>
      <c r="AF203" s="103"/>
      <c r="AG203" s="104"/>
      <c r="AH203" s="103"/>
      <c r="AI203" s="119"/>
      <c r="AJ203" s="118"/>
      <c r="AK203" s="71">
        <f>SUM(W203:AJ203)</f>
        <v>0</v>
      </c>
      <c r="AL203" s="72"/>
      <c r="AM203" s="73">
        <f>SUMIF($G202:$T202,"",$G203:$T203)+SUMIF($W202:$AJ202,"",$W203:$AJ203)-AN203</f>
        <v>0</v>
      </c>
      <c r="AN203" s="88">
        <f>IF(SUMIF($G202:$T202,"",$G203:$T203)+SUMIF($G202:$T202,"F",$G203:$T203)+SUMIF($G202:$T202,"V",$G203:$T203)-40&lt;0,0,SUMIF($G202:$T202,"",$G203:$T203)+SUMIF($G202:$T202,"F",$G203:$T203)+SUMIF($G202:$T202,"V",$G203:$T203)-($U$9/2))+IF(SUMIF($W202:$AJ202,"",$W203:$AJ203)+SUMIF($W202:$AJ202,"F",$W203:$AJ203)+SUMIF($W202:$AJ202,"V",$W203:$AJ203)-40&lt;0,0,SUMIF($W202:$AJ202,"",$W203:$AJ203)+SUMIF($W202:$AJ202,"F",$W203:$AJ203)+SUMIF($W202:$AJ202,"V",$W203:$AJ203)-($U$9/2))</f>
        <v>0</v>
      </c>
      <c r="AO203" s="73">
        <f>SUMIF($G202:$T202,"M",$G203:$T203)+SUMIF($W202:$AJ202,"M",$W203:$AJ203)</f>
        <v>0</v>
      </c>
      <c r="AP203" s="73">
        <f>SUMIF($G202:$T202,"F",$G203:$T203)+SUMIF($W202:$AJ202,"F",$W203:$AJ203)</f>
        <v>0</v>
      </c>
      <c r="AQ203" s="73">
        <f>SUMIF($G202:$T202,"V",$G203:$T203)+SUMIF($W202:$AJ202,"V",$W203:$AJ203)</f>
        <v>0</v>
      </c>
      <c r="AR203" s="74">
        <f>SUMIF($G202:$T202,"O",$G203:$T203)+SUMIF($W202:$AJ202,"O",$W203:$AJ203)</f>
        <v>0</v>
      </c>
      <c r="AS203" s="75">
        <f>SUM(AM203:AR203)</f>
        <v>0</v>
      </c>
      <c r="AT203" s="72"/>
      <c r="AU203" s="73">
        <f>SUMIF($G202:$T202,"A",$G203:$T203)+SUMIF($W202:$AJ202,"A",$W203:$AJ203)</f>
        <v>0</v>
      </c>
      <c r="AV203" s="72"/>
      <c r="AW203" s="76">
        <f>IF(B203="",0,IF($U$9="",0,$U$9))</f>
        <v>0</v>
      </c>
      <c r="AX203" s="84"/>
      <c r="BA203" s="2">
        <v>2021</v>
      </c>
      <c r="BB203" s="2">
        <v>20</v>
      </c>
      <c r="BC203" s="101">
        <f t="shared" si="119"/>
        <v>44451</v>
      </c>
      <c r="BD203" s="101">
        <f t="shared" si="119"/>
        <v>44464</v>
      </c>
    </row>
    <row r="204" spans="1:56" s="53" customFormat="1" ht="15" customHeight="1" x14ac:dyDescent="0.35">
      <c r="A204" s="84"/>
      <c r="B204" s="107"/>
      <c r="C204" s="108"/>
      <c r="D204" s="109" t="str">
        <f>IF(D130="","",D130)</f>
        <v/>
      </c>
      <c r="E204" s="110" t="str">
        <f t="shared" si="99"/>
        <v/>
      </c>
      <c r="F204" s="111">
        <f>B157</f>
        <v>12</v>
      </c>
      <c r="G204" s="112"/>
      <c r="H204" s="113"/>
      <c r="I204" s="106"/>
      <c r="J204" s="105"/>
      <c r="K204" s="106"/>
      <c r="L204" s="105"/>
      <c r="M204" s="106"/>
      <c r="N204" s="105"/>
      <c r="O204" s="106"/>
      <c r="P204" s="105"/>
      <c r="Q204" s="106"/>
      <c r="R204" s="105"/>
      <c r="S204" s="112"/>
      <c r="T204" s="113"/>
      <c r="U204" s="114"/>
      <c r="V204" s="2"/>
      <c r="W204" s="112"/>
      <c r="X204" s="113"/>
      <c r="Y204" s="106"/>
      <c r="Z204" s="105"/>
      <c r="AA204" s="106"/>
      <c r="AB204" s="105"/>
      <c r="AC204" s="106"/>
      <c r="AD204" s="105"/>
      <c r="AE204" s="106"/>
      <c r="AF204" s="105"/>
      <c r="AG204" s="106"/>
      <c r="AH204" s="105"/>
      <c r="AI204" s="112"/>
      <c r="AJ204" s="113"/>
      <c r="AK204" s="44"/>
      <c r="AL204" s="84"/>
      <c r="AM204" s="49"/>
      <c r="AN204" s="49"/>
      <c r="AO204" s="49"/>
      <c r="AP204" s="49"/>
      <c r="AQ204" s="49"/>
      <c r="AR204" s="40"/>
      <c r="AS204" s="51"/>
      <c r="AT204" s="84"/>
      <c r="AU204" s="49"/>
      <c r="AV204" s="84"/>
      <c r="AW204" s="52"/>
      <c r="AX204" s="84"/>
      <c r="BA204" s="2">
        <v>2021</v>
      </c>
      <c r="BB204" s="2">
        <v>21</v>
      </c>
      <c r="BC204" s="101">
        <f t="shared" si="119"/>
        <v>44465</v>
      </c>
      <c r="BD204" s="101">
        <f t="shared" si="119"/>
        <v>44478</v>
      </c>
    </row>
    <row r="205" spans="1:56" s="53" customFormat="1" x14ac:dyDescent="0.35">
      <c r="A205" s="84"/>
      <c r="B205" s="30" t="str">
        <f>IF(B131="","",B131)</f>
        <v/>
      </c>
      <c r="C205" s="115"/>
      <c r="D205" s="116"/>
      <c r="E205" s="117" t="str">
        <f t="shared" si="99"/>
        <v/>
      </c>
      <c r="F205" s="111">
        <f>B157</f>
        <v>12</v>
      </c>
      <c r="G205" s="119"/>
      <c r="H205" s="118"/>
      <c r="I205" s="104"/>
      <c r="J205" s="103"/>
      <c r="K205" s="104"/>
      <c r="L205" s="103"/>
      <c r="M205" s="104"/>
      <c r="N205" s="103"/>
      <c r="O205" s="104"/>
      <c r="P205" s="103"/>
      <c r="Q205" s="104"/>
      <c r="R205" s="103"/>
      <c r="S205" s="119"/>
      <c r="T205" s="118"/>
      <c r="U205" s="120">
        <f t="shared" ref="U205" si="123">SUM(G205:T205)</f>
        <v>0</v>
      </c>
      <c r="V205" s="121"/>
      <c r="W205" s="119"/>
      <c r="X205" s="118"/>
      <c r="Y205" s="104"/>
      <c r="Z205" s="103"/>
      <c r="AA205" s="104"/>
      <c r="AB205" s="103"/>
      <c r="AC205" s="104"/>
      <c r="AD205" s="103"/>
      <c r="AE205" s="104"/>
      <c r="AF205" s="103"/>
      <c r="AG205" s="104"/>
      <c r="AH205" s="103"/>
      <c r="AI205" s="119"/>
      <c r="AJ205" s="118"/>
      <c r="AK205" s="71">
        <f>SUM(W205:AJ205)</f>
        <v>0</v>
      </c>
      <c r="AL205" s="72"/>
      <c r="AM205" s="73">
        <f>SUMIF($G204:$T204,"",$G205:$T205)+SUMIF($W204:$AJ204,"",$W205:$AJ205)-AN205</f>
        <v>0</v>
      </c>
      <c r="AN205" s="88">
        <f>IF(SUMIF($G204:$T204,"",$G205:$T205)+SUMIF($G204:$T204,"F",$G205:$T205)+SUMIF($G204:$T204,"V",$G205:$T205)-40&lt;0,0,SUMIF($G204:$T204,"",$G205:$T205)+SUMIF($G204:$T204,"F",$G205:$T205)+SUMIF($G204:$T204,"V",$G205:$T205)-($U$9/2))+IF(SUMIF($W204:$AJ204,"",$W205:$AJ205)+SUMIF($W204:$AJ204,"F",$W205:$AJ205)+SUMIF($W204:$AJ204,"V",$W205:$AJ205)-40&lt;0,0,SUMIF($W204:$AJ204,"",$W205:$AJ205)+SUMIF($W204:$AJ204,"F",$W205:$AJ205)+SUMIF($W204:$AJ204,"V",$W205:$AJ205)-($U$9/2))</f>
        <v>0</v>
      </c>
      <c r="AO205" s="73">
        <f>SUMIF($G204:$T204,"M",$G205:$T205)+SUMIF($W204:$AJ204,"M",$W205:$AJ205)</f>
        <v>0</v>
      </c>
      <c r="AP205" s="73">
        <f>SUMIF($G204:$T204,"F",$G205:$T205)+SUMIF($W204:$AJ204,"F",$W205:$AJ205)</f>
        <v>0</v>
      </c>
      <c r="AQ205" s="73">
        <f>SUMIF($G204:$T204,"V",$G205:$T205)+SUMIF($W204:$AJ204,"V",$W205:$AJ205)</f>
        <v>0</v>
      </c>
      <c r="AR205" s="74">
        <f>SUMIF($G204:$T204,"O",$G205:$T205)+SUMIF($W204:$AJ204,"O",$W205:$AJ205)</f>
        <v>0</v>
      </c>
      <c r="AS205" s="75">
        <f>SUM(AM205:AR205)</f>
        <v>0</v>
      </c>
      <c r="AT205" s="72"/>
      <c r="AU205" s="73">
        <f>SUMIF($G204:$T204,"A",$G205:$T205)+SUMIF($W204:$AJ204,"A",$W205:$AJ205)</f>
        <v>0</v>
      </c>
      <c r="AV205" s="72"/>
      <c r="AW205" s="76">
        <f>IF(B205="",0,IF($U$9="",0,$U$9))</f>
        <v>0</v>
      </c>
      <c r="AX205" s="84"/>
      <c r="BA205" s="2">
        <v>2021</v>
      </c>
      <c r="BB205" s="2">
        <v>22</v>
      </c>
      <c r="BC205" s="101">
        <f t="shared" si="119"/>
        <v>44479</v>
      </c>
      <c r="BD205" s="101">
        <f t="shared" si="119"/>
        <v>44492</v>
      </c>
    </row>
    <row r="206" spans="1:56" s="53" customFormat="1" x14ac:dyDescent="0.35">
      <c r="A206" s="84"/>
      <c r="B206" s="107"/>
      <c r="C206" s="108"/>
      <c r="D206" s="109" t="str">
        <f>IF(D132="","",D132)</f>
        <v/>
      </c>
      <c r="E206" s="110" t="str">
        <f t="shared" si="99"/>
        <v/>
      </c>
      <c r="F206" s="111">
        <f>B157</f>
        <v>12</v>
      </c>
      <c r="G206" s="112"/>
      <c r="H206" s="113"/>
      <c r="I206" s="106"/>
      <c r="J206" s="105"/>
      <c r="K206" s="106"/>
      <c r="L206" s="105"/>
      <c r="M206" s="106"/>
      <c r="N206" s="105"/>
      <c r="O206" s="106"/>
      <c r="P206" s="105"/>
      <c r="Q206" s="106"/>
      <c r="R206" s="105"/>
      <c r="S206" s="112"/>
      <c r="T206" s="113"/>
      <c r="U206" s="114"/>
      <c r="V206" s="2"/>
      <c r="W206" s="112"/>
      <c r="X206" s="113"/>
      <c r="Y206" s="106"/>
      <c r="Z206" s="105"/>
      <c r="AA206" s="106"/>
      <c r="AB206" s="105"/>
      <c r="AC206" s="106"/>
      <c r="AD206" s="105"/>
      <c r="AE206" s="106"/>
      <c r="AF206" s="105"/>
      <c r="AG206" s="106"/>
      <c r="AH206" s="105"/>
      <c r="AI206" s="112"/>
      <c r="AJ206" s="113"/>
      <c r="AK206" s="44"/>
      <c r="AL206" s="84"/>
      <c r="AM206" s="49"/>
      <c r="AN206" s="49"/>
      <c r="AO206" s="49"/>
      <c r="AP206" s="49"/>
      <c r="AQ206" s="49"/>
      <c r="AR206" s="40"/>
      <c r="AS206" s="51"/>
      <c r="AT206" s="84"/>
      <c r="AU206" s="49"/>
      <c r="AV206" s="84"/>
      <c r="AW206" s="52"/>
      <c r="AX206" s="84"/>
      <c r="BA206" s="2">
        <v>2021</v>
      </c>
      <c r="BB206" s="2">
        <v>23</v>
      </c>
      <c r="BC206" s="101">
        <f t="shared" si="119"/>
        <v>44493</v>
      </c>
      <c r="BD206" s="101">
        <f t="shared" si="119"/>
        <v>44506</v>
      </c>
    </row>
    <row r="207" spans="1:56" s="53" customFormat="1" x14ac:dyDescent="0.35">
      <c r="A207" s="84"/>
      <c r="B207" s="30" t="str">
        <f>IF(B133="","",B133)</f>
        <v/>
      </c>
      <c r="C207" s="115"/>
      <c r="D207" s="116"/>
      <c r="E207" s="117" t="str">
        <f t="shared" si="99"/>
        <v/>
      </c>
      <c r="F207" s="111">
        <f>B157</f>
        <v>12</v>
      </c>
      <c r="G207" s="119"/>
      <c r="H207" s="118"/>
      <c r="I207" s="104"/>
      <c r="J207" s="103"/>
      <c r="K207" s="104"/>
      <c r="L207" s="103"/>
      <c r="M207" s="104"/>
      <c r="N207" s="103"/>
      <c r="O207" s="104"/>
      <c r="P207" s="103"/>
      <c r="Q207" s="104"/>
      <c r="R207" s="103"/>
      <c r="S207" s="119"/>
      <c r="T207" s="118"/>
      <c r="U207" s="120">
        <f t="shared" ref="U207" si="124">SUM(G207:T207)</f>
        <v>0</v>
      </c>
      <c r="V207" s="121"/>
      <c r="W207" s="119"/>
      <c r="X207" s="118"/>
      <c r="Y207" s="104"/>
      <c r="Z207" s="103"/>
      <c r="AA207" s="104"/>
      <c r="AB207" s="103"/>
      <c r="AC207" s="104"/>
      <c r="AD207" s="103"/>
      <c r="AE207" s="104"/>
      <c r="AF207" s="103"/>
      <c r="AG207" s="104"/>
      <c r="AH207" s="103"/>
      <c r="AI207" s="119"/>
      <c r="AJ207" s="118"/>
      <c r="AK207" s="71">
        <v>0</v>
      </c>
      <c r="AL207" s="72"/>
      <c r="AM207" s="73">
        <f>SUMIF($G206:$T206,"",$G207:$T207)+SUMIF($W206:$AJ206,"",$W207:$AJ207)-AN207</f>
        <v>0</v>
      </c>
      <c r="AN207" s="88">
        <f>IF(SUMIF($G206:$T206,"",$G207:$T207)+SUMIF($G206:$T206,"F",$G207:$T207)+SUMIF($G206:$T206,"V",$G207:$T207)-40&lt;0,0,SUMIF($G206:$T206,"",$G207:$T207)+SUMIF($G206:$T206,"F",$G207:$T207)+SUMIF($G206:$T206,"V",$G207:$T207)-($U$9/2))+IF(SUMIF($W206:$AJ206,"",$W207:$AJ207)+SUMIF($W206:$AJ206,"F",$W207:$AJ207)+SUMIF($W206:$AJ206,"V",$W207:$AJ207)-40&lt;0,0,SUMIF($W206:$AJ206,"",$W207:$AJ207)+SUMIF($W206:$AJ206,"F",$W207:$AJ207)+SUMIF($W206:$AJ206,"V",$W207:$AJ207)-($U$9/2))</f>
        <v>0</v>
      </c>
      <c r="AO207" s="73">
        <f>SUMIF($G206:$T206,"M",$G207:$T207)+SUMIF($W206:$AJ206,"M",$W207:$AJ207)</f>
        <v>0</v>
      </c>
      <c r="AP207" s="73">
        <f>SUMIF($G206:$T206,"F",$G207:$T207)+SUMIF($W206:$AJ206,"F",$W207:$AJ207)</f>
        <v>0</v>
      </c>
      <c r="AQ207" s="73">
        <f>SUMIF($G206:$T206,"V",$G207:$T207)+SUMIF($W206:$AJ206,"V",$W207:$AJ207)</f>
        <v>0</v>
      </c>
      <c r="AR207" s="74">
        <f>SUMIF($G206:$T206,"O",$G207:$T207)+SUMIF($W206:$AJ206,"O",$W207:$AJ207)</f>
        <v>0</v>
      </c>
      <c r="AS207" s="75">
        <f>SUM(AM207:AR207)</f>
        <v>0</v>
      </c>
      <c r="AT207" s="72"/>
      <c r="AU207" s="73">
        <f>SUMIF($G206:$T206,"A",$G207:$T207)+SUMIF($W206:$AJ206,"A",$W207:$AJ207)</f>
        <v>0</v>
      </c>
      <c r="AV207" s="72"/>
      <c r="AW207" s="76">
        <f>IF(B207="",0,IF($U$9="",0,$U$9))</f>
        <v>0</v>
      </c>
      <c r="AX207" s="84"/>
      <c r="BA207" s="2">
        <v>2021</v>
      </c>
      <c r="BB207" s="2">
        <v>24</v>
      </c>
      <c r="BC207" s="101">
        <f t="shared" si="119"/>
        <v>44507</v>
      </c>
      <c r="BD207" s="101">
        <f t="shared" si="119"/>
        <v>44520</v>
      </c>
    </row>
    <row r="208" spans="1:56" s="53" customFormat="1" x14ac:dyDescent="0.35">
      <c r="A208" s="84"/>
      <c r="B208" s="107"/>
      <c r="C208" s="108"/>
      <c r="D208" s="109" t="str">
        <f>IF(D134="","",D134)</f>
        <v/>
      </c>
      <c r="E208" s="110" t="str">
        <f t="shared" si="99"/>
        <v/>
      </c>
      <c r="F208" s="111">
        <f>B157</f>
        <v>12</v>
      </c>
      <c r="G208" s="112"/>
      <c r="H208" s="113"/>
      <c r="I208" s="106"/>
      <c r="J208" s="105"/>
      <c r="K208" s="106"/>
      <c r="L208" s="105"/>
      <c r="M208" s="106"/>
      <c r="N208" s="105"/>
      <c r="O208" s="106"/>
      <c r="P208" s="105"/>
      <c r="Q208" s="106"/>
      <c r="R208" s="105"/>
      <c r="S208" s="112"/>
      <c r="T208" s="113"/>
      <c r="U208" s="114"/>
      <c r="V208" s="2"/>
      <c r="W208" s="112"/>
      <c r="X208" s="113"/>
      <c r="Y208" s="106"/>
      <c r="Z208" s="105"/>
      <c r="AA208" s="106"/>
      <c r="AB208" s="105"/>
      <c r="AC208" s="106"/>
      <c r="AD208" s="105"/>
      <c r="AE208" s="106"/>
      <c r="AF208" s="105"/>
      <c r="AG208" s="106"/>
      <c r="AH208" s="105"/>
      <c r="AI208" s="112"/>
      <c r="AJ208" s="113"/>
      <c r="AK208" s="44"/>
      <c r="AL208" s="84"/>
      <c r="AM208" s="49"/>
      <c r="AN208" s="49"/>
      <c r="AO208" s="49"/>
      <c r="AP208" s="49"/>
      <c r="AQ208" s="49"/>
      <c r="AR208" s="40"/>
      <c r="AS208" s="51"/>
      <c r="AT208" s="84"/>
      <c r="AU208" s="49"/>
      <c r="AV208" s="84"/>
      <c r="AW208" s="52"/>
      <c r="AX208" s="84"/>
      <c r="BA208" s="2">
        <v>2021</v>
      </c>
      <c r="BB208" s="2">
        <v>25</v>
      </c>
      <c r="BC208" s="101">
        <f t="shared" si="119"/>
        <v>44521</v>
      </c>
      <c r="BD208" s="101">
        <f t="shared" si="119"/>
        <v>44534</v>
      </c>
    </row>
    <row r="209" spans="1:56" s="53" customFormat="1" x14ac:dyDescent="0.35">
      <c r="A209" s="84"/>
      <c r="B209" s="30" t="str">
        <f>IF(B135="","",B135)</f>
        <v/>
      </c>
      <c r="C209" s="115"/>
      <c r="D209" s="116"/>
      <c r="E209" s="117" t="str">
        <f t="shared" si="99"/>
        <v/>
      </c>
      <c r="F209" s="111">
        <f>B157</f>
        <v>12</v>
      </c>
      <c r="G209" s="119"/>
      <c r="H209" s="118"/>
      <c r="I209" s="104"/>
      <c r="J209" s="103"/>
      <c r="K209" s="104"/>
      <c r="L209" s="103"/>
      <c r="M209" s="104"/>
      <c r="N209" s="103"/>
      <c r="O209" s="104"/>
      <c r="P209" s="103"/>
      <c r="Q209" s="104"/>
      <c r="R209" s="103"/>
      <c r="S209" s="119"/>
      <c r="T209" s="118"/>
      <c r="U209" s="120">
        <f t="shared" ref="U209" si="125">SUM(G209:T209)</f>
        <v>0</v>
      </c>
      <c r="V209" s="121"/>
      <c r="W209" s="119"/>
      <c r="X209" s="118"/>
      <c r="Y209" s="104"/>
      <c r="Z209" s="103"/>
      <c r="AA209" s="104"/>
      <c r="AB209" s="103"/>
      <c r="AC209" s="104"/>
      <c r="AD209" s="103"/>
      <c r="AE209" s="104"/>
      <c r="AF209" s="103"/>
      <c r="AG209" s="104"/>
      <c r="AH209" s="103"/>
      <c r="AI209" s="119"/>
      <c r="AJ209" s="118"/>
      <c r="AK209" s="71">
        <v>0</v>
      </c>
      <c r="AL209" s="72"/>
      <c r="AM209" s="73">
        <v>0</v>
      </c>
      <c r="AN209" s="88">
        <v>0</v>
      </c>
      <c r="AO209" s="73">
        <v>0</v>
      </c>
      <c r="AP209" s="73">
        <v>0</v>
      </c>
      <c r="AQ209" s="73">
        <v>0</v>
      </c>
      <c r="AR209" s="74">
        <v>0</v>
      </c>
      <c r="AS209" s="75">
        <v>0</v>
      </c>
      <c r="AT209" s="72"/>
      <c r="AU209" s="73">
        <f>SUMIF($G208:$T208,"A",$G209:$T209)+SUMIF($W208:$AJ208,"A",$W209:$AJ209)</f>
        <v>0</v>
      </c>
      <c r="AV209" s="72"/>
      <c r="AW209" s="76">
        <f>IF(B209="",0,IF($U$9="",0,$U$9))</f>
        <v>0</v>
      </c>
      <c r="AX209" s="84"/>
      <c r="BA209" s="2">
        <v>2021</v>
      </c>
      <c r="BB209" s="2">
        <v>26</v>
      </c>
      <c r="BC209" s="101">
        <f t="shared" si="119"/>
        <v>44535</v>
      </c>
      <c r="BD209" s="101">
        <f t="shared" si="119"/>
        <v>44548</v>
      </c>
    </row>
    <row r="210" spans="1:56" s="53" customFormat="1" x14ac:dyDescent="0.35">
      <c r="A210" s="84"/>
      <c r="B210" s="107"/>
      <c r="C210" s="108"/>
      <c r="D210" s="109" t="str">
        <f>IF(D136="","",D136)</f>
        <v/>
      </c>
      <c r="E210" s="110" t="str">
        <f t="shared" si="99"/>
        <v/>
      </c>
      <c r="F210" s="111">
        <f>B157</f>
        <v>12</v>
      </c>
      <c r="G210" s="112"/>
      <c r="H210" s="113"/>
      <c r="I210" s="106"/>
      <c r="J210" s="105"/>
      <c r="K210" s="106"/>
      <c r="L210" s="105"/>
      <c r="M210" s="106"/>
      <c r="N210" s="105"/>
      <c r="O210" s="106"/>
      <c r="P210" s="105"/>
      <c r="Q210" s="106"/>
      <c r="R210" s="105"/>
      <c r="S210" s="112"/>
      <c r="T210" s="113"/>
      <c r="U210" s="114"/>
      <c r="V210" s="2"/>
      <c r="W210" s="112"/>
      <c r="X210" s="113"/>
      <c r="Y210" s="106"/>
      <c r="Z210" s="105"/>
      <c r="AA210" s="106"/>
      <c r="AB210" s="105"/>
      <c r="AC210" s="106"/>
      <c r="AD210" s="105"/>
      <c r="AE210" s="106"/>
      <c r="AF210" s="105"/>
      <c r="AG210" s="106"/>
      <c r="AH210" s="105"/>
      <c r="AI210" s="112"/>
      <c r="AJ210" s="113"/>
      <c r="AK210" s="44"/>
      <c r="AL210" s="84"/>
      <c r="AM210" s="49"/>
      <c r="AN210" s="49"/>
      <c r="AO210" s="49"/>
      <c r="AP210" s="49"/>
      <c r="AQ210" s="49"/>
      <c r="AR210" s="40"/>
      <c r="AS210" s="51"/>
      <c r="AT210" s="84"/>
      <c r="AU210" s="49"/>
      <c r="AV210" s="84"/>
      <c r="AW210" s="52"/>
      <c r="AX210" s="84"/>
      <c r="BA210" s="2">
        <v>2022</v>
      </c>
      <c r="BB210" s="2">
        <v>1</v>
      </c>
      <c r="BC210" s="101">
        <f t="shared" si="119"/>
        <v>44549</v>
      </c>
      <c r="BD210" s="101">
        <f t="shared" si="119"/>
        <v>44562</v>
      </c>
    </row>
    <row r="211" spans="1:56" s="53" customFormat="1" ht="15" thickBot="1" x14ac:dyDescent="0.4">
      <c r="A211" s="84"/>
      <c r="B211" s="30" t="str">
        <f>IF(B137="","",B137)</f>
        <v/>
      </c>
      <c r="C211" s="115"/>
      <c r="D211" s="116"/>
      <c r="E211" s="117" t="str">
        <f t="shared" si="99"/>
        <v/>
      </c>
      <c r="F211" s="111">
        <f>B157</f>
        <v>12</v>
      </c>
      <c r="G211" s="119"/>
      <c r="H211" s="118"/>
      <c r="I211" s="104"/>
      <c r="J211" s="103"/>
      <c r="K211" s="104"/>
      <c r="L211" s="103"/>
      <c r="M211" s="104"/>
      <c r="N211" s="103"/>
      <c r="O211" s="104"/>
      <c r="P211" s="103"/>
      <c r="Q211" s="104"/>
      <c r="R211" s="103"/>
      <c r="S211" s="119"/>
      <c r="T211" s="118"/>
      <c r="U211" s="120">
        <f t="shared" ref="U211" si="126">SUM(G211:T211)</f>
        <v>0</v>
      </c>
      <c r="V211" s="121"/>
      <c r="W211" s="119"/>
      <c r="X211" s="118"/>
      <c r="Y211" s="104"/>
      <c r="Z211" s="103"/>
      <c r="AA211" s="104"/>
      <c r="AB211" s="103"/>
      <c r="AC211" s="104"/>
      <c r="AD211" s="103"/>
      <c r="AE211" s="104"/>
      <c r="AF211" s="103"/>
      <c r="AG211" s="104"/>
      <c r="AH211" s="103"/>
      <c r="AI211" s="119"/>
      <c r="AJ211" s="118"/>
      <c r="AK211" s="71">
        <v>0</v>
      </c>
      <c r="AL211" s="72"/>
      <c r="AM211" s="73">
        <v>0</v>
      </c>
      <c r="AN211" s="88">
        <v>0</v>
      </c>
      <c r="AO211" s="73">
        <v>0</v>
      </c>
      <c r="AP211" s="73">
        <v>0</v>
      </c>
      <c r="AQ211" s="73">
        <v>0</v>
      </c>
      <c r="AR211" s="74">
        <v>0</v>
      </c>
      <c r="AS211" s="75">
        <v>0</v>
      </c>
      <c r="AT211" s="72"/>
      <c r="AU211" s="73">
        <f>SUMIF($G210:$T210,"A",$G211:$T211)+SUMIF($W210:$AJ210,"A",$W211:$AJ211)</f>
        <v>0</v>
      </c>
      <c r="AV211" s="72"/>
      <c r="AW211" s="76">
        <f>IF(B211="",0,IF($U$9="",0,$U$9))</f>
        <v>0</v>
      </c>
      <c r="AX211" s="84"/>
      <c r="BA211" s="2">
        <v>2022</v>
      </c>
      <c r="BB211" s="2">
        <v>2</v>
      </c>
      <c r="BC211" s="101">
        <f t="shared" si="119"/>
        <v>44563</v>
      </c>
      <c r="BD211" s="101">
        <f t="shared" si="119"/>
        <v>44576</v>
      </c>
    </row>
    <row r="212" spans="1:56" s="53" customFormat="1" ht="27.75" customHeight="1" thickBot="1" x14ac:dyDescent="0.4">
      <c r="A212" s="84"/>
      <c r="B212" s="172" t="s">
        <v>7</v>
      </c>
      <c r="C212" s="173"/>
      <c r="D212" s="173"/>
      <c r="E212" s="174"/>
      <c r="F212" s="124"/>
      <c r="G212" s="169">
        <f>SUM(G162:H211)</f>
        <v>0</v>
      </c>
      <c r="H212" s="169"/>
      <c r="I212" s="169">
        <f>SUM(I162:J211)</f>
        <v>130</v>
      </c>
      <c r="J212" s="169"/>
      <c r="K212" s="169">
        <f>SUM(K162:L211)</f>
        <v>136.25</v>
      </c>
      <c r="L212" s="169"/>
      <c r="M212" s="169">
        <f>SUM(M162:N211)</f>
        <v>136.5</v>
      </c>
      <c r="N212" s="169"/>
      <c r="O212" s="169">
        <f>SUM(O162:P211)</f>
        <v>136.75</v>
      </c>
      <c r="P212" s="169"/>
      <c r="Q212" s="169">
        <f>SUM(Q162:R211)</f>
        <v>135</v>
      </c>
      <c r="R212" s="169"/>
      <c r="S212" s="169">
        <f>SUM(S162:T211)</f>
        <v>0</v>
      </c>
      <c r="T212" s="170"/>
      <c r="U212" s="125">
        <f>SUM(U162:U211)</f>
        <v>674.5</v>
      </c>
      <c r="V212" s="126"/>
      <c r="W212" s="169">
        <f>SUM(W162:X211)</f>
        <v>0</v>
      </c>
      <c r="X212" s="169"/>
      <c r="Y212" s="169">
        <f>SUM(Y162:Z211)</f>
        <v>136.5</v>
      </c>
      <c r="Z212" s="169"/>
      <c r="AA212" s="169">
        <f>SUM(AA162:AB211)</f>
        <v>128.5</v>
      </c>
      <c r="AB212" s="169"/>
      <c r="AC212" s="169">
        <f>SUM(AC162:AD211)</f>
        <v>135.5</v>
      </c>
      <c r="AD212" s="169"/>
      <c r="AE212" s="169">
        <f>SUM(AE162:AF211)</f>
        <v>134.5</v>
      </c>
      <c r="AF212" s="169"/>
      <c r="AG212" s="169">
        <f>SUM(AG162:AH211)</f>
        <v>135.5</v>
      </c>
      <c r="AH212" s="169"/>
      <c r="AI212" s="169">
        <f>SUM(AI162:AJ211)</f>
        <v>0</v>
      </c>
      <c r="AJ212" s="169"/>
      <c r="AK212" s="77">
        <f>SUM(AK162:AK211)</f>
        <v>670.5</v>
      </c>
      <c r="AL212" s="78"/>
      <c r="AM212" s="79">
        <f t="shared" ref="AM212:AS212" si="127">SUM(AM162:AM211)</f>
        <v>1155.75</v>
      </c>
      <c r="AN212" s="79">
        <f t="shared" si="127"/>
        <v>3.25</v>
      </c>
      <c r="AO212" s="79">
        <f t="shared" si="127"/>
        <v>8</v>
      </c>
      <c r="AP212" s="79">
        <f t="shared" si="127"/>
        <v>130</v>
      </c>
      <c r="AQ212" s="79">
        <f t="shared" si="127"/>
        <v>48</v>
      </c>
      <c r="AR212" s="80">
        <f t="shared" si="127"/>
        <v>0</v>
      </c>
      <c r="AS212" s="81">
        <f t="shared" si="127"/>
        <v>1345</v>
      </c>
      <c r="AT212" s="78"/>
      <c r="AU212" s="82">
        <f>SUM(AU162:AU211)</f>
        <v>0</v>
      </c>
      <c r="AV212" s="78"/>
      <c r="AW212" s="83">
        <f>SUM(AW162:AW211)</f>
        <v>1600</v>
      </c>
      <c r="AX212" s="84"/>
      <c r="BA212" s="2">
        <v>2022</v>
      </c>
      <c r="BB212" s="2">
        <v>3</v>
      </c>
      <c r="BC212" s="101">
        <f t="shared" si="119"/>
        <v>44577</v>
      </c>
      <c r="BD212" s="101">
        <f t="shared" si="119"/>
        <v>44590</v>
      </c>
    </row>
    <row r="213" spans="1:56" s="53" customFormat="1" ht="15" thickTop="1" x14ac:dyDescent="0.35">
      <c r="B213" s="2"/>
      <c r="C213" s="2"/>
      <c r="D213" s="2"/>
      <c r="E213" s="2"/>
      <c r="F213" s="111"/>
      <c r="G213" s="127"/>
      <c r="H213" s="127"/>
      <c r="I213" s="127"/>
      <c r="J213" s="127"/>
      <c r="K213" s="127"/>
      <c r="L213" s="127"/>
      <c r="M213" s="127"/>
      <c r="N213" s="127"/>
      <c r="O213" s="127"/>
      <c r="P213" s="127"/>
      <c r="Q213" s="127"/>
      <c r="R213" s="127"/>
      <c r="S213" s="127"/>
      <c r="T213" s="127"/>
      <c r="U213" s="128"/>
      <c r="V213" s="127"/>
      <c r="W213" s="127"/>
      <c r="X213" s="127"/>
      <c r="Y213" s="127"/>
      <c r="Z213" s="127"/>
      <c r="AA213" s="127"/>
      <c r="AB213" s="127"/>
      <c r="AC213" s="127"/>
      <c r="AD213" s="127"/>
      <c r="AE213" s="127"/>
      <c r="AF213" s="127"/>
      <c r="AG213" s="127"/>
      <c r="AH213" s="127"/>
      <c r="AI213" s="127"/>
      <c r="AJ213" s="127"/>
      <c r="AK213" s="56"/>
      <c r="AL213" s="55"/>
      <c r="AM213" s="55"/>
      <c r="AN213" s="55"/>
      <c r="AO213" s="55"/>
      <c r="AP213" s="55"/>
      <c r="AQ213" s="55"/>
      <c r="AR213" s="55"/>
      <c r="AS213" s="55"/>
      <c r="AT213" s="55"/>
      <c r="AU213" s="55"/>
      <c r="AV213" s="55"/>
      <c r="AW213" s="55"/>
      <c r="BA213" s="2">
        <v>2022</v>
      </c>
      <c r="BB213" s="2">
        <v>4</v>
      </c>
      <c r="BC213" s="101">
        <f t="shared" ref="BC213:BD228" si="128">+BC212+14</f>
        <v>44591</v>
      </c>
      <c r="BD213" s="101">
        <f t="shared" si="128"/>
        <v>44604</v>
      </c>
    </row>
    <row r="214" spans="1:56" s="53" customFormat="1" x14ac:dyDescent="0.35">
      <c r="B214" s="2" t="s">
        <v>52</v>
      </c>
      <c r="C214" s="2"/>
      <c r="D214" s="171" t="s">
        <v>80</v>
      </c>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c r="AD214" s="171"/>
      <c r="AE214" s="171"/>
      <c r="AF214" s="171"/>
      <c r="AG214" s="171"/>
      <c r="AH214" s="171"/>
      <c r="AI214" s="171"/>
      <c r="AJ214" s="171"/>
      <c r="AK214" s="56"/>
      <c r="AL214" s="55"/>
      <c r="AM214" s="55"/>
      <c r="AN214" s="55"/>
      <c r="AO214" s="55"/>
      <c r="AP214" s="55"/>
      <c r="AQ214" s="55"/>
      <c r="AR214" s="55"/>
      <c r="AS214" s="55"/>
      <c r="AT214" s="55"/>
      <c r="AU214" s="55"/>
      <c r="AV214" s="55"/>
      <c r="AW214" s="55"/>
      <c r="BA214" s="2">
        <v>2022</v>
      </c>
      <c r="BB214" s="2">
        <v>5</v>
      </c>
      <c r="BC214" s="101">
        <f t="shared" si="128"/>
        <v>44605</v>
      </c>
      <c r="BD214" s="101">
        <f t="shared" si="128"/>
        <v>44618</v>
      </c>
    </row>
    <row r="215" spans="1:56" s="84" customFormat="1" x14ac:dyDescent="0.35">
      <c r="A215" s="53"/>
      <c r="B215" s="2"/>
      <c r="C215" s="2"/>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c r="AC215" s="171"/>
      <c r="AD215" s="171"/>
      <c r="AE215" s="171"/>
      <c r="AF215" s="171"/>
      <c r="AG215" s="171"/>
      <c r="AH215" s="171"/>
      <c r="AI215" s="171"/>
      <c r="AJ215" s="171"/>
      <c r="AK215" s="56"/>
      <c r="AL215" s="55"/>
      <c r="AM215" s="55"/>
      <c r="AN215" s="55"/>
      <c r="AO215" s="55"/>
      <c r="AP215" s="55"/>
      <c r="AQ215" s="55"/>
      <c r="AR215" s="55"/>
      <c r="AS215" s="55"/>
      <c r="AT215" s="55"/>
      <c r="AU215" s="55"/>
      <c r="AV215" s="55"/>
      <c r="AW215" s="55"/>
      <c r="AX215" s="53"/>
      <c r="BA215" s="2">
        <v>2022</v>
      </c>
      <c r="BB215" s="2">
        <v>6</v>
      </c>
      <c r="BC215" s="101">
        <f t="shared" si="128"/>
        <v>44619</v>
      </c>
      <c r="BD215" s="101">
        <f t="shared" si="128"/>
        <v>44632</v>
      </c>
    </row>
    <row r="216" spans="1:56" s="84" customFormat="1" x14ac:dyDescent="0.35">
      <c r="A216" s="53"/>
      <c r="B216" s="2"/>
      <c r="C216" s="2"/>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c r="AC216" s="171"/>
      <c r="AD216" s="171"/>
      <c r="AE216" s="171"/>
      <c r="AF216" s="171"/>
      <c r="AG216" s="171"/>
      <c r="AH216" s="171"/>
      <c r="AI216" s="171"/>
      <c r="AJ216" s="171"/>
      <c r="AK216" s="56"/>
      <c r="AL216" s="55"/>
      <c r="AM216" s="55"/>
      <c r="AN216" s="55"/>
      <c r="AO216" s="55"/>
      <c r="AP216" s="55"/>
      <c r="AQ216" s="55"/>
      <c r="AR216" s="55"/>
      <c r="AS216" s="55"/>
      <c r="AT216" s="55"/>
      <c r="AU216" s="55"/>
      <c r="AV216" s="55"/>
      <c r="AW216" s="55"/>
      <c r="AX216" s="53"/>
      <c r="BA216" s="2">
        <v>2022</v>
      </c>
      <c r="BB216" s="2">
        <v>7</v>
      </c>
      <c r="BC216" s="101">
        <f t="shared" si="128"/>
        <v>44633</v>
      </c>
      <c r="BD216" s="101">
        <f t="shared" si="128"/>
        <v>44646</v>
      </c>
    </row>
    <row r="217" spans="1:56" s="84" customFormat="1" ht="15" customHeight="1" x14ac:dyDescent="0.35">
      <c r="A217" s="53"/>
      <c r="B217" s="54"/>
      <c r="C217" s="53"/>
      <c r="D217" s="53"/>
      <c r="E217" s="53"/>
      <c r="F217" s="98"/>
      <c r="G217" s="55"/>
      <c r="H217" s="55"/>
      <c r="I217" s="55"/>
      <c r="J217" s="55"/>
      <c r="K217" s="55"/>
      <c r="L217" s="55"/>
      <c r="M217" s="55"/>
      <c r="N217" s="55"/>
      <c r="O217" s="55"/>
      <c r="P217" s="55"/>
      <c r="Q217" s="55"/>
      <c r="R217" s="55"/>
      <c r="S217" s="55"/>
      <c r="T217" s="55"/>
      <c r="U217" s="56"/>
      <c r="V217" s="55"/>
      <c r="W217" s="55"/>
      <c r="X217" s="55"/>
      <c r="Y217" s="55"/>
      <c r="Z217" s="55"/>
      <c r="AA217" s="55"/>
      <c r="AB217" s="55"/>
      <c r="AC217" s="55"/>
      <c r="AD217" s="55"/>
      <c r="AE217" s="55"/>
      <c r="AF217" s="55"/>
      <c r="AG217" s="55"/>
      <c r="AH217" s="55"/>
      <c r="AI217" s="55"/>
      <c r="AJ217" s="55"/>
      <c r="AK217" s="56"/>
      <c r="AL217" s="55"/>
      <c r="AM217" s="55"/>
      <c r="AN217" s="55"/>
      <c r="AO217" s="55"/>
      <c r="AP217" s="55"/>
      <c r="AQ217" s="55"/>
      <c r="AR217" s="55"/>
      <c r="AS217" s="55"/>
      <c r="AT217" s="55"/>
      <c r="AU217" s="55"/>
      <c r="AV217" s="55"/>
      <c r="AW217" s="55"/>
      <c r="AX217" s="53"/>
      <c r="BA217" s="2">
        <v>2022</v>
      </c>
      <c r="BB217" s="2">
        <v>8</v>
      </c>
      <c r="BC217" s="101">
        <f t="shared" si="128"/>
        <v>44647</v>
      </c>
      <c r="BD217" s="101">
        <f t="shared" si="128"/>
        <v>44660</v>
      </c>
    </row>
    <row r="218" spans="1:56" s="84" customFormat="1" ht="15" customHeight="1" x14ac:dyDescent="0.35">
      <c r="A218" s="53"/>
      <c r="B218" s="54" t="s">
        <v>53</v>
      </c>
      <c r="C218" s="53"/>
      <c r="D218" s="31" t="s">
        <v>74</v>
      </c>
      <c r="E218" s="34"/>
      <c r="F218" s="99"/>
      <c r="G218" s="34"/>
      <c r="H218" s="34"/>
      <c r="I218" s="34"/>
      <c r="J218" s="34"/>
      <c r="K218" s="53"/>
      <c r="L218" s="55" t="s">
        <v>8</v>
      </c>
      <c r="M218" s="53"/>
      <c r="N218" s="142">
        <f ca="1">NOW()</f>
        <v>44720.650928935182</v>
      </c>
      <c r="O218" s="142"/>
      <c r="P218" s="142"/>
      <c r="Q218" s="53"/>
      <c r="R218" s="53"/>
      <c r="S218" s="53"/>
      <c r="T218" s="53"/>
      <c r="U218" s="53"/>
      <c r="V218" s="55"/>
      <c r="W218" s="55"/>
      <c r="X218" s="55"/>
      <c r="Y218" s="55"/>
      <c r="Z218" s="55"/>
      <c r="AA218" s="55"/>
      <c r="AB218" s="55"/>
      <c r="AC218" s="55"/>
      <c r="AD218" s="55"/>
      <c r="AE218" s="55"/>
      <c r="AF218" s="55"/>
      <c r="AG218" s="55"/>
      <c r="AH218" s="55"/>
      <c r="AI218" s="55"/>
      <c r="AJ218" s="55"/>
      <c r="AK218" s="56"/>
      <c r="AL218" s="55"/>
      <c r="AM218" s="55"/>
      <c r="AN218" s="55"/>
      <c r="AO218" s="55"/>
      <c r="AP218" s="55"/>
      <c r="AQ218" s="55"/>
      <c r="AR218" s="55"/>
      <c r="AS218" s="55"/>
      <c r="AT218" s="55"/>
      <c r="AU218" s="55"/>
      <c r="AV218" s="55"/>
      <c r="AW218" s="55"/>
      <c r="AX218" s="53"/>
      <c r="BA218" s="2">
        <v>2022</v>
      </c>
      <c r="BB218" s="2">
        <v>9</v>
      </c>
      <c r="BC218" s="101">
        <f t="shared" si="128"/>
        <v>44661</v>
      </c>
      <c r="BD218" s="101">
        <f t="shared" si="128"/>
        <v>44674</v>
      </c>
    </row>
    <row r="219" spans="1:56" s="84" customFormat="1" x14ac:dyDescent="0.35">
      <c r="A219" s="53"/>
      <c r="B219" s="54"/>
      <c r="C219" s="53"/>
      <c r="D219" s="53"/>
      <c r="E219" s="53"/>
      <c r="F219" s="98"/>
      <c r="G219" s="55"/>
      <c r="H219" s="55"/>
      <c r="I219" s="55"/>
      <c r="J219" s="55"/>
      <c r="K219" s="53"/>
      <c r="L219" s="55"/>
      <c r="M219" s="53"/>
      <c r="N219" s="55"/>
      <c r="O219" s="56"/>
      <c r="P219" s="53"/>
      <c r="Q219" s="53"/>
      <c r="R219" s="53"/>
      <c r="S219" s="53"/>
      <c r="T219" s="53"/>
      <c r="U219" s="53"/>
      <c r="V219" s="55"/>
      <c r="W219" s="55"/>
      <c r="X219" s="55"/>
      <c r="Y219" s="55"/>
      <c r="Z219" s="55"/>
      <c r="AA219" s="55"/>
      <c r="AB219" s="55"/>
      <c r="AC219" s="55"/>
      <c r="AD219" s="55"/>
      <c r="AE219" s="55"/>
      <c r="AF219" s="55"/>
      <c r="AG219" s="55"/>
      <c r="AH219" s="55"/>
      <c r="AI219" s="55"/>
      <c r="AJ219" s="55"/>
      <c r="AK219" s="56"/>
      <c r="AL219" s="55"/>
      <c r="AM219" s="55"/>
      <c r="AN219" s="55"/>
      <c r="AO219" s="55"/>
      <c r="AP219" s="55"/>
      <c r="AQ219" s="55"/>
      <c r="AR219" s="55"/>
      <c r="AS219" s="55"/>
      <c r="AT219" s="55"/>
      <c r="AU219" s="55"/>
      <c r="AV219" s="55"/>
      <c r="AW219" s="55"/>
      <c r="AX219" s="53"/>
      <c r="BA219" s="2">
        <v>2022</v>
      </c>
      <c r="BB219" s="2">
        <v>10</v>
      </c>
      <c r="BC219" s="101">
        <f t="shared" si="128"/>
        <v>44675</v>
      </c>
      <c r="BD219" s="101">
        <f t="shared" si="128"/>
        <v>44688</v>
      </c>
    </row>
    <row r="220" spans="1:56" s="84" customFormat="1" x14ac:dyDescent="0.35">
      <c r="A220" s="53"/>
      <c r="B220" s="54" t="s">
        <v>54</v>
      </c>
      <c r="C220" s="53"/>
      <c r="D220" s="31"/>
      <c r="E220" s="34"/>
      <c r="F220" s="99"/>
      <c r="G220" s="34"/>
      <c r="H220" s="34"/>
      <c r="I220" s="34"/>
      <c r="J220" s="34"/>
      <c r="K220" s="53"/>
      <c r="L220" s="55" t="s">
        <v>8</v>
      </c>
      <c r="M220" s="53"/>
      <c r="N220" s="142">
        <f ca="1">NOW()</f>
        <v>44720.650928935182</v>
      </c>
      <c r="O220" s="142"/>
      <c r="P220" s="142"/>
      <c r="Q220" s="53"/>
      <c r="R220" s="53"/>
      <c r="S220" s="53"/>
      <c r="T220" s="53"/>
      <c r="U220" s="53"/>
      <c r="V220" s="55"/>
      <c r="W220" s="55"/>
      <c r="X220" s="55"/>
      <c r="Y220" s="55"/>
      <c r="Z220" s="55"/>
      <c r="AA220" s="55"/>
      <c r="AB220" s="55"/>
      <c r="AC220" s="55"/>
      <c r="AD220" s="55"/>
      <c r="AE220" s="55"/>
      <c r="AF220" s="55"/>
      <c r="AG220" s="55"/>
      <c r="AH220" s="55"/>
      <c r="AI220" s="55"/>
      <c r="AJ220" s="55"/>
      <c r="AK220" s="56"/>
      <c r="AL220" s="55"/>
      <c r="AM220" s="55"/>
      <c r="AN220" s="55"/>
      <c r="AO220" s="55"/>
      <c r="AP220" s="55"/>
      <c r="AQ220" s="55"/>
      <c r="AR220" s="55"/>
      <c r="AS220" s="55"/>
      <c r="AT220" s="55"/>
      <c r="AU220" s="55"/>
      <c r="AV220" s="55"/>
      <c r="AW220" s="55"/>
      <c r="AX220" s="53"/>
      <c r="BA220" s="2">
        <v>2022</v>
      </c>
      <c r="BB220" s="2">
        <v>11</v>
      </c>
      <c r="BC220" s="101">
        <f t="shared" si="128"/>
        <v>44689</v>
      </c>
      <c r="BD220" s="101">
        <f t="shared" si="128"/>
        <v>44702</v>
      </c>
    </row>
    <row r="221" spans="1:56" s="84" customFormat="1" x14ac:dyDescent="0.35">
      <c r="A221" s="53"/>
      <c r="B221" s="54"/>
      <c r="C221" s="53"/>
      <c r="D221" s="53"/>
      <c r="E221" s="53"/>
      <c r="F221" s="98"/>
      <c r="G221" s="55"/>
      <c r="H221" s="55"/>
      <c r="I221" s="55"/>
      <c r="J221" s="55"/>
      <c r="K221" s="55"/>
      <c r="L221" s="55"/>
      <c r="M221" s="55"/>
      <c r="N221" s="55"/>
      <c r="O221" s="55"/>
      <c r="P221" s="55"/>
      <c r="Q221" s="55"/>
      <c r="R221" s="55"/>
      <c r="S221" s="55"/>
      <c r="T221" s="55"/>
      <c r="U221" s="56"/>
      <c r="V221" s="55"/>
      <c r="W221" s="55"/>
      <c r="X221" s="55"/>
      <c r="Y221" s="55"/>
      <c r="Z221" s="55"/>
      <c r="AA221" s="55"/>
      <c r="AB221" s="55"/>
      <c r="AC221" s="55"/>
      <c r="AD221" s="55"/>
      <c r="AE221" s="55"/>
      <c r="AF221" s="55"/>
      <c r="AG221" s="55"/>
      <c r="AH221" s="55"/>
      <c r="AI221" s="55"/>
      <c r="AJ221" s="55"/>
      <c r="AK221" s="56"/>
      <c r="AL221" s="55"/>
      <c r="AM221" s="55"/>
      <c r="AN221" s="55"/>
      <c r="AO221" s="55"/>
      <c r="AP221" s="55"/>
      <c r="AQ221" s="55"/>
      <c r="AR221" s="55"/>
      <c r="AS221" s="55"/>
      <c r="AT221" s="55"/>
      <c r="AU221" s="55"/>
      <c r="AV221" s="55"/>
      <c r="AW221" s="55"/>
      <c r="AX221" s="53"/>
      <c r="BA221" s="2">
        <v>2022</v>
      </c>
      <c r="BB221" s="2">
        <v>12</v>
      </c>
      <c r="BC221" s="101">
        <f t="shared" si="128"/>
        <v>44703</v>
      </c>
      <c r="BD221" s="101">
        <f t="shared" si="128"/>
        <v>44716</v>
      </c>
    </row>
    <row r="222" spans="1:56" s="84" customFormat="1" x14ac:dyDescent="0.35">
      <c r="A222" s="53"/>
      <c r="B222" s="54" t="s">
        <v>9</v>
      </c>
      <c r="C222" s="53"/>
      <c r="D222" s="53"/>
      <c r="E222" s="53"/>
      <c r="F222" s="98"/>
      <c r="G222" s="55"/>
      <c r="H222" s="55"/>
      <c r="I222" s="55"/>
      <c r="J222" s="55"/>
      <c r="K222" s="55"/>
      <c r="L222" s="55"/>
      <c r="M222" s="55"/>
      <c r="N222" s="55"/>
      <c r="O222" s="55"/>
      <c r="P222" s="55"/>
      <c r="Q222" s="55"/>
      <c r="R222" s="55"/>
      <c r="S222" s="55"/>
      <c r="T222" s="55"/>
      <c r="U222" s="56"/>
      <c r="V222" s="55"/>
      <c r="W222" s="55"/>
      <c r="X222" s="55"/>
      <c r="Y222" s="55"/>
      <c r="Z222" s="55"/>
      <c r="AA222" s="55"/>
      <c r="AB222" s="55"/>
      <c r="AC222" s="55"/>
      <c r="AD222" s="55"/>
      <c r="AE222" s="55"/>
      <c r="AF222" s="55"/>
      <c r="AG222" s="55"/>
      <c r="AH222" s="55"/>
      <c r="AI222" s="55"/>
      <c r="AJ222" s="55"/>
      <c r="AK222" s="56"/>
      <c r="AL222" s="55"/>
      <c r="AM222" s="55"/>
      <c r="AN222" s="55"/>
      <c r="AO222" s="55"/>
      <c r="AP222" s="55"/>
      <c r="AQ222" s="55"/>
      <c r="AR222" s="55"/>
      <c r="AS222" s="55"/>
      <c r="AT222" s="55"/>
      <c r="AU222" s="55"/>
      <c r="AV222" s="55"/>
      <c r="AW222" s="55"/>
      <c r="AX222" s="53"/>
      <c r="BA222" s="2">
        <v>2022</v>
      </c>
      <c r="BB222" s="2">
        <v>13</v>
      </c>
      <c r="BC222" s="101">
        <f t="shared" si="128"/>
        <v>44717</v>
      </c>
      <c r="BD222" s="101">
        <f t="shared" si="128"/>
        <v>44730</v>
      </c>
    </row>
    <row r="223" spans="1:56" x14ac:dyDescent="0.35">
      <c r="BA223" s="2">
        <v>2022</v>
      </c>
      <c r="BB223" s="2">
        <v>14</v>
      </c>
      <c r="BC223" s="101">
        <f t="shared" si="128"/>
        <v>44731</v>
      </c>
      <c r="BD223" s="101">
        <f t="shared" si="128"/>
        <v>44744</v>
      </c>
    </row>
    <row r="224" spans="1:56" x14ac:dyDescent="0.35">
      <c r="BA224" s="2">
        <v>2022</v>
      </c>
      <c r="BB224" s="2">
        <v>15</v>
      </c>
      <c r="BC224" s="101">
        <f t="shared" si="128"/>
        <v>44745</v>
      </c>
      <c r="BD224" s="101">
        <f t="shared" si="128"/>
        <v>44758</v>
      </c>
    </row>
    <row r="225" spans="2:56" s="84" customFormat="1" ht="28.5" x14ac:dyDescent="0.65">
      <c r="F225" s="50"/>
      <c r="G225" s="143" t="s">
        <v>10</v>
      </c>
      <c r="H225" s="143"/>
      <c r="I225" s="143"/>
      <c r="J225" s="143"/>
      <c r="K225" s="143"/>
      <c r="L225" s="143"/>
      <c r="M225" s="143"/>
      <c r="N225" s="143"/>
      <c r="O225" s="143"/>
      <c r="P225" s="143"/>
      <c r="Q225" s="143"/>
      <c r="R225" s="143"/>
      <c r="S225" s="143"/>
      <c r="T225" s="143"/>
      <c r="U225" s="143"/>
      <c r="W225" s="37" t="s">
        <v>12</v>
      </c>
      <c r="X225" s="86" t="s">
        <v>11</v>
      </c>
      <c r="BA225" s="2">
        <v>2022</v>
      </c>
      <c r="BB225" s="2">
        <v>16</v>
      </c>
      <c r="BC225" s="101">
        <f t="shared" si="128"/>
        <v>44759</v>
      </c>
      <c r="BD225" s="101">
        <f t="shared" si="128"/>
        <v>44772</v>
      </c>
    </row>
    <row r="226" spans="2:56" s="84" customFormat="1" x14ac:dyDescent="0.35">
      <c r="F226" s="50"/>
      <c r="G226" s="84" t="s">
        <v>0</v>
      </c>
      <c r="W226" s="37" t="s">
        <v>13</v>
      </c>
      <c r="X226" s="86" t="s">
        <v>14</v>
      </c>
      <c r="BA226" s="2">
        <v>2022</v>
      </c>
      <c r="BB226" s="2">
        <v>17</v>
      </c>
      <c r="BC226" s="101">
        <f t="shared" si="128"/>
        <v>44773</v>
      </c>
      <c r="BD226" s="101">
        <f t="shared" si="128"/>
        <v>44786</v>
      </c>
    </row>
    <row r="227" spans="2:56" s="84" customFormat="1" x14ac:dyDescent="0.35">
      <c r="F227" s="50"/>
      <c r="W227" s="37" t="s">
        <v>1</v>
      </c>
      <c r="X227" s="86" t="s">
        <v>15</v>
      </c>
      <c r="BA227" s="2">
        <v>2022</v>
      </c>
      <c r="BB227" s="2">
        <v>18</v>
      </c>
      <c r="BC227" s="101">
        <f t="shared" si="128"/>
        <v>44787</v>
      </c>
      <c r="BD227" s="101">
        <f t="shared" si="128"/>
        <v>44800</v>
      </c>
    </row>
    <row r="228" spans="2:56" s="84" customFormat="1" x14ac:dyDescent="0.35">
      <c r="F228" s="50"/>
      <c r="W228" s="37" t="s">
        <v>2</v>
      </c>
      <c r="X228" s="86" t="s">
        <v>16</v>
      </c>
      <c r="BA228" s="2">
        <v>2022</v>
      </c>
      <c r="BB228" s="2">
        <v>19</v>
      </c>
      <c r="BC228" s="101">
        <f t="shared" si="128"/>
        <v>44801</v>
      </c>
      <c r="BD228" s="101">
        <f t="shared" si="128"/>
        <v>44814</v>
      </c>
    </row>
    <row r="229" spans="2:56" s="84" customFormat="1" ht="15" customHeight="1" x14ac:dyDescent="0.35">
      <c r="B229" s="154" t="s">
        <v>35</v>
      </c>
      <c r="F229" s="50"/>
      <c r="G229" s="154" t="s">
        <v>36</v>
      </c>
      <c r="H229" s="154"/>
      <c r="I229" s="154"/>
      <c r="K229" s="154" t="s">
        <v>36</v>
      </c>
      <c r="L229" s="154"/>
      <c r="M229" s="154"/>
      <c r="W229" s="37" t="s">
        <v>3</v>
      </c>
      <c r="X229" s="86" t="s">
        <v>17</v>
      </c>
      <c r="BA229" s="2">
        <v>2022</v>
      </c>
      <c r="BB229" s="2">
        <v>20</v>
      </c>
      <c r="BC229" s="101">
        <f t="shared" ref="BC229:BD244" si="129">+BC228+14</f>
        <v>44815</v>
      </c>
      <c r="BD229" s="101">
        <f t="shared" si="129"/>
        <v>44828</v>
      </c>
    </row>
    <row r="230" spans="2:56" s="84" customFormat="1" x14ac:dyDescent="0.35">
      <c r="B230" s="155"/>
      <c r="D230" s="37" t="s">
        <v>34</v>
      </c>
      <c r="F230" s="50"/>
      <c r="G230" s="154"/>
      <c r="H230" s="154"/>
      <c r="I230" s="154"/>
      <c r="K230" s="154"/>
      <c r="L230" s="154"/>
      <c r="M230" s="154"/>
      <c r="W230" s="38"/>
      <c r="BA230" s="2">
        <v>2022</v>
      </c>
      <c r="BB230" s="2">
        <v>21</v>
      </c>
      <c r="BC230" s="101">
        <f t="shared" si="129"/>
        <v>44829</v>
      </c>
      <c r="BD230" s="101">
        <f t="shared" si="129"/>
        <v>44842</v>
      </c>
    </row>
    <row r="231" spans="2:56" s="84" customFormat="1" x14ac:dyDescent="0.35">
      <c r="B231" s="100">
        <f>B157+1</f>
        <v>13</v>
      </c>
      <c r="D231" s="100">
        <f>D157</f>
        <v>2021</v>
      </c>
      <c r="E231" s="87" t="s">
        <v>38</v>
      </c>
      <c r="F231" s="50"/>
      <c r="G231" s="156">
        <f>K157+1</f>
        <v>44353</v>
      </c>
      <c r="H231" s="157"/>
      <c r="I231" s="158"/>
      <c r="J231" s="37" t="s">
        <v>37</v>
      </c>
      <c r="K231" s="156">
        <f>IF(G231="","",G231+13)</f>
        <v>44366</v>
      </c>
      <c r="L231" s="157"/>
      <c r="M231" s="158"/>
      <c r="P231" s="159" t="s">
        <v>39</v>
      </c>
      <c r="Q231" s="160"/>
      <c r="R231" s="160"/>
      <c r="S231" s="160"/>
      <c r="T231" s="161"/>
      <c r="U231" s="24">
        <v>80</v>
      </c>
      <c r="BA231" s="2">
        <v>2022</v>
      </c>
      <c r="BB231" s="2">
        <v>22</v>
      </c>
      <c r="BC231" s="101">
        <f t="shared" si="129"/>
        <v>44843</v>
      </c>
      <c r="BD231" s="101">
        <f t="shared" si="129"/>
        <v>44856</v>
      </c>
    </row>
    <row r="232" spans="2:56" s="84" customFormat="1" x14ac:dyDescent="0.35">
      <c r="F232" s="50"/>
      <c r="AM232" s="144" t="s">
        <v>4</v>
      </c>
      <c r="AN232" s="144"/>
      <c r="AO232" s="144"/>
      <c r="AP232" s="144"/>
      <c r="AQ232" s="144"/>
      <c r="AR232" s="144"/>
      <c r="AS232" s="144"/>
      <c r="AU232" s="100" t="s">
        <v>4</v>
      </c>
      <c r="BA232" s="2">
        <v>2022</v>
      </c>
      <c r="BB232" s="2">
        <v>23</v>
      </c>
      <c r="BC232" s="101">
        <f t="shared" si="129"/>
        <v>44857</v>
      </c>
      <c r="BD232" s="101">
        <f t="shared" si="129"/>
        <v>44870</v>
      </c>
    </row>
    <row r="233" spans="2:56" s="84" customFormat="1" ht="15" customHeight="1" x14ac:dyDescent="0.35">
      <c r="B233" s="40"/>
      <c r="C233" s="41"/>
      <c r="D233" s="42" t="s">
        <v>32</v>
      </c>
      <c r="E233" s="43" t="s">
        <v>5</v>
      </c>
      <c r="F233" s="50"/>
      <c r="G233" s="162">
        <f>G231</f>
        <v>44353</v>
      </c>
      <c r="H233" s="163"/>
      <c r="I233" s="162">
        <f>IF(G233="","",G233+1)</f>
        <v>44354</v>
      </c>
      <c r="J233" s="163"/>
      <c r="K233" s="162">
        <f>IF(I233="","",I233+1)</f>
        <v>44355</v>
      </c>
      <c r="L233" s="163"/>
      <c r="M233" s="162">
        <f>IF(K233="","",K233+1)</f>
        <v>44356</v>
      </c>
      <c r="N233" s="163"/>
      <c r="O233" s="162">
        <f>IF(M233="","",M233+1)</f>
        <v>44357</v>
      </c>
      <c r="P233" s="163"/>
      <c r="Q233" s="162">
        <f>IF(O233="","",O233+1)</f>
        <v>44358</v>
      </c>
      <c r="R233" s="163"/>
      <c r="S233" s="162">
        <f>IF(Q233="","",Q233+1)</f>
        <v>44359</v>
      </c>
      <c r="T233" s="164"/>
      <c r="U233" s="44"/>
      <c r="W233" s="162">
        <f>IF(S233="","",S233+1)</f>
        <v>44360</v>
      </c>
      <c r="X233" s="163"/>
      <c r="Y233" s="162">
        <f>IF(W233="","",W233+1)</f>
        <v>44361</v>
      </c>
      <c r="Z233" s="163"/>
      <c r="AA233" s="162">
        <f>IF(Y233="","",Y233+1)</f>
        <v>44362</v>
      </c>
      <c r="AB233" s="163"/>
      <c r="AC233" s="162">
        <f>IF(AA233="","",AA233+1)</f>
        <v>44363</v>
      </c>
      <c r="AD233" s="163"/>
      <c r="AE233" s="162">
        <f>IF(AC233="","",AC233+1)</f>
        <v>44364</v>
      </c>
      <c r="AF233" s="163"/>
      <c r="AG233" s="162">
        <f>IF(AE233="","",AE233+1)</f>
        <v>44365</v>
      </c>
      <c r="AH233" s="163"/>
      <c r="AI233" s="162">
        <f>IF(AG233="","",AG233+1)</f>
        <v>44366</v>
      </c>
      <c r="AJ233" s="164"/>
      <c r="AK233" s="44"/>
      <c r="AM233" s="145" t="s">
        <v>18</v>
      </c>
      <c r="AN233" s="165" t="s">
        <v>55</v>
      </c>
      <c r="AO233" s="145" t="s">
        <v>19</v>
      </c>
      <c r="AP233" s="145" t="s">
        <v>20</v>
      </c>
      <c r="AQ233" s="145" t="s">
        <v>21</v>
      </c>
      <c r="AR233" s="166" t="s">
        <v>22</v>
      </c>
      <c r="AS233" s="167" t="s">
        <v>23</v>
      </c>
      <c r="AU233" s="144" t="s">
        <v>6</v>
      </c>
      <c r="AW233" s="145" t="s">
        <v>24</v>
      </c>
      <c r="BA233" s="2">
        <v>2022</v>
      </c>
      <c r="BB233" s="2">
        <v>24</v>
      </c>
      <c r="BC233" s="101">
        <f t="shared" si="129"/>
        <v>44871</v>
      </c>
      <c r="BD233" s="101">
        <f t="shared" si="129"/>
        <v>44884</v>
      </c>
    </row>
    <row r="234" spans="2:56" s="84" customFormat="1" x14ac:dyDescent="0.35">
      <c r="B234" s="45" t="s">
        <v>33</v>
      </c>
      <c r="C234" s="46"/>
      <c r="D234" s="47"/>
      <c r="E234" s="47"/>
      <c r="F234" s="50"/>
      <c r="G234" s="146" t="s">
        <v>25</v>
      </c>
      <c r="H234" s="147"/>
      <c r="I234" s="146" t="s">
        <v>26</v>
      </c>
      <c r="J234" s="147"/>
      <c r="K234" s="146" t="s">
        <v>27</v>
      </c>
      <c r="L234" s="147"/>
      <c r="M234" s="146" t="s">
        <v>28</v>
      </c>
      <c r="N234" s="147"/>
      <c r="O234" s="146" t="s">
        <v>29</v>
      </c>
      <c r="P234" s="147"/>
      <c r="Q234" s="146" t="s">
        <v>30</v>
      </c>
      <c r="R234" s="147"/>
      <c r="S234" s="146" t="s">
        <v>31</v>
      </c>
      <c r="T234" s="148"/>
      <c r="U234" s="48" t="s">
        <v>7</v>
      </c>
      <c r="W234" s="146" t="s">
        <v>25</v>
      </c>
      <c r="X234" s="147"/>
      <c r="Y234" s="146" t="s">
        <v>26</v>
      </c>
      <c r="Z234" s="147"/>
      <c r="AA234" s="146" t="s">
        <v>27</v>
      </c>
      <c r="AB234" s="147"/>
      <c r="AC234" s="146" t="s">
        <v>28</v>
      </c>
      <c r="AD234" s="147"/>
      <c r="AE234" s="146" t="s">
        <v>29</v>
      </c>
      <c r="AF234" s="147"/>
      <c r="AG234" s="146" t="s">
        <v>30</v>
      </c>
      <c r="AH234" s="147"/>
      <c r="AI234" s="146" t="s">
        <v>31</v>
      </c>
      <c r="AJ234" s="148"/>
      <c r="AK234" s="48" t="s">
        <v>7</v>
      </c>
      <c r="AM234" s="145"/>
      <c r="AN234" s="165"/>
      <c r="AO234" s="145"/>
      <c r="AP234" s="145"/>
      <c r="AQ234" s="145"/>
      <c r="AR234" s="166"/>
      <c r="AS234" s="167"/>
      <c r="AU234" s="144"/>
      <c r="AW234" s="145"/>
      <c r="BA234" s="2">
        <v>2022</v>
      </c>
      <c r="BB234" s="2">
        <v>25</v>
      </c>
      <c r="BC234" s="101">
        <f t="shared" si="129"/>
        <v>44885</v>
      </c>
      <c r="BD234" s="101">
        <f t="shared" si="129"/>
        <v>44898</v>
      </c>
    </row>
    <row r="235" spans="2:56" s="84" customFormat="1" x14ac:dyDescent="0.35">
      <c r="B235" s="63"/>
      <c r="C235" s="25"/>
      <c r="D235" s="25"/>
      <c r="E235" s="25"/>
      <c r="F235" s="50"/>
      <c r="BA235" s="2">
        <v>2022</v>
      </c>
      <c r="BB235" s="2">
        <v>26</v>
      </c>
      <c r="BC235" s="101">
        <f t="shared" si="129"/>
        <v>44899</v>
      </c>
      <c r="BD235" s="101">
        <f t="shared" si="129"/>
        <v>44912</v>
      </c>
    </row>
    <row r="236" spans="2:56" s="84" customFormat="1" x14ac:dyDescent="0.35">
      <c r="B236" s="107"/>
      <c r="C236" s="108"/>
      <c r="D236" s="109">
        <f>IF(D162="","",D162)</f>
        <v>31428</v>
      </c>
      <c r="E236" s="110" t="str">
        <f>IF(E162="","",E162)</f>
        <v/>
      </c>
      <c r="F236" s="111">
        <f>B231</f>
        <v>13</v>
      </c>
      <c r="G236" s="112"/>
      <c r="H236" s="113"/>
      <c r="I236" s="106"/>
      <c r="J236" s="105"/>
      <c r="K236" s="106"/>
      <c r="L236" s="105"/>
      <c r="M236" s="106"/>
      <c r="N236" s="105" t="s">
        <v>3</v>
      </c>
      <c r="O236" s="106"/>
      <c r="P236" s="105" t="s">
        <v>3</v>
      </c>
      <c r="Q236" s="106"/>
      <c r="R236" s="105" t="s">
        <v>3</v>
      </c>
      <c r="S236" s="112"/>
      <c r="T236" s="113"/>
      <c r="U236" s="114"/>
      <c r="V236" s="2"/>
      <c r="W236" s="112"/>
      <c r="X236" s="113"/>
      <c r="Y236" s="106"/>
      <c r="Z236" s="105" t="s">
        <v>3</v>
      </c>
      <c r="AA236" s="106"/>
      <c r="AB236" s="105" t="s">
        <v>3</v>
      </c>
      <c r="AC236" s="106"/>
      <c r="AD236" s="105" t="s">
        <v>3</v>
      </c>
      <c r="AE236" s="106"/>
      <c r="AF236" s="105" t="s">
        <v>3</v>
      </c>
      <c r="AG236" s="106"/>
      <c r="AH236" s="105" t="s">
        <v>3</v>
      </c>
      <c r="AI236" s="112"/>
      <c r="AJ236" s="113"/>
      <c r="AK236" s="44"/>
      <c r="AM236" s="49"/>
      <c r="AN236" s="49"/>
      <c r="AO236" s="49"/>
      <c r="AP236" s="49"/>
      <c r="AQ236" s="49"/>
      <c r="AR236" s="40"/>
      <c r="AS236" s="51"/>
      <c r="AU236" s="49"/>
      <c r="AW236" s="52"/>
      <c r="BA236" s="2">
        <v>2023</v>
      </c>
      <c r="BB236" s="2">
        <v>1</v>
      </c>
      <c r="BC236" s="101">
        <f t="shared" si="129"/>
        <v>44913</v>
      </c>
      <c r="BD236" s="101">
        <f t="shared" si="129"/>
        <v>44926</v>
      </c>
    </row>
    <row r="237" spans="2:56" s="84" customFormat="1" x14ac:dyDescent="0.35">
      <c r="B237" s="30" t="str">
        <f>IF(B163="","",B163)</f>
        <v>Gaulin, Francis</v>
      </c>
      <c r="C237" s="115"/>
      <c r="D237" s="116"/>
      <c r="E237" s="117">
        <f t="shared" ref="E237:E285" si="130">IF(E163="","",E163)</f>
        <v>93542</v>
      </c>
      <c r="F237" s="111">
        <f>B231</f>
        <v>13</v>
      </c>
      <c r="G237" s="95"/>
      <c r="H237" s="118"/>
      <c r="I237" s="104"/>
      <c r="J237" s="103">
        <v>8</v>
      </c>
      <c r="K237" s="104"/>
      <c r="L237" s="103">
        <v>8</v>
      </c>
      <c r="M237" s="104"/>
      <c r="N237" s="103">
        <v>0</v>
      </c>
      <c r="O237" s="104"/>
      <c r="P237" s="103">
        <v>0</v>
      </c>
      <c r="Q237" s="104"/>
      <c r="R237" s="103">
        <v>0</v>
      </c>
      <c r="S237" s="119"/>
      <c r="T237" s="118"/>
      <c r="U237" s="120">
        <f>SUM(G237:T237)</f>
        <v>16</v>
      </c>
      <c r="V237" s="121"/>
      <c r="W237" s="119"/>
      <c r="X237" s="118"/>
      <c r="Y237" s="104"/>
      <c r="Z237" s="103">
        <v>0</v>
      </c>
      <c r="AA237" s="104"/>
      <c r="AB237" s="103">
        <v>0</v>
      </c>
      <c r="AC237" s="104"/>
      <c r="AD237" s="103">
        <v>0</v>
      </c>
      <c r="AE237" s="104"/>
      <c r="AF237" s="103">
        <v>0</v>
      </c>
      <c r="AG237" s="104"/>
      <c r="AH237" s="103">
        <v>0</v>
      </c>
      <c r="AI237" s="119"/>
      <c r="AJ237" s="118"/>
      <c r="AK237" s="71">
        <f>SUM(W237:AJ237)</f>
        <v>0</v>
      </c>
      <c r="AL237" s="72"/>
      <c r="AM237" s="73">
        <f>SUMIF($G236:$T236,"",$G237:$T237)+SUMIF($W236:$AJ236,"",$W237:$AJ237)-AN237</f>
        <v>16</v>
      </c>
      <c r="AN237" s="88">
        <f>IF(SUMIF($G236:$T236,"",$G237:$T237)+SUMIF($G236:$T236,"F",$G237:$T237)+SUMIF($G236:$T236,"V",$G237:$T237)-40&lt;0,0,SUMIF($G236:$T236,"",$G237:$T237)+SUMIF($G236:$T236,"F",$G237:$T237)+SUMIF($G236:$T236,"V",$G237:$T237)-($U$9/2))+IF(SUMIF($W236:$AJ236,"",$W237:$AJ237)+SUMIF($W236:$AJ236,"F",$W237:$AJ237)+SUMIF($W236:$AJ236,"V",$W237:$AJ237)-40&lt;0,0,SUMIF($W236:$AJ236,"",$W237:$AJ237)+SUMIF($W236:$AJ236,"F",$W237:$AJ237)+SUMIF($W236:$AJ236,"V",$W237:$AJ237)-($U$9/2))</f>
        <v>0</v>
      </c>
      <c r="AO237" s="73">
        <f>SUMIF($G236:$T236,"M",$G237:$T237)+SUMIF($W236:$AJ236,"M",$W237:$AJ237)</f>
        <v>0</v>
      </c>
      <c r="AP237" s="73">
        <f>SUMIF($G236:$T236,"F",$G237:$T237)+SUMIF($W236:$AJ236,"F",$W237:$AJ237)</f>
        <v>0</v>
      </c>
      <c r="AQ237" s="73">
        <f>SUMIF($G236:$T236,"V",$G237:$T237)+SUMIF($W236:$AJ236,"V",$W237:$AJ237)</f>
        <v>0</v>
      </c>
      <c r="AR237" s="74">
        <f>SUMIF($G236:$T236,"O",$G237:$T237)+SUMIF($W236:$AJ236,"O",$W237:$AJ237)</f>
        <v>0</v>
      </c>
      <c r="AS237" s="75">
        <f>SUM(AM237:AR237)</f>
        <v>16</v>
      </c>
      <c r="AT237" s="72"/>
      <c r="AU237" s="73">
        <f>SUMIF($G236:$T236,"A",$G237:$T237)+SUMIF($W236:$AJ236,"A",$W237:$AJ237)</f>
        <v>0</v>
      </c>
      <c r="AV237" s="72"/>
      <c r="AW237" s="76">
        <f>IF(B237="",0,IF($U$9="",0,$U$9))</f>
        <v>80</v>
      </c>
      <c r="BA237" s="2">
        <v>2023</v>
      </c>
      <c r="BB237" s="2">
        <v>2</v>
      </c>
      <c r="BC237" s="101">
        <f t="shared" si="129"/>
        <v>44927</v>
      </c>
      <c r="BD237" s="101">
        <f t="shared" si="129"/>
        <v>44940</v>
      </c>
    </row>
    <row r="238" spans="2:56" s="84" customFormat="1" x14ac:dyDescent="0.35">
      <c r="B238" s="107"/>
      <c r="C238" s="108"/>
      <c r="D238" s="109">
        <f>IF(D164="","",D164)</f>
        <v>24287</v>
      </c>
      <c r="E238" s="110" t="str">
        <f t="shared" si="130"/>
        <v/>
      </c>
      <c r="F238" s="111">
        <f>B231</f>
        <v>13</v>
      </c>
      <c r="G238" s="112"/>
      <c r="H238" s="113"/>
      <c r="I238" s="106"/>
      <c r="J238" s="105"/>
      <c r="K238" s="106"/>
      <c r="L238" s="105"/>
      <c r="M238" s="106"/>
      <c r="N238" s="105"/>
      <c r="O238" s="106"/>
      <c r="P238" s="105"/>
      <c r="Q238" s="106"/>
      <c r="R238" s="105"/>
      <c r="S238" s="112"/>
      <c r="T238" s="113"/>
      <c r="U238" s="114"/>
      <c r="V238" s="2"/>
      <c r="W238" s="112"/>
      <c r="X238" s="113"/>
      <c r="Y238" s="106"/>
      <c r="Z238" s="105"/>
      <c r="AA238" s="106"/>
      <c r="AB238" s="105"/>
      <c r="AC238" s="106"/>
      <c r="AD238" s="105"/>
      <c r="AE238" s="106"/>
      <c r="AF238" s="105"/>
      <c r="AG238" s="106"/>
      <c r="AH238" s="105"/>
      <c r="AI238" s="112"/>
      <c r="AJ238" s="113"/>
      <c r="AK238" s="44"/>
      <c r="AM238" s="49"/>
      <c r="AN238" s="49"/>
      <c r="AO238" s="49"/>
      <c r="AP238" s="49"/>
      <c r="AQ238" s="49"/>
      <c r="AR238" s="40"/>
      <c r="AS238" s="51"/>
      <c r="AU238" s="49"/>
      <c r="AW238" s="52"/>
      <c r="BA238" s="2">
        <v>2023</v>
      </c>
      <c r="BB238" s="2">
        <v>3</v>
      </c>
      <c r="BC238" s="101">
        <f t="shared" si="129"/>
        <v>44941</v>
      </c>
      <c r="BD238" s="101">
        <f t="shared" si="129"/>
        <v>44954</v>
      </c>
    </row>
    <row r="239" spans="2:56" s="84" customFormat="1" x14ac:dyDescent="0.35">
      <c r="B239" s="30" t="str">
        <f>IF(B165="","",B165)</f>
        <v>Barrata, Dominic(Avance $500.00)</v>
      </c>
      <c r="C239" s="115"/>
      <c r="D239" s="116"/>
      <c r="E239" s="117">
        <f t="shared" si="130"/>
        <v>93595935</v>
      </c>
      <c r="F239" s="111">
        <f>B231</f>
        <v>13</v>
      </c>
      <c r="G239" s="119"/>
      <c r="H239" s="118"/>
      <c r="I239" s="104"/>
      <c r="J239" s="103" t="s">
        <v>69</v>
      </c>
      <c r="K239" s="104"/>
      <c r="L239" s="103" t="s">
        <v>69</v>
      </c>
      <c r="M239" s="104"/>
      <c r="N239" s="103" t="s">
        <v>69</v>
      </c>
      <c r="O239" s="104"/>
      <c r="P239" s="103" t="s">
        <v>69</v>
      </c>
      <c r="Q239" s="104"/>
      <c r="R239" s="103" t="s">
        <v>69</v>
      </c>
      <c r="S239" s="119"/>
      <c r="T239" s="118"/>
      <c r="U239" s="120">
        <f t="shared" ref="U239" si="131">SUM(G239:T239)</f>
        <v>0</v>
      </c>
      <c r="V239" s="121"/>
      <c r="W239" s="119"/>
      <c r="X239" s="118"/>
      <c r="Y239" s="104"/>
      <c r="Z239" s="103" t="s">
        <v>69</v>
      </c>
      <c r="AA239" s="104"/>
      <c r="AB239" s="103" t="s">
        <v>69</v>
      </c>
      <c r="AC239" s="104"/>
      <c r="AD239" s="103" t="s">
        <v>69</v>
      </c>
      <c r="AE239" s="104"/>
      <c r="AF239" s="103" t="s">
        <v>69</v>
      </c>
      <c r="AG239" s="104"/>
      <c r="AH239" s="103" t="s">
        <v>69</v>
      </c>
      <c r="AI239" s="119"/>
      <c r="AJ239" s="118"/>
      <c r="AK239" s="71">
        <f>SUM(W239:AJ239)</f>
        <v>0</v>
      </c>
      <c r="AL239" s="72"/>
      <c r="AM239" s="73">
        <f>SUMIF($G238:$T238,"",$G239:$T239)+SUMIF($W238:$AJ238,"",$W239:$AJ239)-AN239</f>
        <v>0</v>
      </c>
      <c r="AN239" s="88">
        <f>IF(SUMIF($G238:$T238,"",$G239:$T239)+SUMIF($G238:$T238,"F",$G239:$T239)+SUMIF($G238:$T238,"V",$G239:$T239)-40&lt;0,0,SUMIF($G238:$T238,"",$G239:$T239)+SUMIF($G238:$T238,"F",$G239:$T239)+SUMIF($G238:$T238,"V",$G239:$T239)-($U$9/2))+IF(SUMIF($W238:$AJ238,"",$W239:$AJ239)+SUMIF($W238:$AJ238,"F",$W239:$AJ239)+SUMIF($W238:$AJ238,"V",$W239:$AJ239)-40&lt;0,0,SUMIF($W238:$AJ238,"",$W239:$AJ239)+SUMIF($W238:$AJ238,"F",$W239:$AJ239)+SUMIF($W238:$AJ238,"V",$W239:$AJ239)-($U$9/2))</f>
        <v>0</v>
      </c>
      <c r="AO239" s="73">
        <f>SUMIF($G238:$T238,"M",$G239:$T239)+SUMIF($W238:$AJ238,"M",$W239:$AJ239)</f>
        <v>0</v>
      </c>
      <c r="AP239" s="73">
        <f>SUMIF($G238:$T238,"F",$G239:$T239)+SUMIF($W238:$AJ238,"F",$W239:$AJ239)</f>
        <v>0</v>
      </c>
      <c r="AQ239" s="73">
        <f>SUMIF($G238:$T238,"V",$G239:$T239)+SUMIF($W238:$AJ238,"V",$W239:$AJ239)</f>
        <v>0</v>
      </c>
      <c r="AR239" s="74">
        <f>SUMIF($G238:$T238,"O",$G239:$T239)+SUMIF($W238:$AJ238,"O",$W239:$AJ239)</f>
        <v>0</v>
      </c>
      <c r="AS239" s="75">
        <f>SUM(AM239:AR239)</f>
        <v>0</v>
      </c>
      <c r="AT239" s="72"/>
      <c r="AU239" s="73">
        <f>SUMIF($G238:$T238,"A",$G239:$T239)+SUMIF($W238:$AJ238,"A",$W239:$AJ239)</f>
        <v>0</v>
      </c>
      <c r="AV239" s="72"/>
      <c r="AW239" s="76">
        <f>IF(B239="",0,IF($U$9="",0,$U$9))</f>
        <v>80</v>
      </c>
      <c r="BA239" s="2">
        <v>2023</v>
      </c>
      <c r="BB239" s="2">
        <v>4</v>
      </c>
      <c r="BC239" s="101">
        <f t="shared" si="129"/>
        <v>44955</v>
      </c>
      <c r="BD239" s="101">
        <f t="shared" si="129"/>
        <v>44968</v>
      </c>
    </row>
    <row r="240" spans="2:56" s="84" customFormat="1" x14ac:dyDescent="0.35">
      <c r="B240" s="107"/>
      <c r="C240" s="108"/>
      <c r="D240" s="109">
        <f>IF(D166="","",D166)</f>
        <v>92032</v>
      </c>
      <c r="E240" s="110" t="str">
        <f t="shared" si="130"/>
        <v/>
      </c>
      <c r="F240" s="111">
        <f>B231</f>
        <v>13</v>
      </c>
      <c r="G240" s="112"/>
      <c r="H240" s="113"/>
      <c r="I240" s="106"/>
      <c r="J240" s="105"/>
      <c r="K240" s="106"/>
      <c r="L240" s="105"/>
      <c r="M240" s="106"/>
      <c r="N240" s="105"/>
      <c r="O240" s="106"/>
      <c r="P240" s="105"/>
      <c r="Q240" s="106"/>
      <c r="R240" s="105"/>
      <c r="S240" s="112"/>
      <c r="T240" s="113"/>
      <c r="U240" s="114"/>
      <c r="V240" s="2"/>
      <c r="W240" s="112"/>
      <c r="X240" s="113"/>
      <c r="Y240" s="106"/>
      <c r="Z240" s="105"/>
      <c r="AA240" s="106"/>
      <c r="AB240" s="105"/>
      <c r="AC240" s="106"/>
      <c r="AD240" s="105"/>
      <c r="AE240" s="106"/>
      <c r="AF240" s="105"/>
      <c r="AG240" s="106"/>
      <c r="AH240" s="105"/>
      <c r="AI240" s="112"/>
      <c r="AJ240" s="113"/>
      <c r="AK240" s="44"/>
      <c r="AM240" s="49"/>
      <c r="AN240" s="49"/>
      <c r="AO240" s="49"/>
      <c r="AP240" s="49"/>
      <c r="AQ240" s="49"/>
      <c r="AR240" s="40"/>
      <c r="AS240" s="51"/>
      <c r="AU240" s="49"/>
      <c r="AW240" s="52"/>
      <c r="BA240" s="2">
        <v>2023</v>
      </c>
      <c r="BB240" s="2">
        <v>5</v>
      </c>
      <c r="BC240" s="101">
        <f t="shared" si="129"/>
        <v>44969</v>
      </c>
      <c r="BD240" s="101">
        <f t="shared" si="129"/>
        <v>44982</v>
      </c>
    </row>
    <row r="241" spans="2:56" s="84" customFormat="1" x14ac:dyDescent="0.35">
      <c r="B241" s="30" t="str">
        <f>IF(B167="","",B167)</f>
        <v>Benoit, Jean-Paul(Avance $1,600.00)</v>
      </c>
      <c r="C241" s="115"/>
      <c r="D241" s="116"/>
      <c r="E241" s="117">
        <f t="shared" si="130"/>
        <v>93595935</v>
      </c>
      <c r="F241" s="111">
        <f>B231</f>
        <v>13</v>
      </c>
      <c r="G241" s="119"/>
      <c r="H241" s="118"/>
      <c r="I241" s="104"/>
      <c r="J241" s="103" t="s">
        <v>69</v>
      </c>
      <c r="K241" s="104"/>
      <c r="L241" s="103" t="s">
        <v>69</v>
      </c>
      <c r="M241" s="104"/>
      <c r="N241" s="103" t="s">
        <v>69</v>
      </c>
      <c r="O241" s="104"/>
      <c r="P241" s="103" t="s">
        <v>69</v>
      </c>
      <c r="Q241" s="104"/>
      <c r="R241" s="103" t="s">
        <v>69</v>
      </c>
      <c r="S241" s="119"/>
      <c r="T241" s="118"/>
      <c r="U241" s="120">
        <f t="shared" ref="U241" si="132">SUM(G241:T241)</f>
        <v>0</v>
      </c>
      <c r="V241" s="121"/>
      <c r="W241" s="119"/>
      <c r="X241" s="118"/>
      <c r="Y241" s="104"/>
      <c r="Z241" s="103" t="s">
        <v>69</v>
      </c>
      <c r="AA241" s="104"/>
      <c r="AB241" s="103" t="s">
        <v>69</v>
      </c>
      <c r="AC241" s="104"/>
      <c r="AD241" s="103" t="s">
        <v>69</v>
      </c>
      <c r="AE241" s="104"/>
      <c r="AF241" s="103" t="s">
        <v>69</v>
      </c>
      <c r="AG241" s="104"/>
      <c r="AH241" s="103" t="s">
        <v>69</v>
      </c>
      <c r="AI241" s="119"/>
      <c r="AJ241" s="118"/>
      <c r="AK241" s="71">
        <f>SUM(W241:AJ241)</f>
        <v>0</v>
      </c>
      <c r="AL241" s="72"/>
      <c r="AM241" s="73">
        <f>SUMIF($G240:$T240,"",$G241:$T241)+SUMIF($W240:$AJ240,"",$W241:$AJ241)-AN241</f>
        <v>0</v>
      </c>
      <c r="AN241" s="88">
        <f>IF(SUMIF($G240:$T240,"",$G241:$T241)+SUMIF($G240:$T240,"F",$G241:$T241)+SUMIF($G240:$T240,"V",$G241:$T241)-40&lt;0,0,SUMIF($G240:$T240,"",$G241:$T241)+SUMIF($G240:$T240,"F",$G241:$T241)+SUMIF($G240:$T240,"V",$G241:$T241)-($U$9/2))+IF(SUMIF($W240:$AJ240,"",$W241:$AJ241)+SUMIF($W240:$AJ240,"F",$W241:$AJ241)+SUMIF($W240:$AJ240,"V",$W241:$AJ241)-40&lt;0,0,SUMIF($W240:$AJ240,"",$W241:$AJ241)+SUMIF($W240:$AJ240,"F",$W241:$AJ241)+SUMIF($W240:$AJ240,"V",$W241:$AJ241)-($U$9/2))</f>
        <v>0</v>
      </c>
      <c r="AO241" s="73">
        <f>SUMIF($G240:$T240,"M",$G241:$T241)+SUMIF($W240:$AJ240,"M",$W241:$AJ241)</f>
        <v>0</v>
      </c>
      <c r="AP241" s="73">
        <f>SUMIF($G240:$T240,"F",$G241:$T241)+SUMIF($W240:$AJ240,"F",$W241:$AJ241)</f>
        <v>0</v>
      </c>
      <c r="AQ241" s="73">
        <f>SUMIF($G240:$T240,"V",$G241:$T241)+SUMIF($W240:$AJ240,"V",$W241:$AJ241)</f>
        <v>0</v>
      </c>
      <c r="AR241" s="74">
        <f>SUMIF($G240:$T240,"O",$G241:$T241)+SUMIF($W240:$AJ240,"O",$W241:$AJ241)</f>
        <v>0</v>
      </c>
      <c r="AS241" s="75">
        <f>SUM(AM241:AR241)</f>
        <v>0</v>
      </c>
      <c r="AT241" s="72"/>
      <c r="AU241" s="73">
        <f>SUMIF($G240:$T240,"A",$G241:$T241)+SUMIF($W240:$AJ240,"A",$W241:$AJ241)</f>
        <v>0</v>
      </c>
      <c r="AV241" s="72"/>
      <c r="AW241" s="76">
        <f>IF(B241="",0,IF($U$9="",0,$U$9))</f>
        <v>80</v>
      </c>
      <c r="BA241" s="2">
        <v>2023</v>
      </c>
      <c r="BB241" s="2">
        <v>6</v>
      </c>
      <c r="BC241" s="101">
        <f t="shared" si="129"/>
        <v>44983</v>
      </c>
      <c r="BD241" s="101">
        <f t="shared" si="129"/>
        <v>44996</v>
      </c>
    </row>
    <row r="242" spans="2:56" s="84" customFormat="1" x14ac:dyDescent="0.35">
      <c r="B242" s="107"/>
      <c r="C242" s="108"/>
      <c r="D242" s="109">
        <f>IF(D168="","",D168)</f>
        <v>81077</v>
      </c>
      <c r="E242" s="110" t="str">
        <f t="shared" si="130"/>
        <v/>
      </c>
      <c r="F242" s="111">
        <f>B231</f>
        <v>13</v>
      </c>
      <c r="G242" s="122"/>
      <c r="H242" s="123"/>
      <c r="I242" s="106"/>
      <c r="J242" s="105"/>
      <c r="K242" s="106"/>
      <c r="L242" s="105"/>
      <c r="M242" s="106"/>
      <c r="N242" s="105"/>
      <c r="O242" s="106"/>
      <c r="P242" s="105"/>
      <c r="Q242" s="106"/>
      <c r="R242" s="105"/>
      <c r="S242" s="112"/>
      <c r="T242" s="113"/>
      <c r="U242" s="114"/>
      <c r="V242" s="2"/>
      <c r="W242" s="112"/>
      <c r="X242" s="113"/>
      <c r="Y242" s="106"/>
      <c r="Z242" s="105"/>
      <c r="AA242" s="106"/>
      <c r="AB242" s="105"/>
      <c r="AC242" s="106"/>
      <c r="AD242" s="105"/>
      <c r="AE242" s="106"/>
      <c r="AF242" s="105"/>
      <c r="AG242" s="106"/>
      <c r="AH242" s="105"/>
      <c r="AI242" s="112"/>
      <c r="AJ242" s="113"/>
      <c r="AK242" s="44"/>
      <c r="AM242" s="49"/>
      <c r="AN242" s="49"/>
      <c r="AO242" s="49"/>
      <c r="AP242" s="49"/>
      <c r="AQ242" s="49"/>
      <c r="AR242" s="40"/>
      <c r="AS242" s="51"/>
      <c r="AU242" s="49"/>
      <c r="AW242" s="52"/>
      <c r="BA242" s="2">
        <v>2023</v>
      </c>
      <c r="BB242" s="2">
        <v>7</v>
      </c>
      <c r="BC242" s="101">
        <f t="shared" si="129"/>
        <v>44997</v>
      </c>
      <c r="BD242" s="101">
        <f t="shared" si="129"/>
        <v>45010</v>
      </c>
    </row>
    <row r="243" spans="2:56" s="84" customFormat="1" x14ac:dyDescent="0.35">
      <c r="B243" s="30" t="str">
        <f>IF(B169="","",B169)</f>
        <v>Bourassa, Julie</v>
      </c>
      <c r="C243" s="115"/>
      <c r="D243" s="116"/>
      <c r="E243" s="117">
        <f t="shared" si="130"/>
        <v>93540</v>
      </c>
      <c r="F243" s="111">
        <f>B231</f>
        <v>13</v>
      </c>
      <c r="G243" s="122"/>
      <c r="H243" s="123"/>
      <c r="I243" s="104"/>
      <c r="J243" s="103">
        <v>8</v>
      </c>
      <c r="K243" s="104"/>
      <c r="L243" s="103">
        <v>8.5</v>
      </c>
      <c r="M243" s="104"/>
      <c r="N243" s="103">
        <v>8</v>
      </c>
      <c r="O243" s="104"/>
      <c r="P243" s="103">
        <v>8.5</v>
      </c>
      <c r="Q243" s="104"/>
      <c r="R243" s="103">
        <v>8</v>
      </c>
      <c r="S243" s="119"/>
      <c r="T243" s="118"/>
      <c r="U243" s="120">
        <f t="shared" ref="U243" si="133">SUM(G243:T243)</f>
        <v>41</v>
      </c>
      <c r="V243" s="121"/>
      <c r="W243" s="119"/>
      <c r="X243" s="118"/>
      <c r="Y243" s="104"/>
      <c r="Z243" s="103">
        <v>8</v>
      </c>
      <c r="AA243" s="104"/>
      <c r="AB243" s="103">
        <v>8.5</v>
      </c>
      <c r="AC243" s="104"/>
      <c r="AD243" s="103">
        <v>8</v>
      </c>
      <c r="AE243" s="104"/>
      <c r="AF243" s="103">
        <v>8.5</v>
      </c>
      <c r="AG243" s="104"/>
      <c r="AH243" s="103">
        <v>8</v>
      </c>
      <c r="AI243" s="119"/>
      <c r="AJ243" s="118"/>
      <c r="AK243" s="71">
        <f>SUM(W243:AJ243)</f>
        <v>41</v>
      </c>
      <c r="AL243" s="72"/>
      <c r="AM243" s="73">
        <f>SUMIF($G242:$T242,"",$G243:$T243)+SUMIF($W242:$AJ242,"",$W243:$AJ243)-AN243</f>
        <v>80</v>
      </c>
      <c r="AN243" s="88">
        <f>IF(SUMIF($G242:$T242,"",$G243:$T243)+SUMIF($G242:$T242,"F",$G243:$T243)+SUMIF($G242:$T242,"V",$G243:$T243)-40&lt;0,0,SUMIF($G242:$T242,"",$G243:$T243)+SUMIF($G242:$T242,"F",$G243:$T243)+SUMIF($G242:$T242,"V",$G243:$T243)-($U$9/2))+IF(SUMIF($W242:$AJ242,"",$W243:$AJ243)+SUMIF($W242:$AJ242,"F",$W243:$AJ243)+SUMIF($W242:$AJ242,"V",$W243:$AJ243)-40&lt;0,0,SUMIF($W242:$AJ242,"",$W243:$AJ243)+SUMIF($W242:$AJ242,"F",$W243:$AJ243)+SUMIF($W242:$AJ242,"V",$W243:$AJ243)-($U$9/2))</f>
        <v>2</v>
      </c>
      <c r="AO243" s="73">
        <f>SUMIF($G242:$T242,"M",$G243:$T243)+SUMIF($W242:$AJ242,"M",$W243:$AJ243)</f>
        <v>0</v>
      </c>
      <c r="AP243" s="73">
        <f>SUMIF($G242:$T242,"F",$G243:$T243)+SUMIF($W242:$AJ242,"F",$W243:$AJ243)</f>
        <v>0</v>
      </c>
      <c r="AQ243" s="73">
        <f>SUMIF($G242:$T242,"V",$G243:$T243)+SUMIF($W242:$AJ242,"V",$W243:$AJ243)</f>
        <v>0</v>
      </c>
      <c r="AR243" s="74">
        <f>SUMIF($G242:$T242,"O",$G243:$T243)+SUMIF($W242:$AJ242,"O",$W243:$AJ243)</f>
        <v>0</v>
      </c>
      <c r="AS243" s="75">
        <f>SUM(AM243:AR243)</f>
        <v>82</v>
      </c>
      <c r="AT243" s="72"/>
      <c r="AU243" s="73">
        <f>SUMIF($G242:$T242,"A",$G243:$T243)+SUMIF($W242:$AJ242,"A",$W243:$AJ243)</f>
        <v>0</v>
      </c>
      <c r="AV243" s="72"/>
      <c r="AW243" s="76">
        <f>IF(B243="",0,IF($U$9="",0,$U$9))</f>
        <v>80</v>
      </c>
      <c r="BA243" s="2">
        <v>2023</v>
      </c>
      <c r="BB243" s="2">
        <v>8</v>
      </c>
      <c r="BC243" s="101">
        <f t="shared" si="129"/>
        <v>45011</v>
      </c>
      <c r="BD243" s="101">
        <f t="shared" si="129"/>
        <v>45024</v>
      </c>
    </row>
    <row r="244" spans="2:56" s="84" customFormat="1" x14ac:dyDescent="0.35">
      <c r="B244" s="107"/>
      <c r="C244" s="108"/>
      <c r="D244" s="109">
        <f>IF(D170="","",D170)</f>
        <v>78475</v>
      </c>
      <c r="E244" s="110" t="str">
        <f t="shared" si="130"/>
        <v/>
      </c>
      <c r="F244" s="111">
        <f>B231</f>
        <v>13</v>
      </c>
      <c r="G244" s="112"/>
      <c r="H244" s="113"/>
      <c r="I244" s="106"/>
      <c r="J244" s="105"/>
      <c r="K244" s="106"/>
      <c r="L244" s="105"/>
      <c r="M244" s="106"/>
      <c r="N244" s="105"/>
      <c r="O244" s="106"/>
      <c r="P244" s="105"/>
      <c r="Q244" s="106"/>
      <c r="R244" s="105"/>
      <c r="S244" s="112"/>
      <c r="T244" s="113"/>
      <c r="U244" s="114"/>
      <c r="V244" s="2"/>
      <c r="W244" s="112"/>
      <c r="X244" s="113"/>
      <c r="Y244" s="106"/>
      <c r="Z244" s="105"/>
      <c r="AA244" s="106"/>
      <c r="AB244" s="105"/>
      <c r="AC244" s="106"/>
      <c r="AD244" s="105"/>
      <c r="AE244" s="106"/>
      <c r="AF244" s="105"/>
      <c r="AG244" s="106"/>
      <c r="AH244" s="105"/>
      <c r="AI244" s="112"/>
      <c r="AJ244" s="113"/>
      <c r="AK244" s="44"/>
      <c r="AM244" s="49"/>
      <c r="AN244" s="49"/>
      <c r="AO244" s="49"/>
      <c r="AP244" s="49"/>
      <c r="AQ244" s="49"/>
      <c r="AR244" s="40"/>
      <c r="AS244" s="51"/>
      <c r="AU244" s="49"/>
      <c r="AW244" s="52"/>
      <c r="BA244" s="2">
        <v>2023</v>
      </c>
      <c r="BB244" s="2">
        <v>9</v>
      </c>
      <c r="BC244" s="101">
        <f t="shared" si="129"/>
        <v>45025</v>
      </c>
      <c r="BD244" s="101">
        <f t="shared" si="129"/>
        <v>45038</v>
      </c>
    </row>
    <row r="245" spans="2:56" s="84" customFormat="1" x14ac:dyDescent="0.35">
      <c r="B245" s="30" t="str">
        <f>IF(B171="","",B171)</f>
        <v>Charbonneau, Samuel</v>
      </c>
      <c r="C245" s="115"/>
      <c r="D245" s="116"/>
      <c r="E245" s="117">
        <f t="shared" si="130"/>
        <v>93540</v>
      </c>
      <c r="F245" s="111">
        <f>B231</f>
        <v>13</v>
      </c>
      <c r="G245" s="119"/>
      <c r="H245" s="118"/>
      <c r="I245" s="104"/>
      <c r="J245" s="103">
        <v>8.5</v>
      </c>
      <c r="K245" s="104"/>
      <c r="L245" s="103">
        <v>8</v>
      </c>
      <c r="M245" s="104"/>
      <c r="N245" s="103">
        <v>8.5</v>
      </c>
      <c r="O245" s="104"/>
      <c r="P245" s="103">
        <v>8</v>
      </c>
      <c r="Q245" s="104"/>
      <c r="R245" s="103">
        <v>7.5</v>
      </c>
      <c r="S245" s="119"/>
      <c r="T245" s="118"/>
      <c r="U245" s="120">
        <f t="shared" ref="U245" si="134">SUM(G245:T245)</f>
        <v>40.5</v>
      </c>
      <c r="V245" s="121"/>
      <c r="W245" s="119"/>
      <c r="X245" s="118"/>
      <c r="Y245" s="104"/>
      <c r="Z245" s="103">
        <v>8.5</v>
      </c>
      <c r="AA245" s="104"/>
      <c r="AB245" s="103">
        <v>8</v>
      </c>
      <c r="AC245" s="104"/>
      <c r="AD245" s="103">
        <v>8.5</v>
      </c>
      <c r="AE245" s="104"/>
      <c r="AF245" s="103">
        <v>8</v>
      </c>
      <c r="AG245" s="104"/>
      <c r="AH245" s="103">
        <v>7.5</v>
      </c>
      <c r="AI245" s="119"/>
      <c r="AJ245" s="118"/>
      <c r="AK245" s="71">
        <f>SUM(W245:AJ245)</f>
        <v>40.5</v>
      </c>
      <c r="AL245" s="72"/>
      <c r="AM245" s="73">
        <f>SUMIF($G244:$T244,"",$G245:$T245)+SUMIF($W244:$AJ244,"",$W245:$AJ245)-AN245</f>
        <v>80</v>
      </c>
      <c r="AN245" s="88">
        <f>IF(SUMIF($G244:$T244,"",$G245:$T245)+SUMIF($G244:$T244,"F",$G245:$T245)+SUMIF($G244:$T244,"V",$G245:$T245)-40&lt;0,0,SUMIF($G244:$T244,"",$G245:$T245)+SUMIF($G244:$T244,"F",$G245:$T245)+SUMIF($G244:$T244,"V",$G245:$T245)-($U$9/2))+IF(SUMIF($W244:$AJ244,"",$W245:$AJ245)+SUMIF($W244:$AJ244,"F",$W245:$AJ245)+SUMIF($W244:$AJ244,"V",$W245:$AJ245)-40&lt;0,0,SUMIF($W244:$AJ244,"",$W245:$AJ245)+SUMIF($W244:$AJ244,"F",$W245:$AJ245)+SUMIF($W244:$AJ244,"V",$W245:$AJ245)-($U$9/2))</f>
        <v>1</v>
      </c>
      <c r="AO245" s="73">
        <f>SUMIF($G244:$T244,"M",$G245:$T245)+SUMIF($W244:$AJ244,"M",$W245:$AJ245)</f>
        <v>0</v>
      </c>
      <c r="AP245" s="73">
        <f>SUMIF($G244:$T244,"F",$G245:$T245)+SUMIF($W244:$AJ244,"F",$W245:$AJ245)</f>
        <v>0</v>
      </c>
      <c r="AQ245" s="73">
        <f>SUMIF($G244:$T244,"V",$G245:$T245)+SUMIF($W244:$AJ244,"V",$W245:$AJ245)</f>
        <v>0</v>
      </c>
      <c r="AR245" s="74">
        <f>SUMIF($G244:$T244,"O",$G245:$T245)+SUMIF($W244:$AJ244,"O",$W245:$AJ245)</f>
        <v>0</v>
      </c>
      <c r="AS245" s="75">
        <f>SUM(AM245:AR245)</f>
        <v>81</v>
      </c>
      <c r="AT245" s="72"/>
      <c r="AU245" s="73">
        <f>SUMIF($G244:$T244,"A",$G245:$T245)+SUMIF($W244:$AJ244,"A",$W245:$AJ245)</f>
        <v>0</v>
      </c>
      <c r="AV245" s="72"/>
      <c r="AW245" s="76">
        <f>IF(B245="",0,IF($U$9="",0,$U$9))</f>
        <v>80</v>
      </c>
      <c r="BA245" s="2">
        <v>2023</v>
      </c>
      <c r="BB245" s="2">
        <v>10</v>
      </c>
      <c r="BC245" s="101">
        <f t="shared" ref="BC245:BD260" si="135">+BC244+14</f>
        <v>45039</v>
      </c>
      <c r="BD245" s="101">
        <f t="shared" si="135"/>
        <v>45052</v>
      </c>
    </row>
    <row r="246" spans="2:56" s="84" customFormat="1" x14ac:dyDescent="0.35">
      <c r="B246" s="107"/>
      <c r="C246" s="108"/>
      <c r="D246" s="109">
        <f>IF(D172="","",D172)</f>
        <v>24238</v>
      </c>
      <c r="E246" s="110" t="str">
        <f t="shared" si="130"/>
        <v/>
      </c>
      <c r="F246" s="111">
        <f>B231</f>
        <v>13</v>
      </c>
      <c r="G246" s="112"/>
      <c r="H246" s="113"/>
      <c r="I246" s="106"/>
      <c r="J246" s="105"/>
      <c r="K246" s="106"/>
      <c r="L246" s="105"/>
      <c r="M246" s="106"/>
      <c r="N246" s="105"/>
      <c r="O246" s="106"/>
      <c r="P246" s="105"/>
      <c r="Q246" s="106"/>
      <c r="R246" s="105"/>
      <c r="S246" s="112"/>
      <c r="T246" s="113"/>
      <c r="U246" s="114"/>
      <c r="V246" s="2"/>
      <c r="W246" s="112"/>
      <c r="X246" s="113"/>
      <c r="Y246" s="106"/>
      <c r="Z246" s="105"/>
      <c r="AA246" s="106"/>
      <c r="AB246" s="105"/>
      <c r="AC246" s="106"/>
      <c r="AD246" s="105"/>
      <c r="AE246" s="106"/>
      <c r="AF246" s="105"/>
      <c r="AG246" s="106"/>
      <c r="AH246" s="105"/>
      <c r="AI246" s="112"/>
      <c r="AJ246" s="113"/>
      <c r="AK246" s="44"/>
      <c r="AM246" s="49"/>
      <c r="AN246" s="49"/>
      <c r="AO246" s="49"/>
      <c r="AP246" s="49"/>
      <c r="AQ246" s="49"/>
      <c r="AR246" s="40"/>
      <c r="AS246" s="51"/>
      <c r="AU246" s="49"/>
      <c r="AW246" s="52"/>
      <c r="BA246" s="2">
        <v>2023</v>
      </c>
      <c r="BB246" s="2">
        <v>11</v>
      </c>
      <c r="BC246" s="101">
        <f t="shared" si="135"/>
        <v>45053</v>
      </c>
      <c r="BD246" s="101">
        <f t="shared" si="135"/>
        <v>45066</v>
      </c>
    </row>
    <row r="247" spans="2:56" s="84" customFormat="1" x14ac:dyDescent="0.35">
      <c r="B247" s="30" t="str">
        <f>IF(B173="","",B173)</f>
        <v>Curtis, Jason</v>
      </c>
      <c r="C247" s="115"/>
      <c r="D247" s="116"/>
      <c r="E247" s="117">
        <f t="shared" si="130"/>
        <v>93595935</v>
      </c>
      <c r="F247" s="111">
        <f>B231</f>
        <v>13</v>
      </c>
      <c r="G247" s="119"/>
      <c r="H247" s="118"/>
      <c r="I247" s="104"/>
      <c r="J247" s="103">
        <v>8</v>
      </c>
      <c r="K247" s="104"/>
      <c r="L247" s="103">
        <v>8</v>
      </c>
      <c r="M247" s="104"/>
      <c r="N247" s="103">
        <v>8</v>
      </c>
      <c r="O247" s="104"/>
      <c r="P247" s="103">
        <v>8</v>
      </c>
      <c r="Q247" s="104"/>
      <c r="R247" s="103">
        <v>8</v>
      </c>
      <c r="S247" s="119"/>
      <c r="T247" s="118"/>
      <c r="U247" s="120">
        <f t="shared" ref="U247" si="136">SUM(G247:T247)</f>
        <v>40</v>
      </c>
      <c r="V247" s="121"/>
      <c r="W247" s="119"/>
      <c r="X247" s="118"/>
      <c r="Y247" s="104"/>
      <c r="Z247" s="103">
        <v>8</v>
      </c>
      <c r="AA247" s="104"/>
      <c r="AB247" s="103">
        <v>8</v>
      </c>
      <c r="AC247" s="104"/>
      <c r="AD247" s="103">
        <v>8</v>
      </c>
      <c r="AE247" s="104"/>
      <c r="AF247" s="103">
        <v>8</v>
      </c>
      <c r="AG247" s="104"/>
      <c r="AH247" s="103">
        <v>8</v>
      </c>
      <c r="AI247" s="119"/>
      <c r="AJ247" s="118"/>
      <c r="AK247" s="71">
        <f>SUM(W247:AJ247)</f>
        <v>40</v>
      </c>
      <c r="AL247" s="72"/>
      <c r="AM247" s="73">
        <f>SUMIF($G246:$T246,"",$G247:$T247)+SUMIF($W246:$AJ246,"",$W247:$AJ247)-AN247</f>
        <v>80</v>
      </c>
      <c r="AN247" s="88">
        <f>IF(SUMIF($G246:$T246,"",$G247:$T247)+SUMIF($G246:$T246,"F",$G247:$T247)+SUMIF($G246:$T246,"V",$G247:$T247)-40&lt;0,0,SUMIF($G246:$T246,"",$G247:$T247)+SUMIF($G246:$T246,"F",$G247:$T247)+SUMIF($G246:$T246,"V",$G247:$T247)-($U$9/2))+IF(SUMIF($W246:$AJ246,"",$W247:$AJ247)+SUMIF($W246:$AJ246,"F",$W247:$AJ247)+SUMIF($W246:$AJ246,"V",$W247:$AJ247)-40&lt;0,0,SUMIF($W246:$AJ246,"",$W247:$AJ247)+SUMIF($W246:$AJ246,"F",$W247:$AJ247)+SUMIF($W246:$AJ246,"V",$W247:$AJ247)-($U$9/2))</f>
        <v>0</v>
      </c>
      <c r="AO247" s="73">
        <f>SUMIF($G246:$T246,"M",$G247:$T247)+SUMIF($W246:$AJ246,"M",$W247:$AJ247)</f>
        <v>0</v>
      </c>
      <c r="AP247" s="73">
        <f>SUMIF($G246:$T246,"F",$G247:$T247)+SUMIF($W246:$AJ246,"F",$W247:$AJ247)</f>
        <v>0</v>
      </c>
      <c r="AQ247" s="73">
        <f>SUMIF($G246:$T246,"V",$G247:$T247)+SUMIF($W246:$AJ246,"V",$W247:$AJ247)</f>
        <v>0</v>
      </c>
      <c r="AR247" s="74">
        <f>SUMIF($G246:$T246,"O",$G247:$T247)+SUMIF($W246:$AJ246,"O",$W247:$AJ247)</f>
        <v>0</v>
      </c>
      <c r="AS247" s="75">
        <f>SUM(AM247:AR247)</f>
        <v>80</v>
      </c>
      <c r="AT247" s="72"/>
      <c r="AU247" s="73">
        <f>SUMIF($G246:$T246,"A",$G247:$T247)+SUMIF($W246:$AJ246,"A",$W247:$AJ247)</f>
        <v>0</v>
      </c>
      <c r="AV247" s="72"/>
      <c r="AW247" s="76">
        <f>IF(B247="",0,IF($U$9="",0,$U$9))</f>
        <v>80</v>
      </c>
      <c r="BA247" s="2">
        <v>2023</v>
      </c>
      <c r="BB247" s="2">
        <v>12</v>
      </c>
      <c r="BC247" s="101">
        <f t="shared" si="135"/>
        <v>45067</v>
      </c>
      <c r="BD247" s="101">
        <f t="shared" si="135"/>
        <v>45080</v>
      </c>
    </row>
    <row r="248" spans="2:56" s="84" customFormat="1" x14ac:dyDescent="0.35">
      <c r="B248" s="107"/>
      <c r="C248" s="108"/>
      <c r="D248" s="109">
        <f>IF(D174="","",D174)</f>
        <v>79709</v>
      </c>
      <c r="E248" s="110" t="str">
        <f t="shared" si="130"/>
        <v/>
      </c>
      <c r="F248" s="111">
        <f>B231</f>
        <v>13</v>
      </c>
      <c r="G248" s="112"/>
      <c r="H248" s="113"/>
      <c r="I248" s="106"/>
      <c r="J248" s="105"/>
      <c r="K248" s="106"/>
      <c r="L248" s="105"/>
      <c r="M248" s="106"/>
      <c r="N248" s="105"/>
      <c r="O248" s="106"/>
      <c r="P248" s="105"/>
      <c r="Q248" s="106"/>
      <c r="R248" s="105"/>
      <c r="S248" s="112"/>
      <c r="T248" s="113"/>
      <c r="U248" s="114"/>
      <c r="V248" s="2"/>
      <c r="W248" s="112"/>
      <c r="X248" s="113"/>
      <c r="Y248" s="106"/>
      <c r="Z248" s="105"/>
      <c r="AA248" s="106"/>
      <c r="AB248" s="105"/>
      <c r="AC248" s="106"/>
      <c r="AD248" s="105"/>
      <c r="AE248" s="106"/>
      <c r="AF248" s="105"/>
      <c r="AG248" s="106"/>
      <c r="AH248" s="105"/>
      <c r="AI248" s="112"/>
      <c r="AJ248" s="113"/>
      <c r="AK248" s="44"/>
      <c r="AM248" s="49"/>
      <c r="AN248" s="49"/>
      <c r="AO248" s="49"/>
      <c r="AP248" s="49"/>
      <c r="AQ248" s="49"/>
      <c r="AR248" s="40"/>
      <c r="AS248" s="51"/>
      <c r="AU248" s="49"/>
      <c r="AW248" s="52"/>
      <c r="BA248" s="2">
        <v>2023</v>
      </c>
      <c r="BB248" s="2">
        <v>13</v>
      </c>
      <c r="BC248" s="101">
        <f t="shared" si="135"/>
        <v>45081</v>
      </c>
      <c r="BD248" s="101">
        <f t="shared" si="135"/>
        <v>45094</v>
      </c>
    </row>
    <row r="249" spans="2:56" s="84" customFormat="1" x14ac:dyDescent="0.35">
      <c r="B249" s="30" t="str">
        <f>IF(B175="","",B175)</f>
        <v>De Rose, Natale</v>
      </c>
      <c r="C249" s="115"/>
      <c r="D249" s="116"/>
      <c r="E249" s="117">
        <f t="shared" si="130"/>
        <v>93595935</v>
      </c>
      <c r="F249" s="111">
        <f>B231</f>
        <v>13</v>
      </c>
      <c r="G249" s="119"/>
      <c r="H249" s="118"/>
      <c r="I249" s="104"/>
      <c r="J249" s="103">
        <v>8</v>
      </c>
      <c r="K249" s="104"/>
      <c r="L249" s="103">
        <v>8</v>
      </c>
      <c r="M249" s="104"/>
      <c r="N249" s="103">
        <v>8</v>
      </c>
      <c r="O249" s="104"/>
      <c r="P249" s="103">
        <v>8</v>
      </c>
      <c r="Q249" s="104"/>
      <c r="R249" s="103">
        <v>8</v>
      </c>
      <c r="S249" s="119"/>
      <c r="T249" s="118"/>
      <c r="U249" s="120">
        <f t="shared" ref="U249" si="137">SUM(G249:T249)</f>
        <v>40</v>
      </c>
      <c r="V249" s="121"/>
      <c r="W249" s="119"/>
      <c r="X249" s="118"/>
      <c r="Y249" s="104"/>
      <c r="Z249" s="103">
        <v>8</v>
      </c>
      <c r="AA249" s="104"/>
      <c r="AB249" s="103">
        <v>8</v>
      </c>
      <c r="AC249" s="104"/>
      <c r="AD249" s="103">
        <v>8</v>
      </c>
      <c r="AE249" s="104"/>
      <c r="AF249" s="103">
        <v>8</v>
      </c>
      <c r="AG249" s="104"/>
      <c r="AH249" s="103">
        <v>8</v>
      </c>
      <c r="AI249" s="119"/>
      <c r="AJ249" s="118"/>
      <c r="AK249" s="71">
        <f>SUM(W249:AJ249)</f>
        <v>40</v>
      </c>
      <c r="AL249" s="72"/>
      <c r="AM249" s="73">
        <f>SUMIF($G248:$T248,"",$G249:$T249)+SUMIF($W248:$AJ248,"",$W249:$AJ249)-AN249</f>
        <v>80</v>
      </c>
      <c r="AN249" s="88">
        <f>IF(SUMIF($G248:$T248,"",$G249:$T249)+SUMIF($G248:$T248,"F",$G249:$T249)+SUMIF($G248:$T248,"V",$G249:$T249)-40&lt;0,0,SUMIF($G248:$T248,"",$G249:$T249)+SUMIF($G248:$T248,"F",$G249:$T249)+SUMIF($G248:$T248,"V",$G249:$T249)-($U$9/2))+IF(SUMIF($W248:$AJ248,"",$W249:$AJ249)+SUMIF($W248:$AJ248,"F",$W249:$AJ249)+SUMIF($W248:$AJ248,"V",$W249:$AJ249)-40&lt;0,0,SUMIF($W248:$AJ248,"",$W249:$AJ249)+SUMIF($W248:$AJ248,"F",$W249:$AJ249)+SUMIF($W248:$AJ248,"V",$W249:$AJ249)-($U$9/2))</f>
        <v>0</v>
      </c>
      <c r="AO249" s="73">
        <f>SUMIF($G248:$T248,"M",$G249:$T249)+SUMIF($W248:$AJ248,"M",$W249:$AJ249)</f>
        <v>0</v>
      </c>
      <c r="AP249" s="73">
        <f>SUMIF($G248:$T248,"F",$G249:$T249)+SUMIF($W248:$AJ248,"F",$W249:$AJ249)</f>
        <v>0</v>
      </c>
      <c r="AQ249" s="73">
        <f>SUMIF($G248:$T248,"V",$G249:$T249)+SUMIF($W248:$AJ248,"V",$W249:$AJ249)</f>
        <v>0</v>
      </c>
      <c r="AR249" s="74">
        <f>SUMIF($G248:$T248,"O",$G249:$T249)+SUMIF($W248:$AJ248,"O",$W249:$AJ249)</f>
        <v>0</v>
      </c>
      <c r="AS249" s="75">
        <f>SUM(AM249:AR249)</f>
        <v>80</v>
      </c>
      <c r="AT249" s="72"/>
      <c r="AU249" s="73">
        <f>SUMIF($G248:$T248,"A",$G249:$T249)+SUMIF($W248:$AJ248,"A",$W249:$AJ249)</f>
        <v>0</v>
      </c>
      <c r="AV249" s="72"/>
      <c r="AW249" s="76">
        <f>IF(B249="",0,IF($U$9="",0,$U$9))</f>
        <v>80</v>
      </c>
      <c r="BA249" s="2">
        <v>2023</v>
      </c>
      <c r="BB249" s="2">
        <v>14</v>
      </c>
      <c r="BC249" s="101">
        <f t="shared" si="135"/>
        <v>45095</v>
      </c>
      <c r="BD249" s="101">
        <f t="shared" si="135"/>
        <v>45108</v>
      </c>
    </row>
    <row r="250" spans="2:56" s="84" customFormat="1" x14ac:dyDescent="0.35">
      <c r="B250" s="107"/>
      <c r="C250" s="108"/>
      <c r="D250" s="109">
        <f>IF(D176="","",D176)</f>
        <v>92027</v>
      </c>
      <c r="E250" s="110" t="str">
        <f t="shared" si="130"/>
        <v/>
      </c>
      <c r="F250" s="111">
        <f>B231</f>
        <v>13</v>
      </c>
      <c r="G250" s="112"/>
      <c r="H250" s="113"/>
      <c r="I250" s="106"/>
      <c r="J250" s="105"/>
      <c r="K250" s="106"/>
      <c r="L250" s="105"/>
      <c r="M250" s="106"/>
      <c r="N250" s="105"/>
      <c r="O250" s="106"/>
      <c r="P250" s="105"/>
      <c r="Q250" s="106"/>
      <c r="R250" s="105"/>
      <c r="S250" s="112"/>
      <c r="T250" s="113"/>
      <c r="U250" s="114"/>
      <c r="V250" s="2"/>
      <c r="W250" s="112"/>
      <c r="X250" s="113"/>
      <c r="Y250" s="106"/>
      <c r="Z250" s="105"/>
      <c r="AA250" s="106"/>
      <c r="AB250" s="105"/>
      <c r="AC250" s="106"/>
      <c r="AD250" s="105"/>
      <c r="AE250" s="106"/>
      <c r="AF250" s="105"/>
      <c r="AG250" s="106"/>
      <c r="AH250" s="105"/>
      <c r="AI250" s="112"/>
      <c r="AJ250" s="113"/>
      <c r="AK250" s="44"/>
      <c r="AM250" s="49"/>
      <c r="AN250" s="49"/>
      <c r="AO250" s="49"/>
      <c r="AP250" s="49"/>
      <c r="AQ250" s="49"/>
      <c r="AR250" s="40"/>
      <c r="AS250" s="51"/>
      <c r="AU250" s="49"/>
      <c r="AW250" s="52"/>
      <c r="BA250" s="2">
        <v>2023</v>
      </c>
      <c r="BB250" s="2">
        <v>15</v>
      </c>
      <c r="BC250" s="101">
        <f t="shared" si="135"/>
        <v>45109</v>
      </c>
      <c r="BD250" s="101">
        <f t="shared" si="135"/>
        <v>45122</v>
      </c>
    </row>
    <row r="251" spans="2:56" s="84" customFormat="1" x14ac:dyDescent="0.35">
      <c r="B251" s="30" t="str">
        <f>IF(B177="","",B177)</f>
        <v>Descoteaux, Gerald</v>
      </c>
      <c r="C251" s="115"/>
      <c r="D251" s="116"/>
      <c r="E251" s="117">
        <f t="shared" si="130"/>
        <v>93595935</v>
      </c>
      <c r="F251" s="111">
        <f>B231</f>
        <v>13</v>
      </c>
      <c r="G251" s="119"/>
      <c r="H251" s="118"/>
      <c r="I251" s="104"/>
      <c r="J251" s="103">
        <v>8</v>
      </c>
      <c r="K251" s="104"/>
      <c r="L251" s="103">
        <v>8</v>
      </c>
      <c r="M251" s="104"/>
      <c r="N251" s="103">
        <v>8</v>
      </c>
      <c r="O251" s="104"/>
      <c r="P251" s="103">
        <v>8</v>
      </c>
      <c r="Q251" s="104"/>
      <c r="R251" s="103">
        <v>8</v>
      </c>
      <c r="S251" s="119"/>
      <c r="T251" s="118"/>
      <c r="U251" s="120">
        <f t="shared" ref="U251" si="138">SUM(G251:T251)</f>
        <v>40</v>
      </c>
      <c r="V251" s="121"/>
      <c r="W251" s="119"/>
      <c r="X251" s="118"/>
      <c r="Y251" s="104"/>
      <c r="Z251" s="103">
        <v>8</v>
      </c>
      <c r="AA251" s="104"/>
      <c r="AB251" s="103">
        <v>8</v>
      </c>
      <c r="AC251" s="104"/>
      <c r="AD251" s="103">
        <v>8</v>
      </c>
      <c r="AE251" s="104"/>
      <c r="AF251" s="103">
        <v>8</v>
      </c>
      <c r="AG251" s="104"/>
      <c r="AH251" s="103">
        <v>8</v>
      </c>
      <c r="AI251" s="119"/>
      <c r="AJ251" s="118"/>
      <c r="AK251" s="71">
        <f>SUM(W251:AJ251)</f>
        <v>40</v>
      </c>
      <c r="AL251" s="72"/>
      <c r="AM251" s="73">
        <f>SUMIF($G250:$T250,"",$G251:$T251)+SUMIF($W250:$AJ250,"",$W251:$AJ251)-AN251</f>
        <v>80</v>
      </c>
      <c r="AN251" s="88">
        <f>IF(SUMIF($G250:$T250,"",$G251:$T251)+SUMIF($G250:$T250,"F",$G251:$T251)+SUMIF($G250:$T250,"V",$G251:$T251)-40&lt;0,0,SUMIF($G250:$T250,"",$G251:$T251)+SUMIF($G250:$T250,"F",$G251:$T251)+SUMIF($G250:$T250,"V",$G251:$T251)-($U$9/2))+IF(SUMIF($W250:$AJ250,"",$W251:$AJ251)+SUMIF($W250:$AJ250,"F",$W251:$AJ251)+SUMIF($W250:$AJ250,"V",$W251:$AJ251)-40&lt;0,0,SUMIF($W250:$AJ250,"",$W251:$AJ251)+SUMIF($W250:$AJ250,"F",$W251:$AJ251)+SUMIF($W250:$AJ250,"V",$W251:$AJ251)-($U$9/2))</f>
        <v>0</v>
      </c>
      <c r="AO251" s="73">
        <f>SUMIF($G250:$T250,"M",$G251:$T251)+SUMIF($W250:$AJ250,"M",$W251:$AJ251)</f>
        <v>0</v>
      </c>
      <c r="AP251" s="73">
        <f>SUMIF($G250:$T250,"F",$G251:$T251)+SUMIF($W250:$AJ250,"F",$W251:$AJ251)</f>
        <v>0</v>
      </c>
      <c r="AQ251" s="73">
        <f>SUMIF($G250:$T250,"V",$G251:$T251)+SUMIF($W250:$AJ250,"V",$W251:$AJ251)</f>
        <v>0</v>
      </c>
      <c r="AR251" s="74">
        <f>SUMIF($G250:$T250,"O",$G251:$T251)+SUMIF($W250:$AJ250,"O",$W251:$AJ251)</f>
        <v>0</v>
      </c>
      <c r="AS251" s="75">
        <f>SUM(AM251:AR251)</f>
        <v>80</v>
      </c>
      <c r="AT251" s="72"/>
      <c r="AU251" s="73">
        <f>SUMIF($G250:$T250,"A",$G251:$T251)+SUMIF($W250:$AJ250,"A",$W251:$AJ251)</f>
        <v>0</v>
      </c>
      <c r="AV251" s="72"/>
      <c r="AW251" s="76">
        <f>IF(B251="",0,IF($U$9="",0,$U$9))</f>
        <v>80</v>
      </c>
      <c r="BA251" s="2">
        <v>2023</v>
      </c>
      <c r="BB251" s="2">
        <v>16</v>
      </c>
      <c r="BC251" s="101">
        <f t="shared" si="135"/>
        <v>45123</v>
      </c>
      <c r="BD251" s="101">
        <f t="shared" si="135"/>
        <v>45136</v>
      </c>
    </row>
    <row r="252" spans="2:56" s="84" customFormat="1" x14ac:dyDescent="0.35">
      <c r="B252" s="107"/>
      <c r="C252" s="108"/>
      <c r="D252" s="109">
        <f>IF(D178="","",D178)</f>
        <v>73795</v>
      </c>
      <c r="E252" s="110" t="str">
        <f t="shared" si="130"/>
        <v/>
      </c>
      <c r="F252" s="111">
        <f>B231</f>
        <v>13</v>
      </c>
      <c r="G252" s="112"/>
      <c r="H252" s="113"/>
      <c r="I252" s="106"/>
      <c r="J252" s="105"/>
      <c r="K252" s="106"/>
      <c r="L252" s="105"/>
      <c r="M252" s="106"/>
      <c r="N252" s="105"/>
      <c r="O252" s="106"/>
      <c r="P252" s="105"/>
      <c r="Q252" s="106"/>
      <c r="R252" s="105"/>
      <c r="S252" s="112"/>
      <c r="T252" s="113"/>
      <c r="U252" s="114"/>
      <c r="V252" s="2"/>
      <c r="W252" s="112"/>
      <c r="X252" s="113"/>
      <c r="Y252" s="106"/>
      <c r="Z252" s="105"/>
      <c r="AA252" s="106"/>
      <c r="AB252" s="105"/>
      <c r="AC252" s="106"/>
      <c r="AD252" s="105"/>
      <c r="AE252" s="106"/>
      <c r="AF252" s="105"/>
      <c r="AG252" s="106"/>
      <c r="AH252" s="105"/>
      <c r="AI252" s="112"/>
      <c r="AJ252" s="113"/>
      <c r="AK252" s="44"/>
      <c r="AM252" s="49"/>
      <c r="AN252" s="49"/>
      <c r="AO252" s="49"/>
      <c r="AP252" s="49"/>
      <c r="AQ252" s="49"/>
      <c r="AR252" s="40"/>
      <c r="AS252" s="51"/>
      <c r="AU252" s="49"/>
      <c r="AW252" s="52"/>
      <c r="BA252" s="2">
        <v>2023</v>
      </c>
      <c r="BB252" s="2">
        <v>17</v>
      </c>
      <c r="BC252" s="101">
        <f t="shared" si="135"/>
        <v>45137</v>
      </c>
      <c r="BD252" s="101">
        <f t="shared" si="135"/>
        <v>45150</v>
      </c>
    </row>
    <row r="253" spans="2:56" s="84" customFormat="1" x14ac:dyDescent="0.35">
      <c r="B253" s="30" t="str">
        <f>IF(B179="","",B179)</f>
        <v>Fortin, Veronique</v>
      </c>
      <c r="C253" s="115"/>
      <c r="D253" s="116"/>
      <c r="E253" s="117">
        <f t="shared" si="130"/>
        <v>93540</v>
      </c>
      <c r="F253" s="111">
        <f>B231</f>
        <v>13</v>
      </c>
      <c r="G253" s="119"/>
      <c r="H253" s="118"/>
      <c r="I253" s="104"/>
      <c r="J253" s="103">
        <v>8</v>
      </c>
      <c r="K253" s="104"/>
      <c r="L253" s="103">
        <v>8</v>
      </c>
      <c r="M253" s="104"/>
      <c r="N253" s="103">
        <v>8</v>
      </c>
      <c r="O253" s="104"/>
      <c r="P253" s="103">
        <v>8</v>
      </c>
      <c r="Q253" s="104"/>
      <c r="R253" s="103">
        <v>7.5</v>
      </c>
      <c r="S253" s="119"/>
      <c r="T253" s="118"/>
      <c r="U253" s="120">
        <f t="shared" ref="U253" si="139">SUM(G253:T253)</f>
        <v>39.5</v>
      </c>
      <c r="V253" s="121"/>
      <c r="W253" s="119"/>
      <c r="X253" s="118"/>
      <c r="Y253" s="104"/>
      <c r="Z253" s="103">
        <v>8</v>
      </c>
      <c r="AA253" s="104"/>
      <c r="AB253" s="103">
        <v>8</v>
      </c>
      <c r="AC253" s="104"/>
      <c r="AD253" s="103">
        <v>8</v>
      </c>
      <c r="AE253" s="104"/>
      <c r="AF253" s="103">
        <v>8</v>
      </c>
      <c r="AG253" s="104"/>
      <c r="AH253" s="103">
        <v>7.5</v>
      </c>
      <c r="AI253" s="119"/>
      <c r="AJ253" s="118"/>
      <c r="AK253" s="71">
        <f>SUM(W253:AJ253)</f>
        <v>39.5</v>
      </c>
      <c r="AL253" s="72"/>
      <c r="AM253" s="73">
        <f>SUMIF($G252:$T252,"",$G253:$T253)+SUMIF($W252:$AJ252,"",$W253:$AJ253)-AN253</f>
        <v>79</v>
      </c>
      <c r="AN253" s="88">
        <f>IF(SUMIF($G252:$T252,"",$G253:$T253)+SUMIF($G252:$T252,"F",$G253:$T253)+SUMIF($G252:$T252,"V",$G253:$T253)-40&lt;0,0,SUMIF($G252:$T252,"",$G253:$T253)+SUMIF($G252:$T252,"F",$G253:$T253)+SUMIF($G252:$T252,"V",$G253:$T253)-($U$9/2))+IF(SUMIF($W252:$AJ252,"",$W253:$AJ253)+SUMIF($W252:$AJ252,"F",$W253:$AJ253)+SUMIF($W252:$AJ252,"V",$W253:$AJ253)-40&lt;0,0,SUMIF($W252:$AJ252,"",$W253:$AJ253)+SUMIF($W252:$AJ252,"F",$W253:$AJ253)+SUMIF($W252:$AJ252,"V",$W253:$AJ253)-($U$9/2))</f>
        <v>0</v>
      </c>
      <c r="AO253" s="73">
        <f>SUMIF($G252:$T252,"M",$G253:$T253)+SUMIF($W252:$AJ252,"M",$W253:$AJ253)</f>
        <v>0</v>
      </c>
      <c r="AP253" s="73">
        <f>SUMIF($G252:$T252,"F",$G253:$T253)+SUMIF($W252:$AJ252,"F",$W253:$AJ253)</f>
        <v>0</v>
      </c>
      <c r="AQ253" s="73">
        <f>SUMIF($G252:$T252,"V",$G253:$T253)+SUMIF($W252:$AJ252,"V",$W253:$AJ253)</f>
        <v>0</v>
      </c>
      <c r="AR253" s="74">
        <f>SUMIF($G252:$T252,"O",$G253:$T253)+SUMIF($W252:$AJ252,"O",$W253:$AJ253)</f>
        <v>0</v>
      </c>
      <c r="AS253" s="75">
        <f>SUM(AM253:AR253)</f>
        <v>79</v>
      </c>
      <c r="AT253" s="72"/>
      <c r="AU253" s="73">
        <f>SUMIF($G252:$T252,"A",$G253:$T253)+SUMIF($W252:$AJ252,"A",$W253:$AJ253)</f>
        <v>0</v>
      </c>
      <c r="AV253" s="72"/>
      <c r="AW253" s="76">
        <f>IF(B253="",0,IF($U$9="",0,$U$9))</f>
        <v>80</v>
      </c>
      <c r="BA253" s="2">
        <v>2023</v>
      </c>
      <c r="BB253" s="2">
        <v>18</v>
      </c>
      <c r="BC253" s="101">
        <f t="shared" si="135"/>
        <v>45151</v>
      </c>
      <c r="BD253" s="101">
        <f t="shared" si="135"/>
        <v>45164</v>
      </c>
    </row>
    <row r="254" spans="2:56" s="84" customFormat="1" x14ac:dyDescent="0.35">
      <c r="B254" s="107"/>
      <c r="C254" s="108"/>
      <c r="D254" s="109">
        <f>IF(D180="","",D180)</f>
        <v>23206</v>
      </c>
      <c r="E254" s="110" t="str">
        <f t="shared" si="130"/>
        <v/>
      </c>
      <c r="F254" s="111">
        <f>B231</f>
        <v>13</v>
      </c>
      <c r="G254" s="112"/>
      <c r="H254" s="113"/>
      <c r="I254" s="106"/>
      <c r="J254" s="105"/>
      <c r="K254" s="106"/>
      <c r="L254" s="105"/>
      <c r="M254" s="106"/>
      <c r="N254" s="105"/>
      <c r="O254" s="106"/>
      <c r="P254" s="105"/>
      <c r="Q254" s="106"/>
      <c r="R254" s="105"/>
      <c r="S254" s="112"/>
      <c r="T254" s="113"/>
      <c r="U254" s="114"/>
      <c r="V254" s="2"/>
      <c r="W254" s="112"/>
      <c r="X254" s="113"/>
      <c r="Y254" s="106"/>
      <c r="Z254" s="105"/>
      <c r="AA254" s="106"/>
      <c r="AB254" s="105"/>
      <c r="AC254" s="106"/>
      <c r="AD254" s="105"/>
      <c r="AE254" s="106"/>
      <c r="AF254" s="105"/>
      <c r="AG254" s="106"/>
      <c r="AH254" s="105"/>
      <c r="AI254" s="112"/>
      <c r="AJ254" s="113"/>
      <c r="AK254" s="44"/>
      <c r="AM254" s="49"/>
      <c r="AN254" s="49"/>
      <c r="AO254" s="49"/>
      <c r="AP254" s="49"/>
      <c r="AQ254" s="49"/>
      <c r="AR254" s="40"/>
      <c r="AS254" s="51"/>
      <c r="AU254" s="49"/>
      <c r="AW254" s="52"/>
      <c r="BA254" s="2">
        <v>2023</v>
      </c>
      <c r="BB254" s="2">
        <v>19</v>
      </c>
      <c r="BC254" s="101">
        <f t="shared" si="135"/>
        <v>45165</v>
      </c>
      <c r="BD254" s="101">
        <f t="shared" si="135"/>
        <v>45178</v>
      </c>
    </row>
    <row r="255" spans="2:56" s="84" customFormat="1" x14ac:dyDescent="0.35">
      <c r="B255" s="30" t="str">
        <f>IF(B181="","",B181)</f>
        <v>Gadbois, Dominic</v>
      </c>
      <c r="C255" s="115"/>
      <c r="D255" s="116"/>
      <c r="E255" s="117">
        <f t="shared" si="130"/>
        <v>93545</v>
      </c>
      <c r="F255" s="111">
        <f>B231</f>
        <v>13</v>
      </c>
      <c r="G255" s="119"/>
      <c r="H255" s="118"/>
      <c r="I255" s="104"/>
      <c r="J255" s="103">
        <v>8</v>
      </c>
      <c r="K255" s="104"/>
      <c r="L255" s="103">
        <v>7.75</v>
      </c>
      <c r="M255" s="104"/>
      <c r="N255" s="103">
        <v>7.75</v>
      </c>
      <c r="O255" s="104"/>
      <c r="P255" s="103">
        <v>8.25</v>
      </c>
      <c r="Q255" s="104"/>
      <c r="R255" s="103">
        <v>8</v>
      </c>
      <c r="S255" s="119"/>
      <c r="T255" s="118"/>
      <c r="U255" s="120">
        <f t="shared" ref="U255" si="140">SUM(G255:T255)</f>
        <v>39.75</v>
      </c>
      <c r="V255" s="121"/>
      <c r="W255" s="119"/>
      <c r="X255" s="118"/>
      <c r="Y255" s="104"/>
      <c r="Z255" s="103">
        <v>7.5</v>
      </c>
      <c r="AA255" s="104"/>
      <c r="AB255" s="103">
        <v>8.25</v>
      </c>
      <c r="AC255" s="104"/>
      <c r="AD255" s="103">
        <v>8.25</v>
      </c>
      <c r="AE255" s="104"/>
      <c r="AF255" s="103">
        <v>8.25</v>
      </c>
      <c r="AG255" s="104"/>
      <c r="AH255" s="103">
        <v>8</v>
      </c>
      <c r="AI255" s="119"/>
      <c r="AJ255" s="118"/>
      <c r="AK255" s="71">
        <f>SUM(W255:AJ255)</f>
        <v>40.25</v>
      </c>
      <c r="AL255" s="72"/>
      <c r="AM255" s="73">
        <f>SUMIF($G254:$T254,"",$G255:$T255)+SUMIF($W254:$AJ254,"",$W255:$AJ255)-AN255</f>
        <v>79.75</v>
      </c>
      <c r="AN255" s="88">
        <f>IF(SUMIF($G254:$T254,"",$G255:$T255)+SUMIF($G254:$T254,"F",$G255:$T255)+SUMIF($G254:$T254,"V",$G255:$T255)-40&lt;0,0,SUMIF($G254:$T254,"",$G255:$T255)+SUMIF($G254:$T254,"F",$G255:$T255)+SUMIF($G254:$T254,"V",$G255:$T255)-($U$9/2))+IF(SUMIF($W254:$AJ254,"",$W255:$AJ255)+SUMIF($W254:$AJ254,"F",$W255:$AJ255)+SUMIF($W254:$AJ254,"V",$W255:$AJ255)-40&lt;0,0,SUMIF($W254:$AJ254,"",$W255:$AJ255)+SUMIF($W254:$AJ254,"F",$W255:$AJ255)+SUMIF($W254:$AJ254,"V",$W255:$AJ255)-($U$9/2))</f>
        <v>0.25</v>
      </c>
      <c r="AO255" s="73">
        <f>SUMIF($G254:$T254,"M",$G255:$T255)+SUMIF($W254:$AJ254,"M",$W255:$AJ255)</f>
        <v>0</v>
      </c>
      <c r="AP255" s="73">
        <f>SUMIF($G254:$T254,"F",$G255:$T255)+SUMIF($W254:$AJ254,"F",$W255:$AJ255)</f>
        <v>0</v>
      </c>
      <c r="AQ255" s="73">
        <f>SUMIF($G254:$T254,"V",$G255:$T255)+SUMIF($W254:$AJ254,"V",$W255:$AJ255)</f>
        <v>0</v>
      </c>
      <c r="AR255" s="74">
        <f>SUMIF($G254:$T254,"O",$G255:$T255)+SUMIF($W254:$AJ254,"O",$W255:$AJ255)</f>
        <v>0</v>
      </c>
      <c r="AS255" s="75">
        <f>SUM(AM255:AR255)</f>
        <v>80</v>
      </c>
      <c r="AT255" s="72"/>
      <c r="AU255" s="73">
        <f>SUMIF($G254:$T254,"A",$G255:$T255)+SUMIF($W254:$AJ254,"A",$W255:$AJ255)</f>
        <v>0</v>
      </c>
      <c r="AV255" s="72"/>
      <c r="AW255" s="76">
        <f>IF(B255="",0,IF($U$9="",0,$U$9))</f>
        <v>80</v>
      </c>
      <c r="BA255" s="2">
        <v>2023</v>
      </c>
      <c r="BB255" s="2">
        <v>20</v>
      </c>
      <c r="BC255" s="101">
        <f t="shared" si="135"/>
        <v>45179</v>
      </c>
      <c r="BD255" s="101">
        <f t="shared" si="135"/>
        <v>45192</v>
      </c>
    </row>
    <row r="256" spans="2:56" s="84" customFormat="1" x14ac:dyDescent="0.35">
      <c r="B256" s="107"/>
      <c r="C256" s="108"/>
      <c r="D256" s="109">
        <f>IF(D182="","",D182)</f>
        <v>33664</v>
      </c>
      <c r="E256" s="110" t="str">
        <f t="shared" si="130"/>
        <v/>
      </c>
      <c r="F256" s="111">
        <f>B231</f>
        <v>13</v>
      </c>
      <c r="G256" s="112"/>
      <c r="H256" s="113"/>
      <c r="I256" s="106"/>
      <c r="J256" s="105"/>
      <c r="K256" s="106"/>
      <c r="L256" s="105"/>
      <c r="M256" s="106"/>
      <c r="N256" s="105"/>
      <c r="O256" s="106"/>
      <c r="P256" s="105"/>
      <c r="Q256" s="106"/>
      <c r="R256" s="105"/>
      <c r="S256" s="112"/>
      <c r="T256" s="113"/>
      <c r="U256" s="114"/>
      <c r="V256" s="2"/>
      <c r="W256" s="112"/>
      <c r="X256" s="113"/>
      <c r="Y256" s="106"/>
      <c r="Z256" s="105"/>
      <c r="AA256" s="106"/>
      <c r="AB256" s="105"/>
      <c r="AC256" s="106"/>
      <c r="AD256" s="105"/>
      <c r="AE256" s="106"/>
      <c r="AF256" s="105"/>
      <c r="AG256" s="106"/>
      <c r="AH256" s="105"/>
      <c r="AI256" s="112"/>
      <c r="AJ256" s="113"/>
      <c r="AK256" s="44"/>
      <c r="AM256" s="49"/>
      <c r="AN256" s="49"/>
      <c r="AO256" s="49"/>
      <c r="AP256" s="49"/>
      <c r="AQ256" s="49"/>
      <c r="AR256" s="40"/>
      <c r="AS256" s="51"/>
      <c r="AU256" s="49"/>
      <c r="AW256" s="52"/>
      <c r="BA256" s="2">
        <v>2023</v>
      </c>
      <c r="BB256" s="2">
        <v>21</v>
      </c>
      <c r="BC256" s="101">
        <f t="shared" si="135"/>
        <v>45193</v>
      </c>
      <c r="BD256" s="101">
        <f t="shared" si="135"/>
        <v>45206</v>
      </c>
    </row>
    <row r="257" spans="2:56" s="84" customFormat="1" x14ac:dyDescent="0.35">
      <c r="B257" s="30" t="str">
        <f>IF(B183="","",B183)</f>
        <v>Knox Michaud, Jessy</v>
      </c>
      <c r="C257" s="115"/>
      <c r="D257" s="116"/>
      <c r="E257" s="117">
        <f t="shared" si="130"/>
        <v>93542</v>
      </c>
      <c r="F257" s="111">
        <f>B231</f>
        <v>13</v>
      </c>
      <c r="G257" s="119"/>
      <c r="H257" s="118"/>
      <c r="I257" s="104"/>
      <c r="J257" s="103">
        <v>8</v>
      </c>
      <c r="K257" s="104"/>
      <c r="L257" s="103">
        <v>8</v>
      </c>
      <c r="M257" s="104"/>
      <c r="N257" s="103">
        <v>8</v>
      </c>
      <c r="O257" s="104"/>
      <c r="P257" s="103">
        <v>8</v>
      </c>
      <c r="Q257" s="104"/>
      <c r="R257" s="103">
        <v>8</v>
      </c>
      <c r="S257" s="119"/>
      <c r="T257" s="118"/>
      <c r="U257" s="120">
        <f t="shared" ref="U257" si="141">SUM(G257:T257)</f>
        <v>40</v>
      </c>
      <c r="V257" s="121"/>
      <c r="W257" s="119"/>
      <c r="X257" s="118"/>
      <c r="Y257" s="104"/>
      <c r="Z257" s="103">
        <v>8</v>
      </c>
      <c r="AA257" s="104"/>
      <c r="AB257" s="103">
        <v>8</v>
      </c>
      <c r="AC257" s="104"/>
      <c r="AD257" s="103">
        <v>8</v>
      </c>
      <c r="AE257" s="104"/>
      <c r="AF257" s="103">
        <v>8</v>
      </c>
      <c r="AG257" s="104"/>
      <c r="AH257" s="103">
        <v>8</v>
      </c>
      <c r="AI257" s="119"/>
      <c r="AJ257" s="118"/>
      <c r="AK257" s="71">
        <f>SUM(W257:AJ257)</f>
        <v>40</v>
      </c>
      <c r="AL257" s="72"/>
      <c r="AM257" s="73">
        <f>SUMIF($G256:$T256,"",$G257:$T257)+SUMIF($W256:$AJ256,"",$W257:$AJ257)-AN257</f>
        <v>80</v>
      </c>
      <c r="AN257" s="88">
        <f>IF(SUMIF($G256:$T256,"",$G257:$T257)+SUMIF($G256:$T256,"F",$G257:$T257)+SUMIF($G256:$T256,"V",$G257:$T257)-40&lt;0,0,SUMIF($G256:$T256,"",$G257:$T257)+SUMIF($G256:$T256,"F",$G257:$T257)+SUMIF($G256:$T256,"V",$G257:$T257)-($U$9/2))+IF(SUMIF($W256:$AJ256,"",$W257:$AJ257)+SUMIF($W256:$AJ256,"F",$W257:$AJ257)+SUMIF($W256:$AJ256,"V",$W257:$AJ257)-40&lt;0,0,SUMIF($W256:$AJ256,"",$W257:$AJ257)+SUMIF($W256:$AJ256,"F",$W257:$AJ257)+SUMIF($W256:$AJ256,"V",$W257:$AJ257)-($U$9/2))</f>
        <v>0</v>
      </c>
      <c r="AO257" s="73">
        <f>SUMIF($G256:$T256,"M",$G257:$T257)+SUMIF($W256:$AJ256,"M",$W257:$AJ257)</f>
        <v>0</v>
      </c>
      <c r="AP257" s="73">
        <f>SUMIF($G256:$T256,"F",$G257:$T257)+SUMIF($W256:$AJ256,"F",$W257:$AJ257)</f>
        <v>0</v>
      </c>
      <c r="AQ257" s="73">
        <f>SUMIF($G256:$T256,"V",$G257:$T257)+SUMIF($W256:$AJ256,"V",$W257:$AJ257)</f>
        <v>0</v>
      </c>
      <c r="AR257" s="74">
        <f>SUMIF($G256:$T256,"O",$G257:$T257)+SUMIF($W256:$AJ256,"O",$W257:$AJ257)</f>
        <v>0</v>
      </c>
      <c r="AS257" s="75">
        <f>SUM(AM257:AR257)</f>
        <v>80</v>
      </c>
      <c r="AT257" s="72"/>
      <c r="AU257" s="73">
        <f>SUMIF($G256:$T256,"A",$G257:$T257)+SUMIF($W256:$AJ256,"A",$W257:$AJ257)</f>
        <v>0</v>
      </c>
      <c r="AV257" s="72"/>
      <c r="AW257" s="76">
        <f>IF(B257="",0,IF($U$9="",0,$U$9))</f>
        <v>80</v>
      </c>
      <c r="BA257" s="2">
        <v>2023</v>
      </c>
      <c r="BB257" s="2">
        <v>22</v>
      </c>
      <c r="BC257" s="101">
        <f t="shared" si="135"/>
        <v>45207</v>
      </c>
      <c r="BD257" s="101">
        <f t="shared" si="135"/>
        <v>45220</v>
      </c>
    </row>
    <row r="258" spans="2:56" s="84" customFormat="1" x14ac:dyDescent="0.35">
      <c r="B258" s="107"/>
      <c r="C258" s="108"/>
      <c r="D258" s="109">
        <f>IF(D184="","",D184)</f>
        <v>14206</v>
      </c>
      <c r="E258" s="110" t="str">
        <f t="shared" si="130"/>
        <v/>
      </c>
      <c r="F258" s="111">
        <f>B231</f>
        <v>13</v>
      </c>
      <c r="G258" s="112"/>
      <c r="H258" s="113"/>
      <c r="I258" s="106"/>
      <c r="J258" s="105"/>
      <c r="K258" s="106"/>
      <c r="L258" s="105"/>
      <c r="M258" s="106"/>
      <c r="N258" s="105"/>
      <c r="O258" s="106"/>
      <c r="P258" s="105"/>
      <c r="Q258" s="106"/>
      <c r="R258" s="105"/>
      <c r="S258" s="112"/>
      <c r="T258" s="113"/>
      <c r="U258" s="114"/>
      <c r="V258" s="2"/>
      <c r="W258" s="112"/>
      <c r="X258" s="113"/>
      <c r="Y258" s="106"/>
      <c r="Z258" s="105"/>
      <c r="AA258" s="106"/>
      <c r="AB258" s="105"/>
      <c r="AC258" s="106"/>
      <c r="AD258" s="105"/>
      <c r="AE258" s="106"/>
      <c r="AF258" s="105"/>
      <c r="AG258" s="106"/>
      <c r="AH258" s="105"/>
      <c r="AI258" s="112"/>
      <c r="AJ258" s="113"/>
      <c r="AK258" s="44"/>
      <c r="AM258" s="49"/>
      <c r="AN258" s="49"/>
      <c r="AO258" s="49"/>
      <c r="AP258" s="49"/>
      <c r="AQ258" s="49"/>
      <c r="AR258" s="40"/>
      <c r="AS258" s="51"/>
      <c r="AU258" s="49"/>
      <c r="AW258" s="52"/>
      <c r="BA258" s="2">
        <v>2023</v>
      </c>
      <c r="BB258" s="2">
        <v>23</v>
      </c>
      <c r="BC258" s="101">
        <f t="shared" si="135"/>
        <v>45221</v>
      </c>
      <c r="BD258" s="101">
        <f t="shared" si="135"/>
        <v>45234</v>
      </c>
    </row>
    <row r="259" spans="2:56" s="84" customFormat="1" x14ac:dyDescent="0.35">
      <c r="B259" s="30" t="str">
        <f>IF(B185="","",B185)</f>
        <v>Landry, Bernard</v>
      </c>
      <c r="C259" s="115"/>
      <c r="D259" s="116"/>
      <c r="E259" s="117">
        <f t="shared" si="130"/>
        <v>93545</v>
      </c>
      <c r="F259" s="111">
        <f>B231</f>
        <v>13</v>
      </c>
      <c r="G259" s="119"/>
      <c r="H259" s="118"/>
      <c r="I259" s="104"/>
      <c r="J259" s="103">
        <v>8</v>
      </c>
      <c r="K259" s="104"/>
      <c r="L259" s="103">
        <v>8</v>
      </c>
      <c r="M259" s="104"/>
      <c r="N259" s="103">
        <v>8</v>
      </c>
      <c r="O259" s="104"/>
      <c r="P259" s="103">
        <v>8</v>
      </c>
      <c r="Q259" s="104"/>
      <c r="R259" s="103">
        <v>8</v>
      </c>
      <c r="S259" s="119"/>
      <c r="T259" s="118"/>
      <c r="U259" s="120">
        <f t="shared" ref="U259" si="142">SUM(G259:T259)</f>
        <v>40</v>
      </c>
      <c r="V259" s="121"/>
      <c r="W259" s="119"/>
      <c r="X259" s="118"/>
      <c r="Y259" s="104"/>
      <c r="Z259" s="103">
        <v>8</v>
      </c>
      <c r="AA259" s="104"/>
      <c r="AB259" s="103">
        <v>8</v>
      </c>
      <c r="AC259" s="104"/>
      <c r="AD259" s="103">
        <v>8</v>
      </c>
      <c r="AE259" s="104"/>
      <c r="AF259" s="103">
        <v>8</v>
      </c>
      <c r="AG259" s="104"/>
      <c r="AH259" s="103">
        <v>8</v>
      </c>
      <c r="AI259" s="119"/>
      <c r="AJ259" s="118"/>
      <c r="AK259" s="71">
        <f>SUM(W259:AJ259)</f>
        <v>40</v>
      </c>
      <c r="AL259" s="72"/>
      <c r="AM259" s="73">
        <f>SUMIF($G258:$T258,"",$G259:$T259)+SUMIF($W258:$AJ258,"",$W259:$AJ259)-AN259</f>
        <v>80</v>
      </c>
      <c r="AN259" s="88">
        <f>IF(SUMIF($G258:$T258,"",$G259:$T259)+SUMIF($G258:$T258,"F",$G259:$T259)+SUMIF($G258:$T258,"V",$G259:$T259)-40&lt;0,0,SUMIF($G258:$T258,"",$G259:$T259)+SUMIF($G258:$T258,"F",$G259:$T259)+SUMIF($G258:$T258,"V",$G259:$T259)-($U$9/2))+IF(SUMIF($W258:$AJ258,"",$W259:$AJ259)+SUMIF($W258:$AJ258,"F",$W259:$AJ259)+SUMIF($W258:$AJ258,"V",$W259:$AJ259)-40&lt;0,0,SUMIF($W258:$AJ258,"",$W259:$AJ259)+SUMIF($W258:$AJ258,"F",$W259:$AJ259)+SUMIF($W258:$AJ258,"V",$W259:$AJ259)-($U$9/2))</f>
        <v>0</v>
      </c>
      <c r="AO259" s="73">
        <f>SUMIF($G258:$T258,"M",$G259:$T259)+SUMIF($W258:$AJ258,"M",$W259:$AJ259)</f>
        <v>0</v>
      </c>
      <c r="AP259" s="73">
        <f>SUMIF($G258:$T258,"F",$G259:$T259)+SUMIF($W258:$AJ258,"F",$W259:$AJ259)</f>
        <v>0</v>
      </c>
      <c r="AQ259" s="73">
        <f>SUMIF($G258:$T258,"V",$G259:$T259)+SUMIF($W258:$AJ258,"V",$W259:$AJ259)</f>
        <v>0</v>
      </c>
      <c r="AR259" s="74">
        <f>SUMIF($G258:$T258,"O",$G259:$T259)+SUMIF($W258:$AJ258,"O",$W259:$AJ259)</f>
        <v>0</v>
      </c>
      <c r="AS259" s="75">
        <f>SUM(AM259:AR259)</f>
        <v>80</v>
      </c>
      <c r="AT259" s="72"/>
      <c r="AU259" s="73">
        <f>SUMIF($G258:$T258,"A",$G259:$T259)+SUMIF($W258:$AJ258,"A",$W259:$AJ259)</f>
        <v>0</v>
      </c>
      <c r="AV259" s="72"/>
      <c r="AW259" s="76">
        <f>IF(B259="",0,IF($U$9="",0,$U$9))</f>
        <v>80</v>
      </c>
      <c r="BA259" s="2">
        <v>2023</v>
      </c>
      <c r="BB259" s="2">
        <v>24</v>
      </c>
      <c r="BC259" s="101">
        <f t="shared" si="135"/>
        <v>45235</v>
      </c>
      <c r="BD259" s="101">
        <f t="shared" si="135"/>
        <v>45248</v>
      </c>
    </row>
    <row r="260" spans="2:56" s="84" customFormat="1" x14ac:dyDescent="0.35">
      <c r="B260" s="107"/>
      <c r="C260" s="108"/>
      <c r="D260" s="109">
        <f>IF(D186="","",D186)</f>
        <v>92257</v>
      </c>
      <c r="E260" s="110" t="str">
        <f t="shared" si="130"/>
        <v/>
      </c>
      <c r="F260" s="111">
        <f>B231</f>
        <v>13</v>
      </c>
      <c r="G260" s="112"/>
      <c r="H260" s="113"/>
      <c r="I260" s="106"/>
      <c r="J260" s="105"/>
      <c r="K260" s="106"/>
      <c r="L260" s="105"/>
      <c r="M260" s="106"/>
      <c r="N260" s="105"/>
      <c r="O260" s="106"/>
      <c r="P260" s="105"/>
      <c r="Q260" s="106"/>
      <c r="R260" s="105"/>
      <c r="S260" s="112"/>
      <c r="T260" s="113"/>
      <c r="U260" s="114"/>
      <c r="V260" s="2"/>
      <c r="W260" s="112"/>
      <c r="X260" s="113"/>
      <c r="Y260" s="106"/>
      <c r="Z260" s="105"/>
      <c r="AA260" s="106"/>
      <c r="AB260" s="105"/>
      <c r="AC260" s="106"/>
      <c r="AD260" s="105"/>
      <c r="AE260" s="106"/>
      <c r="AF260" s="105"/>
      <c r="AG260" s="106"/>
      <c r="AH260" s="105"/>
      <c r="AI260" s="112"/>
      <c r="AJ260" s="113"/>
      <c r="AK260" s="44"/>
      <c r="AM260" s="49"/>
      <c r="AN260" s="49"/>
      <c r="AO260" s="49"/>
      <c r="AP260" s="49"/>
      <c r="AQ260" s="49"/>
      <c r="AR260" s="40"/>
      <c r="AS260" s="51"/>
      <c r="AU260" s="49"/>
      <c r="AW260" s="52"/>
      <c r="BA260" s="2">
        <v>2023</v>
      </c>
      <c r="BB260" s="2">
        <v>25</v>
      </c>
      <c r="BC260" s="101">
        <f t="shared" si="135"/>
        <v>45249</v>
      </c>
      <c r="BD260" s="101">
        <f t="shared" si="135"/>
        <v>45262</v>
      </c>
    </row>
    <row r="261" spans="2:56" s="84" customFormat="1" x14ac:dyDescent="0.35">
      <c r="B261" s="30" t="str">
        <f>IF(B187="","",B187)</f>
        <v>Lelievre, Anik</v>
      </c>
      <c r="C261" s="115"/>
      <c r="D261" s="116"/>
      <c r="E261" s="117">
        <f t="shared" si="130"/>
        <v>93513</v>
      </c>
      <c r="F261" s="111">
        <f>B231</f>
        <v>13</v>
      </c>
      <c r="G261" s="119"/>
      <c r="H261" s="118"/>
      <c r="I261" s="104"/>
      <c r="J261" s="103">
        <v>8</v>
      </c>
      <c r="K261" s="104"/>
      <c r="L261" s="103">
        <v>8</v>
      </c>
      <c r="M261" s="104"/>
      <c r="N261" s="103">
        <v>8</v>
      </c>
      <c r="O261" s="104"/>
      <c r="P261" s="103">
        <v>8</v>
      </c>
      <c r="Q261" s="104"/>
      <c r="R261" s="103">
        <v>8</v>
      </c>
      <c r="S261" s="119"/>
      <c r="T261" s="118"/>
      <c r="U261" s="120">
        <f t="shared" ref="U261" si="143">SUM(G261:T261)</f>
        <v>40</v>
      </c>
      <c r="V261" s="121"/>
      <c r="W261" s="119"/>
      <c r="X261" s="118"/>
      <c r="Y261" s="104"/>
      <c r="Z261" s="103">
        <v>8</v>
      </c>
      <c r="AA261" s="104"/>
      <c r="AB261" s="103">
        <v>8</v>
      </c>
      <c r="AC261" s="104"/>
      <c r="AD261" s="103">
        <v>8</v>
      </c>
      <c r="AE261" s="104"/>
      <c r="AF261" s="103">
        <v>8</v>
      </c>
      <c r="AG261" s="104"/>
      <c r="AH261" s="103">
        <v>8</v>
      </c>
      <c r="AI261" s="119"/>
      <c r="AJ261" s="118"/>
      <c r="AK261" s="71">
        <f>SUM(W261:AJ261)</f>
        <v>40</v>
      </c>
      <c r="AL261" s="72"/>
      <c r="AM261" s="73">
        <f>SUMIF($G260:$T260,"",$G261:$T261)+SUMIF($W260:$AJ260,"",$W261:$AJ261)-AN261</f>
        <v>80</v>
      </c>
      <c r="AN261" s="88">
        <f>IF(SUMIF($G260:$T260,"",$G261:$T261)+SUMIF($G260:$T260,"F",$G261:$T261)+SUMIF($G260:$T260,"V",$G261:$T261)-40&lt;0,0,SUMIF($G260:$T260,"",$G261:$T261)+SUMIF($G260:$T260,"F",$G261:$T261)+SUMIF($G260:$T260,"V",$G261:$T261)-($U$9/2))+IF(SUMIF($W260:$AJ260,"",$W261:$AJ261)+SUMIF($W260:$AJ260,"F",$W261:$AJ261)+SUMIF($W260:$AJ260,"V",$W261:$AJ261)-40&lt;0,0,SUMIF($W260:$AJ260,"",$W261:$AJ261)+SUMIF($W260:$AJ260,"F",$W261:$AJ261)+SUMIF($W260:$AJ260,"V",$W261:$AJ261)-($U$9/2))</f>
        <v>0</v>
      </c>
      <c r="AO261" s="73">
        <f>SUMIF($G260:$T260,"M",$G261:$T261)+SUMIF($W260:$AJ260,"M",$W261:$AJ261)</f>
        <v>0</v>
      </c>
      <c r="AP261" s="73">
        <f>SUMIF($G260:$T260,"F",$G261:$T261)+SUMIF($W260:$AJ260,"F",$W261:$AJ261)</f>
        <v>0</v>
      </c>
      <c r="AQ261" s="73">
        <f>SUMIF($G260:$T260,"V",$G261:$T261)+SUMIF($W260:$AJ260,"V",$W261:$AJ261)</f>
        <v>0</v>
      </c>
      <c r="AR261" s="74">
        <f>SUMIF($G260:$T260,"O",$G261:$T261)+SUMIF($W260:$AJ260,"O",$W261:$AJ261)</f>
        <v>0</v>
      </c>
      <c r="AS261" s="75">
        <f>SUM(AM261:AR261)</f>
        <v>80</v>
      </c>
      <c r="AT261" s="72"/>
      <c r="AU261" s="73">
        <f>SUMIF($G260:$T260,"A",$G261:$T261)+SUMIF($W260:$AJ260,"A",$W261:$AJ261)</f>
        <v>0</v>
      </c>
      <c r="AV261" s="72"/>
      <c r="AW261" s="76">
        <f>IF(B261="",0,IF($U$9="",0,$U$9))</f>
        <v>80</v>
      </c>
      <c r="BA261" s="2">
        <v>2023</v>
      </c>
      <c r="BB261" s="2">
        <v>26</v>
      </c>
      <c r="BC261" s="101">
        <f t="shared" ref="BC261:BD261" si="144">+BC260+14</f>
        <v>45263</v>
      </c>
      <c r="BD261" s="101">
        <f t="shared" si="144"/>
        <v>45276</v>
      </c>
    </row>
    <row r="262" spans="2:56" s="84" customFormat="1" x14ac:dyDescent="0.35">
      <c r="B262" s="107"/>
      <c r="C262" s="108"/>
      <c r="D262" s="109">
        <f>IF(D188="","",D188)</f>
        <v>81042</v>
      </c>
      <c r="E262" s="110" t="str">
        <f t="shared" si="130"/>
        <v/>
      </c>
      <c r="F262" s="111">
        <f>B231</f>
        <v>13</v>
      </c>
      <c r="G262" s="112"/>
      <c r="H262" s="113"/>
      <c r="I262" s="106"/>
      <c r="J262" s="105"/>
      <c r="K262" s="106"/>
      <c r="L262" s="105"/>
      <c r="M262" s="106"/>
      <c r="N262" s="105"/>
      <c r="O262" s="106"/>
      <c r="P262" s="105"/>
      <c r="Q262" s="106"/>
      <c r="R262" s="105"/>
      <c r="S262" s="112"/>
      <c r="T262" s="113"/>
      <c r="U262" s="114"/>
      <c r="V262" s="2"/>
      <c r="W262" s="112"/>
      <c r="X262" s="113"/>
      <c r="Y262" s="106"/>
      <c r="Z262" s="105"/>
      <c r="AA262" s="106"/>
      <c r="AB262" s="130" t="s">
        <v>12</v>
      </c>
      <c r="AC262" s="106"/>
      <c r="AD262" s="130" t="s">
        <v>12</v>
      </c>
      <c r="AE262" s="106"/>
      <c r="AF262" s="105"/>
      <c r="AG262" s="106"/>
      <c r="AH262" s="105"/>
      <c r="AI262" s="112"/>
      <c r="AJ262" s="113"/>
      <c r="AK262" s="44"/>
      <c r="AM262" s="49"/>
      <c r="AN262" s="49"/>
      <c r="AO262" s="49"/>
      <c r="AP262" s="49"/>
      <c r="AQ262" s="49"/>
      <c r="AR262" s="40"/>
      <c r="AS262" s="51"/>
      <c r="AU262" s="49"/>
      <c r="AW262" s="52"/>
      <c r="BA262" s="2"/>
      <c r="BB262" s="2"/>
      <c r="BC262" s="101"/>
      <c r="BD262" s="101"/>
    </row>
    <row r="263" spans="2:56" s="84" customFormat="1" x14ac:dyDescent="0.35">
      <c r="B263" s="30" t="str">
        <f>IF(B189="","",B189)</f>
        <v>Letarte, Martin</v>
      </c>
      <c r="C263" s="115"/>
      <c r="D263" s="116"/>
      <c r="E263" s="117">
        <f t="shared" si="130"/>
        <v>93545</v>
      </c>
      <c r="F263" s="111">
        <f>B231</f>
        <v>13</v>
      </c>
      <c r="G263" s="119"/>
      <c r="H263" s="118"/>
      <c r="I263" s="104"/>
      <c r="J263" s="103">
        <v>8</v>
      </c>
      <c r="K263" s="104"/>
      <c r="L263" s="103">
        <v>8</v>
      </c>
      <c r="M263" s="104"/>
      <c r="N263" s="103">
        <v>8</v>
      </c>
      <c r="O263" s="104"/>
      <c r="P263" s="103">
        <v>8</v>
      </c>
      <c r="Q263" s="104"/>
      <c r="R263" s="103">
        <v>8</v>
      </c>
      <c r="S263" s="119"/>
      <c r="T263" s="118"/>
      <c r="U263" s="120">
        <f t="shared" ref="U263" si="145">SUM(G263:T263)</f>
        <v>40</v>
      </c>
      <c r="V263" s="121"/>
      <c r="W263" s="119"/>
      <c r="X263" s="118"/>
      <c r="Y263" s="104"/>
      <c r="Z263" s="103">
        <v>8</v>
      </c>
      <c r="AA263" s="104"/>
      <c r="AB263" s="103">
        <v>8</v>
      </c>
      <c r="AC263" s="104"/>
      <c r="AD263" s="103">
        <v>8</v>
      </c>
      <c r="AE263" s="104"/>
      <c r="AF263" s="103">
        <v>8</v>
      </c>
      <c r="AG263" s="104"/>
      <c r="AH263" s="103">
        <v>8</v>
      </c>
      <c r="AI263" s="119"/>
      <c r="AJ263" s="118"/>
      <c r="AK263" s="71">
        <f>SUM(W263:AJ263)</f>
        <v>40</v>
      </c>
      <c r="AL263" s="72"/>
      <c r="AM263" s="73">
        <f>SUMIF($G262:$T262,"",$G263:$T263)+SUMIF($W262:$AJ262,"",$W263:$AJ263)-AN263</f>
        <v>64</v>
      </c>
      <c r="AN263" s="88">
        <f>IF(SUMIF($G262:$T262,"",$G263:$T263)+SUMIF($G262:$T262,"F",$G263:$T263)+SUMIF($G262:$T262,"V",$G263:$T263)-40&lt;0,0,SUMIF($G262:$T262,"",$G263:$T263)+SUMIF($G262:$T262,"F",$G263:$T263)+SUMIF($G262:$T262,"V",$G263:$T263)-($U$9/2))+IF(SUMIF($W262:$AJ262,"",$W263:$AJ263)+SUMIF($W262:$AJ262,"F",$W263:$AJ263)+SUMIF($W262:$AJ262,"V",$W263:$AJ263)-40&lt;0,0,SUMIF($W262:$AJ262,"",$W263:$AJ263)+SUMIF($W262:$AJ262,"F",$W263:$AJ263)+SUMIF($W262:$AJ262,"V",$W263:$AJ263)-($U$9/2))</f>
        <v>0</v>
      </c>
      <c r="AO263" s="73">
        <f>SUMIF($G262:$T262,"M",$G263:$T263)+SUMIF($W262:$AJ262,"M",$W263:$AJ263)</f>
        <v>16</v>
      </c>
      <c r="AP263" s="73">
        <f>SUMIF($G262:$T262,"F",$G263:$T263)+SUMIF($W262:$AJ262,"F",$W263:$AJ263)</f>
        <v>0</v>
      </c>
      <c r="AQ263" s="73">
        <f>SUMIF($G262:$T262,"V",$G263:$T263)+SUMIF($W262:$AJ262,"V",$W263:$AJ263)</f>
        <v>0</v>
      </c>
      <c r="AR263" s="74">
        <f>SUMIF($G262:$T262,"O",$G263:$T263)+SUMIF($W262:$AJ262,"O",$W263:$AJ263)</f>
        <v>0</v>
      </c>
      <c r="AS263" s="75">
        <f>SUM(AM263:AR263)</f>
        <v>80</v>
      </c>
      <c r="AT263" s="72"/>
      <c r="AU263" s="73">
        <f>SUMIF($G262:$T262,"A",$G263:$T263)+SUMIF($W262:$AJ262,"A",$W263:$AJ263)</f>
        <v>0</v>
      </c>
      <c r="AV263" s="72"/>
      <c r="AW263" s="76">
        <f>IF(B263="",0,IF($U$9="",0,$U$9))</f>
        <v>80</v>
      </c>
      <c r="BA263" s="2"/>
      <c r="BB263" s="2"/>
      <c r="BC263" s="101"/>
      <c r="BD263" s="101"/>
    </row>
    <row r="264" spans="2:56" s="84" customFormat="1" x14ac:dyDescent="0.35">
      <c r="B264" s="107"/>
      <c r="C264" s="108"/>
      <c r="D264" s="109">
        <f>IF(D190="","",D190)</f>
        <v>23930</v>
      </c>
      <c r="E264" s="110" t="str">
        <f t="shared" si="130"/>
        <v/>
      </c>
      <c r="F264" s="111">
        <f>B231</f>
        <v>13</v>
      </c>
      <c r="G264" s="112"/>
      <c r="H264" s="113"/>
      <c r="I264" s="106"/>
      <c r="J264" s="105"/>
      <c r="K264" s="106"/>
      <c r="L264" s="105"/>
      <c r="M264" s="106"/>
      <c r="N264" s="105"/>
      <c r="O264" s="106"/>
      <c r="P264" s="105"/>
      <c r="Q264" s="106"/>
      <c r="R264" s="105"/>
      <c r="S264" s="112"/>
      <c r="T264" s="113"/>
      <c r="U264" s="114"/>
      <c r="V264" s="2"/>
      <c r="W264" s="112"/>
      <c r="X264" s="113"/>
      <c r="Y264" s="106"/>
      <c r="Z264" s="105"/>
      <c r="AA264" s="106"/>
      <c r="AB264" s="105"/>
      <c r="AC264" s="106"/>
      <c r="AD264" s="105"/>
      <c r="AE264" s="106"/>
      <c r="AF264" s="105"/>
      <c r="AG264" s="106"/>
      <c r="AH264" s="105"/>
      <c r="AI264" s="112"/>
      <c r="AJ264" s="113"/>
      <c r="AK264" s="44"/>
      <c r="AM264" s="49"/>
      <c r="AN264" s="49"/>
      <c r="AO264" s="49"/>
      <c r="AP264" s="49"/>
      <c r="AQ264" s="49"/>
      <c r="AR264" s="40"/>
      <c r="AS264" s="51"/>
      <c r="AU264" s="49"/>
      <c r="AW264" s="52"/>
      <c r="BA264" s="2"/>
      <c r="BB264" s="2"/>
      <c r="BC264" s="101"/>
      <c r="BD264" s="101"/>
    </row>
    <row r="265" spans="2:56" s="84" customFormat="1" x14ac:dyDescent="0.35">
      <c r="B265" s="30" t="str">
        <f>IF(B191="","",B191)</f>
        <v>Martinez Parada, José Francisco</v>
      </c>
      <c r="C265" s="115"/>
      <c r="D265" s="116"/>
      <c r="E265" s="117">
        <f t="shared" si="130"/>
        <v>93545</v>
      </c>
      <c r="F265" s="111">
        <f>B231</f>
        <v>13</v>
      </c>
      <c r="G265" s="119"/>
      <c r="H265" s="118"/>
      <c r="I265" s="104"/>
      <c r="J265" s="103">
        <v>8</v>
      </c>
      <c r="K265" s="104"/>
      <c r="L265" s="103">
        <v>8</v>
      </c>
      <c r="M265" s="104"/>
      <c r="N265" s="103">
        <v>8</v>
      </c>
      <c r="O265" s="104"/>
      <c r="P265" s="103">
        <v>8</v>
      </c>
      <c r="Q265" s="104"/>
      <c r="R265" s="103">
        <v>8</v>
      </c>
      <c r="S265" s="119"/>
      <c r="T265" s="118"/>
      <c r="U265" s="120">
        <f t="shared" ref="U265" si="146">SUM(G265:T265)</f>
        <v>40</v>
      </c>
      <c r="V265" s="121"/>
      <c r="W265" s="119"/>
      <c r="X265" s="118"/>
      <c r="Y265" s="104"/>
      <c r="Z265" s="103">
        <v>8</v>
      </c>
      <c r="AA265" s="104"/>
      <c r="AB265" s="103">
        <v>8</v>
      </c>
      <c r="AC265" s="104"/>
      <c r="AD265" s="103">
        <v>8</v>
      </c>
      <c r="AE265" s="104"/>
      <c r="AF265" s="103">
        <v>8</v>
      </c>
      <c r="AG265" s="104"/>
      <c r="AH265" s="103">
        <v>8</v>
      </c>
      <c r="AI265" s="119"/>
      <c r="AJ265" s="118"/>
      <c r="AK265" s="71">
        <f>SUM(W265:AJ265)</f>
        <v>40</v>
      </c>
      <c r="AL265" s="72"/>
      <c r="AM265" s="73">
        <f>SUMIF($G264:$T264,"",$G265:$T265)+SUMIF($W264:$AJ264,"",$W265:$AJ265)-AN265</f>
        <v>80</v>
      </c>
      <c r="AN265" s="88">
        <f>IF(SUMIF($G264:$T264,"",$G265:$T265)+SUMIF($G264:$T264,"F",$G265:$T265)+SUMIF($G264:$T264,"V",$G265:$T265)-40&lt;0,0,SUMIF($G264:$T264,"",$G265:$T265)+SUMIF($G264:$T264,"F",$G265:$T265)+SUMIF($G264:$T264,"V",$G265:$T265)-($U$9/2))+IF(SUMIF($W264:$AJ264,"",$W265:$AJ265)+SUMIF($W264:$AJ264,"F",$W265:$AJ265)+SUMIF($W264:$AJ264,"V",$W265:$AJ265)-40&lt;0,0,SUMIF($W264:$AJ264,"",$W265:$AJ265)+SUMIF($W264:$AJ264,"F",$W265:$AJ265)+SUMIF($W264:$AJ264,"V",$W265:$AJ265)-($U$9/2))</f>
        <v>0</v>
      </c>
      <c r="AO265" s="73">
        <f>SUMIF($G264:$T264,"M",$G265:$T265)+SUMIF($W264:$AJ264,"M",$W265:$AJ265)</f>
        <v>0</v>
      </c>
      <c r="AP265" s="73">
        <f>SUMIF($G264:$T264,"F",$G265:$T265)+SUMIF($W264:$AJ264,"F",$W265:$AJ265)</f>
        <v>0</v>
      </c>
      <c r="AQ265" s="73">
        <f>SUMIF($G264:$T264,"V",$G265:$T265)+SUMIF($W264:$AJ264,"V",$W265:$AJ265)</f>
        <v>0</v>
      </c>
      <c r="AR265" s="74">
        <f>SUMIF($G264:$T264,"O",$G265:$T265)+SUMIF($W264:$AJ264,"O",$W265:$AJ265)</f>
        <v>0</v>
      </c>
      <c r="AS265" s="75">
        <f>SUM(AM265:AR265)</f>
        <v>80</v>
      </c>
      <c r="AT265" s="72"/>
      <c r="AU265" s="73">
        <f>SUMIF($G264:$T264,"A",$G265:$T265)+SUMIF($W264:$AJ264,"A",$W265:$AJ265)</f>
        <v>0</v>
      </c>
      <c r="AV265" s="72"/>
      <c r="AW265" s="76">
        <f>IF(B265="",0,IF($U$9="",0,$U$9))</f>
        <v>80</v>
      </c>
      <c r="BA265" s="2"/>
      <c r="BB265" s="2"/>
      <c r="BC265" s="101"/>
      <c r="BD265" s="101"/>
    </row>
    <row r="266" spans="2:56" s="84" customFormat="1" x14ac:dyDescent="0.35">
      <c r="B266" s="107"/>
      <c r="C266" s="108"/>
      <c r="D266" s="109">
        <f>IF(D192="","",D192)</f>
        <v>11792</v>
      </c>
      <c r="E266" s="110" t="str">
        <f t="shared" si="130"/>
        <v/>
      </c>
      <c r="F266" s="111">
        <f>B231</f>
        <v>13</v>
      </c>
      <c r="G266" s="112"/>
      <c r="H266" s="113"/>
      <c r="I266" s="106"/>
      <c r="J266" s="105"/>
      <c r="K266" s="106"/>
      <c r="L266" s="105"/>
      <c r="M266" s="106"/>
      <c r="N266" s="105"/>
      <c r="O266" s="106"/>
      <c r="P266" s="105"/>
      <c r="Q266" s="106"/>
      <c r="R266" s="105"/>
      <c r="S266" s="112"/>
      <c r="T266" s="113"/>
      <c r="U266" s="114"/>
      <c r="V266" s="2"/>
      <c r="W266" s="112"/>
      <c r="X266" s="113"/>
      <c r="Y266" s="106"/>
      <c r="Z266" s="105"/>
      <c r="AA266" s="106"/>
      <c r="AB266" s="105"/>
      <c r="AC266" s="106"/>
      <c r="AD266" s="105"/>
      <c r="AE266" s="106"/>
      <c r="AF266" s="105"/>
      <c r="AG266" s="106"/>
      <c r="AH266" s="105"/>
      <c r="AI266" s="112"/>
      <c r="AJ266" s="113"/>
      <c r="AK266" s="44"/>
      <c r="AM266" s="49"/>
      <c r="AN266" s="49"/>
      <c r="AO266" s="49"/>
      <c r="AP266" s="49"/>
      <c r="AQ266" s="49"/>
      <c r="AR266" s="40"/>
      <c r="AS266" s="51"/>
      <c r="AU266" s="49"/>
      <c r="AW266" s="52"/>
      <c r="BA266" s="2"/>
      <c r="BB266" s="2"/>
      <c r="BC266" s="101"/>
      <c r="BD266" s="101"/>
    </row>
    <row r="267" spans="2:56" s="84" customFormat="1" x14ac:dyDescent="0.35">
      <c r="B267" s="30" t="str">
        <f>IF(B193="","",B193)</f>
        <v>Pellerin, Pierre</v>
      </c>
      <c r="C267" s="115"/>
      <c r="D267" s="116"/>
      <c r="E267" s="117">
        <f t="shared" si="130"/>
        <v>93595935</v>
      </c>
      <c r="F267" s="111">
        <f>B231</f>
        <v>13</v>
      </c>
      <c r="G267" s="119"/>
      <c r="H267" s="118"/>
      <c r="I267" s="104"/>
      <c r="J267" s="103">
        <v>8</v>
      </c>
      <c r="K267" s="104"/>
      <c r="L267" s="103">
        <v>8</v>
      </c>
      <c r="M267" s="104"/>
      <c r="N267" s="103">
        <v>8</v>
      </c>
      <c r="O267" s="104"/>
      <c r="P267" s="103">
        <v>8</v>
      </c>
      <c r="Q267" s="104"/>
      <c r="R267" s="103">
        <v>8</v>
      </c>
      <c r="S267" s="119"/>
      <c r="T267" s="118"/>
      <c r="U267" s="120">
        <f t="shared" ref="U267" si="147">SUM(G267:T267)</f>
        <v>40</v>
      </c>
      <c r="V267" s="121"/>
      <c r="W267" s="119"/>
      <c r="X267" s="118"/>
      <c r="Y267" s="104"/>
      <c r="Z267" s="103">
        <v>8</v>
      </c>
      <c r="AA267" s="104"/>
      <c r="AB267" s="103">
        <v>8</v>
      </c>
      <c r="AC267" s="104"/>
      <c r="AD267" s="103">
        <v>8</v>
      </c>
      <c r="AE267" s="104"/>
      <c r="AF267" s="103">
        <v>8</v>
      </c>
      <c r="AG267" s="104"/>
      <c r="AH267" s="103">
        <v>8</v>
      </c>
      <c r="AI267" s="119"/>
      <c r="AJ267" s="118"/>
      <c r="AK267" s="71">
        <f>SUM(Z267:AH267)</f>
        <v>40</v>
      </c>
      <c r="AL267" s="72"/>
      <c r="AM267" s="73">
        <f>SUMIF($G266:$T266,"",$G267:$T267)+SUMIF($W266:$AJ266,"",$W267:$AJ267)-AN267</f>
        <v>80</v>
      </c>
      <c r="AN267" s="88">
        <f>IF(SUMIF($G266:$T266,"",$G267:$T267)+SUMIF($G266:$T266,"F",$G267:$T267)+SUMIF($G266:$T266,"V",$G267:$T267)-40&lt;0,0,SUMIF($G266:$T266,"",$G267:$T267)+SUMIF($G266:$T266,"F",$G267:$T267)+SUMIF($G266:$T266,"V",$G267:$T267)-($U$9/2))+IF(SUMIF($W266:$AJ266,"",$W267:$AJ267)+SUMIF($W266:$AJ266,"F",$W267:$AJ267)+SUMIF($W266:$AJ266,"V",$W267:$AJ267)-40&lt;0,0,SUMIF($W266:$AJ266,"",$W267:$AJ267)+SUMIF($W266:$AJ266,"F",$W267:$AJ267)+SUMIF($W266:$AJ266,"V",$W267:$AJ267)-($U$9/2))</f>
        <v>0</v>
      </c>
      <c r="AO267" s="73">
        <f>SUMIF($G266:$T266,"M",$G267:$T267)+SUMIF($W266:$AJ266,"M",$W267:$AJ267)</f>
        <v>0</v>
      </c>
      <c r="AP267" s="73">
        <f>SUMIF($G266:$T266,"F",$G267:$T267)+SUMIF($W266:$AJ266,"F",$W267:$AJ267)</f>
        <v>0</v>
      </c>
      <c r="AQ267" s="73">
        <f>SUMIF($G266:$T266,"V",$G267:$T267)+SUMIF($W266:$AJ266,"V",$W267:$AJ267)</f>
        <v>0</v>
      </c>
      <c r="AR267" s="74">
        <f>SUMIF($G266:$T266,"O",$G267:$T267)+SUMIF($W266:$AJ266,"O",$W267:$AJ267)</f>
        <v>0</v>
      </c>
      <c r="AS267" s="75">
        <f>SUM(AM267:AR267)</f>
        <v>80</v>
      </c>
      <c r="AT267" s="72"/>
      <c r="AU267" s="73">
        <f>SUMIF($G266:$T266,"A",$G267:$T267)+SUMIF($W266:$AJ266,"A",$W267:$AJ267)</f>
        <v>0</v>
      </c>
      <c r="AV267" s="72"/>
      <c r="AW267" s="76">
        <f>IF(B267="",0,IF($U$9="",0,$U$9))</f>
        <v>80</v>
      </c>
      <c r="BA267" s="2"/>
      <c r="BB267" s="2"/>
      <c r="BC267" s="101"/>
      <c r="BD267" s="101"/>
    </row>
    <row r="268" spans="2:56" s="84" customFormat="1" x14ac:dyDescent="0.35">
      <c r="B268" s="107"/>
      <c r="C268" s="108"/>
      <c r="D268" s="109">
        <f>IF(D194="","",D194)</f>
        <v>81043</v>
      </c>
      <c r="E268" s="110" t="str">
        <f t="shared" si="130"/>
        <v/>
      </c>
      <c r="F268" s="111">
        <f>B231</f>
        <v>13</v>
      </c>
      <c r="G268" s="112"/>
      <c r="H268" s="113"/>
      <c r="I268" s="106"/>
      <c r="J268" s="105"/>
      <c r="K268" s="106"/>
      <c r="L268" s="105"/>
      <c r="M268" s="106"/>
      <c r="N268" s="105"/>
      <c r="O268" s="106"/>
      <c r="P268" s="105"/>
      <c r="Q268" s="106"/>
      <c r="R268" s="105" t="s">
        <v>1</v>
      </c>
      <c r="S268" s="112"/>
      <c r="T268" s="113"/>
      <c r="U268" s="114"/>
      <c r="V268" s="2"/>
      <c r="W268" s="112"/>
      <c r="X268" s="113"/>
      <c r="Y268" s="106"/>
      <c r="Z268" s="105"/>
      <c r="AA268" s="106"/>
      <c r="AB268" s="105"/>
      <c r="AC268" s="106"/>
      <c r="AD268" s="105"/>
      <c r="AE268" s="106"/>
      <c r="AF268" s="105"/>
      <c r="AG268" s="106"/>
      <c r="AH268" s="105" t="s">
        <v>1</v>
      </c>
      <c r="AI268" s="112"/>
      <c r="AJ268" s="113"/>
      <c r="AK268" s="44"/>
      <c r="AM268" s="49"/>
      <c r="AN268" s="49"/>
      <c r="AO268" s="49"/>
      <c r="AP268" s="49"/>
      <c r="AQ268" s="49"/>
      <c r="AR268" s="40"/>
      <c r="AS268" s="51"/>
      <c r="AU268" s="49"/>
      <c r="AW268" s="52"/>
      <c r="BA268" s="2"/>
      <c r="BB268" s="2"/>
      <c r="BC268" s="101"/>
      <c r="BD268" s="101"/>
    </row>
    <row r="269" spans="2:56" s="84" customFormat="1" x14ac:dyDescent="0.35">
      <c r="B269" s="30" t="str">
        <f>IF(B195="","",B195)</f>
        <v>Rodrigue, Frank</v>
      </c>
      <c r="C269" s="115"/>
      <c r="D269" s="116"/>
      <c r="E269" s="117">
        <f t="shared" si="130"/>
        <v>93545</v>
      </c>
      <c r="F269" s="111">
        <f>B231</f>
        <v>13</v>
      </c>
      <c r="G269" s="119"/>
      <c r="H269" s="118"/>
      <c r="I269" s="104"/>
      <c r="J269" s="103">
        <v>8</v>
      </c>
      <c r="K269" s="104"/>
      <c r="L269" s="103">
        <v>8</v>
      </c>
      <c r="M269" s="104"/>
      <c r="N269" s="103">
        <v>8</v>
      </c>
      <c r="O269" s="104"/>
      <c r="P269" s="103">
        <v>8</v>
      </c>
      <c r="Q269" s="104"/>
      <c r="R269" s="103">
        <v>8</v>
      </c>
      <c r="S269" s="119"/>
      <c r="T269" s="118"/>
      <c r="U269" s="120">
        <f t="shared" ref="U269" si="148">SUM(G269:T269)</f>
        <v>40</v>
      </c>
      <c r="V269" s="121"/>
      <c r="W269" s="119"/>
      <c r="X269" s="118"/>
      <c r="Y269" s="104"/>
      <c r="Z269" s="103">
        <v>8</v>
      </c>
      <c r="AA269" s="104"/>
      <c r="AB269" s="103">
        <v>8</v>
      </c>
      <c r="AC269" s="104"/>
      <c r="AD269" s="103">
        <v>8</v>
      </c>
      <c r="AE269" s="104"/>
      <c r="AF269" s="103">
        <v>8</v>
      </c>
      <c r="AG269" s="104"/>
      <c r="AH269" s="103">
        <v>8</v>
      </c>
      <c r="AI269" s="119"/>
      <c r="AJ269" s="118"/>
      <c r="AK269" s="71">
        <f>SUM(W269:AJ269)</f>
        <v>40</v>
      </c>
      <c r="AL269" s="72"/>
      <c r="AM269" s="73">
        <f>SUMIF($G268:$T268,"",$G269:$T269)+SUMIF($W268:$AJ268,"",$W269:$AJ269)-AN269</f>
        <v>64</v>
      </c>
      <c r="AN269" s="88">
        <f>IF(SUMIF($G268:$T268,"",$G269:$T269)+SUMIF($G268:$T268,"F",$G269:$T269)+SUMIF($G268:$T268,"V",$G269:$T269)-40&lt;0,0,SUMIF($G268:$T268,"",$G269:$T269)+SUMIF($G268:$T268,"F",$G269:$T269)+SUMIF($G268:$T268,"V",$G269:$T269)-($U$9/2))+IF(SUMIF($W268:$AJ268,"",$W269:$AJ269)+SUMIF($W268:$AJ268,"F",$W269:$AJ269)+SUMIF($W268:$AJ268,"V",$W269:$AJ269)-40&lt;0,0,SUMIF($W268:$AJ268,"",$W269:$AJ269)+SUMIF($W268:$AJ268,"F",$W269:$AJ269)+SUMIF($W268:$AJ268,"V",$W269:$AJ269)-($U$9/2))</f>
        <v>0</v>
      </c>
      <c r="AO269" s="73">
        <f>SUMIF($G268:$T268,"M",$G269:$T269)+SUMIF($W268:$AJ268,"M",$W269:$AJ269)</f>
        <v>0</v>
      </c>
      <c r="AP269" s="73">
        <f>SUMIF($G268:$T268,"F",$G269:$T269)+SUMIF($W268:$AJ268,"F",$W269:$AJ269)</f>
        <v>0</v>
      </c>
      <c r="AQ269" s="73">
        <f>SUMIF($G268:$T268,"V",$G269:$T269)+SUMIF($W268:$AJ268,"V",$W269:$AJ269)</f>
        <v>16</v>
      </c>
      <c r="AR269" s="74">
        <f>SUMIF($G268:$T268,"O",$G269:$T269)+SUMIF($W268:$AJ268,"O",$W269:$AJ269)</f>
        <v>0</v>
      </c>
      <c r="AS269" s="75">
        <f>SUM(AM269:AR269)</f>
        <v>80</v>
      </c>
      <c r="AT269" s="72"/>
      <c r="AU269" s="73">
        <f>SUMIF($G268:$T268,"A",$G269:$T269)+SUMIF($W268:$AJ268,"A",$W269:$AJ269)</f>
        <v>0</v>
      </c>
      <c r="AV269" s="72"/>
      <c r="AW269" s="76">
        <f>IF(B269="",0,IF($U$9="",0,$U$9))</f>
        <v>80</v>
      </c>
      <c r="BA269" s="2"/>
      <c r="BB269" s="2"/>
      <c r="BC269" s="101"/>
      <c r="BD269" s="101"/>
    </row>
    <row r="270" spans="2:56" s="84" customFormat="1" x14ac:dyDescent="0.35">
      <c r="B270" s="107"/>
      <c r="C270" s="108"/>
      <c r="D270" s="109">
        <f>IF(D196="","",D196)</f>
        <v>72673</v>
      </c>
      <c r="E270" s="110" t="str">
        <f t="shared" si="130"/>
        <v/>
      </c>
      <c r="F270" s="111">
        <f>B231</f>
        <v>13</v>
      </c>
      <c r="G270" s="112"/>
      <c r="H270" s="113"/>
      <c r="I270" s="106"/>
      <c r="J270" s="105"/>
      <c r="K270" s="106"/>
      <c r="L270" s="105"/>
      <c r="M270" s="106"/>
      <c r="N270" s="105"/>
      <c r="O270" s="106"/>
      <c r="P270" s="105"/>
      <c r="Q270" s="106"/>
      <c r="R270" s="105"/>
      <c r="S270" s="112"/>
      <c r="T270" s="113"/>
      <c r="U270" s="114"/>
      <c r="V270" s="2"/>
      <c r="W270" s="112"/>
      <c r="X270" s="113"/>
      <c r="Y270" s="106"/>
      <c r="Z270" s="105"/>
      <c r="AA270" s="106"/>
      <c r="AB270" s="105"/>
      <c r="AC270" s="106"/>
      <c r="AD270" s="105"/>
      <c r="AE270" s="106"/>
      <c r="AF270" s="105"/>
      <c r="AG270" s="106"/>
      <c r="AH270" s="105"/>
      <c r="AI270" s="112"/>
      <c r="AJ270" s="113"/>
      <c r="AK270" s="44"/>
      <c r="AM270" s="49"/>
      <c r="AN270" s="49"/>
      <c r="AO270" s="49"/>
      <c r="AP270" s="49"/>
      <c r="AQ270" s="49"/>
      <c r="AR270" s="40"/>
      <c r="AS270" s="51"/>
      <c r="AU270" s="49"/>
      <c r="AW270" s="52"/>
      <c r="BA270" s="2"/>
      <c r="BB270" s="2"/>
      <c r="BC270" s="101"/>
      <c r="BD270" s="101"/>
    </row>
    <row r="271" spans="2:56" s="84" customFormat="1" x14ac:dyDescent="0.35">
      <c r="B271" s="30" t="str">
        <f>IF(B197="","",B197)</f>
        <v>St-Georges, Manuel (avance $2,000)</v>
      </c>
      <c r="C271" s="115"/>
      <c r="D271" s="116"/>
      <c r="E271" s="117">
        <f t="shared" si="130"/>
        <v>93595935</v>
      </c>
      <c r="F271" s="111">
        <f>B231</f>
        <v>13</v>
      </c>
      <c r="G271" s="119"/>
      <c r="H271" s="118"/>
      <c r="I271" s="104"/>
      <c r="J271" s="103" t="s">
        <v>69</v>
      </c>
      <c r="K271" s="104"/>
      <c r="L271" s="103" t="s">
        <v>69</v>
      </c>
      <c r="M271" s="104"/>
      <c r="N271" s="103" t="s">
        <v>69</v>
      </c>
      <c r="O271" s="104"/>
      <c r="P271" s="103" t="s">
        <v>69</v>
      </c>
      <c r="Q271" s="104"/>
      <c r="R271" s="103" t="s">
        <v>69</v>
      </c>
      <c r="S271" s="119"/>
      <c r="T271" s="118"/>
      <c r="U271" s="120">
        <f t="shared" ref="U271" si="149">SUM(G271:T271)</f>
        <v>0</v>
      </c>
      <c r="V271" s="121"/>
      <c r="W271" s="119"/>
      <c r="X271" s="118"/>
      <c r="Y271" s="104"/>
      <c r="Z271" s="103" t="s">
        <v>69</v>
      </c>
      <c r="AA271" s="104"/>
      <c r="AB271" s="103" t="s">
        <v>69</v>
      </c>
      <c r="AC271" s="104"/>
      <c r="AD271" s="103" t="s">
        <v>69</v>
      </c>
      <c r="AE271" s="104"/>
      <c r="AF271" s="103" t="s">
        <v>69</v>
      </c>
      <c r="AG271" s="104"/>
      <c r="AH271" s="103" t="s">
        <v>69</v>
      </c>
      <c r="AI271" s="119"/>
      <c r="AJ271" s="118"/>
      <c r="AK271" s="71">
        <f>SUM(W271:AJ271)</f>
        <v>0</v>
      </c>
      <c r="AL271" s="72"/>
      <c r="AM271" s="73">
        <f>SUMIF($G270:$T270,"",$G271:$T271)+SUMIF($W270:$AJ270,"",$W271:$AJ271)-AN271</f>
        <v>0</v>
      </c>
      <c r="AN271" s="88">
        <f>IF(SUMIF($G270:$T270,"",$G271:$T271)+SUMIF($G270:$T270,"F",$G271:$T271)+SUMIF($G270:$T270,"V",$G271:$T271)-40&lt;0,0,SUMIF($G270:$T270,"",$G271:$T271)+SUMIF($G270:$T270,"F",$G271:$T271)+SUMIF($G270:$T270,"V",$G271:$T271)-($U$9/2))+IF(SUMIF($W270:$AJ270,"",$W271:$AJ271)+SUMIF($W270:$AJ270,"F",$W271:$AJ271)+SUMIF($W270:$AJ270,"V",$W271:$AJ271)-40&lt;0,0,SUMIF($W270:$AJ270,"",$W271:$AJ271)+SUMIF($W270:$AJ270,"F",$W271:$AJ271)+SUMIF($W270:$AJ270,"V",$W271:$AJ271)-($U$9/2))</f>
        <v>0</v>
      </c>
      <c r="AO271" s="73">
        <f>SUMIF($G270:$T270,"M",$G271:$T271)+SUMIF($W270:$AJ270,"M",$W271:$AJ271)</f>
        <v>0</v>
      </c>
      <c r="AP271" s="73">
        <f>SUMIF($G270:$T270,"F",$G271:$T271)+SUMIF($W270:$AJ270,"F",$W271:$AJ271)</f>
        <v>0</v>
      </c>
      <c r="AQ271" s="73">
        <f>SUMIF($G270:$T270,"V",$G271:$T271)+SUMIF($W270:$AJ270,"V",$W271:$AJ271)</f>
        <v>0</v>
      </c>
      <c r="AR271" s="74">
        <f>SUMIF($G270:$T270,"O",$G271:$T271)+SUMIF($W270:$AJ270,"O",$W271:$AJ271)</f>
        <v>0</v>
      </c>
      <c r="AS271" s="75">
        <f>SUM(AM271:AR271)</f>
        <v>0</v>
      </c>
      <c r="AT271" s="72"/>
      <c r="AU271" s="73">
        <f>SUMIF($G270:$T270,"A",$G271:$T271)+SUMIF($W270:$AJ270,"A",$W271:$AJ271)</f>
        <v>0</v>
      </c>
      <c r="AV271" s="72"/>
      <c r="AW271" s="76">
        <f>IF(B271="",0,IF($U$9="",0,$U$9))</f>
        <v>80</v>
      </c>
      <c r="BA271" s="2"/>
      <c r="BB271" s="2"/>
      <c r="BC271" s="101"/>
      <c r="BD271" s="101"/>
    </row>
    <row r="272" spans="2:56" s="84" customFormat="1" x14ac:dyDescent="0.35">
      <c r="B272" s="107"/>
      <c r="C272" s="108"/>
      <c r="D272" s="109">
        <f>IF(D198="","",D198)</f>
        <v>26641</v>
      </c>
      <c r="E272" s="110" t="str">
        <f t="shared" si="130"/>
        <v/>
      </c>
      <c r="F272" s="111">
        <f>B231</f>
        <v>13</v>
      </c>
      <c r="G272" s="112"/>
      <c r="H272" s="113"/>
      <c r="I272" s="106"/>
      <c r="J272" s="105"/>
      <c r="K272" s="106"/>
      <c r="L272" s="105"/>
      <c r="M272" s="106"/>
      <c r="N272" s="105"/>
      <c r="O272" s="106"/>
      <c r="P272" s="105"/>
      <c r="Q272" s="106"/>
      <c r="R272" s="105"/>
      <c r="S272" s="112"/>
      <c r="T272" s="113"/>
      <c r="U272" s="114"/>
      <c r="V272" s="2"/>
      <c r="W272" s="112"/>
      <c r="X272" s="113"/>
      <c r="Y272" s="106"/>
      <c r="Z272" s="105"/>
      <c r="AA272" s="106"/>
      <c r="AB272" s="131" t="s">
        <v>12</v>
      </c>
      <c r="AC272" s="106"/>
      <c r="AD272" s="105"/>
      <c r="AE272" s="106"/>
      <c r="AF272" s="105"/>
      <c r="AG272" s="106"/>
      <c r="AH272" s="105" t="s">
        <v>3</v>
      </c>
      <c r="AI272" s="112"/>
      <c r="AJ272" s="113"/>
      <c r="AK272" s="44"/>
      <c r="AM272" s="49"/>
      <c r="AN272" s="49"/>
      <c r="AO272" s="49"/>
      <c r="AP272" s="49"/>
      <c r="AQ272" s="49"/>
      <c r="AR272" s="40"/>
      <c r="AS272" s="51"/>
      <c r="AU272" s="49"/>
      <c r="AW272" s="52"/>
      <c r="BA272" s="2"/>
      <c r="BB272" s="2"/>
      <c r="BC272" s="101"/>
      <c r="BD272" s="101"/>
    </row>
    <row r="273" spans="1:56" s="84" customFormat="1" x14ac:dyDescent="0.35">
      <c r="B273" s="30" t="str">
        <f>IF(B199="","",B199)</f>
        <v>Simard, Pascal</v>
      </c>
      <c r="C273" s="115"/>
      <c r="D273" s="116"/>
      <c r="E273" s="117">
        <f t="shared" si="130"/>
        <v>93545</v>
      </c>
      <c r="F273" s="111">
        <f>B231</f>
        <v>13</v>
      </c>
      <c r="G273" s="119"/>
      <c r="H273" s="118"/>
      <c r="I273" s="104"/>
      <c r="J273" s="103">
        <v>8</v>
      </c>
      <c r="K273" s="104"/>
      <c r="L273" s="103">
        <v>8</v>
      </c>
      <c r="M273" s="104"/>
      <c r="N273" s="103">
        <v>8</v>
      </c>
      <c r="O273" s="104"/>
      <c r="P273" s="103">
        <v>8</v>
      </c>
      <c r="Q273" s="104"/>
      <c r="R273" s="103">
        <v>8</v>
      </c>
      <c r="S273" s="119"/>
      <c r="T273" s="118"/>
      <c r="U273" s="120">
        <f t="shared" ref="U273" si="150">SUM(G273:T273)</f>
        <v>40</v>
      </c>
      <c r="V273" s="121"/>
      <c r="W273" s="119"/>
      <c r="X273" s="118"/>
      <c r="Y273" s="104"/>
      <c r="Z273" s="103">
        <v>8</v>
      </c>
      <c r="AA273" s="104"/>
      <c r="AB273" s="103">
        <v>0</v>
      </c>
      <c r="AC273" s="104"/>
      <c r="AD273" s="103">
        <v>8</v>
      </c>
      <c r="AE273" s="104"/>
      <c r="AF273" s="103">
        <v>8</v>
      </c>
      <c r="AG273" s="104"/>
      <c r="AH273" s="103">
        <v>0</v>
      </c>
      <c r="AI273" s="119"/>
      <c r="AJ273" s="118"/>
      <c r="AK273" s="71">
        <f>SUM(W273:AJ273)</f>
        <v>24</v>
      </c>
      <c r="AL273" s="72"/>
      <c r="AM273" s="73">
        <f>SUMIF($G272:$T272,"",$G273:$T273)+SUMIF($W272:$AJ272,"",$W273:$AJ273)-AN273</f>
        <v>64</v>
      </c>
      <c r="AN273" s="88">
        <f>IF(SUMIF($G272:$T272,"",$G273:$T273)+SUMIF($G272:$T272,"F",$G273:$T273)+SUMIF($G272:$T272,"V",$G273:$T273)-40&lt;0,0,SUMIF($G272:$T272,"",$G273:$T273)+SUMIF($G272:$T272,"F",$G273:$T273)+SUMIF($G272:$T272,"V",$G273:$T273)-($U$9/2))+IF(SUMIF($W272:$AJ272,"",$W273:$AJ273)+SUMIF($W272:$AJ272,"F",$W273:$AJ273)+SUMIF($W272:$AJ272,"V",$W273:$AJ273)-40&lt;0,0,SUMIF($W272:$AJ272,"",$W273:$AJ273)+SUMIF($W272:$AJ272,"F",$W273:$AJ273)+SUMIF($W272:$AJ272,"V",$W273:$AJ273)-($U$9/2))</f>
        <v>0</v>
      </c>
      <c r="AO273" s="73">
        <f>SUMIF($G272:$T272,"M",$G273:$T273)+SUMIF($W272:$AJ272,"M",$W273:$AJ273)</f>
        <v>0</v>
      </c>
      <c r="AP273" s="73">
        <f>SUMIF($G272:$T272,"F",$G273:$T273)+SUMIF($W272:$AJ272,"F",$W273:$AJ273)</f>
        <v>0</v>
      </c>
      <c r="AQ273" s="73">
        <f>SUMIF($G272:$T272,"V",$G273:$T273)+SUMIF($W272:$AJ272,"V",$W273:$AJ273)</f>
        <v>0</v>
      </c>
      <c r="AR273" s="74">
        <f>SUMIF($G272:$T272,"O",$G273:$T273)+SUMIF($W272:$AJ272,"O",$W273:$AJ273)</f>
        <v>0</v>
      </c>
      <c r="AS273" s="75">
        <f>SUM(AM273:AR273)</f>
        <v>64</v>
      </c>
      <c r="AT273" s="72"/>
      <c r="AU273" s="73">
        <f>SUMIF($G272:$T272,"A",$G273:$T273)+SUMIF($W272:$AJ272,"A",$W273:$AJ273)</f>
        <v>0</v>
      </c>
      <c r="AV273" s="72"/>
      <c r="AW273" s="76">
        <f>IF(B273="",0,IF($U$9="",0,$U$9))</f>
        <v>80</v>
      </c>
      <c r="BA273" s="2"/>
      <c r="BB273" s="2"/>
      <c r="BC273" s="101"/>
      <c r="BD273" s="101"/>
    </row>
    <row r="274" spans="1:56" s="84" customFormat="1" x14ac:dyDescent="0.35">
      <c r="B274" s="107"/>
      <c r="C274" s="108"/>
      <c r="D274" s="109">
        <f>IF(D200="","",D200)</f>
        <v>23736</v>
      </c>
      <c r="E274" s="110" t="str">
        <f t="shared" si="130"/>
        <v/>
      </c>
      <c r="F274" s="111">
        <f>B231</f>
        <v>13</v>
      </c>
      <c r="G274" s="112"/>
      <c r="H274" s="113"/>
      <c r="I274" s="106"/>
      <c r="J274" s="105"/>
      <c r="K274" s="106"/>
      <c r="L274" s="105"/>
      <c r="M274" s="106"/>
      <c r="N274" s="105"/>
      <c r="O274" s="106"/>
      <c r="P274" s="105"/>
      <c r="Q274" s="106"/>
      <c r="R274" s="105"/>
      <c r="S274" s="112"/>
      <c r="T274" s="113"/>
      <c r="U274" s="114"/>
      <c r="V274" s="2"/>
      <c r="W274" s="112"/>
      <c r="X274" s="113"/>
      <c r="Y274" s="106"/>
      <c r="Z274" s="105"/>
      <c r="AA274" s="106"/>
      <c r="AB274" s="105"/>
      <c r="AC274" s="106"/>
      <c r="AD274" s="105"/>
      <c r="AE274" s="106"/>
      <c r="AF274" s="105"/>
      <c r="AG274" s="106"/>
      <c r="AH274" s="105"/>
      <c r="AI274" s="112"/>
      <c r="AJ274" s="113"/>
      <c r="AK274" s="44"/>
      <c r="AM274" s="49"/>
      <c r="AN274" s="49"/>
      <c r="AO274" s="49"/>
      <c r="AP274" s="49"/>
      <c r="AQ274" s="49"/>
      <c r="AR274" s="40"/>
      <c r="AS274" s="51"/>
      <c r="AU274" s="49"/>
      <c r="AW274" s="52"/>
      <c r="BA274" s="2"/>
      <c r="BB274" s="2"/>
      <c r="BC274" s="101"/>
      <c r="BD274" s="101"/>
    </row>
    <row r="275" spans="1:56" s="84" customFormat="1" x14ac:dyDescent="0.35">
      <c r="B275" s="30" t="str">
        <f>IF(B201="","",B201)</f>
        <v>Voster, Jean-Michel</v>
      </c>
      <c r="C275" s="115"/>
      <c r="D275" s="116"/>
      <c r="E275" s="117">
        <f t="shared" si="130"/>
        <v>93545</v>
      </c>
      <c r="F275" s="111">
        <f>B231</f>
        <v>13</v>
      </c>
      <c r="G275" s="119"/>
      <c r="H275" s="118"/>
      <c r="I275" s="104"/>
      <c r="J275" s="103">
        <v>8</v>
      </c>
      <c r="K275" s="104"/>
      <c r="L275" s="103">
        <v>8</v>
      </c>
      <c r="M275" s="104"/>
      <c r="N275" s="103">
        <v>7.75</v>
      </c>
      <c r="O275" s="104"/>
      <c r="P275" s="103">
        <v>8</v>
      </c>
      <c r="Q275" s="104"/>
      <c r="R275" s="103">
        <v>8</v>
      </c>
      <c r="S275" s="119"/>
      <c r="T275" s="118"/>
      <c r="U275" s="120">
        <f t="shared" ref="U275" si="151">SUM(G275:T275)</f>
        <v>39.75</v>
      </c>
      <c r="V275" s="121"/>
      <c r="W275" s="119"/>
      <c r="X275" s="118"/>
      <c r="Y275" s="104"/>
      <c r="Z275" s="103">
        <v>8</v>
      </c>
      <c r="AA275" s="104"/>
      <c r="AB275" s="103">
        <v>8</v>
      </c>
      <c r="AC275" s="104"/>
      <c r="AD275" s="103">
        <v>8</v>
      </c>
      <c r="AE275" s="104"/>
      <c r="AF275" s="103">
        <v>8</v>
      </c>
      <c r="AG275" s="104"/>
      <c r="AH275" s="103">
        <v>8</v>
      </c>
      <c r="AI275" s="119"/>
      <c r="AJ275" s="118"/>
      <c r="AK275" s="71">
        <f>SUM(W275:AJ275)</f>
        <v>40</v>
      </c>
      <c r="AL275" s="72"/>
      <c r="AM275" s="73">
        <f>SUMIF($G274:$T274,"",$G275:$T275)+SUMIF($W274:$AJ274,"",$W275:$AJ275)-AN275</f>
        <v>79.75</v>
      </c>
      <c r="AN275" s="88">
        <f>IF(SUMIF($G274:$T274,"",$G275:$T275)+SUMIF($G274:$T274,"F",$G275:$T275)+SUMIF($G274:$T274,"V",$G275:$T275)-40&lt;0,0,SUMIF($G274:$T274,"",$G275:$T275)+SUMIF($G274:$T274,"F",$G275:$T275)+SUMIF($G274:$T274,"V",$G275:$T275)-($U$9/2))+IF(SUMIF($W274:$AJ274,"",$W275:$AJ275)+SUMIF($W274:$AJ274,"F",$W275:$AJ275)+SUMIF($W274:$AJ274,"V",$W275:$AJ275)-40&lt;0,0,SUMIF($W274:$AJ274,"",$W275:$AJ275)+SUMIF($W274:$AJ274,"F",$W275:$AJ275)+SUMIF($W274:$AJ274,"V",$W275:$AJ275)-($U$9/2))</f>
        <v>0</v>
      </c>
      <c r="AO275" s="73">
        <f>SUMIF($G274:$T274,"M",$G275:$T275)+SUMIF($W274:$AJ274,"M",$W275:$AJ275)</f>
        <v>0</v>
      </c>
      <c r="AP275" s="73">
        <f>SUMIF($G274:$T274,"F",$G275:$T275)+SUMIF($W274:$AJ274,"F",$W275:$AJ275)</f>
        <v>0</v>
      </c>
      <c r="AQ275" s="73">
        <f>SUMIF($G274:$T274,"V",$G275:$T275)+SUMIF($W274:$AJ274,"V",$W275:$AJ275)</f>
        <v>0</v>
      </c>
      <c r="AR275" s="74">
        <f>SUMIF($G274:$T274,"O",$G275:$T275)+SUMIF($W274:$AJ274,"O",$W275:$AJ275)</f>
        <v>0</v>
      </c>
      <c r="AS275" s="75">
        <f>SUM(AM275:AR275)</f>
        <v>79.75</v>
      </c>
      <c r="AT275" s="72"/>
      <c r="AU275" s="73">
        <f>SUMIF($G274:$T274,"A",$G275:$T275)+SUMIF($W274:$AJ274,"A",$W275:$AJ275)</f>
        <v>0</v>
      </c>
      <c r="AV275" s="72"/>
      <c r="AW275" s="76">
        <f>IF(B275="",0,IF($U$9="",0,$U$9))</f>
        <v>80</v>
      </c>
      <c r="BA275" s="2"/>
      <c r="BB275" s="2"/>
      <c r="BC275" s="101"/>
      <c r="BD275" s="101"/>
    </row>
    <row r="276" spans="1:56" s="53" customFormat="1" ht="15" customHeight="1" x14ac:dyDescent="0.35">
      <c r="A276" s="84"/>
      <c r="B276" s="107"/>
      <c r="C276" s="108"/>
      <c r="D276" s="109" t="str">
        <f>IF(D202="","",D202)</f>
        <v/>
      </c>
      <c r="E276" s="110" t="str">
        <f t="shared" si="130"/>
        <v/>
      </c>
      <c r="F276" s="111">
        <f>B231</f>
        <v>13</v>
      </c>
      <c r="G276" s="112"/>
      <c r="H276" s="113"/>
      <c r="I276" s="106"/>
      <c r="J276" s="105"/>
      <c r="K276" s="106"/>
      <c r="L276" s="105"/>
      <c r="M276" s="106"/>
      <c r="N276" s="105"/>
      <c r="O276" s="106"/>
      <c r="P276" s="105"/>
      <c r="Q276" s="106"/>
      <c r="R276" s="105"/>
      <c r="S276" s="112"/>
      <c r="T276" s="113"/>
      <c r="U276" s="114"/>
      <c r="V276" s="2"/>
      <c r="W276" s="112"/>
      <c r="X276" s="113"/>
      <c r="Y276" s="106"/>
      <c r="Z276" s="105"/>
      <c r="AA276" s="106"/>
      <c r="AB276" s="105"/>
      <c r="AC276" s="106"/>
      <c r="AD276" s="105"/>
      <c r="AE276" s="106"/>
      <c r="AF276" s="105"/>
      <c r="AG276" s="106"/>
      <c r="AH276" s="105"/>
      <c r="AI276" s="112"/>
      <c r="AJ276" s="113"/>
      <c r="AK276" s="44"/>
      <c r="AL276" s="84"/>
      <c r="AM276" s="49"/>
      <c r="AN276" s="49"/>
      <c r="AO276" s="49"/>
      <c r="AP276" s="49"/>
      <c r="AQ276" s="49"/>
      <c r="AR276" s="40"/>
      <c r="AS276" s="51"/>
      <c r="AT276" s="84"/>
      <c r="AU276" s="49"/>
      <c r="AV276" s="84"/>
      <c r="AW276" s="52"/>
      <c r="AX276" s="84"/>
      <c r="BA276" s="2"/>
      <c r="BB276" s="2"/>
      <c r="BC276" s="101"/>
      <c r="BD276" s="101"/>
    </row>
    <row r="277" spans="1:56" s="57" customFormat="1" ht="15" customHeight="1" x14ac:dyDescent="0.35">
      <c r="A277" s="84"/>
      <c r="B277" s="30" t="str">
        <f>IF(B203="","",B203)</f>
        <v/>
      </c>
      <c r="C277" s="115"/>
      <c r="D277" s="116"/>
      <c r="E277" s="117" t="str">
        <f t="shared" si="130"/>
        <v/>
      </c>
      <c r="F277" s="111">
        <f>B231</f>
        <v>13</v>
      </c>
      <c r="G277" s="119"/>
      <c r="H277" s="118"/>
      <c r="I277" s="104"/>
      <c r="J277" s="103"/>
      <c r="K277" s="104"/>
      <c r="L277" s="103"/>
      <c r="M277" s="104"/>
      <c r="N277" s="103"/>
      <c r="O277" s="104"/>
      <c r="P277" s="103"/>
      <c r="Q277" s="104"/>
      <c r="R277" s="103"/>
      <c r="S277" s="119"/>
      <c r="T277" s="118"/>
      <c r="U277" s="120">
        <f t="shared" ref="U277" si="152">SUM(G277:T277)</f>
        <v>0</v>
      </c>
      <c r="V277" s="121"/>
      <c r="W277" s="119"/>
      <c r="X277" s="118"/>
      <c r="Y277" s="104"/>
      <c r="Z277" s="103"/>
      <c r="AA277" s="104"/>
      <c r="AB277" s="103"/>
      <c r="AC277" s="104"/>
      <c r="AD277" s="103"/>
      <c r="AE277" s="104"/>
      <c r="AF277" s="103"/>
      <c r="AG277" s="104"/>
      <c r="AH277" s="103"/>
      <c r="AI277" s="119"/>
      <c r="AJ277" s="118"/>
      <c r="AK277" s="71">
        <f>SUM(W277:AJ277)</f>
        <v>0</v>
      </c>
      <c r="AL277" s="72"/>
      <c r="AM277" s="73">
        <f>SUMIF($G276:$T276,"",$G277:$T277)+SUMIF($W276:$AJ276,"",$W277:$AJ277)-AN277</f>
        <v>0</v>
      </c>
      <c r="AN277" s="88">
        <f>IF(SUMIF($G276:$T276,"",$G277:$T277)+SUMIF($G276:$T276,"F",$G277:$T277)+SUMIF($G276:$T276,"V",$G277:$T277)-40&lt;0,0,SUMIF($G276:$T276,"",$G277:$T277)+SUMIF($G276:$T276,"F",$G277:$T277)+SUMIF($G276:$T276,"V",$G277:$T277)-($U$9/2))+IF(SUMIF($W276:$AJ276,"",$W277:$AJ277)+SUMIF($W276:$AJ276,"F",$W277:$AJ277)+SUMIF($W276:$AJ276,"V",$W277:$AJ277)-40&lt;0,0,SUMIF($W276:$AJ276,"",$W277:$AJ277)+SUMIF($W276:$AJ276,"F",$W277:$AJ277)+SUMIF($W276:$AJ276,"V",$W277:$AJ277)-($U$9/2))</f>
        <v>0</v>
      </c>
      <c r="AO277" s="73">
        <f>SUMIF($G276:$T276,"M",$G277:$T277)+SUMIF($W276:$AJ276,"M",$W277:$AJ277)</f>
        <v>0</v>
      </c>
      <c r="AP277" s="73">
        <f>SUMIF($G276:$T276,"F",$G277:$T277)+SUMIF($W276:$AJ276,"F",$W277:$AJ277)</f>
        <v>0</v>
      </c>
      <c r="AQ277" s="73">
        <f>SUMIF($G276:$T276,"V",$G277:$T277)+SUMIF($W276:$AJ276,"V",$W277:$AJ277)</f>
        <v>0</v>
      </c>
      <c r="AR277" s="74">
        <f>SUMIF($G276:$T276,"O",$G277:$T277)+SUMIF($W276:$AJ276,"O",$W277:$AJ277)</f>
        <v>0</v>
      </c>
      <c r="AS277" s="75">
        <f>SUM(AM277:AR277)</f>
        <v>0</v>
      </c>
      <c r="AT277" s="72"/>
      <c r="AU277" s="73">
        <f>SUMIF($G276:$T276,"A",$G277:$T277)+SUMIF($W276:$AJ276,"A",$W277:$AJ277)</f>
        <v>0</v>
      </c>
      <c r="AV277" s="72"/>
      <c r="AW277" s="76">
        <f>IF(B277="",0,IF($U$9="",0,$U$9))</f>
        <v>0</v>
      </c>
      <c r="AX277" s="84"/>
      <c r="BA277" s="2"/>
      <c r="BB277" s="2"/>
      <c r="BC277" s="101"/>
      <c r="BD277" s="101"/>
    </row>
    <row r="278" spans="1:56" s="53" customFormat="1" ht="15" customHeight="1" x14ac:dyDescent="0.35">
      <c r="A278" s="84"/>
      <c r="B278" s="107"/>
      <c r="C278" s="108"/>
      <c r="D278" s="109" t="str">
        <f>IF(D204="","",D204)</f>
        <v/>
      </c>
      <c r="E278" s="110" t="str">
        <f t="shared" si="130"/>
        <v/>
      </c>
      <c r="F278" s="111">
        <f>B231</f>
        <v>13</v>
      </c>
      <c r="G278" s="112"/>
      <c r="H278" s="113"/>
      <c r="I278" s="106"/>
      <c r="J278" s="105"/>
      <c r="K278" s="106"/>
      <c r="L278" s="105"/>
      <c r="M278" s="106"/>
      <c r="N278" s="105"/>
      <c r="O278" s="106"/>
      <c r="P278" s="105"/>
      <c r="Q278" s="106"/>
      <c r="R278" s="105"/>
      <c r="S278" s="112"/>
      <c r="T278" s="113"/>
      <c r="U278" s="114"/>
      <c r="V278" s="2"/>
      <c r="W278" s="112"/>
      <c r="X278" s="113"/>
      <c r="Y278" s="106"/>
      <c r="Z278" s="105"/>
      <c r="AA278" s="106"/>
      <c r="AB278" s="105"/>
      <c r="AC278" s="106"/>
      <c r="AD278" s="105"/>
      <c r="AE278" s="106"/>
      <c r="AF278" s="105"/>
      <c r="AG278" s="106"/>
      <c r="AH278" s="105"/>
      <c r="AI278" s="112"/>
      <c r="AJ278" s="113"/>
      <c r="AK278" s="44"/>
      <c r="AL278" s="84"/>
      <c r="AM278" s="49"/>
      <c r="AN278" s="49"/>
      <c r="AO278" s="49"/>
      <c r="AP278" s="49"/>
      <c r="AQ278" s="49"/>
      <c r="AR278" s="40"/>
      <c r="AS278" s="51"/>
      <c r="AT278" s="84"/>
      <c r="AU278" s="49"/>
      <c r="AV278" s="84"/>
      <c r="AW278" s="52"/>
      <c r="AX278" s="84"/>
      <c r="BA278" s="2"/>
      <c r="BB278" s="2"/>
      <c r="BC278" s="101"/>
      <c r="BD278" s="101"/>
    </row>
    <row r="279" spans="1:56" s="53" customFormat="1" x14ac:dyDescent="0.35">
      <c r="A279" s="84"/>
      <c r="B279" s="30" t="str">
        <f>IF(B205="","",B205)</f>
        <v/>
      </c>
      <c r="C279" s="115"/>
      <c r="D279" s="116"/>
      <c r="E279" s="117" t="str">
        <f t="shared" si="130"/>
        <v/>
      </c>
      <c r="F279" s="111">
        <f>B231</f>
        <v>13</v>
      </c>
      <c r="G279" s="119"/>
      <c r="H279" s="118"/>
      <c r="I279" s="104"/>
      <c r="J279" s="103"/>
      <c r="K279" s="104"/>
      <c r="L279" s="103"/>
      <c r="M279" s="104"/>
      <c r="N279" s="103"/>
      <c r="O279" s="104"/>
      <c r="P279" s="103"/>
      <c r="Q279" s="104"/>
      <c r="R279" s="103"/>
      <c r="S279" s="119"/>
      <c r="T279" s="118"/>
      <c r="U279" s="120">
        <f t="shared" ref="U279" si="153">SUM(G279:T279)</f>
        <v>0</v>
      </c>
      <c r="V279" s="121"/>
      <c r="W279" s="119"/>
      <c r="X279" s="118"/>
      <c r="Y279" s="104"/>
      <c r="Z279" s="103"/>
      <c r="AA279" s="104"/>
      <c r="AB279" s="103"/>
      <c r="AC279" s="104"/>
      <c r="AD279" s="103"/>
      <c r="AE279" s="104"/>
      <c r="AF279" s="103"/>
      <c r="AG279" s="104"/>
      <c r="AH279" s="103"/>
      <c r="AI279" s="119"/>
      <c r="AJ279" s="118"/>
      <c r="AK279" s="71">
        <f>SUM(W279:AJ279)</f>
        <v>0</v>
      </c>
      <c r="AL279" s="72"/>
      <c r="AM279" s="73">
        <f>SUMIF($G278:$T278,"",$G279:$T279)+SUMIF($W278:$AJ278,"",$W279:$AJ279)-AN279</f>
        <v>0</v>
      </c>
      <c r="AN279" s="88">
        <f>IF(SUMIF($G278:$T278,"",$G279:$T279)+SUMIF($G278:$T278,"F",$G279:$T279)+SUMIF($G278:$T278,"V",$G279:$T279)-40&lt;0,0,SUMIF($G278:$T278,"",$G279:$T279)+SUMIF($G278:$T278,"F",$G279:$T279)+SUMIF($G278:$T278,"V",$G279:$T279)-($U$9/2))+IF(SUMIF($W278:$AJ278,"",$W279:$AJ279)+SUMIF($W278:$AJ278,"F",$W279:$AJ279)+SUMIF($W278:$AJ278,"V",$W279:$AJ279)-40&lt;0,0,SUMIF($W278:$AJ278,"",$W279:$AJ279)+SUMIF($W278:$AJ278,"F",$W279:$AJ279)+SUMIF($W278:$AJ278,"V",$W279:$AJ279)-($U$9/2))</f>
        <v>0</v>
      </c>
      <c r="AO279" s="73">
        <f>SUMIF($G278:$T278,"M",$G279:$T279)+SUMIF($W278:$AJ278,"M",$W279:$AJ279)</f>
        <v>0</v>
      </c>
      <c r="AP279" s="73">
        <f>SUMIF($G278:$T278,"F",$G279:$T279)+SUMIF($W278:$AJ278,"F",$W279:$AJ279)</f>
        <v>0</v>
      </c>
      <c r="AQ279" s="73">
        <f>SUMIF($G278:$T278,"V",$G279:$T279)+SUMIF($W278:$AJ278,"V",$W279:$AJ279)</f>
        <v>0</v>
      </c>
      <c r="AR279" s="74">
        <f>SUMIF($G278:$T278,"O",$G279:$T279)+SUMIF($W278:$AJ278,"O",$W279:$AJ279)</f>
        <v>0</v>
      </c>
      <c r="AS279" s="75">
        <f>SUM(AM279:AR279)</f>
        <v>0</v>
      </c>
      <c r="AT279" s="72"/>
      <c r="AU279" s="73">
        <f>SUMIF($G278:$T278,"A",$G279:$T279)+SUMIF($W278:$AJ278,"A",$W279:$AJ279)</f>
        <v>0</v>
      </c>
      <c r="AV279" s="72"/>
      <c r="AW279" s="76">
        <f>IF(B279="",0,IF($U$9="",0,$U$9))</f>
        <v>0</v>
      </c>
      <c r="AX279" s="84"/>
      <c r="BA279" s="2"/>
      <c r="BB279" s="2"/>
      <c r="BC279" s="101"/>
      <c r="BD279" s="101"/>
    </row>
    <row r="280" spans="1:56" s="53" customFormat="1" x14ac:dyDescent="0.35">
      <c r="A280" s="84"/>
      <c r="B280" s="107"/>
      <c r="C280" s="108"/>
      <c r="D280" s="109" t="str">
        <f>IF(D206="","",D206)</f>
        <v/>
      </c>
      <c r="E280" s="110" t="str">
        <f t="shared" si="130"/>
        <v/>
      </c>
      <c r="F280" s="111">
        <f>B231</f>
        <v>13</v>
      </c>
      <c r="G280" s="112"/>
      <c r="H280" s="113"/>
      <c r="I280" s="106"/>
      <c r="J280" s="105"/>
      <c r="K280" s="106"/>
      <c r="L280" s="105"/>
      <c r="M280" s="106"/>
      <c r="N280" s="105"/>
      <c r="O280" s="106"/>
      <c r="P280" s="105"/>
      <c r="Q280" s="106"/>
      <c r="R280" s="105"/>
      <c r="S280" s="112"/>
      <c r="T280" s="113"/>
      <c r="U280" s="114"/>
      <c r="V280" s="2"/>
      <c r="W280" s="112"/>
      <c r="X280" s="113"/>
      <c r="Y280" s="106"/>
      <c r="Z280" s="105"/>
      <c r="AA280" s="106"/>
      <c r="AB280" s="105"/>
      <c r="AC280" s="106"/>
      <c r="AD280" s="105"/>
      <c r="AE280" s="106"/>
      <c r="AF280" s="105"/>
      <c r="AG280" s="106"/>
      <c r="AH280" s="105"/>
      <c r="AI280" s="112"/>
      <c r="AJ280" s="113"/>
      <c r="AK280" s="44"/>
      <c r="AL280" s="84"/>
      <c r="AM280" s="49"/>
      <c r="AN280" s="49"/>
      <c r="AO280" s="49"/>
      <c r="AP280" s="49"/>
      <c r="AQ280" s="49"/>
      <c r="AR280" s="40"/>
      <c r="AS280" s="51"/>
      <c r="AT280" s="84"/>
      <c r="AU280" s="49"/>
      <c r="AV280" s="84"/>
      <c r="AW280" s="52"/>
      <c r="AX280" s="84"/>
      <c r="BA280" s="2"/>
      <c r="BB280" s="2"/>
      <c r="BC280" s="101"/>
      <c r="BD280" s="101"/>
    </row>
    <row r="281" spans="1:56" s="53" customFormat="1" x14ac:dyDescent="0.35">
      <c r="A281" s="84"/>
      <c r="B281" s="30" t="str">
        <f>IF(B207="","",B207)</f>
        <v/>
      </c>
      <c r="C281" s="115"/>
      <c r="D281" s="116"/>
      <c r="E281" s="117" t="str">
        <f t="shared" si="130"/>
        <v/>
      </c>
      <c r="F281" s="111">
        <f>B231</f>
        <v>13</v>
      </c>
      <c r="G281" s="119"/>
      <c r="H281" s="118"/>
      <c r="I281" s="104"/>
      <c r="J281" s="103"/>
      <c r="K281" s="104"/>
      <c r="L281" s="103"/>
      <c r="M281" s="104"/>
      <c r="N281" s="103"/>
      <c r="O281" s="104"/>
      <c r="P281" s="103"/>
      <c r="Q281" s="104"/>
      <c r="R281" s="103"/>
      <c r="S281" s="119"/>
      <c r="T281" s="118"/>
      <c r="U281" s="120">
        <f t="shared" ref="U281" si="154">SUM(G281:T281)</f>
        <v>0</v>
      </c>
      <c r="V281" s="121"/>
      <c r="W281" s="119"/>
      <c r="X281" s="118"/>
      <c r="Y281" s="104"/>
      <c r="Z281" s="103"/>
      <c r="AA281" s="104"/>
      <c r="AB281" s="103"/>
      <c r="AC281" s="104"/>
      <c r="AD281" s="103"/>
      <c r="AE281" s="104"/>
      <c r="AF281" s="103"/>
      <c r="AG281" s="104"/>
      <c r="AH281" s="103"/>
      <c r="AI281" s="119"/>
      <c r="AJ281" s="118"/>
      <c r="AK281" s="71">
        <v>0</v>
      </c>
      <c r="AL281" s="72"/>
      <c r="AM281" s="73">
        <f>SUMIF($G280:$T280,"",$G281:$T281)+SUMIF($W280:$AJ280,"",$W281:$AJ281)-AN281</f>
        <v>0</v>
      </c>
      <c r="AN281" s="88">
        <f>IF(SUMIF($G280:$T280,"",$G281:$T281)+SUMIF($G280:$T280,"F",$G281:$T281)+SUMIF($G280:$T280,"V",$G281:$T281)-40&lt;0,0,SUMIF($G280:$T280,"",$G281:$T281)+SUMIF($G280:$T280,"F",$G281:$T281)+SUMIF($G280:$T280,"V",$G281:$T281)-($U$9/2))+IF(SUMIF($W280:$AJ280,"",$W281:$AJ281)+SUMIF($W280:$AJ280,"F",$W281:$AJ281)+SUMIF($W280:$AJ280,"V",$W281:$AJ281)-40&lt;0,0,SUMIF($W280:$AJ280,"",$W281:$AJ281)+SUMIF($W280:$AJ280,"F",$W281:$AJ281)+SUMIF($W280:$AJ280,"V",$W281:$AJ281)-($U$9/2))</f>
        <v>0</v>
      </c>
      <c r="AO281" s="73">
        <f>SUMIF($G280:$T280,"M",$G281:$T281)+SUMIF($W280:$AJ280,"M",$W281:$AJ281)</f>
        <v>0</v>
      </c>
      <c r="AP281" s="73">
        <f>SUMIF($G280:$T280,"F",$G281:$T281)+SUMIF($W280:$AJ280,"F",$W281:$AJ281)</f>
        <v>0</v>
      </c>
      <c r="AQ281" s="73">
        <f>SUMIF($G280:$T280,"V",$G281:$T281)+SUMIF($W280:$AJ280,"V",$W281:$AJ281)</f>
        <v>0</v>
      </c>
      <c r="AR281" s="74">
        <f>SUMIF($G280:$T280,"O",$G281:$T281)+SUMIF($W280:$AJ280,"O",$W281:$AJ281)</f>
        <v>0</v>
      </c>
      <c r="AS281" s="75">
        <f>SUM(AM281:AR281)</f>
        <v>0</v>
      </c>
      <c r="AT281" s="72"/>
      <c r="AU281" s="73">
        <f>SUMIF($G280:$T280,"A",$G281:$T281)+SUMIF($W280:$AJ280,"A",$W281:$AJ281)</f>
        <v>0</v>
      </c>
      <c r="AV281" s="72"/>
      <c r="AW281" s="76">
        <f>IF(B281="",0,IF($U$9="",0,$U$9))</f>
        <v>0</v>
      </c>
      <c r="AX281" s="84"/>
      <c r="BA281" s="2"/>
      <c r="BB281" s="2"/>
      <c r="BC281" s="101"/>
      <c r="BD281" s="101"/>
    </row>
    <row r="282" spans="1:56" s="53" customFormat="1" x14ac:dyDescent="0.35">
      <c r="A282" s="84"/>
      <c r="B282" s="107"/>
      <c r="C282" s="108"/>
      <c r="D282" s="109" t="str">
        <f>IF(D208="","",D208)</f>
        <v/>
      </c>
      <c r="E282" s="110" t="str">
        <f t="shared" si="130"/>
        <v/>
      </c>
      <c r="F282" s="111">
        <f>B231</f>
        <v>13</v>
      </c>
      <c r="G282" s="112"/>
      <c r="H282" s="113"/>
      <c r="I282" s="106"/>
      <c r="J282" s="105"/>
      <c r="K282" s="106"/>
      <c r="L282" s="105"/>
      <c r="M282" s="106"/>
      <c r="N282" s="105"/>
      <c r="O282" s="106"/>
      <c r="P282" s="105"/>
      <c r="Q282" s="106"/>
      <c r="R282" s="105"/>
      <c r="S282" s="112"/>
      <c r="T282" s="113"/>
      <c r="U282" s="114"/>
      <c r="V282" s="2"/>
      <c r="W282" s="112"/>
      <c r="X282" s="113"/>
      <c r="Y282" s="106"/>
      <c r="Z282" s="105"/>
      <c r="AA282" s="106"/>
      <c r="AB282" s="105"/>
      <c r="AC282" s="106"/>
      <c r="AD282" s="105"/>
      <c r="AE282" s="106"/>
      <c r="AF282" s="105"/>
      <c r="AG282" s="106"/>
      <c r="AH282" s="105"/>
      <c r="AI282" s="112"/>
      <c r="AJ282" s="113"/>
      <c r="AK282" s="44"/>
      <c r="AL282" s="84"/>
      <c r="AM282" s="49"/>
      <c r="AN282" s="49"/>
      <c r="AO282" s="49"/>
      <c r="AP282" s="49"/>
      <c r="AQ282" s="49"/>
      <c r="AR282" s="40"/>
      <c r="AS282" s="51"/>
      <c r="AT282" s="84"/>
      <c r="AU282" s="49"/>
      <c r="AV282" s="84"/>
      <c r="AW282" s="52"/>
      <c r="AX282" s="84"/>
      <c r="BA282" s="2"/>
      <c r="BB282" s="2"/>
      <c r="BC282" s="101"/>
      <c r="BD282" s="101"/>
    </row>
    <row r="283" spans="1:56" s="53" customFormat="1" x14ac:dyDescent="0.35">
      <c r="A283" s="84"/>
      <c r="B283" s="30" t="str">
        <f>IF(B209="","",B209)</f>
        <v/>
      </c>
      <c r="C283" s="115"/>
      <c r="D283" s="116"/>
      <c r="E283" s="117" t="str">
        <f t="shared" si="130"/>
        <v/>
      </c>
      <c r="F283" s="111">
        <f>B231</f>
        <v>13</v>
      </c>
      <c r="G283" s="119"/>
      <c r="H283" s="118"/>
      <c r="I283" s="104"/>
      <c r="J283" s="103"/>
      <c r="K283" s="104"/>
      <c r="L283" s="103"/>
      <c r="M283" s="104"/>
      <c r="N283" s="103"/>
      <c r="O283" s="104"/>
      <c r="P283" s="103"/>
      <c r="Q283" s="104"/>
      <c r="R283" s="103"/>
      <c r="S283" s="119"/>
      <c r="T283" s="118"/>
      <c r="U283" s="120">
        <f t="shared" ref="U283" si="155">SUM(G283:T283)</f>
        <v>0</v>
      </c>
      <c r="V283" s="121"/>
      <c r="W283" s="119"/>
      <c r="X283" s="118"/>
      <c r="Y283" s="104"/>
      <c r="Z283" s="103"/>
      <c r="AA283" s="104"/>
      <c r="AB283" s="103"/>
      <c r="AC283" s="104"/>
      <c r="AD283" s="103"/>
      <c r="AE283" s="104"/>
      <c r="AF283" s="103"/>
      <c r="AG283" s="104"/>
      <c r="AH283" s="103"/>
      <c r="AI283" s="119"/>
      <c r="AJ283" s="118"/>
      <c r="AK283" s="71">
        <v>0</v>
      </c>
      <c r="AL283" s="72"/>
      <c r="AM283" s="73">
        <v>0</v>
      </c>
      <c r="AN283" s="88">
        <v>0</v>
      </c>
      <c r="AO283" s="73">
        <v>0</v>
      </c>
      <c r="AP283" s="73">
        <v>0</v>
      </c>
      <c r="AQ283" s="73">
        <v>0</v>
      </c>
      <c r="AR283" s="74">
        <v>0</v>
      </c>
      <c r="AS283" s="75">
        <v>0</v>
      </c>
      <c r="AT283" s="72"/>
      <c r="AU283" s="73">
        <f>SUMIF($G282:$T282,"A",$G283:$T283)+SUMIF($W282:$AJ282,"A",$W283:$AJ283)</f>
        <v>0</v>
      </c>
      <c r="AV283" s="72"/>
      <c r="AW283" s="76">
        <f>IF(B283="",0,IF($U$9="",0,$U$9))</f>
        <v>0</v>
      </c>
      <c r="AX283" s="84"/>
      <c r="BA283" s="2"/>
      <c r="BB283" s="2"/>
      <c r="BC283" s="101"/>
      <c r="BD283" s="101"/>
    </row>
    <row r="284" spans="1:56" s="53" customFormat="1" x14ac:dyDescent="0.35">
      <c r="A284" s="84"/>
      <c r="B284" s="107"/>
      <c r="C284" s="108"/>
      <c r="D284" s="109" t="str">
        <f>IF(D210="","",D210)</f>
        <v/>
      </c>
      <c r="E284" s="110" t="str">
        <f t="shared" si="130"/>
        <v/>
      </c>
      <c r="F284" s="111">
        <f>B231</f>
        <v>13</v>
      </c>
      <c r="G284" s="112"/>
      <c r="H284" s="113"/>
      <c r="I284" s="106"/>
      <c r="J284" s="105"/>
      <c r="K284" s="106"/>
      <c r="L284" s="105"/>
      <c r="M284" s="106"/>
      <c r="N284" s="105"/>
      <c r="O284" s="106"/>
      <c r="P284" s="105"/>
      <c r="Q284" s="106"/>
      <c r="R284" s="105"/>
      <c r="S284" s="112"/>
      <c r="T284" s="113"/>
      <c r="U284" s="114"/>
      <c r="V284" s="2"/>
      <c r="W284" s="112"/>
      <c r="X284" s="113"/>
      <c r="Y284" s="106"/>
      <c r="Z284" s="105"/>
      <c r="AA284" s="106"/>
      <c r="AB284" s="105"/>
      <c r="AC284" s="106"/>
      <c r="AD284" s="105"/>
      <c r="AE284" s="106"/>
      <c r="AF284" s="105"/>
      <c r="AG284" s="106"/>
      <c r="AH284" s="105"/>
      <c r="AI284" s="112"/>
      <c r="AJ284" s="113"/>
      <c r="AK284" s="44"/>
      <c r="AL284" s="84"/>
      <c r="AM284" s="49"/>
      <c r="AN284" s="49"/>
      <c r="AO284" s="49"/>
      <c r="AP284" s="49"/>
      <c r="AQ284" s="49"/>
      <c r="AR284" s="40"/>
      <c r="AS284" s="51"/>
      <c r="AT284" s="84"/>
      <c r="AU284" s="49"/>
      <c r="AV284" s="84"/>
      <c r="AW284" s="52"/>
      <c r="AX284" s="84"/>
      <c r="BA284" s="2"/>
      <c r="BB284" s="2"/>
      <c r="BC284" s="101"/>
      <c r="BD284" s="101"/>
    </row>
    <row r="285" spans="1:56" s="53" customFormat="1" ht="15" thickBot="1" x14ac:dyDescent="0.4">
      <c r="A285" s="84"/>
      <c r="B285" s="30" t="str">
        <f>IF(B211="","",B211)</f>
        <v/>
      </c>
      <c r="C285" s="115"/>
      <c r="D285" s="116"/>
      <c r="E285" s="117" t="str">
        <f t="shared" si="130"/>
        <v/>
      </c>
      <c r="F285" s="111">
        <f>B231</f>
        <v>13</v>
      </c>
      <c r="G285" s="119"/>
      <c r="H285" s="118"/>
      <c r="I285" s="104"/>
      <c r="J285" s="103"/>
      <c r="K285" s="104"/>
      <c r="L285" s="103"/>
      <c r="M285" s="104"/>
      <c r="N285" s="103"/>
      <c r="O285" s="104"/>
      <c r="P285" s="103"/>
      <c r="Q285" s="104"/>
      <c r="R285" s="103"/>
      <c r="S285" s="119"/>
      <c r="T285" s="118"/>
      <c r="U285" s="120">
        <f t="shared" ref="U285" si="156">SUM(G285:T285)</f>
        <v>0</v>
      </c>
      <c r="V285" s="121"/>
      <c r="W285" s="119"/>
      <c r="X285" s="118"/>
      <c r="Y285" s="104"/>
      <c r="Z285" s="103"/>
      <c r="AA285" s="104"/>
      <c r="AB285" s="103"/>
      <c r="AC285" s="104"/>
      <c r="AD285" s="103"/>
      <c r="AE285" s="104"/>
      <c r="AF285" s="103"/>
      <c r="AG285" s="104"/>
      <c r="AH285" s="103"/>
      <c r="AI285" s="119"/>
      <c r="AJ285" s="118"/>
      <c r="AK285" s="71">
        <v>0</v>
      </c>
      <c r="AL285" s="72"/>
      <c r="AM285" s="73">
        <v>0</v>
      </c>
      <c r="AN285" s="88">
        <v>0</v>
      </c>
      <c r="AO285" s="73">
        <v>0</v>
      </c>
      <c r="AP285" s="73">
        <v>0</v>
      </c>
      <c r="AQ285" s="73">
        <v>0</v>
      </c>
      <c r="AR285" s="74">
        <v>0</v>
      </c>
      <c r="AS285" s="75">
        <v>0</v>
      </c>
      <c r="AT285" s="72"/>
      <c r="AU285" s="73">
        <f>SUMIF($G284:$T284,"A",$G285:$T285)+SUMIF($W284:$AJ284,"A",$W285:$AJ285)</f>
        <v>0</v>
      </c>
      <c r="AV285" s="72"/>
      <c r="AW285" s="76">
        <f>IF(B285="",0,IF($U$9="",0,$U$9))</f>
        <v>0</v>
      </c>
      <c r="AX285" s="84"/>
      <c r="BA285" s="2"/>
      <c r="BB285" s="2"/>
      <c r="BC285" s="101"/>
      <c r="BD285" s="101"/>
    </row>
    <row r="286" spans="1:56" s="53" customFormat="1" ht="27.75" customHeight="1" thickBot="1" x14ac:dyDescent="0.4">
      <c r="A286" s="84"/>
      <c r="B286" s="149" t="s">
        <v>7</v>
      </c>
      <c r="C286" s="150"/>
      <c r="D286" s="150"/>
      <c r="E286" s="151"/>
      <c r="F286" s="97"/>
      <c r="G286" s="169">
        <f>SUM(G236:H285)</f>
        <v>0</v>
      </c>
      <c r="H286" s="169"/>
      <c r="I286" s="169">
        <f>SUM(I236:J285)</f>
        <v>136.5</v>
      </c>
      <c r="J286" s="169"/>
      <c r="K286" s="169">
        <f>SUM(K236:L285)</f>
        <v>136.25</v>
      </c>
      <c r="L286" s="169"/>
      <c r="M286" s="169">
        <f>SUM(M236:N285)</f>
        <v>128</v>
      </c>
      <c r="N286" s="169"/>
      <c r="O286" s="169">
        <f>SUM(O236:P285)</f>
        <v>128.75</v>
      </c>
      <c r="P286" s="169"/>
      <c r="Q286" s="169">
        <f>SUM(Q236:R285)</f>
        <v>127</v>
      </c>
      <c r="R286" s="169"/>
      <c r="S286" s="169">
        <f>SUM(S236:T285)</f>
        <v>0</v>
      </c>
      <c r="T286" s="170"/>
      <c r="U286" s="125">
        <f>SUM(U236:U285)</f>
        <v>656.5</v>
      </c>
      <c r="V286" s="126"/>
      <c r="W286" s="169">
        <f>SUM(W236:X285)</f>
        <v>0</v>
      </c>
      <c r="X286" s="169"/>
      <c r="Y286" s="169">
        <f>SUM(Y236:Z285)</f>
        <v>128</v>
      </c>
      <c r="Z286" s="169"/>
      <c r="AA286" s="169">
        <f>SUM(AA236:AB285)</f>
        <v>120.75</v>
      </c>
      <c r="AB286" s="169"/>
      <c r="AC286" s="169">
        <f>SUM(AC236:AD285)</f>
        <v>128.75</v>
      </c>
      <c r="AD286" s="169"/>
      <c r="AE286" s="169">
        <f>SUM(AE236:AF285)</f>
        <v>128.75</v>
      </c>
      <c r="AF286" s="169"/>
      <c r="AG286" s="169">
        <f>SUM(AG236:AH285)</f>
        <v>119</v>
      </c>
      <c r="AH286" s="169"/>
      <c r="AI286" s="169">
        <f>SUM(AI236:AJ285)</f>
        <v>0</v>
      </c>
      <c r="AJ286" s="169"/>
      <c r="AK286" s="77">
        <f>SUM(AK236:AK285)</f>
        <v>625.25</v>
      </c>
      <c r="AL286" s="78"/>
      <c r="AM286" s="79">
        <f t="shared" ref="AM286:AS286" si="157">SUM(AM236:AM285)</f>
        <v>1246.5</v>
      </c>
      <c r="AN286" s="79">
        <f t="shared" si="157"/>
        <v>3.25</v>
      </c>
      <c r="AO286" s="79">
        <f t="shared" si="157"/>
        <v>16</v>
      </c>
      <c r="AP286" s="79">
        <f t="shared" si="157"/>
        <v>0</v>
      </c>
      <c r="AQ286" s="79">
        <f t="shared" si="157"/>
        <v>16</v>
      </c>
      <c r="AR286" s="80">
        <f t="shared" si="157"/>
        <v>0</v>
      </c>
      <c r="AS286" s="81">
        <f t="shared" si="157"/>
        <v>1281.75</v>
      </c>
      <c r="AT286" s="78"/>
      <c r="AU286" s="82">
        <f>SUM(AU236:AU285)</f>
        <v>0</v>
      </c>
      <c r="AV286" s="78"/>
      <c r="AW286" s="83">
        <f>SUM(AW236:AW285)</f>
        <v>1600</v>
      </c>
      <c r="AX286" s="84"/>
      <c r="BA286" s="2"/>
      <c r="BB286" s="2"/>
      <c r="BC286" s="101"/>
      <c r="BD286" s="101"/>
    </row>
    <row r="287" spans="1:56" s="53" customFormat="1" ht="15" thickTop="1" x14ac:dyDescent="0.35">
      <c r="B287" s="54"/>
      <c r="F287" s="98"/>
      <c r="G287" s="55"/>
      <c r="H287" s="55"/>
      <c r="I287" s="55"/>
      <c r="J287" s="55"/>
      <c r="K287" s="55"/>
      <c r="L287" s="55"/>
      <c r="M287" s="55"/>
      <c r="N287" s="55"/>
      <c r="O287" s="55"/>
      <c r="P287" s="55"/>
      <c r="Q287" s="55"/>
      <c r="R287" s="55"/>
      <c r="S287" s="55"/>
      <c r="T287" s="55"/>
      <c r="U287" s="56"/>
      <c r="V287" s="55"/>
      <c r="W287" s="55"/>
      <c r="X287" s="55"/>
      <c r="Y287" s="55"/>
      <c r="Z287" s="55"/>
      <c r="AA287" s="55"/>
      <c r="AB287" s="55"/>
      <c r="AC287" s="55"/>
      <c r="AD287" s="55"/>
      <c r="AE287" s="55"/>
      <c r="AF287" s="55"/>
      <c r="AG287" s="55"/>
      <c r="AH287" s="55"/>
      <c r="AI287" s="55"/>
      <c r="AJ287" s="55"/>
      <c r="AK287" s="56"/>
      <c r="AL287" s="55"/>
      <c r="AM287" s="55"/>
      <c r="AN287" s="55"/>
      <c r="AO287" s="55"/>
      <c r="AP287" s="55"/>
      <c r="AQ287" s="55"/>
      <c r="AR287" s="55"/>
      <c r="AS287" s="55"/>
      <c r="AT287" s="55"/>
      <c r="AU287" s="55"/>
      <c r="AV287" s="55"/>
      <c r="AW287" s="55"/>
      <c r="BA287" s="2"/>
      <c r="BB287" s="2"/>
      <c r="BC287" s="101"/>
      <c r="BD287" s="101"/>
    </row>
    <row r="288" spans="1:56" s="53" customFormat="1" x14ac:dyDescent="0.35">
      <c r="B288" s="54" t="s">
        <v>52</v>
      </c>
      <c r="D288" s="141" t="s">
        <v>81</v>
      </c>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56"/>
      <c r="AL288" s="55"/>
      <c r="AM288" s="55"/>
      <c r="AN288" s="55"/>
      <c r="AO288" s="55"/>
      <c r="AP288" s="55"/>
      <c r="AQ288" s="55"/>
      <c r="AR288" s="55"/>
      <c r="AS288" s="55"/>
      <c r="AT288" s="55"/>
      <c r="AU288" s="55"/>
      <c r="AV288" s="55"/>
      <c r="AW288" s="55"/>
      <c r="BA288" s="2"/>
      <c r="BB288" s="2"/>
      <c r="BC288" s="101"/>
      <c r="BD288" s="101"/>
    </row>
    <row r="289" spans="1:56" s="84" customFormat="1" x14ac:dyDescent="0.35">
      <c r="A289" s="53"/>
      <c r="B289" s="54"/>
      <c r="C289" s="53"/>
      <c r="D289" s="141" t="s">
        <v>82</v>
      </c>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56"/>
      <c r="AL289" s="55"/>
      <c r="AM289" s="55"/>
      <c r="AN289" s="55"/>
      <c r="AO289" s="55"/>
      <c r="AP289" s="55"/>
      <c r="AQ289" s="55"/>
      <c r="AR289" s="55"/>
      <c r="AS289" s="55"/>
      <c r="AT289" s="55"/>
      <c r="AU289" s="55"/>
      <c r="AV289" s="55"/>
      <c r="AW289" s="55"/>
      <c r="AX289" s="53"/>
      <c r="BA289" s="2"/>
      <c r="BB289" s="2"/>
      <c r="BC289" s="101"/>
      <c r="BD289" s="101"/>
    </row>
    <row r="290" spans="1:56" s="84" customFormat="1" x14ac:dyDescent="0.35">
      <c r="A290" s="53"/>
      <c r="B290" s="54"/>
      <c r="C290" s="53"/>
      <c r="D290" s="141" t="s">
        <v>83</v>
      </c>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56"/>
      <c r="AL290" s="55"/>
      <c r="AM290" s="55"/>
      <c r="AN290" s="55"/>
      <c r="AO290" s="55"/>
      <c r="AP290" s="55"/>
      <c r="AQ290" s="55"/>
      <c r="AR290" s="55"/>
      <c r="AS290" s="55"/>
      <c r="AT290" s="55"/>
      <c r="AU290" s="55"/>
      <c r="AV290" s="55"/>
      <c r="AW290" s="55"/>
      <c r="AX290" s="53"/>
      <c r="BA290" s="2"/>
      <c r="BB290" s="2"/>
      <c r="BC290" s="101"/>
      <c r="BD290" s="101"/>
    </row>
    <row r="291" spans="1:56" s="84" customFormat="1" ht="15" customHeight="1" x14ac:dyDescent="0.35">
      <c r="A291" s="53"/>
      <c r="B291" s="54"/>
      <c r="C291" s="53"/>
      <c r="D291" s="53"/>
      <c r="E291" s="53"/>
      <c r="F291" s="98"/>
      <c r="G291" s="55"/>
      <c r="H291" s="55"/>
      <c r="I291" s="55"/>
      <c r="J291" s="55"/>
      <c r="K291" s="55"/>
      <c r="L291" s="55"/>
      <c r="M291" s="55"/>
      <c r="N291" s="55"/>
      <c r="O291" s="55"/>
      <c r="P291" s="55"/>
      <c r="Q291" s="55"/>
      <c r="R291" s="55"/>
      <c r="S291" s="55"/>
      <c r="T291" s="55"/>
      <c r="U291" s="56"/>
      <c r="V291" s="55"/>
      <c r="W291" s="55"/>
      <c r="X291" s="55"/>
      <c r="Y291" s="55"/>
      <c r="Z291" s="55"/>
      <c r="AA291" s="55"/>
      <c r="AB291" s="55"/>
      <c r="AC291" s="55"/>
      <c r="AD291" s="55"/>
      <c r="AE291" s="55"/>
      <c r="AF291" s="55"/>
      <c r="AG291" s="55"/>
      <c r="AH291" s="55"/>
      <c r="AI291" s="55"/>
      <c r="AJ291" s="55"/>
      <c r="AK291" s="56"/>
      <c r="AL291" s="55"/>
      <c r="AM291" s="55"/>
      <c r="AN291" s="55"/>
      <c r="AO291" s="55"/>
      <c r="AP291" s="55"/>
      <c r="AQ291" s="55"/>
      <c r="AR291" s="55"/>
      <c r="AS291" s="55"/>
      <c r="AT291" s="55"/>
      <c r="AU291" s="55"/>
      <c r="AV291" s="55"/>
      <c r="AW291" s="55"/>
      <c r="AX291" s="53"/>
      <c r="BA291" s="2"/>
      <c r="BB291" s="2"/>
      <c r="BC291" s="101"/>
      <c r="BD291" s="101"/>
    </row>
    <row r="292" spans="1:56" s="84" customFormat="1" ht="15" customHeight="1" x14ac:dyDescent="0.35">
      <c r="A292" s="53"/>
      <c r="B292" s="54" t="s">
        <v>53</v>
      </c>
      <c r="C292" s="53"/>
      <c r="D292" s="31" t="s">
        <v>74</v>
      </c>
      <c r="E292" s="34"/>
      <c r="F292" s="99"/>
      <c r="G292" s="34"/>
      <c r="H292" s="34"/>
      <c r="I292" s="34"/>
      <c r="J292" s="34"/>
      <c r="K292" s="53"/>
      <c r="L292" s="55" t="s">
        <v>8</v>
      </c>
      <c r="M292" s="53"/>
      <c r="N292" s="142">
        <f ca="1">NOW()</f>
        <v>44720.650928935182</v>
      </c>
      <c r="O292" s="142"/>
      <c r="P292" s="142"/>
      <c r="Q292" s="53"/>
      <c r="R292" s="53"/>
      <c r="S292" s="53"/>
      <c r="T292" s="53"/>
      <c r="U292" s="53"/>
      <c r="V292" s="55"/>
      <c r="W292" s="55"/>
      <c r="X292" s="55"/>
      <c r="Y292" s="55"/>
      <c r="Z292" s="55"/>
      <c r="AA292" s="55"/>
      <c r="AB292" s="55"/>
      <c r="AC292" s="55"/>
      <c r="AD292" s="55"/>
      <c r="AE292" s="55"/>
      <c r="AF292" s="55"/>
      <c r="AG292" s="55"/>
      <c r="AH292" s="55"/>
      <c r="AI292" s="55"/>
      <c r="AJ292" s="55"/>
      <c r="AK292" s="56"/>
      <c r="AL292" s="55"/>
      <c r="AM292" s="55"/>
      <c r="AN292" s="55"/>
      <c r="AO292" s="55"/>
      <c r="AP292" s="55"/>
      <c r="AQ292" s="55"/>
      <c r="AR292" s="55"/>
      <c r="AS292" s="55"/>
      <c r="AT292" s="55"/>
      <c r="AU292" s="55"/>
      <c r="AV292" s="55"/>
      <c r="AW292" s="55"/>
      <c r="AX292" s="53"/>
      <c r="BA292" s="2"/>
      <c r="BB292" s="2"/>
      <c r="BC292" s="101"/>
      <c r="BD292" s="101"/>
    </row>
    <row r="293" spans="1:56" s="84" customFormat="1" x14ac:dyDescent="0.35">
      <c r="A293" s="53"/>
      <c r="B293" s="54"/>
      <c r="C293" s="53"/>
      <c r="D293" s="53"/>
      <c r="E293" s="53"/>
      <c r="F293" s="98"/>
      <c r="G293" s="55"/>
      <c r="H293" s="55"/>
      <c r="I293" s="55"/>
      <c r="J293" s="55"/>
      <c r="K293" s="53"/>
      <c r="L293" s="55"/>
      <c r="M293" s="53"/>
      <c r="N293" s="55"/>
      <c r="O293" s="56"/>
      <c r="P293" s="53"/>
      <c r="Q293" s="53"/>
      <c r="R293" s="53"/>
      <c r="S293" s="53"/>
      <c r="T293" s="53"/>
      <c r="U293" s="53"/>
      <c r="V293" s="55"/>
      <c r="W293" s="55"/>
      <c r="X293" s="55"/>
      <c r="Y293" s="55"/>
      <c r="Z293" s="55"/>
      <c r="AA293" s="55"/>
      <c r="AB293" s="55"/>
      <c r="AC293" s="55"/>
      <c r="AD293" s="55"/>
      <c r="AE293" s="55"/>
      <c r="AF293" s="55"/>
      <c r="AG293" s="55"/>
      <c r="AH293" s="55"/>
      <c r="AI293" s="55"/>
      <c r="AJ293" s="55"/>
      <c r="AK293" s="56"/>
      <c r="AL293" s="55"/>
      <c r="AM293" s="55"/>
      <c r="AN293" s="55"/>
      <c r="AO293" s="55"/>
      <c r="AP293" s="55"/>
      <c r="AQ293" s="55"/>
      <c r="AR293" s="55"/>
      <c r="AS293" s="55"/>
      <c r="AT293" s="55"/>
      <c r="AU293" s="55"/>
      <c r="AV293" s="55"/>
      <c r="AW293" s="55"/>
      <c r="AX293" s="53"/>
      <c r="BA293" s="2"/>
      <c r="BB293" s="2"/>
      <c r="BC293" s="101"/>
      <c r="BD293" s="101"/>
    </row>
    <row r="294" spans="1:56" s="84" customFormat="1" x14ac:dyDescent="0.35">
      <c r="A294" s="53"/>
      <c r="B294" s="54" t="s">
        <v>54</v>
      </c>
      <c r="C294" s="53"/>
      <c r="D294" s="31"/>
      <c r="E294" s="34"/>
      <c r="F294" s="99"/>
      <c r="G294" s="34"/>
      <c r="H294" s="34"/>
      <c r="I294" s="34"/>
      <c r="J294" s="34"/>
      <c r="K294" s="53"/>
      <c r="L294" s="55" t="s">
        <v>8</v>
      </c>
      <c r="M294" s="53"/>
      <c r="N294" s="142">
        <f ca="1">NOW()</f>
        <v>44720.650928935182</v>
      </c>
      <c r="O294" s="142"/>
      <c r="P294" s="142"/>
      <c r="Q294" s="53"/>
      <c r="R294" s="53"/>
      <c r="S294" s="53"/>
      <c r="T294" s="53"/>
      <c r="U294" s="53"/>
      <c r="V294" s="55"/>
      <c r="W294" s="55"/>
      <c r="X294" s="55"/>
      <c r="Y294" s="55"/>
      <c r="Z294" s="55"/>
      <c r="AA294" s="55"/>
      <c r="AB294" s="55"/>
      <c r="AC294" s="55"/>
      <c r="AD294" s="55"/>
      <c r="AE294" s="55"/>
      <c r="AF294" s="55"/>
      <c r="AG294" s="55"/>
      <c r="AH294" s="55"/>
      <c r="AI294" s="55"/>
      <c r="AJ294" s="55"/>
      <c r="AK294" s="56"/>
      <c r="AL294" s="55"/>
      <c r="AM294" s="55"/>
      <c r="AN294" s="55"/>
      <c r="AO294" s="55"/>
      <c r="AP294" s="55"/>
      <c r="AQ294" s="55"/>
      <c r="AR294" s="55"/>
      <c r="AS294" s="55"/>
      <c r="AT294" s="55"/>
      <c r="AU294" s="55"/>
      <c r="AV294" s="55"/>
      <c r="AW294" s="55"/>
      <c r="AX294" s="53"/>
      <c r="BA294" s="2"/>
      <c r="BB294" s="2"/>
      <c r="BC294" s="101"/>
      <c r="BD294" s="101"/>
    </row>
    <row r="295" spans="1:56" s="84" customFormat="1" x14ac:dyDescent="0.35">
      <c r="A295" s="53"/>
      <c r="B295" s="54"/>
      <c r="C295" s="53"/>
      <c r="D295" s="53"/>
      <c r="E295" s="53"/>
      <c r="F295" s="98"/>
      <c r="G295" s="55"/>
      <c r="H295" s="55"/>
      <c r="I295" s="55"/>
      <c r="J295" s="55"/>
      <c r="K295" s="55"/>
      <c r="L295" s="55"/>
      <c r="M295" s="55"/>
      <c r="N295" s="55"/>
      <c r="O295" s="55"/>
      <c r="P295" s="55"/>
      <c r="Q295" s="55"/>
      <c r="R295" s="55"/>
      <c r="S295" s="55"/>
      <c r="T295" s="55"/>
      <c r="U295" s="56"/>
      <c r="V295" s="55"/>
      <c r="W295" s="55"/>
      <c r="X295" s="55"/>
      <c r="Y295" s="55"/>
      <c r="Z295" s="55"/>
      <c r="AA295" s="55"/>
      <c r="AB295" s="55"/>
      <c r="AC295" s="55"/>
      <c r="AD295" s="55"/>
      <c r="AE295" s="55"/>
      <c r="AF295" s="55"/>
      <c r="AG295" s="55"/>
      <c r="AH295" s="55"/>
      <c r="AI295" s="55"/>
      <c r="AJ295" s="55"/>
      <c r="AK295" s="56"/>
      <c r="AL295" s="55"/>
      <c r="AM295" s="55"/>
      <c r="AN295" s="55"/>
      <c r="AO295" s="55"/>
      <c r="AP295" s="55"/>
      <c r="AQ295" s="55"/>
      <c r="AR295" s="55"/>
      <c r="AS295" s="55"/>
      <c r="AT295" s="55"/>
      <c r="AU295" s="55"/>
      <c r="AV295" s="55"/>
      <c r="AW295" s="55"/>
      <c r="AX295" s="53"/>
      <c r="BA295" s="2"/>
      <c r="BB295" s="2"/>
      <c r="BC295" s="101"/>
      <c r="BD295" s="101"/>
    </row>
    <row r="296" spans="1:56" s="84" customFormat="1" x14ac:dyDescent="0.35">
      <c r="A296" s="53"/>
      <c r="B296" s="54" t="s">
        <v>9</v>
      </c>
      <c r="C296" s="53"/>
      <c r="D296" s="53"/>
      <c r="E296" s="53"/>
      <c r="F296" s="98"/>
      <c r="G296" s="55"/>
      <c r="H296" s="55"/>
      <c r="I296" s="55"/>
      <c r="J296" s="55"/>
      <c r="K296" s="55"/>
      <c r="L296" s="55"/>
      <c r="M296" s="55"/>
      <c r="N296" s="55"/>
      <c r="O296" s="55"/>
      <c r="P296" s="55"/>
      <c r="Q296" s="55"/>
      <c r="R296" s="55"/>
      <c r="S296" s="55"/>
      <c r="T296" s="55"/>
      <c r="U296" s="56"/>
      <c r="V296" s="55"/>
      <c r="W296" s="55"/>
      <c r="X296" s="55"/>
      <c r="Y296" s="55"/>
      <c r="Z296" s="55"/>
      <c r="AA296" s="55"/>
      <c r="AB296" s="55"/>
      <c r="AC296" s="55"/>
      <c r="AD296" s="55"/>
      <c r="AE296" s="55"/>
      <c r="AF296" s="55"/>
      <c r="AG296" s="55"/>
      <c r="AH296" s="55"/>
      <c r="AI296" s="55"/>
      <c r="AJ296" s="55"/>
      <c r="AK296" s="56"/>
      <c r="AL296" s="55"/>
      <c r="AM296" s="55"/>
      <c r="AN296" s="55"/>
      <c r="AO296" s="55"/>
      <c r="AP296" s="55"/>
      <c r="AQ296" s="55"/>
      <c r="AR296" s="55"/>
      <c r="AS296" s="55"/>
      <c r="AT296" s="55"/>
      <c r="AU296" s="55"/>
      <c r="AV296" s="55"/>
      <c r="AW296" s="55"/>
      <c r="AX296" s="53"/>
      <c r="BA296" s="2"/>
      <c r="BB296" s="2"/>
      <c r="BC296" s="101"/>
      <c r="BD296" s="101"/>
    </row>
    <row r="297" spans="1:56" x14ac:dyDescent="0.35">
      <c r="BA297" s="2"/>
      <c r="BB297" s="2"/>
      <c r="BC297" s="101"/>
      <c r="BD297" s="101"/>
    </row>
    <row r="298" spans="1:56" ht="28.5" x14ac:dyDescent="0.65">
      <c r="G298" s="143" t="s">
        <v>10</v>
      </c>
      <c r="H298" s="143"/>
      <c r="I298" s="143"/>
      <c r="J298" s="143"/>
      <c r="K298" s="143"/>
      <c r="L298" s="143"/>
      <c r="M298" s="143"/>
      <c r="N298" s="143"/>
      <c r="O298" s="143"/>
      <c r="P298" s="143"/>
      <c r="Q298" s="143"/>
      <c r="R298" s="143"/>
      <c r="S298" s="143"/>
      <c r="T298" s="143"/>
      <c r="U298" s="143"/>
      <c r="BA298" s="2"/>
      <c r="BB298" s="2"/>
      <c r="BC298" s="101"/>
      <c r="BD298" s="101"/>
    </row>
    <row r="299" spans="1:56" s="84" customFormat="1" x14ac:dyDescent="0.35">
      <c r="F299" s="50"/>
      <c r="G299" s="168"/>
      <c r="H299" s="168"/>
      <c r="I299" s="168"/>
      <c r="J299" s="168"/>
      <c r="K299" s="168"/>
      <c r="L299" s="168"/>
      <c r="M299" s="168"/>
      <c r="N299" s="168"/>
      <c r="O299" s="168"/>
      <c r="P299" s="168"/>
      <c r="Q299" s="168"/>
      <c r="R299" s="168"/>
      <c r="S299" s="168"/>
      <c r="T299" s="168"/>
      <c r="U299" s="168"/>
      <c r="W299" s="37" t="s">
        <v>12</v>
      </c>
      <c r="X299" s="86" t="s">
        <v>11</v>
      </c>
      <c r="BA299" s="2"/>
      <c r="BB299" s="2"/>
      <c r="BC299" s="101"/>
      <c r="BD299" s="101"/>
    </row>
    <row r="300" spans="1:56" s="84" customFormat="1" x14ac:dyDescent="0.35">
      <c r="F300" s="50"/>
      <c r="G300" s="84" t="s">
        <v>0</v>
      </c>
      <c r="W300" s="37" t="s">
        <v>13</v>
      </c>
      <c r="X300" s="86" t="s">
        <v>14</v>
      </c>
      <c r="BA300" s="2"/>
      <c r="BB300" s="2"/>
      <c r="BC300" s="101"/>
      <c r="BD300" s="101"/>
    </row>
    <row r="301" spans="1:56" s="84" customFormat="1" x14ac:dyDescent="0.35">
      <c r="F301" s="50"/>
      <c r="W301" s="37" t="s">
        <v>1</v>
      </c>
      <c r="X301" s="86" t="s">
        <v>15</v>
      </c>
      <c r="BA301" s="2"/>
      <c r="BB301" s="2"/>
      <c r="BC301" s="101"/>
      <c r="BD301" s="101"/>
    </row>
    <row r="302" spans="1:56" s="84" customFormat="1" x14ac:dyDescent="0.35">
      <c r="F302" s="50"/>
      <c r="W302" s="37" t="s">
        <v>2</v>
      </c>
      <c r="X302" s="86" t="s">
        <v>16</v>
      </c>
      <c r="BA302" s="2"/>
      <c r="BB302" s="2"/>
      <c r="BC302" s="101"/>
      <c r="BD302" s="101"/>
    </row>
    <row r="303" spans="1:56" s="84" customFormat="1" ht="15" customHeight="1" x14ac:dyDescent="0.35">
      <c r="B303" s="154" t="s">
        <v>35</v>
      </c>
      <c r="F303" s="50"/>
      <c r="G303" s="154" t="s">
        <v>36</v>
      </c>
      <c r="H303" s="154"/>
      <c r="I303" s="154"/>
      <c r="K303" s="154" t="s">
        <v>36</v>
      </c>
      <c r="L303" s="154"/>
      <c r="M303" s="154"/>
      <c r="W303" s="37" t="s">
        <v>3</v>
      </c>
      <c r="X303" s="86" t="s">
        <v>17</v>
      </c>
      <c r="BA303" s="2"/>
      <c r="BB303" s="2"/>
      <c r="BC303" s="101"/>
      <c r="BD303" s="101"/>
    </row>
    <row r="304" spans="1:56" s="84" customFormat="1" x14ac:dyDescent="0.35">
      <c r="B304" s="155"/>
      <c r="D304" s="37" t="s">
        <v>34</v>
      </c>
      <c r="F304" s="50"/>
      <c r="G304" s="154"/>
      <c r="H304" s="154"/>
      <c r="I304" s="154"/>
      <c r="K304" s="154"/>
      <c r="L304" s="154"/>
      <c r="M304" s="154"/>
      <c r="W304" s="38"/>
      <c r="BA304" s="2"/>
      <c r="BB304" s="2"/>
      <c r="BC304" s="101"/>
      <c r="BD304" s="101"/>
    </row>
    <row r="305" spans="2:56" s="84" customFormat="1" x14ac:dyDescent="0.35">
      <c r="B305" s="100">
        <f>B231+1</f>
        <v>14</v>
      </c>
      <c r="D305" s="100">
        <f>D231</f>
        <v>2021</v>
      </c>
      <c r="E305" s="87" t="s">
        <v>38</v>
      </c>
      <c r="F305" s="50"/>
      <c r="G305" s="156">
        <f>K231+1</f>
        <v>44367</v>
      </c>
      <c r="H305" s="157"/>
      <c r="I305" s="158"/>
      <c r="J305" s="37" t="s">
        <v>37</v>
      </c>
      <c r="K305" s="156">
        <f>IF(G305="","",G305+13)</f>
        <v>44380</v>
      </c>
      <c r="L305" s="157"/>
      <c r="M305" s="158"/>
      <c r="P305" s="159" t="s">
        <v>39</v>
      </c>
      <c r="Q305" s="160"/>
      <c r="R305" s="160"/>
      <c r="S305" s="160"/>
      <c r="T305" s="161"/>
      <c r="U305" s="24">
        <v>80</v>
      </c>
      <c r="BA305" s="2"/>
      <c r="BB305" s="2"/>
      <c r="BC305" s="101"/>
      <c r="BD305" s="101"/>
    </row>
    <row r="306" spans="2:56" s="84" customFormat="1" x14ac:dyDescent="0.35">
      <c r="F306" s="50"/>
      <c r="AM306" s="144" t="s">
        <v>4</v>
      </c>
      <c r="AN306" s="144"/>
      <c r="AO306" s="144"/>
      <c r="AP306" s="144"/>
      <c r="AQ306" s="144"/>
      <c r="AR306" s="144"/>
      <c r="AS306" s="144"/>
      <c r="AU306" s="100" t="s">
        <v>4</v>
      </c>
      <c r="BA306" s="2"/>
      <c r="BB306" s="2"/>
      <c r="BC306" s="101"/>
      <c r="BD306" s="101"/>
    </row>
    <row r="307" spans="2:56" s="84" customFormat="1" ht="15" customHeight="1" x14ac:dyDescent="0.35">
      <c r="B307" s="40"/>
      <c r="C307" s="41"/>
      <c r="D307" s="42" t="s">
        <v>32</v>
      </c>
      <c r="E307" s="43" t="s">
        <v>5</v>
      </c>
      <c r="F307" s="50"/>
      <c r="G307" s="162">
        <f>G305</f>
        <v>44367</v>
      </c>
      <c r="H307" s="163"/>
      <c r="I307" s="162">
        <f>IF(G307="","",G307+1)</f>
        <v>44368</v>
      </c>
      <c r="J307" s="163"/>
      <c r="K307" s="162">
        <f>IF(I307="","",I307+1)</f>
        <v>44369</v>
      </c>
      <c r="L307" s="163"/>
      <c r="M307" s="162">
        <f>IF(K307="","",K307+1)</f>
        <v>44370</v>
      </c>
      <c r="N307" s="163"/>
      <c r="O307" s="162">
        <f>IF(M307="","",M307+1)</f>
        <v>44371</v>
      </c>
      <c r="P307" s="163"/>
      <c r="Q307" s="162">
        <f>IF(O307="","",O307+1)</f>
        <v>44372</v>
      </c>
      <c r="R307" s="163"/>
      <c r="S307" s="162">
        <f>IF(Q307="","",Q307+1)</f>
        <v>44373</v>
      </c>
      <c r="T307" s="164"/>
      <c r="U307" s="44"/>
      <c r="W307" s="162">
        <f>IF(S307="","",S307+1)</f>
        <v>44374</v>
      </c>
      <c r="X307" s="163"/>
      <c r="Y307" s="162">
        <f>IF(W307="","",W307+1)</f>
        <v>44375</v>
      </c>
      <c r="Z307" s="163"/>
      <c r="AA307" s="162">
        <f>IF(Y307="","",Y307+1)</f>
        <v>44376</v>
      </c>
      <c r="AB307" s="163"/>
      <c r="AC307" s="162">
        <f>IF(AA307="","",AA307+1)</f>
        <v>44377</v>
      </c>
      <c r="AD307" s="163"/>
      <c r="AE307" s="162">
        <f>IF(AC307="","",AC307+1)</f>
        <v>44378</v>
      </c>
      <c r="AF307" s="163"/>
      <c r="AG307" s="162">
        <f>IF(AE307="","",AE307+1)</f>
        <v>44379</v>
      </c>
      <c r="AH307" s="163"/>
      <c r="AI307" s="162">
        <f>IF(AG307="","",AG307+1)</f>
        <v>44380</v>
      </c>
      <c r="AJ307" s="164"/>
      <c r="AK307" s="44"/>
      <c r="AM307" s="145" t="s">
        <v>18</v>
      </c>
      <c r="AN307" s="165" t="s">
        <v>55</v>
      </c>
      <c r="AO307" s="145" t="s">
        <v>19</v>
      </c>
      <c r="AP307" s="145" t="s">
        <v>20</v>
      </c>
      <c r="AQ307" s="145" t="s">
        <v>21</v>
      </c>
      <c r="AR307" s="166" t="s">
        <v>22</v>
      </c>
      <c r="AS307" s="167" t="s">
        <v>23</v>
      </c>
      <c r="AU307" s="144" t="s">
        <v>6</v>
      </c>
      <c r="AW307" s="145" t="s">
        <v>24</v>
      </c>
      <c r="BA307" s="2"/>
      <c r="BB307" s="2"/>
      <c r="BC307" s="101"/>
      <c r="BD307" s="101"/>
    </row>
    <row r="308" spans="2:56" s="84" customFormat="1" x14ac:dyDescent="0.35">
      <c r="B308" s="45" t="s">
        <v>33</v>
      </c>
      <c r="C308" s="46"/>
      <c r="D308" s="47"/>
      <c r="E308" s="47"/>
      <c r="F308" s="50"/>
      <c r="G308" s="146" t="s">
        <v>25</v>
      </c>
      <c r="H308" s="147"/>
      <c r="I308" s="146" t="s">
        <v>26</v>
      </c>
      <c r="J308" s="147"/>
      <c r="K308" s="146" t="s">
        <v>27</v>
      </c>
      <c r="L308" s="147"/>
      <c r="M308" s="146" t="s">
        <v>28</v>
      </c>
      <c r="N308" s="147"/>
      <c r="O308" s="146" t="s">
        <v>29</v>
      </c>
      <c r="P308" s="147"/>
      <c r="Q308" s="146" t="s">
        <v>30</v>
      </c>
      <c r="R308" s="147"/>
      <c r="S308" s="146" t="s">
        <v>31</v>
      </c>
      <c r="T308" s="148"/>
      <c r="U308" s="48" t="s">
        <v>7</v>
      </c>
      <c r="W308" s="146" t="s">
        <v>25</v>
      </c>
      <c r="X308" s="147"/>
      <c r="Y308" s="146" t="s">
        <v>26</v>
      </c>
      <c r="Z308" s="147"/>
      <c r="AA308" s="146" t="s">
        <v>27</v>
      </c>
      <c r="AB308" s="147"/>
      <c r="AC308" s="146" t="s">
        <v>28</v>
      </c>
      <c r="AD308" s="147"/>
      <c r="AE308" s="146" t="s">
        <v>29</v>
      </c>
      <c r="AF308" s="147"/>
      <c r="AG308" s="146" t="s">
        <v>30</v>
      </c>
      <c r="AH308" s="147"/>
      <c r="AI308" s="146" t="s">
        <v>31</v>
      </c>
      <c r="AJ308" s="148"/>
      <c r="AK308" s="48" t="s">
        <v>7</v>
      </c>
      <c r="AM308" s="145"/>
      <c r="AN308" s="165"/>
      <c r="AO308" s="145"/>
      <c r="AP308" s="145"/>
      <c r="AQ308" s="145"/>
      <c r="AR308" s="166"/>
      <c r="AS308" s="167"/>
      <c r="AU308" s="144"/>
      <c r="AW308" s="145"/>
      <c r="BA308" s="2"/>
      <c r="BB308" s="2"/>
      <c r="BC308" s="101"/>
      <c r="BD308" s="101"/>
    </row>
    <row r="309" spans="2:56" s="84" customFormat="1" x14ac:dyDescent="0.35">
      <c r="B309" s="63"/>
      <c r="C309" s="25"/>
      <c r="D309" s="25"/>
      <c r="E309" s="25"/>
      <c r="F309" s="50"/>
      <c r="BA309" s="2"/>
      <c r="BB309" s="2"/>
      <c r="BC309" s="101"/>
      <c r="BD309" s="101"/>
    </row>
    <row r="310" spans="2:56" s="84" customFormat="1" x14ac:dyDescent="0.35">
      <c r="B310" s="26"/>
      <c r="C310" s="27"/>
      <c r="D310" s="28">
        <f>IF(D236="","",D236)</f>
        <v>31428</v>
      </c>
      <c r="E310" s="29" t="str">
        <f>IF(E236="","",E236)</f>
        <v/>
      </c>
      <c r="F310" s="50">
        <f>B305</f>
        <v>14</v>
      </c>
      <c r="G310" s="59"/>
      <c r="H310" s="64"/>
      <c r="I310" s="106"/>
      <c r="J310" s="105" t="s">
        <v>3</v>
      </c>
      <c r="K310" s="106"/>
      <c r="L310" s="105"/>
      <c r="M310" s="106"/>
      <c r="N310" s="105"/>
      <c r="O310" s="106"/>
      <c r="P310" s="105" t="s">
        <v>13</v>
      </c>
      <c r="Q310" s="106"/>
      <c r="R310" s="105"/>
      <c r="S310" s="59"/>
      <c r="T310" s="64"/>
      <c r="U310" s="44"/>
      <c r="W310" s="59"/>
      <c r="X310" s="64"/>
      <c r="Y310" s="106"/>
      <c r="Z310" s="105"/>
      <c r="AA310" s="106"/>
      <c r="AB310" s="105"/>
      <c r="AC310" s="106"/>
      <c r="AD310" s="105"/>
      <c r="AE310" s="106"/>
      <c r="AF310" s="105"/>
      <c r="AG310" s="106"/>
      <c r="AH310" s="105" t="s">
        <v>13</v>
      </c>
      <c r="AI310" s="59"/>
      <c r="AJ310" s="64"/>
      <c r="AK310" s="44"/>
      <c r="AM310" s="49"/>
      <c r="AN310" s="49"/>
      <c r="AO310" s="49"/>
      <c r="AP310" s="49"/>
      <c r="AQ310" s="49"/>
      <c r="AR310" s="40"/>
      <c r="AS310" s="51"/>
      <c r="AU310" s="49"/>
      <c r="AW310" s="52"/>
      <c r="BA310" s="2"/>
      <c r="BB310" s="2"/>
      <c r="BC310" s="101"/>
      <c r="BD310" s="101"/>
    </row>
    <row r="311" spans="2:56" s="84" customFormat="1" x14ac:dyDescent="0.35">
      <c r="B311" s="30" t="str">
        <f>IF(B237="","",B237)</f>
        <v>Gaulin, Francis</v>
      </c>
      <c r="C311" s="31"/>
      <c r="D311" s="32"/>
      <c r="E311" s="33">
        <f t="shared" ref="E311:E342" si="158">IF(E237="","",E237)</f>
        <v>93542</v>
      </c>
      <c r="F311" s="50">
        <f>B305</f>
        <v>14</v>
      </c>
      <c r="G311" s="95"/>
      <c r="H311" s="70"/>
      <c r="I311" s="104"/>
      <c r="J311" s="103">
        <v>0</v>
      </c>
      <c r="K311" s="104"/>
      <c r="L311" s="103">
        <v>8</v>
      </c>
      <c r="M311" s="104"/>
      <c r="N311" s="103">
        <v>8</v>
      </c>
      <c r="O311" s="104"/>
      <c r="P311" s="103">
        <v>8</v>
      </c>
      <c r="Q311" s="104"/>
      <c r="R311" s="103">
        <v>8</v>
      </c>
      <c r="S311" s="69"/>
      <c r="T311" s="70"/>
      <c r="U311" s="71">
        <f>SUM(G311:T311)</f>
        <v>32</v>
      </c>
      <c r="V311" s="72"/>
      <c r="W311" s="69"/>
      <c r="X311" s="70"/>
      <c r="Y311" s="104"/>
      <c r="Z311" s="103">
        <v>8</v>
      </c>
      <c r="AA311" s="104"/>
      <c r="AB311" s="103">
        <v>8</v>
      </c>
      <c r="AC311" s="104"/>
      <c r="AD311" s="103">
        <v>8</v>
      </c>
      <c r="AE311" s="104"/>
      <c r="AF311" s="103">
        <v>8</v>
      </c>
      <c r="AG311" s="104"/>
      <c r="AH311" s="103">
        <v>8</v>
      </c>
      <c r="AI311" s="69"/>
      <c r="AJ311" s="70"/>
      <c r="AK311" s="71">
        <f>SUM(W311:AJ311)</f>
        <v>40</v>
      </c>
      <c r="AL311" s="72"/>
      <c r="AM311" s="73">
        <f>SUMIF($G310:$T310,"",$G311:$T311)+SUMIF($W310:$AJ310,"",$W311:$AJ311)-AN311</f>
        <v>56</v>
      </c>
      <c r="AN311" s="88">
        <f>IF(SUMIF($G310:$T310,"",$G311:$T311)+SUMIF($G310:$T310,"F",$G311:$T311)+SUMIF($G310:$T310,"V",$G311:$T311)-40&lt;0,0,SUMIF($G310:$T310,"",$G311:$T311)+SUMIF($G310:$T310,"F",$G311:$T311)+SUMIF($G310:$T310,"V",$G311:$T311)-($U$9/2))+IF(SUMIF($W310:$AJ310,"",$W311:$AJ311)+SUMIF($W310:$AJ310,"F",$W311:$AJ311)+SUMIF($W310:$AJ310,"V",$W311:$AJ311)-40&lt;0,0,SUMIF($W310:$AJ310,"",$W311:$AJ311)+SUMIF($W310:$AJ310,"F",$W311:$AJ311)+SUMIF($W310:$AJ310,"V",$W311:$AJ311)-($U$9/2))</f>
        <v>0</v>
      </c>
      <c r="AO311" s="73">
        <f>SUMIF($G310:$T310,"M",$G311:$T311)+SUMIF($W310:$AJ310,"M",$W311:$AJ311)</f>
        <v>0</v>
      </c>
      <c r="AP311" s="73">
        <f>SUMIF($G310:$T310,"F",$G311:$T311)+SUMIF($W310:$AJ310,"F",$W311:$AJ311)</f>
        <v>16</v>
      </c>
      <c r="AQ311" s="73">
        <f>SUMIF($G310:$T310,"V",$G311:$T311)+SUMIF($W310:$AJ310,"V",$W311:$AJ311)</f>
        <v>0</v>
      </c>
      <c r="AR311" s="74">
        <f>SUMIF($G310:$T310,"O",$G311:$T311)+SUMIF($W310:$AJ310,"O",$W311:$AJ311)</f>
        <v>0</v>
      </c>
      <c r="AS311" s="75">
        <f>SUM(AM311:AR311)</f>
        <v>72</v>
      </c>
      <c r="AT311" s="72"/>
      <c r="AU311" s="73">
        <f>SUMIF($G310:$T310,"A",$G311:$T311)+SUMIF($W310:$AJ310,"A",$W311:$AJ311)</f>
        <v>0</v>
      </c>
      <c r="AV311" s="72"/>
      <c r="AW311" s="76">
        <f>IF(B311="",0,IF($U$9="",0,$U$9))</f>
        <v>80</v>
      </c>
      <c r="BA311" s="2"/>
      <c r="BB311" s="2"/>
      <c r="BC311" s="101"/>
      <c r="BD311" s="101"/>
    </row>
    <row r="312" spans="2:56" s="84" customFormat="1" x14ac:dyDescent="0.35">
      <c r="B312" s="26"/>
      <c r="C312" s="27"/>
      <c r="D312" s="28">
        <f>IF(D238="","",D238)</f>
        <v>24287</v>
      </c>
      <c r="E312" s="29" t="str">
        <f t="shared" si="158"/>
        <v/>
      </c>
      <c r="F312" s="50">
        <f>B305</f>
        <v>14</v>
      </c>
      <c r="G312" s="59"/>
      <c r="H312" s="64"/>
      <c r="I312" s="106"/>
      <c r="J312" s="105"/>
      <c r="K312" s="106"/>
      <c r="L312" s="105"/>
      <c r="M312" s="106"/>
      <c r="N312" s="105"/>
      <c r="O312" s="106"/>
      <c r="P312" s="105"/>
      <c r="Q312" s="106"/>
      <c r="R312" s="105"/>
      <c r="S312" s="59"/>
      <c r="T312" s="64"/>
      <c r="U312" s="44"/>
      <c r="W312" s="59"/>
      <c r="X312" s="64"/>
      <c r="Y312" s="106"/>
      <c r="Z312" s="105"/>
      <c r="AA312" s="106"/>
      <c r="AB312" s="105"/>
      <c r="AC312" s="106"/>
      <c r="AD312" s="105"/>
      <c r="AE312" s="106"/>
      <c r="AF312" s="105"/>
      <c r="AG312" s="106"/>
      <c r="AH312" s="105"/>
      <c r="AI312" s="59"/>
      <c r="AJ312" s="64"/>
      <c r="AK312" s="44"/>
      <c r="AM312" s="49"/>
      <c r="AN312" s="49"/>
      <c r="AO312" s="49"/>
      <c r="AP312" s="49"/>
      <c r="AQ312" s="49"/>
      <c r="AR312" s="40"/>
      <c r="AS312" s="51"/>
      <c r="AU312" s="49"/>
      <c r="AW312" s="52"/>
      <c r="BA312" s="2"/>
      <c r="BB312" s="2"/>
      <c r="BC312" s="101"/>
      <c r="BD312" s="101"/>
    </row>
    <row r="313" spans="2:56" s="84" customFormat="1" x14ac:dyDescent="0.35">
      <c r="B313" s="30" t="str">
        <f>IF(B239="","",B239)</f>
        <v>Barrata, Dominic(Avance $500.00)</v>
      </c>
      <c r="C313" s="31"/>
      <c r="D313" s="32"/>
      <c r="E313" s="33">
        <f t="shared" si="158"/>
        <v>93595935</v>
      </c>
      <c r="F313" s="50">
        <f>B305</f>
        <v>14</v>
      </c>
      <c r="G313" s="69"/>
      <c r="H313" s="70"/>
      <c r="I313" s="104"/>
      <c r="J313" s="103" t="s">
        <v>69</v>
      </c>
      <c r="K313" s="104"/>
      <c r="L313" s="103" t="s">
        <v>69</v>
      </c>
      <c r="M313" s="104"/>
      <c r="N313" s="103" t="s">
        <v>69</v>
      </c>
      <c r="O313" s="104"/>
      <c r="P313" s="103" t="s">
        <v>69</v>
      </c>
      <c r="Q313" s="104"/>
      <c r="R313" s="103" t="s">
        <v>69</v>
      </c>
      <c r="S313" s="69"/>
      <c r="T313" s="70"/>
      <c r="U313" s="71">
        <f t="shared" ref="U313" si="159">SUM(G313:T313)</f>
        <v>0</v>
      </c>
      <c r="V313" s="72"/>
      <c r="W313" s="69"/>
      <c r="X313" s="70"/>
      <c r="Y313" s="104"/>
      <c r="Z313" s="103" t="s">
        <v>69</v>
      </c>
      <c r="AA313" s="104"/>
      <c r="AB313" s="103" t="s">
        <v>69</v>
      </c>
      <c r="AC313" s="104"/>
      <c r="AD313" s="103" t="s">
        <v>69</v>
      </c>
      <c r="AE313" s="104"/>
      <c r="AF313" s="103" t="s">
        <v>69</v>
      </c>
      <c r="AG313" s="104"/>
      <c r="AH313" s="103" t="s">
        <v>69</v>
      </c>
      <c r="AI313" s="69"/>
      <c r="AJ313" s="70"/>
      <c r="AK313" s="71">
        <f>SUM(W313:AJ313)</f>
        <v>0</v>
      </c>
      <c r="AL313" s="72"/>
      <c r="AM313" s="73">
        <f>SUMIF($G312:$T312,"",$G313:$T313)+SUMIF($W312:$AJ312,"",$W313:$AJ313)-AN313</f>
        <v>0</v>
      </c>
      <c r="AN313" s="88">
        <f>IF(SUMIF($G312:$T312,"",$G313:$T313)+SUMIF($G312:$T312,"F",$G313:$T313)+SUMIF($G312:$T312,"V",$G313:$T313)-40&lt;0,0,SUMIF($G312:$T312,"",$G313:$T313)+SUMIF($G312:$T312,"F",$G313:$T313)+SUMIF($G312:$T312,"V",$G313:$T313)-($U$9/2))+IF(SUMIF($W312:$AJ312,"",$W313:$AJ313)+SUMIF($W312:$AJ312,"F",$W313:$AJ313)+SUMIF($W312:$AJ312,"V",$W313:$AJ313)-40&lt;0,0,SUMIF($W312:$AJ312,"",$W313:$AJ313)+SUMIF($W312:$AJ312,"F",$W313:$AJ313)+SUMIF($W312:$AJ312,"V",$W313:$AJ313)-($U$9/2))</f>
        <v>0</v>
      </c>
      <c r="AO313" s="73">
        <f>SUMIF($G312:$T312,"M",$G313:$T313)+SUMIF($W312:$AJ312,"M",$W313:$AJ313)</f>
        <v>0</v>
      </c>
      <c r="AP313" s="73">
        <f>SUMIF($G312:$T312,"F",$G313:$T313)+SUMIF($W312:$AJ312,"F",$W313:$AJ313)</f>
        <v>0</v>
      </c>
      <c r="AQ313" s="73">
        <f>SUMIF($G312:$T312,"V",$G313:$T313)+SUMIF($W312:$AJ312,"V",$W313:$AJ313)</f>
        <v>0</v>
      </c>
      <c r="AR313" s="74">
        <f>SUMIF($G312:$T312,"O",$G313:$T313)+SUMIF($W312:$AJ312,"O",$W313:$AJ313)</f>
        <v>0</v>
      </c>
      <c r="AS313" s="75">
        <f>SUM(AM313:AR313)</f>
        <v>0</v>
      </c>
      <c r="AT313" s="72"/>
      <c r="AU313" s="73">
        <f>SUMIF($G312:$T312,"A",$G313:$T313)+SUMIF($W312:$AJ312,"A",$W313:$AJ313)</f>
        <v>0</v>
      </c>
      <c r="AV313" s="72"/>
      <c r="AW313" s="76">
        <f>IF(B313="",0,IF($U$9="",0,$U$9))</f>
        <v>80</v>
      </c>
      <c r="BA313" s="2"/>
      <c r="BB313" s="2"/>
      <c r="BC313" s="101"/>
      <c r="BD313" s="101"/>
    </row>
    <row r="314" spans="2:56" s="84" customFormat="1" x14ac:dyDescent="0.35">
      <c r="B314" s="26"/>
      <c r="C314" s="27"/>
      <c r="D314" s="28">
        <f>IF(D240="","",D240)</f>
        <v>92032</v>
      </c>
      <c r="E314" s="29" t="str">
        <f t="shared" si="158"/>
        <v/>
      </c>
      <c r="F314" s="50">
        <f>B305</f>
        <v>14</v>
      </c>
      <c r="G314" s="59"/>
      <c r="H314" s="64"/>
      <c r="I314" s="106"/>
      <c r="J314" s="105"/>
      <c r="K314" s="106"/>
      <c r="L314" s="105"/>
      <c r="M314" s="106"/>
      <c r="N314" s="105"/>
      <c r="O314" s="106"/>
      <c r="P314" s="105"/>
      <c r="Q314" s="106"/>
      <c r="R314" s="105"/>
      <c r="S314" s="59"/>
      <c r="T314" s="64"/>
      <c r="U314" s="44"/>
      <c r="W314" s="59"/>
      <c r="X314" s="64"/>
      <c r="Y314" s="106"/>
      <c r="Z314" s="105"/>
      <c r="AA314" s="106"/>
      <c r="AB314" s="105"/>
      <c r="AC314" s="106"/>
      <c r="AD314" s="105"/>
      <c r="AE314" s="106"/>
      <c r="AF314" s="105"/>
      <c r="AG314" s="106"/>
      <c r="AH314" s="105"/>
      <c r="AI314" s="59"/>
      <c r="AJ314" s="64"/>
      <c r="AK314" s="44"/>
      <c r="AM314" s="49"/>
      <c r="AN314" s="49"/>
      <c r="AO314" s="49"/>
      <c r="AP314" s="49"/>
      <c r="AQ314" s="49"/>
      <c r="AR314" s="40"/>
      <c r="AS314" s="51"/>
      <c r="AU314" s="49"/>
      <c r="AW314" s="52"/>
      <c r="BA314" s="2"/>
      <c r="BB314" s="2"/>
      <c r="BC314" s="101"/>
      <c r="BD314" s="101"/>
    </row>
    <row r="315" spans="2:56" s="84" customFormat="1" x14ac:dyDescent="0.35">
      <c r="B315" s="30" t="str">
        <f>IF(B241="","",B241)</f>
        <v>Benoit, Jean-Paul(Avance $1,600.00)</v>
      </c>
      <c r="C315" s="31"/>
      <c r="D315" s="32"/>
      <c r="E315" s="33">
        <f t="shared" si="158"/>
        <v>93595935</v>
      </c>
      <c r="F315" s="50">
        <f>B305</f>
        <v>14</v>
      </c>
      <c r="G315" s="69"/>
      <c r="H315" s="70"/>
      <c r="I315" s="104"/>
      <c r="J315" s="103" t="s">
        <v>69</v>
      </c>
      <c r="K315" s="104"/>
      <c r="L315" s="103" t="s">
        <v>69</v>
      </c>
      <c r="M315" s="104"/>
      <c r="N315" s="103" t="s">
        <v>69</v>
      </c>
      <c r="O315" s="104"/>
      <c r="P315" s="103" t="s">
        <v>69</v>
      </c>
      <c r="Q315" s="104"/>
      <c r="R315" s="103" t="s">
        <v>69</v>
      </c>
      <c r="S315" s="69"/>
      <c r="T315" s="70"/>
      <c r="U315" s="71">
        <f t="shared" ref="U315" si="160">SUM(G315:T315)</f>
        <v>0</v>
      </c>
      <c r="V315" s="72"/>
      <c r="W315" s="69"/>
      <c r="X315" s="70"/>
      <c r="Y315" s="104"/>
      <c r="Z315" s="103" t="s">
        <v>69</v>
      </c>
      <c r="AA315" s="104"/>
      <c r="AB315" s="103" t="s">
        <v>69</v>
      </c>
      <c r="AC315" s="104"/>
      <c r="AD315" s="103" t="s">
        <v>69</v>
      </c>
      <c r="AE315" s="104"/>
      <c r="AF315" s="103" t="s">
        <v>69</v>
      </c>
      <c r="AG315" s="104"/>
      <c r="AH315" s="103" t="s">
        <v>69</v>
      </c>
      <c r="AI315" s="69"/>
      <c r="AJ315" s="70"/>
      <c r="AK315" s="71">
        <f>SUM(W315:AJ315)</f>
        <v>0</v>
      </c>
      <c r="AL315" s="72"/>
      <c r="AM315" s="73">
        <f>SUMIF($G314:$T314,"",$G315:$T315)+SUMIF($W314:$AJ314,"",$W315:$AJ315)-AN315</f>
        <v>0</v>
      </c>
      <c r="AN315" s="88">
        <f>IF(SUMIF($G314:$T314,"",$G315:$T315)+SUMIF($G314:$T314,"F",$G315:$T315)+SUMIF($G314:$T314,"V",$G315:$T315)-40&lt;0,0,SUMIF($G314:$T314,"",$G315:$T315)+SUMIF($G314:$T314,"F",$G315:$T315)+SUMIF($G314:$T314,"V",$G315:$T315)-($U$9/2))+IF(SUMIF($W314:$AJ314,"",$W315:$AJ315)+SUMIF($W314:$AJ314,"F",$W315:$AJ315)+SUMIF($W314:$AJ314,"V",$W315:$AJ315)-40&lt;0,0,SUMIF($W314:$AJ314,"",$W315:$AJ315)+SUMIF($W314:$AJ314,"F",$W315:$AJ315)+SUMIF($W314:$AJ314,"V",$W315:$AJ315)-($U$9/2))</f>
        <v>0</v>
      </c>
      <c r="AO315" s="73">
        <f>SUMIF($G314:$T314,"M",$G315:$T315)+SUMIF($W314:$AJ314,"M",$W315:$AJ315)</f>
        <v>0</v>
      </c>
      <c r="AP315" s="73">
        <f>SUMIF($G314:$T314,"F",$G315:$T315)+SUMIF($W314:$AJ314,"F",$W315:$AJ315)</f>
        <v>0</v>
      </c>
      <c r="AQ315" s="73">
        <f>SUMIF($G314:$T314,"V",$G315:$T315)+SUMIF($W314:$AJ314,"V",$W315:$AJ315)</f>
        <v>0</v>
      </c>
      <c r="AR315" s="74">
        <f>SUMIF($G314:$T314,"O",$G315:$T315)+SUMIF($W314:$AJ314,"O",$W315:$AJ315)</f>
        <v>0</v>
      </c>
      <c r="AS315" s="75">
        <f>SUM(AM315:AR315)</f>
        <v>0</v>
      </c>
      <c r="AT315" s="72"/>
      <c r="AU315" s="73">
        <f>SUMIF($G314:$T314,"A",$G315:$T315)+SUMIF($W314:$AJ314,"A",$W315:$AJ315)</f>
        <v>0</v>
      </c>
      <c r="AV315" s="72"/>
      <c r="AW315" s="76">
        <f>IF(B315="",0,IF($U$9="",0,$U$9))</f>
        <v>80</v>
      </c>
      <c r="BA315" s="2"/>
      <c r="BB315" s="2"/>
      <c r="BC315" s="101"/>
      <c r="BD315" s="101"/>
    </row>
    <row r="316" spans="2:56" s="84" customFormat="1" x14ac:dyDescent="0.35">
      <c r="B316" s="26"/>
      <c r="C316" s="27"/>
      <c r="D316" s="28">
        <f>IF(D242="","",D242)</f>
        <v>81077</v>
      </c>
      <c r="E316" s="29" t="str">
        <f t="shared" si="158"/>
        <v/>
      </c>
      <c r="F316" s="50">
        <f>B305</f>
        <v>14</v>
      </c>
      <c r="G316" s="93"/>
      <c r="H316" s="94"/>
      <c r="I316" s="106"/>
      <c r="J316" s="105"/>
      <c r="K316" s="106"/>
      <c r="L316" s="105"/>
      <c r="M316" s="106"/>
      <c r="N316" s="105"/>
      <c r="O316" s="106"/>
      <c r="P316" s="105" t="s">
        <v>13</v>
      </c>
      <c r="Q316" s="106"/>
      <c r="R316" s="105"/>
      <c r="S316" s="59"/>
      <c r="T316" s="64"/>
      <c r="U316" s="44"/>
      <c r="W316" s="59"/>
      <c r="X316" s="64"/>
      <c r="Y316" s="106"/>
      <c r="Z316" s="105"/>
      <c r="AA316" s="106"/>
      <c r="AB316" s="105"/>
      <c r="AC316" s="106"/>
      <c r="AD316" s="105"/>
      <c r="AE316" s="106"/>
      <c r="AF316" s="105"/>
      <c r="AG316" s="106"/>
      <c r="AH316" s="105" t="s">
        <v>13</v>
      </c>
      <c r="AI316" s="59"/>
      <c r="AJ316" s="64"/>
      <c r="AK316" s="44"/>
      <c r="AM316" s="49"/>
      <c r="AN316" s="49"/>
      <c r="AO316" s="49"/>
      <c r="AP316" s="49"/>
      <c r="AQ316" s="49"/>
      <c r="AR316" s="40"/>
      <c r="AS316" s="51"/>
      <c r="AU316" s="49"/>
      <c r="AW316" s="52"/>
      <c r="BA316" s="2"/>
      <c r="BB316" s="2"/>
      <c r="BC316" s="101"/>
      <c r="BD316" s="101"/>
    </row>
    <row r="317" spans="2:56" s="84" customFormat="1" x14ac:dyDescent="0.35">
      <c r="B317" s="30" t="str">
        <f>IF(B243="","",B243)</f>
        <v>Bourassa, Julie</v>
      </c>
      <c r="C317" s="31"/>
      <c r="D317" s="32"/>
      <c r="E317" s="33">
        <f t="shared" si="158"/>
        <v>93540</v>
      </c>
      <c r="F317" s="50">
        <f>B305</f>
        <v>14</v>
      </c>
      <c r="G317" s="93"/>
      <c r="H317" s="94"/>
      <c r="I317" s="104"/>
      <c r="J317" s="103">
        <v>8</v>
      </c>
      <c r="K317" s="104"/>
      <c r="L317" s="103">
        <v>8.5</v>
      </c>
      <c r="M317" s="104"/>
      <c r="N317" s="103">
        <v>8</v>
      </c>
      <c r="O317" s="104"/>
      <c r="P317" s="103">
        <v>8</v>
      </c>
      <c r="Q317" s="104"/>
      <c r="R317" s="103">
        <v>7.5</v>
      </c>
      <c r="S317" s="69"/>
      <c r="T317" s="70"/>
      <c r="U317" s="71">
        <f t="shared" ref="U317" si="161">SUM(G317:T317)</f>
        <v>40</v>
      </c>
      <c r="V317" s="72"/>
      <c r="W317" s="69"/>
      <c r="X317" s="70"/>
      <c r="Y317" s="104"/>
      <c r="Z317" s="103">
        <v>8</v>
      </c>
      <c r="AA317" s="104"/>
      <c r="AB317" s="103">
        <v>8.5</v>
      </c>
      <c r="AC317" s="104"/>
      <c r="AD317" s="103">
        <v>8</v>
      </c>
      <c r="AE317" s="104"/>
      <c r="AF317" s="103">
        <v>8.5</v>
      </c>
      <c r="AG317" s="104"/>
      <c r="AH317" s="103">
        <v>8</v>
      </c>
      <c r="AI317" s="69"/>
      <c r="AJ317" s="70"/>
      <c r="AK317" s="71">
        <f>SUM(W317:AJ317)</f>
        <v>41</v>
      </c>
      <c r="AL317" s="72"/>
      <c r="AM317" s="73">
        <f>SUMIF($G316:$T316,"",$G317:$T317)+SUMIF($W316:$AJ316,"",$W317:$AJ317)-AN317</f>
        <v>64</v>
      </c>
      <c r="AN317" s="88">
        <f>IF(SUMIF($G316:$T316,"",$G317:$T317)+SUMIF($G316:$T316,"F",$G317:$T317)+SUMIF($G316:$T316,"V",$G317:$T317)-40&lt;0,0,SUMIF($G316:$T316,"",$G317:$T317)+SUMIF($G316:$T316,"F",$G317:$T317)+SUMIF($G316:$T316,"V",$G317:$T317)-($U$9/2))+IF(SUMIF($W316:$AJ316,"",$W317:$AJ317)+SUMIF($W316:$AJ316,"F",$W317:$AJ317)+SUMIF($W316:$AJ316,"V",$W317:$AJ317)-40&lt;0,0,SUMIF($W316:$AJ316,"",$W317:$AJ317)+SUMIF($W316:$AJ316,"F",$W317:$AJ317)+SUMIF($W316:$AJ316,"V",$W317:$AJ317)-($U$9/2))</f>
        <v>1</v>
      </c>
      <c r="AO317" s="73">
        <f>SUMIF($G316:$T316,"M",$G317:$T317)+SUMIF($W316:$AJ316,"M",$W317:$AJ317)</f>
        <v>0</v>
      </c>
      <c r="AP317" s="73">
        <f>SUMIF($G316:$T316,"F",$G317:$T317)+SUMIF($W316:$AJ316,"F",$W317:$AJ317)</f>
        <v>16</v>
      </c>
      <c r="AQ317" s="73">
        <f>SUMIF($G316:$T316,"V",$G317:$T317)+SUMIF($W316:$AJ316,"V",$W317:$AJ317)</f>
        <v>0</v>
      </c>
      <c r="AR317" s="74">
        <f>SUMIF($G316:$T316,"O",$G317:$T317)+SUMIF($W316:$AJ316,"O",$W317:$AJ317)</f>
        <v>0</v>
      </c>
      <c r="AS317" s="75">
        <f>SUM(AM317:AR317)</f>
        <v>81</v>
      </c>
      <c r="AT317" s="72"/>
      <c r="AU317" s="73">
        <f>SUMIF($G316:$T316,"A",$G317:$T317)+SUMIF($W316:$AJ316,"A",$W317:$AJ317)</f>
        <v>0</v>
      </c>
      <c r="AV317" s="72"/>
      <c r="AW317" s="76">
        <f>IF(B317="",0,IF($U$9="",0,$U$9))</f>
        <v>80</v>
      </c>
      <c r="BA317" s="2"/>
      <c r="BB317" s="2"/>
      <c r="BC317" s="101"/>
      <c r="BD317" s="101"/>
    </row>
    <row r="318" spans="2:56" s="84" customFormat="1" x14ac:dyDescent="0.35">
      <c r="B318" s="26"/>
      <c r="C318" s="27"/>
      <c r="D318" s="28">
        <f>IF(D244="","",D244)</f>
        <v>78475</v>
      </c>
      <c r="E318" s="29" t="str">
        <f t="shared" si="158"/>
        <v/>
      </c>
      <c r="F318" s="50">
        <f>B305</f>
        <v>14</v>
      </c>
      <c r="G318" s="59"/>
      <c r="H318" s="64"/>
      <c r="I318" s="106"/>
      <c r="J318" s="105"/>
      <c r="K318" s="106"/>
      <c r="L318" s="105"/>
      <c r="M318" s="106"/>
      <c r="N318" s="105"/>
      <c r="O318" s="106"/>
      <c r="P318" s="105" t="s">
        <v>13</v>
      </c>
      <c r="Q318" s="106"/>
      <c r="R318" s="105"/>
      <c r="S318" s="59"/>
      <c r="T318" s="64"/>
      <c r="U318" s="44"/>
      <c r="W318" s="59"/>
      <c r="X318" s="64"/>
      <c r="Y318" s="106"/>
      <c r="Z318" s="105"/>
      <c r="AA318" s="106"/>
      <c r="AB318" s="105"/>
      <c r="AC318" s="106"/>
      <c r="AD318" s="105"/>
      <c r="AE318" s="106"/>
      <c r="AF318" s="105"/>
      <c r="AG318" s="106"/>
      <c r="AH318" s="105"/>
      <c r="AI318" s="59"/>
      <c r="AJ318" s="64"/>
      <c r="AK318" s="44"/>
      <c r="AM318" s="49"/>
      <c r="AN318" s="49"/>
      <c r="AO318" s="49"/>
      <c r="AP318" s="49"/>
      <c r="AQ318" s="49"/>
      <c r="AR318" s="40"/>
      <c r="AS318" s="51"/>
      <c r="AU318" s="49"/>
      <c r="AW318" s="52"/>
      <c r="BA318" s="2"/>
      <c r="BB318" s="2"/>
      <c r="BC318" s="101"/>
      <c r="BD318" s="101"/>
    </row>
    <row r="319" spans="2:56" s="84" customFormat="1" x14ac:dyDescent="0.35">
      <c r="B319" s="30" t="str">
        <f>IF(B245="","",B245)</f>
        <v>Charbonneau, Samuel</v>
      </c>
      <c r="C319" s="31"/>
      <c r="D319" s="32"/>
      <c r="E319" s="33">
        <f t="shared" si="158"/>
        <v>93540</v>
      </c>
      <c r="F319" s="50">
        <f>B305</f>
        <v>14</v>
      </c>
      <c r="G319" s="69"/>
      <c r="H319" s="70"/>
      <c r="I319" s="104"/>
      <c r="J319" s="103">
        <v>8.5</v>
      </c>
      <c r="K319" s="104"/>
      <c r="L319" s="103">
        <v>8</v>
      </c>
      <c r="M319" s="104"/>
      <c r="N319" s="103">
        <v>8.5</v>
      </c>
      <c r="O319" s="104"/>
      <c r="P319" s="103">
        <v>8</v>
      </c>
      <c r="Q319" s="104"/>
      <c r="R319" s="103">
        <v>8</v>
      </c>
      <c r="S319" s="69"/>
      <c r="T319" s="70"/>
      <c r="U319" s="71">
        <f t="shared" ref="U319" si="162">SUM(G319:T319)</f>
        <v>41</v>
      </c>
      <c r="V319" s="72"/>
      <c r="W319" s="69"/>
      <c r="X319" s="70"/>
      <c r="Y319" s="104"/>
      <c r="Z319" s="103">
        <v>8.5</v>
      </c>
      <c r="AA319" s="104"/>
      <c r="AB319" s="103">
        <v>8</v>
      </c>
      <c r="AC319" s="104"/>
      <c r="AD319" s="103">
        <v>8.5</v>
      </c>
      <c r="AE319" s="104"/>
      <c r="AF319" s="103">
        <v>8</v>
      </c>
      <c r="AG319" s="104"/>
      <c r="AH319" s="103">
        <v>8</v>
      </c>
      <c r="AI319" s="69"/>
      <c r="AJ319" s="70"/>
      <c r="AK319" s="71">
        <f>SUM(W319:AJ319)</f>
        <v>41</v>
      </c>
      <c r="AL319" s="72"/>
      <c r="AM319" s="73">
        <f>SUMIF($G318:$T318,"",$G319:$T319)+SUMIF($W318:$AJ318,"",$W319:$AJ319)-AN319</f>
        <v>72</v>
      </c>
      <c r="AN319" s="88">
        <f>IF(SUMIF($G318:$T318,"",$G319:$T319)+SUMIF($G318:$T318,"F",$G319:$T319)+SUMIF($G318:$T318,"V",$G319:$T319)-40&lt;0,0,SUMIF($G318:$T318,"",$G319:$T319)+SUMIF($G318:$T318,"F",$G319:$T319)+SUMIF($G318:$T318,"V",$G319:$T319)-($U$9/2))+IF(SUMIF($W318:$AJ318,"",$W319:$AJ319)+SUMIF($W318:$AJ318,"F",$W319:$AJ319)+SUMIF($W318:$AJ318,"V",$W319:$AJ319)-40&lt;0,0,SUMIF($W318:$AJ318,"",$W319:$AJ319)+SUMIF($W318:$AJ318,"F",$W319:$AJ319)+SUMIF($W318:$AJ318,"V",$W319:$AJ319)-($U$9/2))</f>
        <v>2</v>
      </c>
      <c r="AO319" s="73">
        <f>SUMIF($G318:$T318,"M",$G319:$T319)+SUMIF($W318:$AJ318,"M",$W319:$AJ319)</f>
        <v>0</v>
      </c>
      <c r="AP319" s="73">
        <f>SUMIF($G318:$T318,"F",$G319:$T319)+SUMIF($W318:$AJ318,"F",$W319:$AJ319)</f>
        <v>8</v>
      </c>
      <c r="AQ319" s="73">
        <f>SUMIF($G318:$T318,"V",$G319:$T319)+SUMIF($W318:$AJ318,"V",$W319:$AJ319)</f>
        <v>0</v>
      </c>
      <c r="AR319" s="74">
        <f>SUMIF($G318:$T318,"O",$G319:$T319)+SUMIF($W318:$AJ318,"O",$W319:$AJ319)</f>
        <v>0</v>
      </c>
      <c r="AS319" s="75">
        <f>SUM(AM319:AR319)</f>
        <v>82</v>
      </c>
      <c r="AT319" s="72"/>
      <c r="AU319" s="73">
        <f>SUMIF($G318:$T318,"A",$G319:$T319)+SUMIF($W318:$AJ318,"A",$W319:$AJ319)</f>
        <v>0</v>
      </c>
      <c r="AV319" s="72"/>
      <c r="AW319" s="76">
        <f>IF(B319="",0,IF($U$9="",0,$U$9))</f>
        <v>80</v>
      </c>
      <c r="BA319" s="2"/>
      <c r="BB319" s="2"/>
      <c r="BC319" s="101"/>
      <c r="BD319" s="101"/>
    </row>
    <row r="320" spans="2:56" s="84" customFormat="1" x14ac:dyDescent="0.35">
      <c r="B320" s="26"/>
      <c r="C320" s="27"/>
      <c r="D320" s="28">
        <f>IF(D246="","",D246)</f>
        <v>24238</v>
      </c>
      <c r="E320" s="29" t="str">
        <f t="shared" si="158"/>
        <v/>
      </c>
      <c r="F320" s="50">
        <f>B305</f>
        <v>14</v>
      </c>
      <c r="G320" s="59"/>
      <c r="H320" s="64"/>
      <c r="I320" s="106"/>
      <c r="J320" s="105"/>
      <c r="K320" s="106"/>
      <c r="L320" s="105"/>
      <c r="M320" s="106"/>
      <c r="N320" s="105"/>
      <c r="O320" s="106"/>
      <c r="P320" s="105" t="s">
        <v>13</v>
      </c>
      <c r="Q320" s="106"/>
      <c r="R320" s="105"/>
      <c r="S320" s="59"/>
      <c r="T320" s="64"/>
      <c r="U320" s="44"/>
      <c r="W320" s="59"/>
      <c r="X320" s="64"/>
      <c r="Y320" s="106"/>
      <c r="Z320" s="105"/>
      <c r="AA320" s="106"/>
      <c r="AB320" s="105"/>
      <c r="AC320" s="106"/>
      <c r="AD320" s="105"/>
      <c r="AE320" s="106"/>
      <c r="AF320" s="105"/>
      <c r="AG320" s="106"/>
      <c r="AH320" s="105" t="s">
        <v>13</v>
      </c>
      <c r="AI320" s="59"/>
      <c r="AJ320" s="64"/>
      <c r="AK320" s="44"/>
      <c r="AM320" s="49"/>
      <c r="AN320" s="49"/>
      <c r="AO320" s="49"/>
      <c r="AP320" s="49"/>
      <c r="AQ320" s="49"/>
      <c r="AR320" s="40"/>
      <c r="AS320" s="51"/>
      <c r="AU320" s="49"/>
      <c r="AW320" s="52"/>
      <c r="BA320" s="2"/>
      <c r="BB320" s="2"/>
      <c r="BC320" s="101"/>
      <c r="BD320" s="101"/>
    </row>
    <row r="321" spans="2:56" s="84" customFormat="1" x14ac:dyDescent="0.35">
      <c r="B321" s="30" t="str">
        <f>IF(B247="","",B247)</f>
        <v>Curtis, Jason</v>
      </c>
      <c r="C321" s="31"/>
      <c r="D321" s="32"/>
      <c r="E321" s="33">
        <f t="shared" si="158"/>
        <v>93595935</v>
      </c>
      <c r="F321" s="50">
        <f>B305</f>
        <v>14</v>
      </c>
      <c r="G321" s="69"/>
      <c r="H321" s="70"/>
      <c r="I321" s="104"/>
      <c r="J321" s="103">
        <v>8</v>
      </c>
      <c r="K321" s="104"/>
      <c r="L321" s="103">
        <v>8</v>
      </c>
      <c r="M321" s="104"/>
      <c r="N321" s="103">
        <v>8</v>
      </c>
      <c r="O321" s="104"/>
      <c r="P321" s="103">
        <v>8</v>
      </c>
      <c r="Q321" s="104"/>
      <c r="R321" s="103">
        <v>8</v>
      </c>
      <c r="S321" s="69"/>
      <c r="T321" s="70"/>
      <c r="U321" s="71">
        <f t="shared" ref="U321" si="163">SUM(G321:T321)</f>
        <v>40</v>
      </c>
      <c r="V321" s="72"/>
      <c r="W321" s="69"/>
      <c r="X321" s="70"/>
      <c r="Y321" s="104"/>
      <c r="Z321" s="103">
        <v>8</v>
      </c>
      <c r="AA321" s="104"/>
      <c r="AB321" s="103">
        <v>8</v>
      </c>
      <c r="AC321" s="104"/>
      <c r="AD321" s="103">
        <v>8</v>
      </c>
      <c r="AE321" s="104"/>
      <c r="AF321" s="103">
        <v>8</v>
      </c>
      <c r="AG321" s="104"/>
      <c r="AH321" s="103">
        <v>8</v>
      </c>
      <c r="AI321" s="69"/>
      <c r="AJ321" s="70"/>
      <c r="AK321" s="71">
        <f>SUM(W321:AJ321)</f>
        <v>40</v>
      </c>
      <c r="AL321" s="72"/>
      <c r="AM321" s="73">
        <f>SUMIF($G320:$T320,"",$G321:$T321)+SUMIF($W320:$AJ320,"",$W321:$AJ321)-AN321</f>
        <v>64</v>
      </c>
      <c r="AN321" s="88">
        <f>IF(SUMIF($G320:$T320,"",$G321:$T321)+SUMIF($G320:$T320,"F",$G321:$T321)+SUMIF($G320:$T320,"V",$G321:$T321)-40&lt;0,0,SUMIF($G320:$T320,"",$G321:$T321)+SUMIF($G320:$T320,"F",$G321:$T321)+SUMIF($G320:$T320,"V",$G321:$T321)-($U$9/2))+IF(SUMIF($W320:$AJ320,"",$W321:$AJ321)+SUMIF($W320:$AJ320,"F",$W321:$AJ321)+SUMIF($W320:$AJ320,"V",$W321:$AJ321)-40&lt;0,0,SUMIF($W320:$AJ320,"",$W321:$AJ321)+SUMIF($W320:$AJ320,"F",$W321:$AJ321)+SUMIF($W320:$AJ320,"V",$W321:$AJ321)-($U$9/2))</f>
        <v>0</v>
      </c>
      <c r="AO321" s="73">
        <f>SUMIF($G320:$T320,"M",$G321:$T321)+SUMIF($W320:$AJ320,"M",$W321:$AJ321)</f>
        <v>0</v>
      </c>
      <c r="AP321" s="73">
        <f>SUMIF($G320:$T320,"F",$G321:$T321)+SUMIF($W320:$AJ320,"F",$W321:$AJ321)</f>
        <v>16</v>
      </c>
      <c r="AQ321" s="73">
        <f>SUMIF($G320:$T320,"V",$G321:$T321)+SUMIF($W320:$AJ320,"V",$W321:$AJ321)</f>
        <v>0</v>
      </c>
      <c r="AR321" s="74">
        <f>SUMIF($G320:$T320,"O",$G321:$T321)+SUMIF($W320:$AJ320,"O",$W321:$AJ321)</f>
        <v>0</v>
      </c>
      <c r="AS321" s="75">
        <f>SUM(AM321:AR321)</f>
        <v>80</v>
      </c>
      <c r="AT321" s="72"/>
      <c r="AU321" s="73">
        <f>SUMIF($G320:$T320,"A",$G321:$T321)+SUMIF($W320:$AJ320,"A",$W321:$AJ321)</f>
        <v>0</v>
      </c>
      <c r="AV321" s="72"/>
      <c r="AW321" s="76">
        <f>IF(B321="",0,IF($U$9="",0,$U$9))</f>
        <v>80</v>
      </c>
      <c r="BA321" s="2"/>
      <c r="BB321" s="2"/>
      <c r="BC321" s="101"/>
      <c r="BD321" s="101"/>
    </row>
    <row r="322" spans="2:56" s="84" customFormat="1" x14ac:dyDescent="0.35">
      <c r="B322" s="26"/>
      <c r="C322" s="27"/>
      <c r="D322" s="28">
        <f>IF(D248="","",D248)</f>
        <v>79709</v>
      </c>
      <c r="E322" s="29" t="str">
        <f t="shared" si="158"/>
        <v/>
      </c>
      <c r="F322" s="50">
        <f>B305</f>
        <v>14</v>
      </c>
      <c r="G322" s="59"/>
      <c r="H322" s="64"/>
      <c r="I322" s="106"/>
      <c r="J322" s="105"/>
      <c r="K322" s="106"/>
      <c r="L322" s="105"/>
      <c r="M322" s="106"/>
      <c r="N322" s="105"/>
      <c r="O322" s="106"/>
      <c r="P322" s="105" t="s">
        <v>13</v>
      </c>
      <c r="Q322" s="106"/>
      <c r="R322" s="105"/>
      <c r="S322" s="59"/>
      <c r="T322" s="64"/>
      <c r="U322" s="44"/>
      <c r="W322" s="59"/>
      <c r="X322" s="64"/>
      <c r="Y322" s="106"/>
      <c r="Z322" s="105"/>
      <c r="AA322" s="106"/>
      <c r="AB322" s="105"/>
      <c r="AC322" s="106"/>
      <c r="AD322" s="105"/>
      <c r="AE322" s="106"/>
      <c r="AF322" s="105"/>
      <c r="AG322" s="106"/>
      <c r="AH322" s="105" t="s">
        <v>13</v>
      </c>
      <c r="AI322" s="59"/>
      <c r="AJ322" s="64"/>
      <c r="AK322" s="44"/>
      <c r="AM322" s="49"/>
      <c r="AN322" s="49"/>
      <c r="AO322" s="49"/>
      <c r="AP322" s="49"/>
      <c r="AQ322" s="49"/>
      <c r="AR322" s="40"/>
      <c r="AS322" s="51"/>
      <c r="AU322" s="49"/>
      <c r="AW322" s="52"/>
      <c r="BA322" s="2"/>
      <c r="BB322" s="2"/>
      <c r="BC322" s="101"/>
      <c r="BD322" s="101"/>
    </row>
    <row r="323" spans="2:56" s="84" customFormat="1" x14ac:dyDescent="0.35">
      <c r="B323" s="30" t="str">
        <f>IF(B249="","",B249)</f>
        <v>De Rose, Natale</v>
      </c>
      <c r="C323" s="31"/>
      <c r="D323" s="32"/>
      <c r="E323" s="33">
        <f t="shared" si="158"/>
        <v>93595935</v>
      </c>
      <c r="F323" s="50">
        <f>B305</f>
        <v>14</v>
      </c>
      <c r="G323" s="69"/>
      <c r="H323" s="70"/>
      <c r="I323" s="104"/>
      <c r="J323" s="103">
        <v>8</v>
      </c>
      <c r="K323" s="104"/>
      <c r="L323" s="103">
        <v>8</v>
      </c>
      <c r="M323" s="104"/>
      <c r="N323" s="103">
        <v>8</v>
      </c>
      <c r="O323" s="104"/>
      <c r="P323" s="103">
        <v>8</v>
      </c>
      <c r="Q323" s="104"/>
      <c r="R323" s="103">
        <v>8</v>
      </c>
      <c r="S323" s="69"/>
      <c r="T323" s="70"/>
      <c r="U323" s="71">
        <f t="shared" ref="U323" si="164">SUM(G323:T323)</f>
        <v>40</v>
      </c>
      <c r="V323" s="72"/>
      <c r="W323" s="69"/>
      <c r="X323" s="70"/>
      <c r="Y323" s="104"/>
      <c r="Z323" s="103">
        <v>8</v>
      </c>
      <c r="AA323" s="104"/>
      <c r="AB323" s="103">
        <v>8</v>
      </c>
      <c r="AC323" s="104"/>
      <c r="AD323" s="103">
        <v>8</v>
      </c>
      <c r="AE323" s="104"/>
      <c r="AF323" s="103">
        <v>8</v>
      </c>
      <c r="AG323" s="104"/>
      <c r="AH323" s="103">
        <v>8</v>
      </c>
      <c r="AI323" s="69"/>
      <c r="AJ323" s="70"/>
      <c r="AK323" s="71">
        <f>SUM(W323:AJ323)</f>
        <v>40</v>
      </c>
      <c r="AL323" s="72"/>
      <c r="AM323" s="73">
        <f>SUMIF($G322:$T322,"",$G323:$T323)+SUMIF($W322:$AJ322,"",$W323:$AJ323)-AN323</f>
        <v>64</v>
      </c>
      <c r="AN323" s="88">
        <f>IF(SUMIF($G322:$T322,"",$G323:$T323)+SUMIF($G322:$T322,"F",$G323:$T323)+SUMIF($G322:$T322,"V",$G323:$T323)-40&lt;0,0,SUMIF($G322:$T322,"",$G323:$T323)+SUMIF($G322:$T322,"F",$G323:$T323)+SUMIF($G322:$T322,"V",$G323:$T323)-($U$9/2))+IF(SUMIF($W322:$AJ322,"",$W323:$AJ323)+SUMIF($W322:$AJ322,"F",$W323:$AJ323)+SUMIF($W322:$AJ322,"V",$W323:$AJ323)-40&lt;0,0,SUMIF($W322:$AJ322,"",$W323:$AJ323)+SUMIF($W322:$AJ322,"F",$W323:$AJ323)+SUMIF($W322:$AJ322,"V",$W323:$AJ323)-($U$9/2))</f>
        <v>0</v>
      </c>
      <c r="AO323" s="73">
        <f>SUMIF($G322:$T322,"M",$G323:$T323)+SUMIF($W322:$AJ322,"M",$W323:$AJ323)</f>
        <v>0</v>
      </c>
      <c r="AP323" s="73">
        <f>SUMIF($G322:$T322,"F",$G323:$T323)+SUMIF($W322:$AJ322,"F",$W323:$AJ323)</f>
        <v>16</v>
      </c>
      <c r="AQ323" s="73">
        <f>SUMIF($G322:$T322,"V",$G323:$T323)+SUMIF($W322:$AJ322,"V",$W323:$AJ323)</f>
        <v>0</v>
      </c>
      <c r="AR323" s="74">
        <f>SUMIF($G322:$T322,"O",$G323:$T323)+SUMIF($W322:$AJ322,"O",$W323:$AJ323)</f>
        <v>0</v>
      </c>
      <c r="AS323" s="75">
        <f>SUM(AM323:AR323)</f>
        <v>80</v>
      </c>
      <c r="AT323" s="72"/>
      <c r="AU323" s="73">
        <f>SUMIF($G322:$T322,"A",$G323:$T323)+SUMIF($W322:$AJ322,"A",$W323:$AJ323)</f>
        <v>0</v>
      </c>
      <c r="AV323" s="72"/>
      <c r="AW323" s="76">
        <f>IF(B323="",0,IF($U$9="",0,$U$9))</f>
        <v>80</v>
      </c>
      <c r="BA323" s="2"/>
      <c r="BB323" s="2"/>
      <c r="BC323" s="101"/>
      <c r="BD323" s="101"/>
    </row>
    <row r="324" spans="2:56" s="84" customFormat="1" x14ac:dyDescent="0.35">
      <c r="B324" s="26"/>
      <c r="C324" s="27"/>
      <c r="D324" s="28">
        <f>IF(D250="","",D250)</f>
        <v>92027</v>
      </c>
      <c r="E324" s="29" t="str">
        <f t="shared" si="158"/>
        <v/>
      </c>
      <c r="F324" s="50">
        <f>B305</f>
        <v>14</v>
      </c>
      <c r="G324" s="59"/>
      <c r="H324" s="64"/>
      <c r="I324" s="106"/>
      <c r="J324" s="105"/>
      <c r="K324" s="106"/>
      <c r="L324" s="105"/>
      <c r="M324" s="106"/>
      <c r="N324" s="105"/>
      <c r="O324" s="106"/>
      <c r="P324" s="105" t="s">
        <v>13</v>
      </c>
      <c r="Q324" s="106"/>
      <c r="R324" s="105"/>
      <c r="S324" s="59"/>
      <c r="T324" s="64"/>
      <c r="U324" s="44"/>
      <c r="W324" s="59"/>
      <c r="X324" s="64"/>
      <c r="Y324" s="106"/>
      <c r="Z324" s="105"/>
      <c r="AA324" s="106"/>
      <c r="AB324" s="105"/>
      <c r="AC324" s="106"/>
      <c r="AD324" s="105"/>
      <c r="AE324" s="106"/>
      <c r="AF324" s="105"/>
      <c r="AG324" s="106"/>
      <c r="AH324" s="105" t="s">
        <v>13</v>
      </c>
      <c r="AI324" s="59"/>
      <c r="AJ324" s="64"/>
      <c r="AK324" s="44"/>
      <c r="AM324" s="49"/>
      <c r="AN324" s="49"/>
      <c r="AO324" s="49"/>
      <c r="AP324" s="49"/>
      <c r="AQ324" s="49"/>
      <c r="AR324" s="40"/>
      <c r="AS324" s="51"/>
      <c r="AU324" s="49"/>
      <c r="AW324" s="52"/>
      <c r="BA324" s="2"/>
      <c r="BB324" s="2"/>
      <c r="BC324" s="101"/>
      <c r="BD324" s="101"/>
    </row>
    <row r="325" spans="2:56" s="84" customFormat="1" x14ac:dyDescent="0.35">
      <c r="B325" s="30" t="str">
        <f>IF(B251="","",B251)</f>
        <v>Descoteaux, Gerald</v>
      </c>
      <c r="C325" s="31"/>
      <c r="D325" s="32"/>
      <c r="E325" s="33">
        <f t="shared" si="158"/>
        <v>93595935</v>
      </c>
      <c r="F325" s="50">
        <f>B305</f>
        <v>14</v>
      </c>
      <c r="G325" s="69"/>
      <c r="H325" s="70"/>
      <c r="I325" s="104"/>
      <c r="J325" s="103">
        <v>8</v>
      </c>
      <c r="K325" s="104"/>
      <c r="L325" s="103">
        <v>8</v>
      </c>
      <c r="M325" s="104"/>
      <c r="N325" s="103">
        <v>8</v>
      </c>
      <c r="O325" s="104"/>
      <c r="P325" s="103">
        <v>8</v>
      </c>
      <c r="Q325" s="104"/>
      <c r="R325" s="103">
        <v>8</v>
      </c>
      <c r="S325" s="69"/>
      <c r="T325" s="70"/>
      <c r="U325" s="71">
        <f t="shared" ref="U325" si="165">SUM(G325:T325)</f>
        <v>40</v>
      </c>
      <c r="V325" s="72"/>
      <c r="W325" s="69"/>
      <c r="X325" s="70"/>
      <c r="Y325" s="104"/>
      <c r="Z325" s="103">
        <v>8</v>
      </c>
      <c r="AA325" s="104"/>
      <c r="AB325" s="103">
        <v>8</v>
      </c>
      <c r="AC325" s="104"/>
      <c r="AD325" s="103">
        <v>8</v>
      </c>
      <c r="AE325" s="104"/>
      <c r="AF325" s="103">
        <v>8</v>
      </c>
      <c r="AG325" s="104"/>
      <c r="AH325" s="103">
        <v>8</v>
      </c>
      <c r="AI325" s="69"/>
      <c r="AJ325" s="70"/>
      <c r="AK325" s="71">
        <f>SUM(W325:AJ325)</f>
        <v>40</v>
      </c>
      <c r="AL325" s="72"/>
      <c r="AM325" s="73">
        <f>SUMIF($G324:$T324,"",$G325:$T325)+SUMIF($W324:$AJ324,"",$W325:$AJ325)-AN325</f>
        <v>64</v>
      </c>
      <c r="AN325" s="88">
        <f>IF(SUMIF($G324:$T324,"",$G325:$T325)+SUMIF($G324:$T324,"F",$G325:$T325)+SUMIF($G324:$T324,"V",$G325:$T325)-40&lt;0,0,SUMIF($G324:$T324,"",$G325:$T325)+SUMIF($G324:$T324,"F",$G325:$T325)+SUMIF($G324:$T324,"V",$G325:$T325)-($U$9/2))+IF(SUMIF($W324:$AJ324,"",$W325:$AJ325)+SUMIF($W324:$AJ324,"F",$W325:$AJ325)+SUMIF($W324:$AJ324,"V",$W325:$AJ325)-40&lt;0,0,SUMIF($W324:$AJ324,"",$W325:$AJ325)+SUMIF($W324:$AJ324,"F",$W325:$AJ325)+SUMIF($W324:$AJ324,"V",$W325:$AJ325)-($U$9/2))</f>
        <v>0</v>
      </c>
      <c r="AO325" s="73">
        <f>SUMIF($G324:$T324,"M",$G325:$T325)+SUMIF($W324:$AJ324,"M",$W325:$AJ325)</f>
        <v>0</v>
      </c>
      <c r="AP325" s="73">
        <f>SUMIF($G324:$T324,"F",$G325:$T325)+SUMIF($W324:$AJ324,"F",$W325:$AJ325)</f>
        <v>16</v>
      </c>
      <c r="AQ325" s="73">
        <f>SUMIF($G324:$T324,"V",$G325:$T325)+SUMIF($W324:$AJ324,"V",$W325:$AJ325)</f>
        <v>0</v>
      </c>
      <c r="AR325" s="74">
        <f>SUMIF($G324:$T324,"O",$G325:$T325)+SUMIF($W324:$AJ324,"O",$W325:$AJ325)</f>
        <v>0</v>
      </c>
      <c r="AS325" s="75">
        <f>SUM(AM325:AR325)</f>
        <v>80</v>
      </c>
      <c r="AT325" s="72"/>
      <c r="AU325" s="73">
        <f>SUMIF($G324:$T324,"A",$G325:$T325)+SUMIF($W324:$AJ324,"A",$W325:$AJ325)</f>
        <v>0</v>
      </c>
      <c r="AV325" s="72"/>
      <c r="AW325" s="76">
        <f>IF(B325="",0,IF($U$9="",0,$U$9))</f>
        <v>80</v>
      </c>
      <c r="BA325" s="2"/>
      <c r="BB325" s="2"/>
      <c r="BC325" s="101"/>
      <c r="BD325" s="101"/>
    </row>
    <row r="326" spans="2:56" s="84" customFormat="1" x14ac:dyDescent="0.35">
      <c r="B326" s="26"/>
      <c r="C326" s="27"/>
      <c r="D326" s="28">
        <f>IF(D252="","",D252)</f>
        <v>73795</v>
      </c>
      <c r="E326" s="29" t="str">
        <f t="shared" si="158"/>
        <v/>
      </c>
      <c r="F326" s="50">
        <f>B305</f>
        <v>14</v>
      </c>
      <c r="G326" s="59"/>
      <c r="H326" s="64"/>
      <c r="I326" s="106"/>
      <c r="J326" s="105"/>
      <c r="K326" s="106"/>
      <c r="L326" s="105"/>
      <c r="M326" s="106"/>
      <c r="N326" s="105"/>
      <c r="O326" s="106"/>
      <c r="P326" s="105" t="s">
        <v>13</v>
      </c>
      <c r="Q326" s="106"/>
      <c r="R326" s="105"/>
      <c r="S326" s="59"/>
      <c r="T326" s="64"/>
      <c r="U326" s="44"/>
      <c r="W326" s="59"/>
      <c r="X326" s="64"/>
      <c r="Y326" s="106"/>
      <c r="Z326" s="105"/>
      <c r="AA326" s="106"/>
      <c r="AB326" s="105"/>
      <c r="AC326" s="106"/>
      <c r="AD326" s="105"/>
      <c r="AE326" s="106"/>
      <c r="AF326" s="105"/>
      <c r="AG326" s="106"/>
      <c r="AH326" s="105" t="s">
        <v>13</v>
      </c>
      <c r="AI326" s="59"/>
      <c r="AJ326" s="64"/>
      <c r="AK326" s="44"/>
      <c r="AM326" s="49"/>
      <c r="AN326" s="49"/>
      <c r="AO326" s="49"/>
      <c r="AP326" s="49"/>
      <c r="AQ326" s="49"/>
      <c r="AR326" s="40"/>
      <c r="AS326" s="51"/>
      <c r="AU326" s="49"/>
      <c r="AW326" s="52"/>
      <c r="BA326" s="2"/>
      <c r="BB326" s="2"/>
      <c r="BC326" s="101"/>
      <c r="BD326" s="101"/>
    </row>
    <row r="327" spans="2:56" s="84" customFormat="1" x14ac:dyDescent="0.35">
      <c r="B327" s="30" t="str">
        <f>IF(B253="","",B253)</f>
        <v>Fortin, Veronique</v>
      </c>
      <c r="C327" s="31"/>
      <c r="D327" s="32"/>
      <c r="E327" s="33">
        <f t="shared" si="158"/>
        <v>93540</v>
      </c>
      <c r="F327" s="50">
        <f>B305</f>
        <v>14</v>
      </c>
      <c r="G327" s="69"/>
      <c r="H327" s="70"/>
      <c r="I327" s="104"/>
      <c r="J327" s="103">
        <v>8</v>
      </c>
      <c r="K327" s="104"/>
      <c r="L327" s="103">
        <v>8</v>
      </c>
      <c r="M327" s="104"/>
      <c r="N327" s="103">
        <v>8</v>
      </c>
      <c r="O327" s="104"/>
      <c r="P327" s="103">
        <v>8</v>
      </c>
      <c r="Q327" s="104"/>
      <c r="R327" s="103">
        <v>7.5</v>
      </c>
      <c r="S327" s="69"/>
      <c r="T327" s="70"/>
      <c r="U327" s="71">
        <f t="shared" ref="U327" si="166">SUM(G327:T327)</f>
        <v>39.5</v>
      </c>
      <c r="V327" s="72"/>
      <c r="W327" s="69"/>
      <c r="X327" s="70"/>
      <c r="Y327" s="104"/>
      <c r="Z327" s="103">
        <v>8</v>
      </c>
      <c r="AA327" s="104"/>
      <c r="AB327" s="103">
        <v>8</v>
      </c>
      <c r="AC327" s="104"/>
      <c r="AD327" s="103">
        <v>8</v>
      </c>
      <c r="AE327" s="104"/>
      <c r="AF327" s="103">
        <v>8</v>
      </c>
      <c r="AG327" s="104"/>
      <c r="AH327" s="103">
        <v>8</v>
      </c>
      <c r="AI327" s="69"/>
      <c r="AJ327" s="70"/>
      <c r="AK327" s="71">
        <f>SUM(W327:AJ327)</f>
        <v>40</v>
      </c>
      <c r="AL327" s="72"/>
      <c r="AM327" s="73">
        <f>SUMIF($G326:$T326,"",$G327:$T327)+SUMIF($W326:$AJ326,"",$W327:$AJ327)-AN327</f>
        <v>63.5</v>
      </c>
      <c r="AN327" s="88">
        <f>IF(SUMIF($G326:$T326,"",$G327:$T327)+SUMIF($G326:$T326,"F",$G327:$T327)+SUMIF($G326:$T326,"V",$G327:$T327)-40&lt;0,0,SUMIF($G326:$T326,"",$G327:$T327)+SUMIF($G326:$T326,"F",$G327:$T327)+SUMIF($G326:$T326,"V",$G327:$T327)-($U$9/2))+IF(SUMIF($W326:$AJ326,"",$W327:$AJ327)+SUMIF($W326:$AJ326,"F",$W327:$AJ327)+SUMIF($W326:$AJ326,"V",$W327:$AJ327)-40&lt;0,0,SUMIF($W326:$AJ326,"",$W327:$AJ327)+SUMIF($W326:$AJ326,"F",$W327:$AJ327)+SUMIF($W326:$AJ326,"V",$W327:$AJ327)-($U$9/2))</f>
        <v>0</v>
      </c>
      <c r="AO327" s="73">
        <f>SUMIF($G326:$T326,"M",$G327:$T327)+SUMIF($W326:$AJ326,"M",$W327:$AJ327)</f>
        <v>0</v>
      </c>
      <c r="AP327" s="73">
        <f>SUMIF($G326:$T326,"F",$G327:$T327)+SUMIF($W326:$AJ326,"F",$W327:$AJ327)</f>
        <v>16</v>
      </c>
      <c r="AQ327" s="73">
        <f>SUMIF($G326:$T326,"V",$G327:$T327)+SUMIF($W326:$AJ326,"V",$W327:$AJ327)</f>
        <v>0</v>
      </c>
      <c r="AR327" s="74">
        <f>SUMIF($G326:$T326,"O",$G327:$T327)+SUMIF($W326:$AJ326,"O",$W327:$AJ327)</f>
        <v>0</v>
      </c>
      <c r="AS327" s="75">
        <f>SUM(AM327:AR327)</f>
        <v>79.5</v>
      </c>
      <c r="AT327" s="72"/>
      <c r="AU327" s="73">
        <f>SUMIF($G326:$T326,"A",$G327:$T327)+SUMIF($W326:$AJ326,"A",$W327:$AJ327)</f>
        <v>0</v>
      </c>
      <c r="AV327" s="72"/>
      <c r="AW327" s="76">
        <f>IF(B327="",0,IF($U$9="",0,$U$9))</f>
        <v>80</v>
      </c>
      <c r="BA327" s="2"/>
      <c r="BB327" s="2"/>
      <c r="BC327" s="101"/>
      <c r="BD327" s="101"/>
    </row>
    <row r="328" spans="2:56" s="84" customFormat="1" x14ac:dyDescent="0.35">
      <c r="B328" s="26"/>
      <c r="C328" s="27"/>
      <c r="D328" s="28">
        <f>IF(D254="","",D254)</f>
        <v>23206</v>
      </c>
      <c r="E328" s="29" t="str">
        <f t="shared" si="158"/>
        <v/>
      </c>
      <c r="F328" s="50">
        <f>B305</f>
        <v>14</v>
      </c>
      <c r="G328" s="59"/>
      <c r="H328" s="64"/>
      <c r="I328" s="106"/>
      <c r="J328" s="105"/>
      <c r="K328" s="106"/>
      <c r="L328" s="105"/>
      <c r="M328" s="106"/>
      <c r="N328" s="105"/>
      <c r="O328" s="106"/>
      <c r="P328" s="105" t="s">
        <v>13</v>
      </c>
      <c r="Q328" s="106"/>
      <c r="R328" s="105"/>
      <c r="S328" s="59"/>
      <c r="T328" s="64"/>
      <c r="U328" s="44"/>
      <c r="W328" s="59"/>
      <c r="X328" s="64"/>
      <c r="Y328" s="106"/>
      <c r="Z328" s="105"/>
      <c r="AA328" s="106"/>
      <c r="AB328" s="105"/>
      <c r="AC328" s="106"/>
      <c r="AD328" s="105"/>
      <c r="AE328" s="106"/>
      <c r="AF328" s="105"/>
      <c r="AG328" s="106"/>
      <c r="AH328" s="105" t="s">
        <v>13</v>
      </c>
      <c r="AI328" s="59"/>
      <c r="AJ328" s="64"/>
      <c r="AK328" s="44"/>
      <c r="AM328" s="49"/>
      <c r="AN328" s="49"/>
      <c r="AO328" s="49"/>
      <c r="AP328" s="49"/>
      <c r="AQ328" s="49"/>
      <c r="AR328" s="40"/>
      <c r="AS328" s="51"/>
      <c r="AU328" s="49"/>
      <c r="AW328" s="52"/>
      <c r="BA328" s="2"/>
      <c r="BB328" s="2"/>
      <c r="BC328" s="101"/>
      <c r="BD328" s="101"/>
    </row>
    <row r="329" spans="2:56" s="84" customFormat="1" x14ac:dyDescent="0.35">
      <c r="B329" s="30" t="str">
        <f>IF(B255="","",B255)</f>
        <v>Gadbois, Dominic</v>
      </c>
      <c r="C329" s="31"/>
      <c r="D329" s="32"/>
      <c r="E329" s="33">
        <f t="shared" si="158"/>
        <v>93545</v>
      </c>
      <c r="F329" s="50">
        <f>B305</f>
        <v>14</v>
      </c>
      <c r="G329" s="69"/>
      <c r="H329" s="70"/>
      <c r="I329" s="104"/>
      <c r="J329" s="103">
        <v>7.5</v>
      </c>
      <c r="K329" s="104"/>
      <c r="L329" s="103">
        <v>7.5</v>
      </c>
      <c r="M329" s="104"/>
      <c r="N329" s="103">
        <v>7.5</v>
      </c>
      <c r="O329" s="104"/>
      <c r="P329" s="103">
        <v>8</v>
      </c>
      <c r="Q329" s="104"/>
      <c r="R329" s="103">
        <v>7.5</v>
      </c>
      <c r="S329" s="69"/>
      <c r="T329" s="70"/>
      <c r="U329" s="71">
        <f t="shared" ref="U329" si="167">SUM(G329:T329)</f>
        <v>38</v>
      </c>
      <c r="V329" s="72"/>
      <c r="W329" s="69"/>
      <c r="X329" s="70"/>
      <c r="Y329" s="104"/>
      <c r="Z329" s="103">
        <v>7.5</v>
      </c>
      <c r="AA329" s="104"/>
      <c r="AB329" s="103">
        <v>7.75</v>
      </c>
      <c r="AC329" s="104"/>
      <c r="AD329" s="103">
        <v>5</v>
      </c>
      <c r="AE329" s="104"/>
      <c r="AF329" s="103">
        <v>8.5</v>
      </c>
      <c r="AG329" s="104"/>
      <c r="AH329" s="103">
        <v>8</v>
      </c>
      <c r="AI329" s="69"/>
      <c r="AJ329" s="70"/>
      <c r="AK329" s="71">
        <f>SUM(W329:AJ329)</f>
        <v>36.75</v>
      </c>
      <c r="AL329" s="72"/>
      <c r="AM329" s="73">
        <f>SUMIF($G328:$T328,"",$G329:$T329)+SUMIF($W328:$AJ328,"",$W329:$AJ329)-AN329</f>
        <v>58.75</v>
      </c>
      <c r="AN329" s="88">
        <f>IF(SUMIF($G328:$T328,"",$G329:$T329)+SUMIF($G328:$T328,"F",$G329:$T329)+SUMIF($G328:$T328,"V",$G329:$T329)-40&lt;0,0,SUMIF($G328:$T328,"",$G329:$T329)+SUMIF($G328:$T328,"F",$G329:$T329)+SUMIF($G328:$T328,"V",$G329:$T329)-($U$9/2))+IF(SUMIF($W328:$AJ328,"",$W329:$AJ329)+SUMIF($W328:$AJ328,"F",$W329:$AJ329)+SUMIF($W328:$AJ328,"V",$W329:$AJ329)-40&lt;0,0,SUMIF($W328:$AJ328,"",$W329:$AJ329)+SUMIF($W328:$AJ328,"F",$W329:$AJ329)+SUMIF($W328:$AJ328,"V",$W329:$AJ329)-($U$9/2))</f>
        <v>0</v>
      </c>
      <c r="AO329" s="73">
        <f>SUMIF($G328:$T328,"M",$G329:$T329)+SUMIF($W328:$AJ328,"M",$W329:$AJ329)</f>
        <v>0</v>
      </c>
      <c r="AP329" s="73">
        <f>SUMIF($G328:$T328,"F",$G329:$T329)+SUMIF($W328:$AJ328,"F",$W329:$AJ329)</f>
        <v>16</v>
      </c>
      <c r="AQ329" s="73">
        <f>SUMIF($G328:$T328,"V",$G329:$T329)+SUMIF($W328:$AJ328,"V",$W329:$AJ329)</f>
        <v>0</v>
      </c>
      <c r="AR329" s="74">
        <f>SUMIF($G328:$T328,"O",$G329:$T329)+SUMIF($W328:$AJ328,"O",$W329:$AJ329)</f>
        <v>0</v>
      </c>
      <c r="AS329" s="75">
        <f>SUM(AM329:AR329)</f>
        <v>74.75</v>
      </c>
      <c r="AT329" s="72"/>
      <c r="AU329" s="73">
        <f>SUMIF($G328:$T328,"A",$G329:$T329)+SUMIF($W328:$AJ328,"A",$W329:$AJ329)</f>
        <v>0</v>
      </c>
      <c r="AV329" s="72"/>
      <c r="AW329" s="76">
        <f>IF(B329="",0,IF($U$9="",0,$U$9))</f>
        <v>80</v>
      </c>
      <c r="BA329" s="2"/>
      <c r="BB329" s="2"/>
      <c r="BC329" s="101"/>
      <c r="BD329" s="101"/>
    </row>
    <row r="330" spans="2:56" s="84" customFormat="1" x14ac:dyDescent="0.35">
      <c r="B330" s="26"/>
      <c r="C330" s="27"/>
      <c r="D330" s="28">
        <f>IF(D256="","",D256)</f>
        <v>33664</v>
      </c>
      <c r="E330" s="29" t="str">
        <f t="shared" si="158"/>
        <v/>
      </c>
      <c r="F330" s="50">
        <f>B305</f>
        <v>14</v>
      </c>
      <c r="G330" s="59"/>
      <c r="H330" s="64"/>
      <c r="I330" s="106"/>
      <c r="J330" s="105"/>
      <c r="K330" s="106"/>
      <c r="L330" s="105"/>
      <c r="M330" s="106"/>
      <c r="N330" s="105"/>
      <c r="O330" s="106"/>
      <c r="P330" s="105" t="s">
        <v>13</v>
      </c>
      <c r="Q330" s="106"/>
      <c r="R330" s="105"/>
      <c r="S330" s="59"/>
      <c r="T330" s="64"/>
      <c r="U330" s="44"/>
      <c r="W330" s="59"/>
      <c r="X330" s="64"/>
      <c r="Y330" s="106"/>
      <c r="Z330" s="105"/>
      <c r="AA330" s="106"/>
      <c r="AB330" s="105"/>
      <c r="AC330" s="106"/>
      <c r="AD330" s="105"/>
      <c r="AE330" s="106"/>
      <c r="AF330" s="105"/>
      <c r="AG330" s="106"/>
      <c r="AH330" s="105" t="s">
        <v>13</v>
      </c>
      <c r="AI330" s="59"/>
      <c r="AJ330" s="64"/>
      <c r="AK330" s="44"/>
      <c r="AM330" s="49"/>
      <c r="AN330" s="49"/>
      <c r="AO330" s="49"/>
      <c r="AP330" s="49"/>
      <c r="AQ330" s="49"/>
      <c r="AR330" s="40"/>
      <c r="AS330" s="51"/>
      <c r="AU330" s="49"/>
      <c r="AW330" s="52"/>
      <c r="BA330" s="2"/>
      <c r="BB330" s="2"/>
      <c r="BC330" s="101"/>
      <c r="BD330" s="101"/>
    </row>
    <row r="331" spans="2:56" s="84" customFormat="1" x14ac:dyDescent="0.35">
      <c r="B331" s="30" t="str">
        <f>IF(B257="","",B257)</f>
        <v>Knox Michaud, Jessy</v>
      </c>
      <c r="C331" s="31"/>
      <c r="D331" s="32"/>
      <c r="E331" s="33">
        <f t="shared" si="158"/>
        <v>93542</v>
      </c>
      <c r="F331" s="50">
        <f>B305</f>
        <v>14</v>
      </c>
      <c r="G331" s="69"/>
      <c r="H331" s="70"/>
      <c r="I331" s="104"/>
      <c r="J331" s="103">
        <v>8</v>
      </c>
      <c r="K331" s="104"/>
      <c r="L331" s="103">
        <v>8</v>
      </c>
      <c r="M331" s="104"/>
      <c r="N331" s="103">
        <v>8</v>
      </c>
      <c r="O331" s="104"/>
      <c r="P331" s="103">
        <v>8</v>
      </c>
      <c r="Q331" s="104"/>
      <c r="R331" s="103">
        <v>8</v>
      </c>
      <c r="S331" s="69"/>
      <c r="T331" s="70"/>
      <c r="U331" s="71">
        <f t="shared" ref="U331" si="168">SUM(G331:T331)</f>
        <v>40</v>
      </c>
      <c r="V331" s="72"/>
      <c r="W331" s="69"/>
      <c r="X331" s="70"/>
      <c r="Y331" s="104"/>
      <c r="Z331" s="103">
        <v>8</v>
      </c>
      <c r="AA331" s="104"/>
      <c r="AB331" s="103">
        <v>8</v>
      </c>
      <c r="AC331" s="104"/>
      <c r="AD331" s="103">
        <v>8</v>
      </c>
      <c r="AE331" s="104"/>
      <c r="AF331" s="103">
        <v>8</v>
      </c>
      <c r="AG331" s="104"/>
      <c r="AH331" s="103">
        <v>8</v>
      </c>
      <c r="AI331" s="69"/>
      <c r="AJ331" s="70"/>
      <c r="AK331" s="71">
        <f>SUM(W331:AJ331)</f>
        <v>40</v>
      </c>
      <c r="AL331" s="72"/>
      <c r="AM331" s="73">
        <f>SUMIF($G330:$T330,"",$G331:$T331)+SUMIF($W330:$AJ330,"",$W331:$AJ331)-AN331</f>
        <v>64</v>
      </c>
      <c r="AN331" s="88">
        <f>IF(SUMIF($G330:$T330,"",$G331:$T331)+SUMIF($G330:$T330,"F",$G331:$T331)+SUMIF($G330:$T330,"V",$G331:$T331)-40&lt;0,0,SUMIF($G330:$T330,"",$G331:$T331)+SUMIF($G330:$T330,"F",$G331:$T331)+SUMIF($G330:$T330,"V",$G331:$T331)-($U$9/2))+IF(SUMIF($W330:$AJ330,"",$W331:$AJ331)+SUMIF($W330:$AJ330,"F",$W331:$AJ331)+SUMIF($W330:$AJ330,"V",$W331:$AJ331)-40&lt;0,0,SUMIF($W330:$AJ330,"",$W331:$AJ331)+SUMIF($W330:$AJ330,"F",$W331:$AJ331)+SUMIF($W330:$AJ330,"V",$W331:$AJ331)-($U$9/2))</f>
        <v>0</v>
      </c>
      <c r="AO331" s="73">
        <f>SUMIF($G330:$T330,"M",$G331:$T331)+SUMIF($W330:$AJ330,"M",$W331:$AJ331)</f>
        <v>0</v>
      </c>
      <c r="AP331" s="73">
        <f>SUMIF($G330:$T330,"F",$G331:$T331)+SUMIF($W330:$AJ330,"F",$W331:$AJ331)</f>
        <v>16</v>
      </c>
      <c r="AQ331" s="73">
        <f>SUMIF($G330:$T330,"V",$G331:$T331)+SUMIF($W330:$AJ330,"V",$W331:$AJ331)</f>
        <v>0</v>
      </c>
      <c r="AR331" s="74">
        <f>SUMIF($G330:$T330,"O",$G331:$T331)+SUMIF($W330:$AJ330,"O",$W331:$AJ331)</f>
        <v>0</v>
      </c>
      <c r="AS331" s="75">
        <f>SUM(AM331:AR331)</f>
        <v>80</v>
      </c>
      <c r="AT331" s="72"/>
      <c r="AU331" s="73">
        <f>SUMIF($G330:$T330,"A",$G331:$T331)+SUMIF($W330:$AJ330,"A",$W331:$AJ331)</f>
        <v>0</v>
      </c>
      <c r="AV331" s="72"/>
      <c r="AW331" s="76">
        <f>IF(B331="",0,IF($U$9="",0,$U$9))</f>
        <v>80</v>
      </c>
      <c r="BA331" s="2"/>
      <c r="BB331" s="2"/>
      <c r="BC331" s="101"/>
      <c r="BD331" s="101"/>
    </row>
    <row r="332" spans="2:56" s="84" customFormat="1" x14ac:dyDescent="0.35">
      <c r="B332" s="26"/>
      <c r="C332" s="27"/>
      <c r="D332" s="28">
        <f>IF(D258="","",D258)</f>
        <v>14206</v>
      </c>
      <c r="E332" s="29" t="str">
        <f t="shared" si="158"/>
        <v/>
      </c>
      <c r="F332" s="50">
        <f>B305</f>
        <v>14</v>
      </c>
      <c r="G332" s="59"/>
      <c r="H332" s="64"/>
      <c r="I332" s="106"/>
      <c r="J332" s="105"/>
      <c r="K332" s="106"/>
      <c r="L332" s="105"/>
      <c r="M332" s="106"/>
      <c r="N332" s="105"/>
      <c r="O332" s="106"/>
      <c r="P332" s="105" t="s">
        <v>13</v>
      </c>
      <c r="Q332" s="106"/>
      <c r="R332" s="105"/>
      <c r="S332" s="59"/>
      <c r="T332" s="64"/>
      <c r="U332" s="44"/>
      <c r="W332" s="59"/>
      <c r="X332" s="64"/>
      <c r="Y332" s="106"/>
      <c r="Z332" s="105"/>
      <c r="AA332" s="106"/>
      <c r="AB332" s="105"/>
      <c r="AC332" s="106"/>
      <c r="AD332" s="105"/>
      <c r="AE332" s="106"/>
      <c r="AF332" s="105"/>
      <c r="AG332" s="106"/>
      <c r="AH332" s="105" t="s">
        <v>13</v>
      </c>
      <c r="AI332" s="59"/>
      <c r="AJ332" s="64"/>
      <c r="AK332" s="44"/>
      <c r="AM332" s="49"/>
      <c r="AN332" s="49"/>
      <c r="AO332" s="49"/>
      <c r="AP332" s="49"/>
      <c r="AQ332" s="49"/>
      <c r="AR332" s="40"/>
      <c r="AS332" s="51"/>
      <c r="AU332" s="49"/>
      <c r="AW332" s="52"/>
      <c r="BA332" s="2"/>
      <c r="BB332" s="2"/>
      <c r="BC332" s="101"/>
      <c r="BD332" s="101"/>
    </row>
    <row r="333" spans="2:56" s="84" customFormat="1" x14ac:dyDescent="0.35">
      <c r="B333" s="30" t="str">
        <f>IF(B259="","",B259)</f>
        <v>Landry, Bernard</v>
      </c>
      <c r="C333" s="31"/>
      <c r="D333" s="32"/>
      <c r="E333" s="33">
        <f t="shared" si="158"/>
        <v>93545</v>
      </c>
      <c r="F333" s="50">
        <f>B305</f>
        <v>14</v>
      </c>
      <c r="G333" s="69"/>
      <c r="H333" s="70"/>
      <c r="I333" s="104"/>
      <c r="J333" s="103">
        <v>8</v>
      </c>
      <c r="K333" s="104"/>
      <c r="L333" s="103">
        <v>8</v>
      </c>
      <c r="M333" s="104"/>
      <c r="N333" s="103">
        <v>8</v>
      </c>
      <c r="O333" s="104"/>
      <c r="P333" s="103">
        <v>8</v>
      </c>
      <c r="Q333" s="104"/>
      <c r="R333" s="103">
        <v>8</v>
      </c>
      <c r="S333" s="69"/>
      <c r="T333" s="70"/>
      <c r="U333" s="71">
        <f t="shared" ref="U333" si="169">SUM(G333:T333)</f>
        <v>40</v>
      </c>
      <c r="V333" s="72"/>
      <c r="W333" s="69"/>
      <c r="X333" s="70"/>
      <c r="Y333" s="104"/>
      <c r="Z333" s="103">
        <v>8</v>
      </c>
      <c r="AA333" s="104"/>
      <c r="AB333" s="103">
        <v>8</v>
      </c>
      <c r="AC333" s="104"/>
      <c r="AD333" s="103">
        <v>8</v>
      </c>
      <c r="AE333" s="104"/>
      <c r="AF333" s="103">
        <v>8</v>
      </c>
      <c r="AG333" s="104"/>
      <c r="AH333" s="103">
        <v>8</v>
      </c>
      <c r="AI333" s="69"/>
      <c r="AJ333" s="70"/>
      <c r="AK333" s="71">
        <f>SUM(W333:AJ333)</f>
        <v>40</v>
      </c>
      <c r="AL333" s="72"/>
      <c r="AM333" s="73">
        <f>SUMIF($G332:$T332,"",$G333:$T333)+SUMIF($W332:$AJ332,"",$W333:$AJ333)-AN333</f>
        <v>64</v>
      </c>
      <c r="AN333" s="88">
        <f>IF(SUMIF($G332:$T332,"",$G333:$T333)+SUMIF($G332:$T332,"F",$G333:$T333)+SUMIF($G332:$T332,"V",$G333:$T333)-40&lt;0,0,SUMIF($G332:$T332,"",$G333:$T333)+SUMIF($G332:$T332,"F",$G333:$T333)+SUMIF($G332:$T332,"V",$G333:$T333)-($U$9/2))+IF(SUMIF($W332:$AJ332,"",$W333:$AJ333)+SUMIF($W332:$AJ332,"F",$W333:$AJ333)+SUMIF($W332:$AJ332,"V",$W333:$AJ333)-40&lt;0,0,SUMIF($W332:$AJ332,"",$W333:$AJ333)+SUMIF($W332:$AJ332,"F",$W333:$AJ333)+SUMIF($W332:$AJ332,"V",$W333:$AJ333)-($U$9/2))</f>
        <v>0</v>
      </c>
      <c r="AO333" s="73">
        <f>SUMIF($G332:$T332,"M",$G333:$T333)+SUMIF($W332:$AJ332,"M",$W333:$AJ333)</f>
        <v>0</v>
      </c>
      <c r="AP333" s="73">
        <f>SUMIF($G332:$T332,"F",$G333:$T333)+SUMIF($W332:$AJ332,"F",$W333:$AJ333)</f>
        <v>16</v>
      </c>
      <c r="AQ333" s="73">
        <f>SUMIF($G332:$T332,"V",$G333:$T333)+SUMIF($W332:$AJ332,"V",$W333:$AJ333)</f>
        <v>0</v>
      </c>
      <c r="AR333" s="74">
        <f>SUMIF($G332:$T332,"O",$G333:$T333)+SUMIF($W332:$AJ332,"O",$W333:$AJ333)</f>
        <v>0</v>
      </c>
      <c r="AS333" s="75">
        <f>SUM(AM333:AR333)</f>
        <v>80</v>
      </c>
      <c r="AT333" s="72"/>
      <c r="AU333" s="73">
        <f>SUMIF($G332:$T332,"A",$G333:$T333)+SUMIF($W332:$AJ332,"A",$W333:$AJ333)</f>
        <v>0</v>
      </c>
      <c r="AV333" s="72"/>
      <c r="AW333" s="76">
        <f>IF(B333="",0,IF($U$9="",0,$U$9))</f>
        <v>80</v>
      </c>
      <c r="BA333" s="2"/>
      <c r="BB333" s="2"/>
      <c r="BC333" s="101"/>
      <c r="BD333" s="101"/>
    </row>
    <row r="334" spans="2:56" s="84" customFormat="1" x14ac:dyDescent="0.35">
      <c r="B334" s="26"/>
      <c r="C334" s="27"/>
      <c r="D334" s="28">
        <f>IF(D260="","",D260)</f>
        <v>92257</v>
      </c>
      <c r="E334" s="29" t="str">
        <f t="shared" si="158"/>
        <v/>
      </c>
      <c r="F334" s="50">
        <f>B305</f>
        <v>14</v>
      </c>
      <c r="G334" s="59"/>
      <c r="H334" s="64"/>
      <c r="I334" s="106"/>
      <c r="J334" s="105"/>
      <c r="K334" s="106"/>
      <c r="L334" s="105"/>
      <c r="M334" s="106"/>
      <c r="N334" s="105"/>
      <c r="O334" s="106"/>
      <c r="P334" s="105" t="s">
        <v>13</v>
      </c>
      <c r="Q334" s="106"/>
      <c r="R334" s="105"/>
      <c r="S334" s="59"/>
      <c r="T334" s="64"/>
      <c r="U334" s="44"/>
      <c r="W334" s="59"/>
      <c r="X334" s="64"/>
      <c r="Y334" s="106"/>
      <c r="Z334" s="105"/>
      <c r="AA334" s="106"/>
      <c r="AB334" s="105"/>
      <c r="AC334" s="106"/>
      <c r="AD334" s="105"/>
      <c r="AE334" s="106"/>
      <c r="AF334" s="105"/>
      <c r="AG334" s="106"/>
      <c r="AH334" s="105"/>
      <c r="AI334" s="59"/>
      <c r="AJ334" s="64"/>
      <c r="AK334" s="44"/>
      <c r="AM334" s="49"/>
      <c r="AN334" s="49"/>
      <c r="AO334" s="49"/>
      <c r="AP334" s="49"/>
      <c r="AQ334" s="49"/>
      <c r="AR334" s="40"/>
      <c r="AS334" s="51"/>
      <c r="AU334" s="49"/>
      <c r="AW334" s="52"/>
      <c r="BA334" s="2"/>
      <c r="BB334" s="2"/>
      <c r="BC334" s="101"/>
      <c r="BD334" s="101"/>
    </row>
    <row r="335" spans="2:56" s="84" customFormat="1" x14ac:dyDescent="0.35">
      <c r="B335" s="30" t="str">
        <f>IF(B261="","",B261)</f>
        <v>Lelievre, Anik</v>
      </c>
      <c r="C335" s="31"/>
      <c r="D335" s="32"/>
      <c r="E335" s="33">
        <f t="shared" si="158"/>
        <v>93513</v>
      </c>
      <c r="F335" s="50">
        <f>B305</f>
        <v>14</v>
      </c>
      <c r="G335" s="69"/>
      <c r="H335" s="70"/>
      <c r="I335" s="104"/>
      <c r="J335" s="103">
        <v>8</v>
      </c>
      <c r="K335" s="104"/>
      <c r="L335" s="103">
        <v>8</v>
      </c>
      <c r="M335" s="104"/>
      <c r="N335" s="103">
        <v>8</v>
      </c>
      <c r="O335" s="104"/>
      <c r="P335" s="103">
        <v>8</v>
      </c>
      <c r="Q335" s="104"/>
      <c r="R335" s="103">
        <v>8</v>
      </c>
      <c r="S335" s="69"/>
      <c r="T335" s="70"/>
      <c r="U335" s="71">
        <f t="shared" ref="U335" si="170">SUM(G335:T335)</f>
        <v>40</v>
      </c>
      <c r="V335" s="72"/>
      <c r="W335" s="69"/>
      <c r="X335" s="70"/>
      <c r="Y335" s="104"/>
      <c r="Z335" s="103">
        <v>8</v>
      </c>
      <c r="AA335" s="104"/>
      <c r="AB335" s="103">
        <v>8</v>
      </c>
      <c r="AC335" s="104"/>
      <c r="AD335" s="103">
        <v>8</v>
      </c>
      <c r="AE335" s="104"/>
      <c r="AF335" s="103">
        <v>8</v>
      </c>
      <c r="AG335" s="104"/>
      <c r="AH335" s="103">
        <v>8</v>
      </c>
      <c r="AI335" s="69"/>
      <c r="AJ335" s="70"/>
      <c r="AK335" s="71">
        <f>SUM(W335:AJ335)</f>
        <v>40</v>
      </c>
      <c r="AL335" s="72"/>
      <c r="AM335" s="73">
        <f>SUMIF($G334:$T334,"",$G335:$T335)+SUMIF($W334:$AJ334,"",$W335:$AJ335)-AN335</f>
        <v>72</v>
      </c>
      <c r="AN335" s="88">
        <f>IF(SUMIF($G334:$T334,"",$G335:$T335)+SUMIF($G334:$T334,"F",$G335:$T335)+SUMIF($G334:$T334,"V",$G335:$T335)-40&lt;0,0,SUMIF($G334:$T334,"",$G335:$T335)+SUMIF($G334:$T334,"F",$G335:$T335)+SUMIF($G334:$T334,"V",$G335:$T335)-($U$9/2))+IF(SUMIF($W334:$AJ334,"",$W335:$AJ335)+SUMIF($W334:$AJ334,"F",$W335:$AJ335)+SUMIF($W334:$AJ334,"V",$W335:$AJ335)-40&lt;0,0,SUMIF($W334:$AJ334,"",$W335:$AJ335)+SUMIF($W334:$AJ334,"F",$W335:$AJ335)+SUMIF($W334:$AJ334,"V",$W335:$AJ335)-($U$9/2))</f>
        <v>0</v>
      </c>
      <c r="AO335" s="73">
        <f>SUMIF($G334:$T334,"M",$G335:$T335)+SUMIF($W334:$AJ334,"M",$W335:$AJ335)</f>
        <v>0</v>
      </c>
      <c r="AP335" s="73">
        <f>SUMIF($G334:$T334,"F",$G335:$T335)+SUMIF($W334:$AJ334,"F",$W335:$AJ335)</f>
        <v>8</v>
      </c>
      <c r="AQ335" s="73">
        <f>SUMIF($G334:$T334,"V",$G335:$T335)+SUMIF($W334:$AJ334,"V",$W335:$AJ335)</f>
        <v>0</v>
      </c>
      <c r="AR335" s="74">
        <f>SUMIF($G334:$T334,"O",$G335:$T335)+SUMIF($W334:$AJ334,"O",$W335:$AJ335)</f>
        <v>0</v>
      </c>
      <c r="AS335" s="75">
        <f>SUM(AM335:AR335)</f>
        <v>80</v>
      </c>
      <c r="AT335" s="72"/>
      <c r="AU335" s="73">
        <f>SUMIF($G334:$T334,"A",$G335:$T335)+SUMIF($W334:$AJ334,"A",$W335:$AJ335)</f>
        <v>0</v>
      </c>
      <c r="AV335" s="72"/>
      <c r="AW335" s="76">
        <f>IF(B335="",0,IF($U$9="",0,$U$9))</f>
        <v>80</v>
      </c>
      <c r="BA335" s="2"/>
      <c r="BB335" s="2"/>
      <c r="BC335" s="101"/>
      <c r="BD335" s="101"/>
    </row>
    <row r="336" spans="2:56" s="84" customFormat="1" x14ac:dyDescent="0.35">
      <c r="B336" s="26"/>
      <c r="C336" s="27"/>
      <c r="D336" s="28">
        <f>IF(D262="","",D262)</f>
        <v>81042</v>
      </c>
      <c r="E336" s="29" t="str">
        <f t="shared" si="158"/>
        <v/>
      </c>
      <c r="F336" s="50">
        <f>B305</f>
        <v>14</v>
      </c>
      <c r="G336" s="59"/>
      <c r="H336" s="64"/>
      <c r="I336" s="106"/>
      <c r="J336" s="105"/>
      <c r="K336" s="106"/>
      <c r="L336" s="105"/>
      <c r="M336" s="106"/>
      <c r="N336" s="105" t="s">
        <v>1</v>
      </c>
      <c r="O336" s="106"/>
      <c r="P336" s="105" t="s">
        <v>13</v>
      </c>
      <c r="Q336" s="106"/>
      <c r="R336" s="105"/>
      <c r="S336" s="59"/>
      <c r="T336" s="64"/>
      <c r="U336" s="44"/>
      <c r="W336" s="59"/>
      <c r="X336" s="64"/>
      <c r="Y336" s="106"/>
      <c r="Z336" s="105"/>
      <c r="AA336" s="106"/>
      <c r="AB336" s="105"/>
      <c r="AC336" s="106"/>
      <c r="AD336" s="105"/>
      <c r="AE336" s="106"/>
      <c r="AF336" s="105"/>
      <c r="AG336" s="106"/>
      <c r="AH336" s="105" t="s">
        <v>13</v>
      </c>
      <c r="AI336" s="59"/>
      <c r="AJ336" s="64"/>
      <c r="AK336" s="44"/>
      <c r="AM336" s="49"/>
      <c r="AN336" s="49"/>
      <c r="AO336" s="49"/>
      <c r="AP336" s="49"/>
      <c r="AQ336" s="49"/>
      <c r="AR336" s="40"/>
      <c r="AS336" s="51"/>
      <c r="AU336" s="49"/>
      <c r="AW336" s="52"/>
      <c r="BA336" s="2"/>
      <c r="BB336" s="2"/>
      <c r="BC336" s="101"/>
      <c r="BD336" s="101"/>
    </row>
    <row r="337" spans="1:56" s="84" customFormat="1" x14ac:dyDescent="0.35">
      <c r="B337" s="30" t="str">
        <f>IF(B263="","",B263)</f>
        <v>Letarte, Martin</v>
      </c>
      <c r="C337" s="31"/>
      <c r="D337" s="32"/>
      <c r="E337" s="33">
        <f t="shared" si="158"/>
        <v>93545</v>
      </c>
      <c r="F337" s="50">
        <f>B305</f>
        <v>14</v>
      </c>
      <c r="G337" s="69"/>
      <c r="H337" s="70"/>
      <c r="I337" s="104"/>
      <c r="J337" s="103">
        <v>8</v>
      </c>
      <c r="K337" s="104"/>
      <c r="L337" s="103">
        <v>8</v>
      </c>
      <c r="M337" s="104"/>
      <c r="N337" s="103">
        <v>8</v>
      </c>
      <c r="O337" s="104"/>
      <c r="P337" s="103">
        <v>8</v>
      </c>
      <c r="Q337" s="104"/>
      <c r="R337" s="103">
        <v>8</v>
      </c>
      <c r="S337" s="69"/>
      <c r="T337" s="70"/>
      <c r="U337" s="71">
        <f t="shared" ref="U337" si="171">SUM(G337:T337)</f>
        <v>40</v>
      </c>
      <c r="V337" s="72"/>
      <c r="W337" s="69"/>
      <c r="X337" s="70"/>
      <c r="Y337" s="104"/>
      <c r="Z337" s="103">
        <v>8</v>
      </c>
      <c r="AA337" s="104"/>
      <c r="AB337" s="103">
        <v>8</v>
      </c>
      <c r="AC337" s="104"/>
      <c r="AD337" s="103">
        <v>8</v>
      </c>
      <c r="AE337" s="104"/>
      <c r="AF337" s="103">
        <v>8</v>
      </c>
      <c r="AG337" s="104"/>
      <c r="AH337" s="103">
        <v>8</v>
      </c>
      <c r="AI337" s="69"/>
      <c r="AJ337" s="70"/>
      <c r="AK337" s="71">
        <f>SUM(W337:AJ337)</f>
        <v>40</v>
      </c>
      <c r="AL337" s="72"/>
      <c r="AM337" s="73">
        <f>SUMIF($G336:$T336,"",$G337:$T337)+SUMIF($W336:$AJ336,"",$W337:$AJ337)-AN337</f>
        <v>56</v>
      </c>
      <c r="AN337" s="88">
        <f>IF(SUMIF($G336:$T336,"",$G337:$T337)+SUMIF($G336:$T336,"F",$G337:$T337)+SUMIF($G336:$T336,"V",$G337:$T337)-40&lt;0,0,SUMIF($G336:$T336,"",$G337:$T337)+SUMIF($G336:$T336,"F",$G337:$T337)+SUMIF($G336:$T336,"V",$G337:$T337)-($U$9/2))+IF(SUMIF($W336:$AJ336,"",$W337:$AJ337)+SUMIF($W336:$AJ336,"F",$W337:$AJ337)+SUMIF($W336:$AJ336,"V",$W337:$AJ337)-40&lt;0,0,SUMIF($W336:$AJ336,"",$W337:$AJ337)+SUMIF($W336:$AJ336,"F",$W337:$AJ337)+SUMIF($W336:$AJ336,"V",$W337:$AJ337)-($U$9/2))</f>
        <v>0</v>
      </c>
      <c r="AO337" s="73">
        <f>SUMIF($G336:$T336,"M",$G337:$T337)+SUMIF($W336:$AJ336,"M",$W337:$AJ337)</f>
        <v>0</v>
      </c>
      <c r="AP337" s="73">
        <f>SUMIF($G336:$T336,"F",$G337:$T337)+SUMIF($W336:$AJ336,"F",$W337:$AJ337)</f>
        <v>16</v>
      </c>
      <c r="AQ337" s="73">
        <f>SUMIF($G336:$T336,"V",$G337:$T337)+SUMIF($W336:$AJ336,"V",$W337:$AJ337)</f>
        <v>8</v>
      </c>
      <c r="AR337" s="74">
        <f>SUMIF($G336:$T336,"O",$G337:$T337)+SUMIF($W336:$AJ336,"O",$W337:$AJ337)</f>
        <v>0</v>
      </c>
      <c r="AS337" s="75">
        <f>SUM(AM337:AR337)</f>
        <v>80</v>
      </c>
      <c r="AT337" s="72"/>
      <c r="AU337" s="73">
        <f>SUMIF($G336:$T336,"A",$G337:$T337)+SUMIF($W336:$AJ336,"A",$W337:$AJ337)</f>
        <v>0</v>
      </c>
      <c r="AV337" s="72"/>
      <c r="AW337" s="76">
        <f>IF(B337="",0,IF($U$9="",0,$U$9))</f>
        <v>80</v>
      </c>
      <c r="BA337" s="2"/>
      <c r="BB337" s="2"/>
      <c r="BC337" s="101"/>
      <c r="BD337" s="101"/>
    </row>
    <row r="338" spans="1:56" s="84" customFormat="1" x14ac:dyDescent="0.35">
      <c r="B338" s="26"/>
      <c r="C338" s="27"/>
      <c r="D338" s="28">
        <f>IF(D264="","",D264)</f>
        <v>23930</v>
      </c>
      <c r="E338" s="29" t="str">
        <f t="shared" si="158"/>
        <v/>
      </c>
      <c r="F338" s="50">
        <f>B305</f>
        <v>14</v>
      </c>
      <c r="G338" s="59"/>
      <c r="H338" s="64"/>
      <c r="I338" s="106"/>
      <c r="J338" s="105"/>
      <c r="K338" s="106"/>
      <c r="L338" s="105"/>
      <c r="M338" s="106"/>
      <c r="N338" s="105"/>
      <c r="O338" s="106"/>
      <c r="P338" s="105" t="s">
        <v>13</v>
      </c>
      <c r="Q338" s="106"/>
      <c r="R338" s="105"/>
      <c r="S338" s="59"/>
      <c r="T338" s="64"/>
      <c r="U338" s="44"/>
      <c r="W338" s="59"/>
      <c r="X338" s="64"/>
      <c r="Y338" s="106"/>
      <c r="Z338" s="105"/>
      <c r="AA338" s="106"/>
      <c r="AB338" s="105"/>
      <c r="AC338" s="106"/>
      <c r="AD338" s="105"/>
      <c r="AE338" s="106"/>
      <c r="AF338" s="105"/>
      <c r="AG338" s="106"/>
      <c r="AH338" s="105" t="s">
        <v>13</v>
      </c>
      <c r="AI338" s="59"/>
      <c r="AJ338" s="64"/>
      <c r="AK338" s="44"/>
      <c r="AM338" s="49"/>
      <c r="AN338" s="49"/>
      <c r="AO338" s="49"/>
      <c r="AP338" s="49"/>
      <c r="AQ338" s="49"/>
      <c r="AR338" s="40"/>
      <c r="AS338" s="51"/>
      <c r="AU338" s="49"/>
      <c r="AW338" s="52"/>
      <c r="BA338" s="2"/>
      <c r="BB338" s="2"/>
      <c r="BC338" s="101"/>
      <c r="BD338" s="101"/>
    </row>
    <row r="339" spans="1:56" s="84" customFormat="1" x14ac:dyDescent="0.35">
      <c r="B339" s="30" t="str">
        <f>IF(B265="","",B265)</f>
        <v>Martinez Parada, José Francisco</v>
      </c>
      <c r="C339" s="31"/>
      <c r="D339" s="32"/>
      <c r="E339" s="33">
        <f t="shared" si="158"/>
        <v>93545</v>
      </c>
      <c r="F339" s="50">
        <f>B305</f>
        <v>14</v>
      </c>
      <c r="G339" s="69"/>
      <c r="H339" s="70"/>
      <c r="I339" s="104"/>
      <c r="J339" s="103">
        <v>8</v>
      </c>
      <c r="K339" s="104"/>
      <c r="L339" s="103">
        <v>8</v>
      </c>
      <c r="M339" s="104"/>
      <c r="N339" s="103">
        <v>8</v>
      </c>
      <c r="O339" s="104"/>
      <c r="P339" s="103">
        <v>8</v>
      </c>
      <c r="Q339" s="104"/>
      <c r="R339" s="103">
        <v>8</v>
      </c>
      <c r="S339" s="69"/>
      <c r="T339" s="70"/>
      <c r="U339" s="71">
        <f t="shared" ref="U339" si="172">SUM(G339:T339)</f>
        <v>40</v>
      </c>
      <c r="V339" s="72"/>
      <c r="W339" s="69"/>
      <c r="X339" s="70"/>
      <c r="Y339" s="104"/>
      <c r="Z339" s="103">
        <v>8</v>
      </c>
      <c r="AA339" s="104"/>
      <c r="AB339" s="103">
        <v>8</v>
      </c>
      <c r="AC339" s="104"/>
      <c r="AD339" s="103">
        <v>8</v>
      </c>
      <c r="AE339" s="104"/>
      <c r="AF339" s="103">
        <v>8</v>
      </c>
      <c r="AG339" s="104"/>
      <c r="AH339" s="103">
        <v>8</v>
      </c>
      <c r="AI339" s="69"/>
      <c r="AJ339" s="70"/>
      <c r="AK339" s="71">
        <f>SUM(W339:AJ339)</f>
        <v>40</v>
      </c>
      <c r="AL339" s="72"/>
      <c r="AM339" s="73">
        <f>SUMIF($G338:$T338,"",$G339:$T339)+SUMIF($W338:$AJ338,"",$W339:$AJ339)-AN339</f>
        <v>64</v>
      </c>
      <c r="AN339" s="88">
        <f>IF(SUMIF($G338:$T338,"",$G339:$T339)+SUMIF($G338:$T338,"F",$G339:$T339)+SUMIF($G338:$T338,"V",$G339:$T339)-40&lt;0,0,SUMIF($G338:$T338,"",$G339:$T339)+SUMIF($G338:$T338,"F",$G339:$T339)+SUMIF($G338:$T338,"V",$G339:$T339)-($U$9/2))+IF(SUMIF($W338:$AJ338,"",$W339:$AJ339)+SUMIF($W338:$AJ338,"F",$W339:$AJ339)+SUMIF($W338:$AJ338,"V",$W339:$AJ339)-40&lt;0,0,SUMIF($W338:$AJ338,"",$W339:$AJ339)+SUMIF($W338:$AJ338,"F",$W339:$AJ339)+SUMIF($W338:$AJ338,"V",$W339:$AJ339)-($U$9/2))</f>
        <v>0</v>
      </c>
      <c r="AO339" s="73">
        <f>SUMIF($G338:$T338,"M",$G339:$T339)+SUMIF($W338:$AJ338,"M",$W339:$AJ339)</f>
        <v>0</v>
      </c>
      <c r="AP339" s="73">
        <f>SUMIF($G338:$T338,"F",$G339:$T339)+SUMIF($W338:$AJ338,"F",$W339:$AJ339)</f>
        <v>16</v>
      </c>
      <c r="AQ339" s="73">
        <f>SUMIF($G338:$T338,"V",$G339:$T339)+SUMIF($W338:$AJ338,"V",$W339:$AJ339)</f>
        <v>0</v>
      </c>
      <c r="AR339" s="74">
        <f>SUMIF($G338:$T338,"O",$G339:$T339)+SUMIF($W338:$AJ338,"O",$W339:$AJ339)</f>
        <v>0</v>
      </c>
      <c r="AS339" s="75">
        <f>SUM(AM339:AR339)</f>
        <v>80</v>
      </c>
      <c r="AT339" s="72"/>
      <c r="AU339" s="73">
        <f>SUMIF($G338:$T338,"A",$G339:$T339)+SUMIF($W338:$AJ338,"A",$W339:$AJ339)</f>
        <v>0</v>
      </c>
      <c r="AV339" s="72"/>
      <c r="AW339" s="76">
        <f>IF(B339="",0,IF($U$9="",0,$U$9))</f>
        <v>80</v>
      </c>
      <c r="BA339" s="2"/>
      <c r="BB339" s="2"/>
      <c r="BC339" s="101"/>
      <c r="BD339" s="101"/>
    </row>
    <row r="340" spans="1:56" s="84" customFormat="1" x14ac:dyDescent="0.35">
      <c r="B340" s="26"/>
      <c r="C340" s="27"/>
      <c r="D340" s="28">
        <f>IF(D266="","",D266)</f>
        <v>11792</v>
      </c>
      <c r="E340" s="29" t="str">
        <f t="shared" si="158"/>
        <v/>
      </c>
      <c r="F340" s="50">
        <f>B305</f>
        <v>14</v>
      </c>
      <c r="G340" s="59"/>
      <c r="H340" s="64"/>
      <c r="I340" s="106"/>
      <c r="J340" s="105"/>
      <c r="K340" s="106"/>
      <c r="L340" s="105"/>
      <c r="M340" s="106"/>
      <c r="N340" s="105"/>
      <c r="O340" s="106"/>
      <c r="P340" s="105" t="s">
        <v>13</v>
      </c>
      <c r="Q340" s="106"/>
      <c r="R340" s="105"/>
      <c r="S340" s="59"/>
      <c r="T340" s="64"/>
      <c r="U340" s="44"/>
      <c r="W340" s="59"/>
      <c r="X340" s="64"/>
      <c r="Y340" s="106"/>
      <c r="Z340" s="105"/>
      <c r="AA340" s="106"/>
      <c r="AB340" s="105"/>
      <c r="AC340" s="106"/>
      <c r="AD340" s="105"/>
      <c r="AE340" s="106"/>
      <c r="AF340" s="105"/>
      <c r="AG340" s="106"/>
      <c r="AH340" s="105" t="s">
        <v>13</v>
      </c>
      <c r="AI340" s="59"/>
      <c r="AJ340" s="64"/>
      <c r="AK340" s="44"/>
      <c r="AM340" s="49"/>
      <c r="AN340" s="49"/>
      <c r="AO340" s="49"/>
      <c r="AP340" s="49"/>
      <c r="AQ340" s="49"/>
      <c r="AR340" s="40"/>
      <c r="AS340" s="51"/>
      <c r="AU340" s="49"/>
      <c r="AW340" s="52"/>
      <c r="BA340" s="2"/>
      <c r="BB340" s="2"/>
      <c r="BC340" s="101"/>
      <c r="BD340" s="101"/>
    </row>
    <row r="341" spans="1:56" s="84" customFormat="1" x14ac:dyDescent="0.35">
      <c r="B341" s="30" t="str">
        <f>IF(B267="","",B267)</f>
        <v>Pellerin, Pierre</v>
      </c>
      <c r="C341" s="31"/>
      <c r="D341" s="32"/>
      <c r="E341" s="33">
        <f t="shared" si="158"/>
        <v>93595935</v>
      </c>
      <c r="F341" s="50">
        <f>B305</f>
        <v>14</v>
      </c>
      <c r="G341" s="69"/>
      <c r="H341" s="70"/>
      <c r="I341" s="104"/>
      <c r="J341" s="103">
        <v>8</v>
      </c>
      <c r="K341" s="104"/>
      <c r="L341" s="103">
        <v>8</v>
      </c>
      <c r="M341" s="104"/>
      <c r="N341" s="103">
        <v>8</v>
      </c>
      <c r="O341" s="104"/>
      <c r="P341" s="103">
        <v>8</v>
      </c>
      <c r="Q341" s="104"/>
      <c r="R341" s="103">
        <v>8</v>
      </c>
      <c r="S341" s="69"/>
      <c r="T341" s="70"/>
      <c r="U341" s="71">
        <f t="shared" ref="U341" si="173">SUM(G341:T341)</f>
        <v>40</v>
      </c>
      <c r="V341" s="72"/>
      <c r="W341" s="69"/>
      <c r="X341" s="70"/>
      <c r="Y341" s="104"/>
      <c r="Z341" s="103">
        <v>8</v>
      </c>
      <c r="AA341" s="104"/>
      <c r="AB341" s="103">
        <v>8</v>
      </c>
      <c r="AC341" s="104"/>
      <c r="AD341" s="103">
        <v>8</v>
      </c>
      <c r="AE341" s="104"/>
      <c r="AF341" s="103">
        <v>8</v>
      </c>
      <c r="AG341" s="104"/>
      <c r="AH341" s="103">
        <v>8</v>
      </c>
      <c r="AI341" s="69"/>
      <c r="AJ341" s="70"/>
      <c r="AK341" s="71">
        <f>SUM(Z341:AH341)</f>
        <v>40</v>
      </c>
      <c r="AL341" s="72"/>
      <c r="AM341" s="73">
        <f>SUMIF($G340:$T340,"",$G341:$T341)+SUMIF($W340:$AJ340,"",$W341:$AJ341)-AN341</f>
        <v>64</v>
      </c>
      <c r="AN341" s="88">
        <f>IF(SUMIF($G340:$T340,"",$G341:$T341)+SUMIF($G340:$T340,"F",$G341:$T341)+SUMIF($G340:$T340,"V",$G341:$T341)-40&lt;0,0,SUMIF($G340:$T340,"",$G341:$T341)+SUMIF($G340:$T340,"F",$G341:$T341)+SUMIF($G340:$T340,"V",$G341:$T341)-($U$9/2))+IF(SUMIF($W340:$AJ340,"",$W341:$AJ341)+SUMIF($W340:$AJ340,"F",$W341:$AJ341)+SUMIF($W340:$AJ340,"V",$W341:$AJ341)-40&lt;0,0,SUMIF($W340:$AJ340,"",$W341:$AJ341)+SUMIF($W340:$AJ340,"F",$W341:$AJ341)+SUMIF($W340:$AJ340,"V",$W341:$AJ341)-($U$9/2))</f>
        <v>0</v>
      </c>
      <c r="AO341" s="73">
        <f>SUMIF($G340:$T340,"M",$G341:$T341)+SUMIF($W340:$AJ340,"M",$W341:$AJ341)</f>
        <v>0</v>
      </c>
      <c r="AP341" s="73">
        <f>SUMIF($G340:$T340,"F",$G341:$T341)+SUMIF($W340:$AJ340,"F",$W341:$AJ341)</f>
        <v>16</v>
      </c>
      <c r="AQ341" s="73">
        <f>SUMIF($G340:$T340,"V",$G341:$T341)+SUMIF($W340:$AJ340,"V",$W341:$AJ341)</f>
        <v>0</v>
      </c>
      <c r="AR341" s="74">
        <f>SUMIF($G340:$T340,"O",$G341:$T341)+SUMIF($W340:$AJ340,"O",$W341:$AJ341)</f>
        <v>0</v>
      </c>
      <c r="AS341" s="75">
        <f>SUM(AM341:AR341)</f>
        <v>80</v>
      </c>
      <c r="AT341" s="72"/>
      <c r="AU341" s="73">
        <f>SUMIF($G340:$T340,"A",$G341:$T341)+SUMIF($W340:$AJ340,"A",$W341:$AJ341)</f>
        <v>0</v>
      </c>
      <c r="AV341" s="72"/>
      <c r="AW341" s="76">
        <f>IF(B341="",0,IF($U$9="",0,$U$9))</f>
        <v>80</v>
      </c>
      <c r="BA341" s="2"/>
      <c r="BB341" s="2"/>
      <c r="BC341" s="101"/>
      <c r="BD341" s="101"/>
    </row>
    <row r="342" spans="1:56" s="84" customFormat="1" x14ac:dyDescent="0.35">
      <c r="B342" s="26"/>
      <c r="C342" s="27"/>
      <c r="D342" s="28">
        <f>IF(D268="","",D268)</f>
        <v>81043</v>
      </c>
      <c r="E342" s="29" t="str">
        <f t="shared" si="158"/>
        <v/>
      </c>
      <c r="F342" s="50">
        <f>B305</f>
        <v>14</v>
      </c>
      <c r="G342" s="59"/>
      <c r="H342" s="64"/>
      <c r="I342" s="106"/>
      <c r="J342" s="105"/>
      <c r="K342" s="106"/>
      <c r="L342" s="105"/>
      <c r="M342" s="106"/>
      <c r="N342" s="105"/>
      <c r="O342" s="106"/>
      <c r="P342" s="105" t="s">
        <v>13</v>
      </c>
      <c r="Q342" s="106"/>
      <c r="R342" s="105" t="s">
        <v>1</v>
      </c>
      <c r="S342" s="59"/>
      <c r="T342" s="64"/>
      <c r="U342" s="44"/>
      <c r="W342" s="59"/>
      <c r="X342" s="64"/>
      <c r="Y342" s="106"/>
      <c r="Z342" s="105"/>
      <c r="AA342" s="106"/>
      <c r="AB342" s="105"/>
      <c r="AC342" s="106"/>
      <c r="AD342" s="105"/>
      <c r="AE342" s="106"/>
      <c r="AF342" s="105"/>
      <c r="AG342" s="106"/>
      <c r="AH342" s="105" t="s">
        <v>13</v>
      </c>
      <c r="AI342" s="59"/>
      <c r="AJ342" s="64"/>
      <c r="AK342" s="44"/>
      <c r="AM342" s="49"/>
      <c r="AN342" s="49"/>
      <c r="AO342" s="49"/>
      <c r="AP342" s="49"/>
      <c r="AQ342" s="49"/>
      <c r="AR342" s="40"/>
      <c r="AS342" s="51"/>
      <c r="AU342" s="49"/>
      <c r="AW342" s="52"/>
      <c r="BA342" s="2"/>
      <c r="BB342" s="2"/>
      <c r="BC342" s="101"/>
      <c r="BD342" s="101"/>
    </row>
    <row r="343" spans="1:56" s="84" customFormat="1" x14ac:dyDescent="0.35">
      <c r="B343" s="30" t="str">
        <f>IF(B269="","",B269)</f>
        <v>Rodrigue, Frank</v>
      </c>
      <c r="C343" s="31"/>
      <c r="D343" s="32"/>
      <c r="E343" s="33">
        <f t="shared" ref="E343:E359" si="174">IF(E269="","",E269)</f>
        <v>93545</v>
      </c>
      <c r="F343" s="50">
        <f>B305</f>
        <v>14</v>
      </c>
      <c r="G343" s="69"/>
      <c r="H343" s="70"/>
      <c r="I343" s="104"/>
      <c r="J343" s="103">
        <v>8</v>
      </c>
      <c r="K343" s="104"/>
      <c r="L343" s="103">
        <v>8</v>
      </c>
      <c r="M343" s="104"/>
      <c r="N343" s="103">
        <v>8</v>
      </c>
      <c r="O343" s="104"/>
      <c r="P343" s="103">
        <v>8</v>
      </c>
      <c r="Q343" s="104"/>
      <c r="R343" s="103">
        <v>8</v>
      </c>
      <c r="S343" s="69"/>
      <c r="T343" s="70"/>
      <c r="U343" s="71">
        <f t="shared" ref="U343" si="175">SUM(G343:T343)</f>
        <v>40</v>
      </c>
      <c r="V343" s="72"/>
      <c r="W343" s="69"/>
      <c r="X343" s="70"/>
      <c r="Y343" s="104"/>
      <c r="Z343" s="103">
        <v>8</v>
      </c>
      <c r="AA343" s="104"/>
      <c r="AB343" s="103">
        <v>8</v>
      </c>
      <c r="AC343" s="104"/>
      <c r="AD343" s="103">
        <v>8</v>
      </c>
      <c r="AE343" s="104"/>
      <c r="AF343" s="103">
        <v>8</v>
      </c>
      <c r="AG343" s="104"/>
      <c r="AH343" s="103">
        <v>8</v>
      </c>
      <c r="AI343" s="69"/>
      <c r="AJ343" s="70"/>
      <c r="AK343" s="71">
        <f>SUM(W343:AJ343)</f>
        <v>40</v>
      </c>
      <c r="AL343" s="72"/>
      <c r="AM343" s="73">
        <f>SUMIF($G342:$T342,"",$G343:$T343)+SUMIF($W342:$AJ342,"",$W343:$AJ343)-AN343</f>
        <v>56</v>
      </c>
      <c r="AN343" s="88">
        <f>IF(SUMIF($G342:$T342,"",$G343:$T343)+SUMIF($G342:$T342,"F",$G343:$T343)+SUMIF($G342:$T342,"V",$G343:$T343)-40&lt;0,0,SUMIF($G342:$T342,"",$G343:$T343)+SUMIF($G342:$T342,"F",$G343:$T343)+SUMIF($G342:$T342,"V",$G343:$T343)-($U$9/2))+IF(SUMIF($W342:$AJ342,"",$W343:$AJ343)+SUMIF($W342:$AJ342,"F",$W343:$AJ343)+SUMIF($W342:$AJ342,"V",$W343:$AJ343)-40&lt;0,0,SUMIF($W342:$AJ342,"",$W343:$AJ343)+SUMIF($W342:$AJ342,"F",$W343:$AJ343)+SUMIF($W342:$AJ342,"V",$W343:$AJ343)-($U$9/2))</f>
        <v>0</v>
      </c>
      <c r="AO343" s="73">
        <f>SUMIF($G342:$T342,"M",$G343:$T343)+SUMIF($W342:$AJ342,"M",$W343:$AJ343)</f>
        <v>0</v>
      </c>
      <c r="AP343" s="73">
        <f>SUMIF($G342:$T342,"F",$G343:$T343)+SUMIF($W342:$AJ342,"F",$W343:$AJ343)</f>
        <v>16</v>
      </c>
      <c r="AQ343" s="73">
        <f>SUMIF($G342:$T342,"V",$G343:$T343)+SUMIF($W342:$AJ342,"V",$W343:$AJ343)</f>
        <v>8</v>
      </c>
      <c r="AR343" s="74">
        <f>SUMIF($G342:$T342,"O",$G343:$T343)+SUMIF($W342:$AJ342,"O",$W343:$AJ343)</f>
        <v>0</v>
      </c>
      <c r="AS343" s="75">
        <f>SUM(AM343:AR343)</f>
        <v>80</v>
      </c>
      <c r="AT343" s="72"/>
      <c r="AU343" s="73">
        <f>SUMIF($G342:$T342,"A",$G343:$T343)+SUMIF($W342:$AJ342,"A",$W343:$AJ343)</f>
        <v>0</v>
      </c>
      <c r="AV343" s="72"/>
      <c r="AW343" s="76">
        <f>IF(B343="",0,IF($U$9="",0,$U$9))</f>
        <v>80</v>
      </c>
      <c r="BA343" s="2"/>
      <c r="BB343" s="2"/>
      <c r="BC343" s="101"/>
      <c r="BD343" s="101"/>
    </row>
    <row r="344" spans="1:56" s="84" customFormat="1" x14ac:dyDescent="0.35">
      <c r="B344" s="26"/>
      <c r="C344" s="27"/>
      <c r="D344" s="28">
        <f>IF(D270="","",D270)</f>
        <v>72673</v>
      </c>
      <c r="E344" s="29" t="str">
        <f t="shared" si="174"/>
        <v/>
      </c>
      <c r="F344" s="50">
        <f>B305</f>
        <v>14</v>
      </c>
      <c r="G344" s="59"/>
      <c r="H344" s="64"/>
      <c r="I344" s="106"/>
      <c r="J344" s="105"/>
      <c r="K344" s="106"/>
      <c r="L344" s="105"/>
      <c r="M344" s="106"/>
      <c r="N344" s="105"/>
      <c r="O344" s="106"/>
      <c r="P344" s="105"/>
      <c r="Q344" s="106"/>
      <c r="R344" s="105"/>
      <c r="S344" s="59"/>
      <c r="T344" s="64"/>
      <c r="U344" s="44"/>
      <c r="W344" s="59"/>
      <c r="X344" s="64"/>
      <c r="Y344" s="106"/>
      <c r="Z344" s="105"/>
      <c r="AA344" s="106"/>
      <c r="AB344" s="105"/>
      <c r="AC344" s="106"/>
      <c r="AD344" s="105"/>
      <c r="AE344" s="106"/>
      <c r="AF344" s="105"/>
      <c r="AG344" s="106"/>
      <c r="AH344" s="105"/>
      <c r="AI344" s="59"/>
      <c r="AJ344" s="64"/>
      <c r="AK344" s="44"/>
      <c r="AM344" s="49"/>
      <c r="AN344" s="49"/>
      <c r="AO344" s="49"/>
      <c r="AP344" s="49"/>
      <c r="AQ344" s="49"/>
      <c r="AR344" s="40"/>
      <c r="AS344" s="51"/>
      <c r="AU344" s="49"/>
      <c r="AW344" s="52"/>
      <c r="BA344" s="2"/>
      <c r="BB344" s="2"/>
      <c r="BC344" s="101"/>
      <c r="BD344" s="101"/>
    </row>
    <row r="345" spans="1:56" s="84" customFormat="1" x14ac:dyDescent="0.35">
      <c r="B345" s="30" t="str">
        <f>IF(B271="","",B271)</f>
        <v>St-Georges, Manuel (avance $2,000)</v>
      </c>
      <c r="C345" s="31"/>
      <c r="D345" s="32"/>
      <c r="E345" s="33">
        <f t="shared" si="174"/>
        <v>93595935</v>
      </c>
      <c r="F345" s="50">
        <f>B305</f>
        <v>14</v>
      </c>
      <c r="G345" s="69"/>
      <c r="H345" s="70"/>
      <c r="I345" s="104"/>
      <c r="J345" s="103" t="s">
        <v>69</v>
      </c>
      <c r="K345" s="104"/>
      <c r="L345" s="103" t="s">
        <v>69</v>
      </c>
      <c r="M345" s="104"/>
      <c r="N345" s="103" t="s">
        <v>69</v>
      </c>
      <c r="O345" s="104"/>
      <c r="P345" s="103" t="s">
        <v>69</v>
      </c>
      <c r="Q345" s="104"/>
      <c r="R345" s="103" t="s">
        <v>69</v>
      </c>
      <c r="S345" s="69"/>
      <c r="T345" s="70"/>
      <c r="U345" s="71">
        <f t="shared" ref="U345" si="176">SUM(G345:T345)</f>
        <v>0</v>
      </c>
      <c r="V345" s="72"/>
      <c r="W345" s="69"/>
      <c r="X345" s="70"/>
      <c r="Y345" s="104"/>
      <c r="Z345" s="103" t="s">
        <v>69</v>
      </c>
      <c r="AA345" s="104"/>
      <c r="AB345" s="103" t="s">
        <v>69</v>
      </c>
      <c r="AC345" s="104"/>
      <c r="AD345" s="103" t="s">
        <v>69</v>
      </c>
      <c r="AE345" s="104"/>
      <c r="AF345" s="103" t="s">
        <v>69</v>
      </c>
      <c r="AG345" s="104"/>
      <c r="AH345" s="103" t="s">
        <v>69</v>
      </c>
      <c r="AI345" s="69"/>
      <c r="AJ345" s="70"/>
      <c r="AK345" s="71">
        <f>SUM(W345:AJ345)</f>
        <v>0</v>
      </c>
      <c r="AL345" s="72"/>
      <c r="AM345" s="73">
        <f>SUMIF($G344:$T344,"",$G345:$T345)+SUMIF($W344:$AJ344,"",$W345:$AJ345)-AN345</f>
        <v>0</v>
      </c>
      <c r="AN345" s="88">
        <f>IF(SUMIF($G344:$T344,"",$G345:$T345)+SUMIF($G344:$T344,"F",$G345:$T345)+SUMIF($G344:$T344,"V",$G345:$T345)-40&lt;0,0,SUMIF($G344:$T344,"",$G345:$T345)+SUMIF($G344:$T344,"F",$G345:$T345)+SUMIF($G344:$T344,"V",$G345:$T345)-($U$9/2))+IF(SUMIF($W344:$AJ344,"",$W345:$AJ345)+SUMIF($W344:$AJ344,"F",$W345:$AJ345)+SUMIF($W344:$AJ344,"V",$W345:$AJ345)-40&lt;0,0,SUMIF($W344:$AJ344,"",$W345:$AJ345)+SUMIF($W344:$AJ344,"F",$W345:$AJ345)+SUMIF($W344:$AJ344,"V",$W345:$AJ345)-($U$9/2))</f>
        <v>0</v>
      </c>
      <c r="AO345" s="73">
        <f>SUMIF($G344:$T344,"M",$G345:$T345)+SUMIF($W344:$AJ344,"M",$W345:$AJ345)</f>
        <v>0</v>
      </c>
      <c r="AP345" s="73">
        <f>SUMIF($G344:$T344,"F",$G345:$T345)+SUMIF($W344:$AJ344,"F",$W345:$AJ345)</f>
        <v>0</v>
      </c>
      <c r="AQ345" s="73">
        <f>SUMIF($G344:$T344,"V",$G345:$T345)+SUMIF($W344:$AJ344,"V",$W345:$AJ345)</f>
        <v>0</v>
      </c>
      <c r="AR345" s="74">
        <f>SUMIF($G344:$T344,"O",$G345:$T345)+SUMIF($W344:$AJ344,"O",$W345:$AJ345)</f>
        <v>0</v>
      </c>
      <c r="AS345" s="75">
        <f>SUM(AM345:AR345)</f>
        <v>0</v>
      </c>
      <c r="AT345" s="72"/>
      <c r="AU345" s="73">
        <f>SUMIF($G344:$T344,"A",$G345:$T345)+SUMIF($W344:$AJ344,"A",$W345:$AJ345)</f>
        <v>0</v>
      </c>
      <c r="AV345" s="72"/>
      <c r="AW345" s="76">
        <f>IF(B345="",0,IF($U$9="",0,$U$9))</f>
        <v>80</v>
      </c>
      <c r="BA345" s="2"/>
      <c r="BB345" s="2"/>
      <c r="BC345" s="101"/>
      <c r="BD345" s="101"/>
    </row>
    <row r="346" spans="1:56" s="84" customFormat="1" x14ac:dyDescent="0.35">
      <c r="B346" s="26"/>
      <c r="C346" s="27"/>
      <c r="D346" s="28"/>
      <c r="E346" s="29" t="str">
        <f t="shared" si="174"/>
        <v/>
      </c>
      <c r="F346" s="50">
        <f>B305</f>
        <v>14</v>
      </c>
      <c r="G346" s="59"/>
      <c r="H346" s="64"/>
      <c r="I346" s="106"/>
      <c r="J346" s="105"/>
      <c r="K346" s="106"/>
      <c r="L346" s="105"/>
      <c r="M346" s="106"/>
      <c r="N346" s="105"/>
      <c r="O346" s="106"/>
      <c r="P346" s="105"/>
      <c r="Q346" s="106"/>
      <c r="R346" s="105"/>
      <c r="S346" s="59"/>
      <c r="T346" s="64"/>
      <c r="U346" s="44"/>
      <c r="W346" s="59"/>
      <c r="X346" s="64"/>
      <c r="Y346" s="106"/>
      <c r="Z346" s="105"/>
      <c r="AA346" s="106"/>
      <c r="AB346" s="105"/>
      <c r="AC346" s="106"/>
      <c r="AD346" s="105"/>
      <c r="AE346" s="106"/>
      <c r="AF346" s="105"/>
      <c r="AG346" s="106"/>
      <c r="AH346" s="105"/>
      <c r="AI346" s="59"/>
      <c r="AJ346" s="64"/>
      <c r="AK346" s="44"/>
      <c r="AM346" s="49"/>
      <c r="AN346" s="49"/>
      <c r="AO346" s="49"/>
      <c r="AP346" s="49"/>
      <c r="AQ346" s="49"/>
      <c r="AR346" s="40"/>
      <c r="AS346" s="51"/>
      <c r="AU346" s="49"/>
      <c r="AW346" s="52"/>
      <c r="BA346" s="2"/>
      <c r="BB346" s="2"/>
      <c r="BC346" s="101"/>
      <c r="BD346" s="101"/>
    </row>
    <row r="347" spans="1:56" s="84" customFormat="1" x14ac:dyDescent="0.35">
      <c r="B347" s="30"/>
      <c r="C347" s="31"/>
      <c r="D347" s="32"/>
      <c r="E347" s="33"/>
      <c r="F347" s="50">
        <f>B305</f>
        <v>14</v>
      </c>
      <c r="G347" s="69"/>
      <c r="H347" s="70"/>
      <c r="I347" s="104"/>
      <c r="J347" s="103"/>
      <c r="K347" s="104"/>
      <c r="L347" s="103"/>
      <c r="M347" s="104"/>
      <c r="N347" s="103"/>
      <c r="O347" s="104"/>
      <c r="P347" s="103"/>
      <c r="Q347" s="104"/>
      <c r="R347" s="103"/>
      <c r="S347" s="69"/>
      <c r="T347" s="70"/>
      <c r="U347" s="71">
        <f t="shared" ref="U347" si="177">SUM(G347:T347)</f>
        <v>0</v>
      </c>
      <c r="V347" s="72"/>
      <c r="W347" s="69"/>
      <c r="X347" s="70"/>
      <c r="Y347" s="104"/>
      <c r="Z347" s="103"/>
      <c r="AA347" s="104"/>
      <c r="AB347" s="103"/>
      <c r="AC347" s="104"/>
      <c r="AD347" s="103"/>
      <c r="AE347" s="104"/>
      <c r="AF347" s="103"/>
      <c r="AG347" s="104"/>
      <c r="AH347" s="103"/>
      <c r="AI347" s="69"/>
      <c r="AJ347" s="70"/>
      <c r="AK347" s="71">
        <f>SUM(W347:AJ347)</f>
        <v>0</v>
      </c>
      <c r="AL347" s="72"/>
      <c r="AM347" s="73">
        <f>SUMIF($G346:$T346,"",$G347:$T347)+SUMIF($W346:$AJ346,"",$W347:$AJ347)-AN347</f>
        <v>0</v>
      </c>
      <c r="AN347" s="88">
        <f>IF(SUMIF($G346:$T346,"",$G347:$T347)+SUMIF($G346:$T346,"F",$G347:$T347)+SUMIF($G346:$T346,"V",$G347:$T347)-40&lt;0,0,SUMIF($G346:$T346,"",$G347:$T347)+SUMIF($G346:$T346,"F",$G347:$T347)+SUMIF($G346:$T346,"V",$G347:$T347)-($U$9/2))+IF(SUMIF($W346:$AJ346,"",$W347:$AJ347)+SUMIF($W346:$AJ346,"F",$W347:$AJ347)+SUMIF($W346:$AJ346,"V",$W347:$AJ347)-40&lt;0,0,SUMIF($W346:$AJ346,"",$W347:$AJ347)+SUMIF($W346:$AJ346,"F",$W347:$AJ347)+SUMIF($W346:$AJ346,"V",$W347:$AJ347)-($U$9/2))</f>
        <v>0</v>
      </c>
      <c r="AO347" s="73">
        <f>SUMIF($G346:$T346,"M",$G347:$T347)+SUMIF($W346:$AJ346,"M",$W347:$AJ347)</f>
        <v>0</v>
      </c>
      <c r="AP347" s="73">
        <f>SUMIF($G346:$T346,"F",$G347:$T347)+SUMIF($W346:$AJ346,"F",$W347:$AJ347)</f>
        <v>0</v>
      </c>
      <c r="AQ347" s="73">
        <f>SUMIF($G346:$T346,"V",$G347:$T347)+SUMIF($W346:$AJ346,"V",$W347:$AJ347)</f>
        <v>0</v>
      </c>
      <c r="AR347" s="74">
        <f>SUMIF($G346:$T346,"O",$G347:$T347)+SUMIF($W346:$AJ346,"O",$W347:$AJ347)</f>
        <v>0</v>
      </c>
      <c r="AS347" s="75">
        <f>SUM(AM347:AR347)</f>
        <v>0</v>
      </c>
      <c r="AT347" s="72"/>
      <c r="AU347" s="73">
        <f>SUMIF($G346:$T346,"A",$G347:$T347)+SUMIF($W346:$AJ346,"A",$W347:$AJ347)</f>
        <v>0</v>
      </c>
      <c r="AV347" s="72"/>
      <c r="AW347" s="76">
        <f>IF(B347="",0,IF($U$9="",0,$U$9))</f>
        <v>0</v>
      </c>
      <c r="BA347" s="2"/>
      <c r="BB347" s="2"/>
      <c r="BC347" s="101"/>
      <c r="BD347" s="101"/>
    </row>
    <row r="348" spans="1:56" s="84" customFormat="1" x14ac:dyDescent="0.35">
      <c r="B348" s="26"/>
      <c r="C348" s="27"/>
      <c r="D348" s="28">
        <f>IF(D274="","",D274)</f>
        <v>23736</v>
      </c>
      <c r="E348" s="29" t="str">
        <f t="shared" si="174"/>
        <v/>
      </c>
      <c r="F348" s="50">
        <f>B305</f>
        <v>14</v>
      </c>
      <c r="G348" s="59"/>
      <c r="H348" s="64"/>
      <c r="I348" s="106"/>
      <c r="J348" s="105"/>
      <c r="K348" s="106"/>
      <c r="L348" s="105"/>
      <c r="M348" s="106"/>
      <c r="N348" s="105"/>
      <c r="O348" s="106"/>
      <c r="P348" s="105" t="s">
        <v>13</v>
      </c>
      <c r="Q348" s="106"/>
      <c r="R348" s="105"/>
      <c r="S348" s="59"/>
      <c r="T348" s="64"/>
      <c r="U348" s="44"/>
      <c r="W348" s="59"/>
      <c r="X348" s="64"/>
      <c r="Y348" s="106"/>
      <c r="Z348" s="105"/>
      <c r="AA348" s="106"/>
      <c r="AB348" s="105"/>
      <c r="AC348" s="106"/>
      <c r="AD348" s="105"/>
      <c r="AE348" s="106"/>
      <c r="AF348" s="105"/>
      <c r="AG348" s="106"/>
      <c r="AH348" s="105" t="s">
        <v>13</v>
      </c>
      <c r="AI348" s="59"/>
      <c r="AJ348" s="64"/>
      <c r="AK348" s="44"/>
      <c r="AM348" s="49"/>
      <c r="AN348" s="49"/>
      <c r="AO348" s="49"/>
      <c r="AP348" s="49"/>
      <c r="AQ348" s="49"/>
      <c r="AR348" s="40"/>
      <c r="AS348" s="51"/>
      <c r="AU348" s="49"/>
      <c r="AW348" s="52"/>
      <c r="BA348" s="2"/>
      <c r="BB348" s="2"/>
      <c r="BC348" s="101"/>
      <c r="BD348" s="101"/>
    </row>
    <row r="349" spans="1:56" s="84" customFormat="1" x14ac:dyDescent="0.35">
      <c r="B349" s="30" t="str">
        <f>IF(B275="","",B275)</f>
        <v>Voster, Jean-Michel</v>
      </c>
      <c r="C349" s="31"/>
      <c r="D349" s="32"/>
      <c r="E349" s="33">
        <f t="shared" si="174"/>
        <v>93545</v>
      </c>
      <c r="F349" s="50">
        <f>B305</f>
        <v>14</v>
      </c>
      <c r="G349" s="69"/>
      <c r="H349" s="70"/>
      <c r="I349" s="104"/>
      <c r="J349" s="103">
        <v>8</v>
      </c>
      <c r="K349" s="104"/>
      <c r="L349" s="103">
        <v>8</v>
      </c>
      <c r="M349" s="104"/>
      <c r="N349" s="103">
        <v>8</v>
      </c>
      <c r="O349" s="104"/>
      <c r="P349" s="103">
        <v>8</v>
      </c>
      <c r="Q349" s="104"/>
      <c r="R349" s="103">
        <v>7.75</v>
      </c>
      <c r="S349" s="69"/>
      <c r="T349" s="70"/>
      <c r="U349" s="71">
        <f t="shared" ref="U349" si="178">SUM(G349:T349)</f>
        <v>39.75</v>
      </c>
      <c r="V349" s="72"/>
      <c r="W349" s="69"/>
      <c r="X349" s="70"/>
      <c r="Y349" s="104"/>
      <c r="Z349" s="103">
        <v>8</v>
      </c>
      <c r="AA349" s="104"/>
      <c r="AB349" s="103">
        <v>8.25</v>
      </c>
      <c r="AC349" s="104"/>
      <c r="AD349" s="103">
        <v>8</v>
      </c>
      <c r="AE349" s="104"/>
      <c r="AF349" s="103">
        <v>8.25</v>
      </c>
      <c r="AG349" s="104"/>
      <c r="AH349" s="103">
        <v>8</v>
      </c>
      <c r="AI349" s="69"/>
      <c r="AJ349" s="70"/>
      <c r="AK349" s="71">
        <f>SUM(W349:AJ349)</f>
        <v>40.5</v>
      </c>
      <c r="AL349" s="72"/>
      <c r="AM349" s="73">
        <f>SUMIF($G348:$T348,"",$G349:$T349)+SUMIF($W348:$AJ348,"",$W349:$AJ349)-AN349</f>
        <v>63.75</v>
      </c>
      <c r="AN349" s="88">
        <f>IF(SUMIF($G348:$T348,"",$G349:$T349)+SUMIF($G348:$T348,"F",$G349:$T349)+SUMIF($G348:$T348,"V",$G349:$T349)-40&lt;0,0,SUMIF($G348:$T348,"",$G349:$T349)+SUMIF($G348:$T348,"F",$G349:$T349)+SUMIF($G348:$T348,"V",$G349:$T349)-($U$9/2))+IF(SUMIF($W348:$AJ348,"",$W349:$AJ349)+SUMIF($W348:$AJ348,"F",$W349:$AJ349)+SUMIF($W348:$AJ348,"V",$W349:$AJ349)-40&lt;0,0,SUMIF($W348:$AJ348,"",$W349:$AJ349)+SUMIF($W348:$AJ348,"F",$W349:$AJ349)+SUMIF($W348:$AJ348,"V",$W349:$AJ349)-($U$9/2))</f>
        <v>0.5</v>
      </c>
      <c r="AO349" s="73">
        <f>SUMIF($G348:$T348,"M",$G349:$T349)+SUMIF($W348:$AJ348,"M",$W349:$AJ349)</f>
        <v>0</v>
      </c>
      <c r="AP349" s="73">
        <f>SUMIF($G348:$T348,"F",$G349:$T349)+SUMIF($W348:$AJ348,"F",$W349:$AJ349)</f>
        <v>16</v>
      </c>
      <c r="AQ349" s="73">
        <f>SUMIF($G348:$T348,"V",$G349:$T349)+SUMIF($W348:$AJ348,"V",$W349:$AJ349)</f>
        <v>0</v>
      </c>
      <c r="AR349" s="74">
        <f>SUMIF($G348:$T348,"O",$G349:$T349)+SUMIF($W348:$AJ348,"O",$W349:$AJ349)</f>
        <v>0</v>
      </c>
      <c r="AS349" s="75">
        <f>SUM(AM349:AR349)</f>
        <v>80.25</v>
      </c>
      <c r="AT349" s="72"/>
      <c r="AU349" s="73">
        <f>SUMIF($G348:$T348,"A",$G349:$T349)+SUMIF($W348:$AJ348,"A",$W349:$AJ349)</f>
        <v>0</v>
      </c>
      <c r="AV349" s="72"/>
      <c r="AW349" s="76">
        <f>IF(B349="",0,IF($U$9="",0,$U$9))</f>
        <v>80</v>
      </c>
      <c r="BA349" s="2"/>
      <c r="BB349" s="2"/>
      <c r="BC349" s="101"/>
      <c r="BD349" s="101"/>
    </row>
    <row r="350" spans="1:56" s="53" customFormat="1" ht="15" customHeight="1" x14ac:dyDescent="0.35">
      <c r="A350" s="84"/>
      <c r="B350" s="26"/>
      <c r="C350" s="27"/>
      <c r="D350" s="28" t="str">
        <f>IF(D276="","",D276)</f>
        <v/>
      </c>
      <c r="E350" s="29" t="str">
        <f t="shared" si="174"/>
        <v/>
      </c>
      <c r="F350" s="50">
        <f>B305</f>
        <v>14</v>
      </c>
      <c r="G350" s="59"/>
      <c r="H350" s="64"/>
      <c r="I350" s="106"/>
      <c r="J350" s="105"/>
      <c r="K350" s="106"/>
      <c r="L350" s="105"/>
      <c r="M350" s="106"/>
      <c r="N350" s="105"/>
      <c r="O350" s="106"/>
      <c r="P350" s="105"/>
      <c r="Q350" s="106"/>
      <c r="R350" s="105"/>
      <c r="S350" s="59"/>
      <c r="T350" s="64"/>
      <c r="U350" s="44"/>
      <c r="V350" s="84"/>
      <c r="W350" s="59"/>
      <c r="X350" s="64"/>
      <c r="Y350" s="106"/>
      <c r="Z350" s="105"/>
      <c r="AA350" s="106"/>
      <c r="AB350" s="105"/>
      <c r="AC350" s="106"/>
      <c r="AD350" s="105"/>
      <c r="AE350" s="106"/>
      <c r="AF350" s="105"/>
      <c r="AG350" s="106"/>
      <c r="AH350" s="105"/>
      <c r="AI350" s="59"/>
      <c r="AJ350" s="64"/>
      <c r="AK350" s="44"/>
      <c r="AL350" s="84"/>
      <c r="AM350" s="49"/>
      <c r="AN350" s="49"/>
      <c r="AO350" s="49"/>
      <c r="AP350" s="49"/>
      <c r="AQ350" s="49"/>
      <c r="AR350" s="40"/>
      <c r="AS350" s="51"/>
      <c r="AT350" s="84"/>
      <c r="AU350" s="49"/>
      <c r="AV350" s="84"/>
      <c r="AW350" s="52"/>
      <c r="AX350" s="84"/>
      <c r="BA350" s="2"/>
      <c r="BB350" s="2"/>
      <c r="BC350" s="101"/>
      <c r="BD350" s="101"/>
    </row>
    <row r="351" spans="1:56" s="57" customFormat="1" ht="15" customHeight="1" x14ac:dyDescent="0.35">
      <c r="A351" s="84"/>
      <c r="B351" s="30" t="str">
        <f>IF(B277="","",B277)</f>
        <v/>
      </c>
      <c r="C351" s="31"/>
      <c r="D351" s="32"/>
      <c r="E351" s="33" t="str">
        <f t="shared" si="174"/>
        <v/>
      </c>
      <c r="F351" s="50">
        <f>B305</f>
        <v>14</v>
      </c>
      <c r="G351" s="69"/>
      <c r="H351" s="70"/>
      <c r="I351" s="104"/>
      <c r="J351" s="103"/>
      <c r="K351" s="104"/>
      <c r="L351" s="103"/>
      <c r="M351" s="104"/>
      <c r="N351" s="103"/>
      <c r="O351" s="104"/>
      <c r="P351" s="103"/>
      <c r="Q351" s="104"/>
      <c r="R351" s="103"/>
      <c r="S351" s="69"/>
      <c r="T351" s="70"/>
      <c r="U351" s="71">
        <f t="shared" ref="U351" si="179">SUM(G351:T351)</f>
        <v>0</v>
      </c>
      <c r="V351" s="72"/>
      <c r="W351" s="69"/>
      <c r="X351" s="70"/>
      <c r="Y351" s="104"/>
      <c r="Z351" s="103"/>
      <c r="AA351" s="104"/>
      <c r="AB351" s="103"/>
      <c r="AC351" s="104"/>
      <c r="AD351" s="103"/>
      <c r="AE351" s="104"/>
      <c r="AF351" s="103"/>
      <c r="AG351" s="104"/>
      <c r="AH351" s="103"/>
      <c r="AI351" s="69"/>
      <c r="AJ351" s="70"/>
      <c r="AK351" s="71">
        <f>SUM(W351:AJ351)</f>
        <v>0</v>
      </c>
      <c r="AL351" s="72"/>
      <c r="AM351" s="73">
        <f>SUMIF($G350:$T350,"",$G351:$T351)+SUMIF($W350:$AJ350,"",$W351:$AJ351)-AN351</f>
        <v>0</v>
      </c>
      <c r="AN351" s="88">
        <f>IF(SUMIF($G350:$T350,"",$G351:$T351)+SUMIF($G350:$T350,"F",$G351:$T351)+SUMIF($G350:$T350,"V",$G351:$T351)-40&lt;0,0,SUMIF($G350:$T350,"",$G351:$T351)+SUMIF($G350:$T350,"F",$G351:$T351)+SUMIF($G350:$T350,"V",$G351:$T351)-($U$9/2))+IF(SUMIF($W350:$AJ350,"",$W351:$AJ351)+SUMIF($W350:$AJ350,"F",$W351:$AJ351)+SUMIF($W350:$AJ350,"V",$W351:$AJ351)-40&lt;0,0,SUMIF($W350:$AJ350,"",$W351:$AJ351)+SUMIF($W350:$AJ350,"F",$W351:$AJ351)+SUMIF($W350:$AJ350,"V",$W351:$AJ351)-($U$9/2))</f>
        <v>0</v>
      </c>
      <c r="AO351" s="73">
        <f>SUMIF($G350:$T350,"M",$G351:$T351)+SUMIF($W350:$AJ350,"M",$W351:$AJ351)</f>
        <v>0</v>
      </c>
      <c r="AP351" s="73">
        <f>SUMIF($G350:$T350,"F",$G351:$T351)+SUMIF($W350:$AJ350,"F",$W351:$AJ351)</f>
        <v>0</v>
      </c>
      <c r="AQ351" s="73">
        <f>SUMIF($G350:$T350,"V",$G351:$T351)+SUMIF($W350:$AJ350,"V",$W351:$AJ351)</f>
        <v>0</v>
      </c>
      <c r="AR351" s="74">
        <f>SUMIF($G350:$T350,"O",$G351:$T351)+SUMIF($W350:$AJ350,"O",$W351:$AJ351)</f>
        <v>0</v>
      </c>
      <c r="AS351" s="75">
        <f>SUM(AM351:AR351)</f>
        <v>0</v>
      </c>
      <c r="AT351" s="72"/>
      <c r="AU351" s="73">
        <f>SUMIF($G350:$T350,"A",$G351:$T351)+SUMIF($W350:$AJ350,"A",$W351:$AJ351)</f>
        <v>0</v>
      </c>
      <c r="AV351" s="72"/>
      <c r="AW351" s="76">
        <f>IF(B351="",0,IF($U$9="",0,$U$9))</f>
        <v>0</v>
      </c>
      <c r="AX351" s="84"/>
      <c r="BA351" s="2"/>
      <c r="BB351" s="2"/>
      <c r="BC351" s="101"/>
      <c r="BD351" s="101"/>
    </row>
    <row r="352" spans="1:56" s="53" customFormat="1" ht="15" customHeight="1" x14ac:dyDescent="0.35">
      <c r="A352" s="84"/>
      <c r="B352" s="26"/>
      <c r="C352" s="27"/>
      <c r="D352" s="28" t="str">
        <f>IF(D278="","",D278)</f>
        <v/>
      </c>
      <c r="E352" s="29" t="str">
        <f t="shared" si="174"/>
        <v/>
      </c>
      <c r="F352" s="50">
        <f>B305</f>
        <v>14</v>
      </c>
      <c r="G352" s="59"/>
      <c r="H352" s="64"/>
      <c r="I352" s="106"/>
      <c r="J352" s="105"/>
      <c r="K352" s="106"/>
      <c r="L352" s="105"/>
      <c r="M352" s="106"/>
      <c r="N352" s="105"/>
      <c r="O352" s="106"/>
      <c r="P352" s="105"/>
      <c r="Q352" s="106"/>
      <c r="R352" s="105"/>
      <c r="S352" s="59"/>
      <c r="T352" s="64"/>
      <c r="U352" s="44"/>
      <c r="V352" s="84"/>
      <c r="W352" s="59"/>
      <c r="X352" s="64"/>
      <c r="Y352" s="106"/>
      <c r="Z352" s="105"/>
      <c r="AA352" s="106"/>
      <c r="AB352" s="105"/>
      <c r="AC352" s="106"/>
      <c r="AD352" s="105"/>
      <c r="AE352" s="106"/>
      <c r="AF352" s="105"/>
      <c r="AG352" s="106"/>
      <c r="AH352" s="105"/>
      <c r="AI352" s="59"/>
      <c r="AJ352" s="64"/>
      <c r="AK352" s="44"/>
      <c r="AL352" s="84"/>
      <c r="AM352" s="49"/>
      <c r="AN352" s="49"/>
      <c r="AO352" s="49"/>
      <c r="AP352" s="49"/>
      <c r="AQ352" s="49"/>
      <c r="AR352" s="40"/>
      <c r="AS352" s="51"/>
      <c r="AT352" s="84"/>
      <c r="AU352" s="49"/>
      <c r="AV352" s="84"/>
      <c r="AW352" s="52"/>
      <c r="AX352" s="84"/>
      <c r="BA352" s="2"/>
      <c r="BB352" s="2"/>
      <c r="BC352" s="101"/>
      <c r="BD352" s="101"/>
    </row>
    <row r="353" spans="1:56" s="53" customFormat="1" x14ac:dyDescent="0.35">
      <c r="A353" s="84"/>
      <c r="B353" s="30" t="str">
        <f>IF(B279="","",B279)</f>
        <v/>
      </c>
      <c r="C353" s="31"/>
      <c r="D353" s="32"/>
      <c r="E353" s="33" t="str">
        <f t="shared" si="174"/>
        <v/>
      </c>
      <c r="F353" s="50">
        <f>B305</f>
        <v>14</v>
      </c>
      <c r="G353" s="69"/>
      <c r="H353" s="70"/>
      <c r="I353" s="104"/>
      <c r="J353" s="103"/>
      <c r="K353" s="104"/>
      <c r="L353" s="103"/>
      <c r="M353" s="104"/>
      <c r="N353" s="103"/>
      <c r="O353" s="104"/>
      <c r="P353" s="103"/>
      <c r="Q353" s="104"/>
      <c r="R353" s="103"/>
      <c r="S353" s="69"/>
      <c r="T353" s="70"/>
      <c r="U353" s="71">
        <f t="shared" ref="U353" si="180">SUM(G353:T353)</f>
        <v>0</v>
      </c>
      <c r="V353" s="72"/>
      <c r="W353" s="69"/>
      <c r="X353" s="70"/>
      <c r="Y353" s="104"/>
      <c r="Z353" s="103"/>
      <c r="AA353" s="104"/>
      <c r="AB353" s="103"/>
      <c r="AC353" s="104"/>
      <c r="AD353" s="103"/>
      <c r="AE353" s="104"/>
      <c r="AF353" s="103"/>
      <c r="AG353" s="104"/>
      <c r="AH353" s="103"/>
      <c r="AI353" s="69"/>
      <c r="AJ353" s="70"/>
      <c r="AK353" s="71">
        <f>SUM(W353:AJ353)</f>
        <v>0</v>
      </c>
      <c r="AL353" s="72"/>
      <c r="AM353" s="73">
        <f>SUMIF($G352:$T352,"",$G353:$T353)+SUMIF($W352:$AJ352,"",$W353:$AJ353)-AN353</f>
        <v>0</v>
      </c>
      <c r="AN353" s="88">
        <f>IF(SUMIF($G352:$T352,"",$G353:$T353)+SUMIF($G352:$T352,"F",$G353:$T353)+SUMIF($G352:$T352,"V",$G353:$T353)-40&lt;0,0,SUMIF($G352:$T352,"",$G353:$T353)+SUMIF($G352:$T352,"F",$G353:$T353)+SUMIF($G352:$T352,"V",$G353:$T353)-($U$9/2))+IF(SUMIF($W352:$AJ352,"",$W353:$AJ353)+SUMIF($W352:$AJ352,"F",$W353:$AJ353)+SUMIF($W352:$AJ352,"V",$W353:$AJ353)-40&lt;0,0,SUMIF($W352:$AJ352,"",$W353:$AJ353)+SUMIF($W352:$AJ352,"F",$W353:$AJ353)+SUMIF($W352:$AJ352,"V",$W353:$AJ353)-($U$9/2))</f>
        <v>0</v>
      </c>
      <c r="AO353" s="73">
        <f>SUMIF($G352:$T352,"M",$G353:$T353)+SUMIF($W352:$AJ352,"M",$W353:$AJ353)</f>
        <v>0</v>
      </c>
      <c r="AP353" s="73">
        <f>SUMIF($G352:$T352,"F",$G353:$T353)+SUMIF($W352:$AJ352,"F",$W353:$AJ353)</f>
        <v>0</v>
      </c>
      <c r="AQ353" s="73">
        <f>SUMIF($G352:$T352,"V",$G353:$T353)+SUMIF($W352:$AJ352,"V",$W353:$AJ353)</f>
        <v>0</v>
      </c>
      <c r="AR353" s="74">
        <f>SUMIF($G352:$T352,"O",$G353:$T353)+SUMIF($W352:$AJ352,"O",$W353:$AJ353)</f>
        <v>0</v>
      </c>
      <c r="AS353" s="75">
        <f>SUM(AM353:AR353)</f>
        <v>0</v>
      </c>
      <c r="AT353" s="72"/>
      <c r="AU353" s="73">
        <f>SUMIF($G352:$T352,"A",$G353:$T353)+SUMIF($W352:$AJ352,"A",$W353:$AJ353)</f>
        <v>0</v>
      </c>
      <c r="AV353" s="72"/>
      <c r="AW353" s="76">
        <f>IF(B353="",0,IF($U$9="",0,$U$9))</f>
        <v>0</v>
      </c>
      <c r="AX353" s="84"/>
      <c r="BA353" s="2"/>
      <c r="BB353" s="2"/>
      <c r="BC353" s="101"/>
      <c r="BD353" s="101"/>
    </row>
    <row r="354" spans="1:56" s="53" customFormat="1" x14ac:dyDescent="0.35">
      <c r="A354" s="84"/>
      <c r="B354" s="26"/>
      <c r="C354" s="27"/>
      <c r="D354" s="28" t="str">
        <f>IF(D280="","",D280)</f>
        <v/>
      </c>
      <c r="E354" s="29" t="str">
        <f t="shared" si="174"/>
        <v/>
      </c>
      <c r="F354" s="50">
        <f>B305</f>
        <v>14</v>
      </c>
      <c r="G354" s="59"/>
      <c r="H354" s="64"/>
      <c r="I354" s="58"/>
      <c r="J354" s="65"/>
      <c r="K354" s="58"/>
      <c r="L354" s="65"/>
      <c r="M354" s="58"/>
      <c r="N354" s="65"/>
      <c r="O354" s="58"/>
      <c r="P354" s="65"/>
      <c r="Q354" s="58"/>
      <c r="R354" s="65"/>
      <c r="S354" s="59"/>
      <c r="T354" s="64"/>
      <c r="U354" s="44"/>
      <c r="V354" s="84"/>
      <c r="W354" s="59"/>
      <c r="X354" s="64"/>
      <c r="Y354" s="58"/>
      <c r="Z354" s="65"/>
      <c r="AA354" s="58"/>
      <c r="AB354" s="65"/>
      <c r="AC354" s="58"/>
      <c r="AD354" s="65"/>
      <c r="AE354" s="58"/>
      <c r="AF354" s="65"/>
      <c r="AG354" s="58"/>
      <c r="AH354" s="65"/>
      <c r="AI354" s="59"/>
      <c r="AJ354" s="64"/>
      <c r="AK354" s="44"/>
      <c r="AL354" s="84"/>
      <c r="AM354" s="49"/>
      <c r="AN354" s="49"/>
      <c r="AO354" s="49"/>
      <c r="AP354" s="49"/>
      <c r="AQ354" s="49"/>
      <c r="AR354" s="40"/>
      <c r="AS354" s="51"/>
      <c r="AT354" s="84"/>
      <c r="AU354" s="49"/>
      <c r="AV354" s="84"/>
      <c r="AW354" s="52"/>
      <c r="AX354" s="84"/>
      <c r="BA354" s="2"/>
      <c r="BB354" s="2"/>
      <c r="BC354" s="101"/>
      <c r="BD354" s="101"/>
    </row>
    <row r="355" spans="1:56" s="53" customFormat="1" x14ac:dyDescent="0.35">
      <c r="A355" s="84"/>
      <c r="B355" s="30" t="str">
        <f>IF(B281="","",B281)</f>
        <v/>
      </c>
      <c r="C355" s="31"/>
      <c r="D355" s="32"/>
      <c r="E355" s="33" t="str">
        <f t="shared" si="174"/>
        <v/>
      </c>
      <c r="F355" s="50">
        <f>B305</f>
        <v>14</v>
      </c>
      <c r="G355" s="69"/>
      <c r="H355" s="70"/>
      <c r="I355" s="67"/>
      <c r="J355" s="68"/>
      <c r="K355" s="67"/>
      <c r="L355" s="68"/>
      <c r="M355" s="67"/>
      <c r="N355" s="68"/>
      <c r="O355" s="67"/>
      <c r="P355" s="68"/>
      <c r="Q355" s="67"/>
      <c r="R355" s="68"/>
      <c r="S355" s="69"/>
      <c r="T355" s="70"/>
      <c r="U355" s="71">
        <f t="shared" ref="U355" si="181">SUM(G355:T355)</f>
        <v>0</v>
      </c>
      <c r="V355" s="72"/>
      <c r="W355" s="69"/>
      <c r="X355" s="70"/>
      <c r="Y355" s="67"/>
      <c r="Z355" s="68"/>
      <c r="AA355" s="67"/>
      <c r="AB355" s="68"/>
      <c r="AC355" s="67"/>
      <c r="AD355" s="68"/>
      <c r="AE355" s="67"/>
      <c r="AF355" s="68"/>
      <c r="AG355" s="67"/>
      <c r="AH355" s="68"/>
      <c r="AI355" s="69"/>
      <c r="AJ355" s="70"/>
      <c r="AK355" s="71">
        <v>0</v>
      </c>
      <c r="AL355" s="72"/>
      <c r="AM355" s="73">
        <f>SUMIF($G354:$T354,"",$G355:$T355)+SUMIF($W354:$AJ354,"",$W355:$AJ355)-AN355</f>
        <v>0</v>
      </c>
      <c r="AN355" s="88">
        <f>IF(SUMIF($G354:$T354,"",$G355:$T355)+SUMIF($G354:$T354,"F",$G355:$T355)+SUMIF($G354:$T354,"V",$G355:$T355)-40&lt;0,0,SUMIF($G354:$T354,"",$G355:$T355)+SUMIF($G354:$T354,"F",$G355:$T355)+SUMIF($G354:$T354,"V",$G355:$T355)-($U$9/2))+IF(SUMIF($W354:$AJ354,"",$W355:$AJ355)+SUMIF($W354:$AJ354,"F",$W355:$AJ355)+SUMIF($W354:$AJ354,"V",$W355:$AJ355)-40&lt;0,0,SUMIF($W354:$AJ354,"",$W355:$AJ355)+SUMIF($W354:$AJ354,"F",$W355:$AJ355)+SUMIF($W354:$AJ354,"V",$W355:$AJ355)-($U$9/2))</f>
        <v>0</v>
      </c>
      <c r="AO355" s="73">
        <f>SUMIF($G354:$T354,"M",$G355:$T355)+SUMIF($W354:$AJ354,"M",$W355:$AJ355)</f>
        <v>0</v>
      </c>
      <c r="AP355" s="73">
        <f>SUMIF($G354:$T354,"F",$G355:$T355)+SUMIF($W354:$AJ354,"F",$W355:$AJ355)</f>
        <v>0</v>
      </c>
      <c r="AQ355" s="73">
        <f>SUMIF($G354:$T354,"V",$G355:$T355)+SUMIF($W354:$AJ354,"V",$W355:$AJ355)</f>
        <v>0</v>
      </c>
      <c r="AR355" s="74">
        <f>SUMIF($G354:$T354,"O",$G355:$T355)+SUMIF($W354:$AJ354,"O",$W355:$AJ355)</f>
        <v>0</v>
      </c>
      <c r="AS355" s="75">
        <f>SUM(AM355:AR355)</f>
        <v>0</v>
      </c>
      <c r="AT355" s="72"/>
      <c r="AU355" s="73">
        <f>SUMIF($G354:$T354,"A",$G355:$T355)+SUMIF($W354:$AJ354,"A",$W355:$AJ355)</f>
        <v>0</v>
      </c>
      <c r="AV355" s="72"/>
      <c r="AW355" s="76">
        <f>IF(B355="",0,IF($U$9="",0,$U$9))</f>
        <v>0</v>
      </c>
      <c r="AX355" s="84"/>
      <c r="BA355" s="2"/>
      <c r="BB355" s="2"/>
      <c r="BC355" s="101"/>
      <c r="BD355" s="101"/>
    </row>
    <row r="356" spans="1:56" s="53" customFormat="1" x14ac:dyDescent="0.35">
      <c r="A356" s="84"/>
      <c r="B356" s="26"/>
      <c r="C356" s="27"/>
      <c r="D356" s="28" t="str">
        <f>IF(D282="","",D282)</f>
        <v/>
      </c>
      <c r="E356" s="29" t="str">
        <f t="shared" si="174"/>
        <v/>
      </c>
      <c r="F356" s="50">
        <f>B305</f>
        <v>14</v>
      </c>
      <c r="G356" s="59"/>
      <c r="H356" s="64"/>
      <c r="I356" s="58"/>
      <c r="J356" s="65"/>
      <c r="K356" s="58"/>
      <c r="L356" s="65"/>
      <c r="M356" s="58"/>
      <c r="N356" s="65"/>
      <c r="O356" s="58"/>
      <c r="P356" s="65"/>
      <c r="Q356" s="58"/>
      <c r="R356" s="65"/>
      <c r="S356" s="59"/>
      <c r="T356" s="64"/>
      <c r="U356" s="44"/>
      <c r="V356" s="84"/>
      <c r="W356" s="59"/>
      <c r="X356" s="64"/>
      <c r="Y356" s="58"/>
      <c r="Z356" s="65"/>
      <c r="AA356" s="58"/>
      <c r="AB356" s="65"/>
      <c r="AC356" s="58"/>
      <c r="AD356" s="65"/>
      <c r="AE356" s="58"/>
      <c r="AF356" s="65"/>
      <c r="AG356" s="58"/>
      <c r="AH356" s="65"/>
      <c r="AI356" s="59"/>
      <c r="AJ356" s="64"/>
      <c r="AK356" s="44"/>
      <c r="AL356" s="84"/>
      <c r="AM356" s="49"/>
      <c r="AN356" s="49"/>
      <c r="AO356" s="49"/>
      <c r="AP356" s="49"/>
      <c r="AQ356" s="49"/>
      <c r="AR356" s="40"/>
      <c r="AS356" s="51"/>
      <c r="AT356" s="84"/>
      <c r="AU356" s="49"/>
      <c r="AV356" s="84"/>
      <c r="AW356" s="52"/>
      <c r="AX356" s="84"/>
      <c r="BA356" s="2"/>
      <c r="BB356" s="2"/>
      <c r="BC356" s="101"/>
      <c r="BD356" s="101"/>
    </row>
    <row r="357" spans="1:56" s="53" customFormat="1" x14ac:dyDescent="0.35">
      <c r="A357" s="84"/>
      <c r="B357" s="30" t="str">
        <f>IF(B283="","",B283)</f>
        <v/>
      </c>
      <c r="C357" s="31"/>
      <c r="D357" s="32"/>
      <c r="E357" s="33" t="str">
        <f t="shared" si="174"/>
        <v/>
      </c>
      <c r="F357" s="50">
        <f>B305</f>
        <v>14</v>
      </c>
      <c r="G357" s="69"/>
      <c r="H357" s="70"/>
      <c r="I357" s="67"/>
      <c r="J357" s="68"/>
      <c r="K357" s="67"/>
      <c r="L357" s="68"/>
      <c r="M357" s="67"/>
      <c r="N357" s="68"/>
      <c r="O357" s="67"/>
      <c r="P357" s="68"/>
      <c r="Q357" s="67"/>
      <c r="R357" s="68"/>
      <c r="S357" s="69"/>
      <c r="T357" s="70"/>
      <c r="U357" s="71">
        <f t="shared" ref="U357" si="182">SUM(G357:T357)</f>
        <v>0</v>
      </c>
      <c r="V357" s="72"/>
      <c r="W357" s="69"/>
      <c r="X357" s="70"/>
      <c r="Y357" s="67"/>
      <c r="Z357" s="68"/>
      <c r="AA357" s="67"/>
      <c r="AB357" s="68"/>
      <c r="AC357" s="67"/>
      <c r="AD357" s="68"/>
      <c r="AE357" s="67"/>
      <c r="AF357" s="68"/>
      <c r="AG357" s="67"/>
      <c r="AH357" s="68"/>
      <c r="AI357" s="69"/>
      <c r="AJ357" s="70"/>
      <c r="AK357" s="71">
        <v>0</v>
      </c>
      <c r="AL357" s="72"/>
      <c r="AM357" s="73">
        <v>0</v>
      </c>
      <c r="AN357" s="88">
        <v>0</v>
      </c>
      <c r="AO357" s="73">
        <v>0</v>
      </c>
      <c r="AP357" s="73">
        <v>0</v>
      </c>
      <c r="AQ357" s="73">
        <v>0</v>
      </c>
      <c r="AR357" s="74">
        <v>0</v>
      </c>
      <c r="AS357" s="75">
        <v>0</v>
      </c>
      <c r="AT357" s="72"/>
      <c r="AU357" s="73">
        <f>SUMIF($G356:$T356,"A",$G357:$T357)+SUMIF($W356:$AJ356,"A",$W357:$AJ357)</f>
        <v>0</v>
      </c>
      <c r="AV357" s="72"/>
      <c r="AW357" s="76">
        <f>IF(B357="",0,IF($U$9="",0,$U$9))</f>
        <v>0</v>
      </c>
      <c r="AX357" s="84"/>
      <c r="BA357" s="2"/>
      <c r="BB357" s="2"/>
      <c r="BC357" s="101"/>
      <c r="BD357" s="101"/>
    </row>
    <row r="358" spans="1:56" s="53" customFormat="1" x14ac:dyDescent="0.35">
      <c r="A358" s="84"/>
      <c r="B358" s="26"/>
      <c r="C358" s="27"/>
      <c r="D358" s="28" t="str">
        <f>IF(D284="","",D284)</f>
        <v/>
      </c>
      <c r="E358" s="29" t="str">
        <f t="shared" si="174"/>
        <v/>
      </c>
      <c r="F358" s="50">
        <f>B305</f>
        <v>14</v>
      </c>
      <c r="G358" s="59"/>
      <c r="H358" s="64"/>
      <c r="I358" s="58"/>
      <c r="J358" s="65"/>
      <c r="K358" s="58"/>
      <c r="L358" s="65"/>
      <c r="M358" s="58"/>
      <c r="N358" s="65"/>
      <c r="O358" s="58"/>
      <c r="P358" s="65"/>
      <c r="Q358" s="58"/>
      <c r="R358" s="65"/>
      <c r="S358" s="59"/>
      <c r="T358" s="64"/>
      <c r="U358" s="44"/>
      <c r="V358" s="84"/>
      <c r="W358" s="59"/>
      <c r="X358" s="64"/>
      <c r="Y358" s="58"/>
      <c r="Z358" s="65"/>
      <c r="AA358" s="58"/>
      <c r="AB358" s="65"/>
      <c r="AC358" s="58"/>
      <c r="AD358" s="65"/>
      <c r="AE358" s="58"/>
      <c r="AF358" s="65"/>
      <c r="AG358" s="58"/>
      <c r="AH358" s="65"/>
      <c r="AI358" s="59"/>
      <c r="AJ358" s="64"/>
      <c r="AK358" s="44"/>
      <c r="AL358" s="84"/>
      <c r="AM358" s="49"/>
      <c r="AN358" s="49"/>
      <c r="AO358" s="49"/>
      <c r="AP358" s="49"/>
      <c r="AQ358" s="49"/>
      <c r="AR358" s="40"/>
      <c r="AS358" s="51"/>
      <c r="AT358" s="84"/>
      <c r="AU358" s="49"/>
      <c r="AV358" s="84"/>
      <c r="AW358" s="52"/>
      <c r="AX358" s="84"/>
      <c r="BA358" s="2"/>
      <c r="BB358" s="2"/>
      <c r="BC358" s="101"/>
      <c r="BD358" s="101"/>
    </row>
    <row r="359" spans="1:56" s="53" customFormat="1" ht="15" thickBot="1" x14ac:dyDescent="0.4">
      <c r="A359" s="84"/>
      <c r="B359" s="30" t="str">
        <f>IF(B285="","",B285)</f>
        <v/>
      </c>
      <c r="C359" s="31"/>
      <c r="D359" s="32"/>
      <c r="E359" s="33" t="str">
        <f t="shared" si="174"/>
        <v/>
      </c>
      <c r="F359" s="50">
        <f>B305</f>
        <v>14</v>
      </c>
      <c r="G359" s="69"/>
      <c r="H359" s="70"/>
      <c r="I359" s="67"/>
      <c r="J359" s="68"/>
      <c r="K359" s="67"/>
      <c r="L359" s="68"/>
      <c r="M359" s="67"/>
      <c r="N359" s="68"/>
      <c r="O359" s="67"/>
      <c r="P359" s="68"/>
      <c r="Q359" s="67"/>
      <c r="R359" s="68"/>
      <c r="S359" s="69"/>
      <c r="T359" s="70"/>
      <c r="U359" s="71">
        <f t="shared" ref="U359" si="183">SUM(G359:T359)</f>
        <v>0</v>
      </c>
      <c r="V359" s="72"/>
      <c r="W359" s="69"/>
      <c r="X359" s="70"/>
      <c r="Y359" s="67"/>
      <c r="Z359" s="68"/>
      <c r="AA359" s="67"/>
      <c r="AB359" s="68"/>
      <c r="AC359" s="67"/>
      <c r="AD359" s="68"/>
      <c r="AE359" s="67"/>
      <c r="AF359" s="68"/>
      <c r="AG359" s="67"/>
      <c r="AH359" s="68"/>
      <c r="AI359" s="69"/>
      <c r="AJ359" s="70"/>
      <c r="AK359" s="71">
        <v>0</v>
      </c>
      <c r="AL359" s="72"/>
      <c r="AM359" s="73">
        <v>0</v>
      </c>
      <c r="AN359" s="88">
        <v>0</v>
      </c>
      <c r="AO359" s="73">
        <v>0</v>
      </c>
      <c r="AP359" s="73">
        <v>0</v>
      </c>
      <c r="AQ359" s="73">
        <v>0</v>
      </c>
      <c r="AR359" s="74">
        <v>0</v>
      </c>
      <c r="AS359" s="75">
        <v>0</v>
      </c>
      <c r="AT359" s="72"/>
      <c r="AU359" s="73">
        <f>SUMIF($G358:$T358,"A",$G359:$T359)+SUMIF($W358:$AJ358,"A",$W359:$AJ359)</f>
        <v>0</v>
      </c>
      <c r="AV359" s="72"/>
      <c r="AW359" s="76">
        <f>IF(B359="",0,IF($U$9="",0,$U$9))</f>
        <v>0</v>
      </c>
      <c r="AX359" s="84"/>
      <c r="BA359" s="2"/>
      <c r="BB359" s="2"/>
      <c r="BC359" s="101"/>
      <c r="BD359" s="101"/>
    </row>
    <row r="360" spans="1:56" s="53" customFormat="1" ht="27.75" customHeight="1" thickBot="1" x14ac:dyDescent="0.4">
      <c r="A360" s="84"/>
      <c r="B360" s="149" t="s">
        <v>7</v>
      </c>
      <c r="C360" s="150"/>
      <c r="D360" s="150"/>
      <c r="E360" s="151"/>
      <c r="F360" s="97"/>
      <c r="G360" s="152">
        <f>SUM(G310:H359)</f>
        <v>0</v>
      </c>
      <c r="H360" s="152"/>
      <c r="I360" s="152">
        <f>SUM(I310:J359)</f>
        <v>120</v>
      </c>
      <c r="J360" s="152"/>
      <c r="K360" s="152">
        <f>SUM(K310:L359)</f>
        <v>128</v>
      </c>
      <c r="L360" s="152"/>
      <c r="M360" s="152">
        <f>SUM(M310:N359)</f>
        <v>128</v>
      </c>
      <c r="N360" s="152"/>
      <c r="O360" s="152">
        <f>SUM(O310:P359)</f>
        <v>128</v>
      </c>
      <c r="P360" s="152"/>
      <c r="Q360" s="152">
        <f>SUM(Q310:R359)</f>
        <v>126.25</v>
      </c>
      <c r="R360" s="152"/>
      <c r="S360" s="152">
        <f>SUM(S310:T359)</f>
        <v>0</v>
      </c>
      <c r="T360" s="153"/>
      <c r="U360" s="77">
        <f>SUM(U310:U359)</f>
        <v>630.25</v>
      </c>
      <c r="V360" s="78"/>
      <c r="W360" s="152">
        <f>SUM(W310:X359)</f>
        <v>0</v>
      </c>
      <c r="X360" s="152"/>
      <c r="Y360" s="152">
        <f>SUM(Y310:Z359)</f>
        <v>128</v>
      </c>
      <c r="Z360" s="152"/>
      <c r="AA360" s="152">
        <f>SUM(AA310:AB359)</f>
        <v>128.5</v>
      </c>
      <c r="AB360" s="152"/>
      <c r="AC360" s="152">
        <f>SUM(AC310:AD359)</f>
        <v>125.5</v>
      </c>
      <c r="AD360" s="152"/>
      <c r="AE360" s="152">
        <f>SUM(AE310:AF359)</f>
        <v>129.25</v>
      </c>
      <c r="AF360" s="152"/>
      <c r="AG360" s="152">
        <f>SUM(AG310:AH359)</f>
        <v>128</v>
      </c>
      <c r="AH360" s="152"/>
      <c r="AI360" s="152">
        <f>SUM(AI310:AJ359)</f>
        <v>0</v>
      </c>
      <c r="AJ360" s="152"/>
      <c r="AK360" s="77">
        <f>SUM(AK310:AK359)</f>
        <v>639.25</v>
      </c>
      <c r="AL360" s="78"/>
      <c r="AM360" s="79">
        <f t="shared" ref="AM360:AS360" si="184">SUM(AM310:AM359)</f>
        <v>1010</v>
      </c>
      <c r="AN360" s="79">
        <f t="shared" si="184"/>
        <v>3.5</v>
      </c>
      <c r="AO360" s="79">
        <f t="shared" si="184"/>
        <v>0</v>
      </c>
      <c r="AP360" s="79">
        <f t="shared" si="184"/>
        <v>240</v>
      </c>
      <c r="AQ360" s="79">
        <f t="shared" si="184"/>
        <v>16</v>
      </c>
      <c r="AR360" s="80">
        <f t="shared" si="184"/>
        <v>0</v>
      </c>
      <c r="AS360" s="81">
        <f t="shared" si="184"/>
        <v>1269.5</v>
      </c>
      <c r="AT360" s="78"/>
      <c r="AU360" s="82">
        <f>SUM(AU310:AU359)</f>
        <v>0</v>
      </c>
      <c r="AV360" s="78"/>
      <c r="AW360" s="83">
        <f>SUM(AW310:AW359)</f>
        <v>1520</v>
      </c>
      <c r="AX360" s="84"/>
      <c r="BA360" s="2"/>
      <c r="BB360" s="2"/>
      <c r="BC360" s="101"/>
      <c r="BD360" s="101"/>
    </row>
    <row r="361" spans="1:56" s="53" customFormat="1" ht="15" thickTop="1" x14ac:dyDescent="0.35">
      <c r="B361" s="54"/>
      <c r="F361" s="98"/>
      <c r="G361" s="55"/>
      <c r="H361" s="55"/>
      <c r="I361" s="55"/>
      <c r="J361" s="55"/>
      <c r="K361" s="55"/>
      <c r="L361" s="55"/>
      <c r="M361" s="55"/>
      <c r="N361" s="55"/>
      <c r="O361" s="55"/>
      <c r="P361" s="55"/>
      <c r="Q361" s="55"/>
      <c r="R361" s="55"/>
      <c r="S361" s="55"/>
      <c r="T361" s="55"/>
      <c r="U361" s="56"/>
      <c r="V361" s="55"/>
      <c r="W361" s="55"/>
      <c r="X361" s="55"/>
      <c r="Y361" s="55"/>
      <c r="Z361" s="55"/>
      <c r="AA361" s="55"/>
      <c r="AB361" s="55"/>
      <c r="AC361" s="55"/>
      <c r="AD361" s="55"/>
      <c r="AE361" s="55"/>
      <c r="AF361" s="55"/>
      <c r="AG361" s="55"/>
      <c r="AH361" s="55"/>
      <c r="AI361" s="55"/>
      <c r="AJ361" s="55"/>
      <c r="AK361" s="56"/>
      <c r="AL361" s="55"/>
      <c r="AM361" s="55"/>
      <c r="AN361" s="55"/>
      <c r="AO361" s="55"/>
      <c r="AP361" s="55"/>
      <c r="AQ361" s="55"/>
      <c r="AR361" s="55"/>
      <c r="AS361" s="55"/>
      <c r="AT361" s="55"/>
      <c r="AU361" s="55"/>
      <c r="AV361" s="55"/>
      <c r="AW361" s="55"/>
      <c r="BA361" s="2"/>
      <c r="BB361" s="2"/>
      <c r="BC361" s="101"/>
      <c r="BD361" s="101"/>
    </row>
    <row r="362" spans="1:56" s="53" customFormat="1" x14ac:dyDescent="0.35">
      <c r="B362" s="54" t="s">
        <v>52</v>
      </c>
      <c r="D362" s="171" t="s">
        <v>84</v>
      </c>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c r="AC362" s="171"/>
      <c r="AD362" s="171"/>
      <c r="AE362" s="171"/>
      <c r="AF362" s="171"/>
      <c r="AG362" s="171"/>
      <c r="AH362" s="171"/>
      <c r="AI362" s="171"/>
      <c r="AJ362" s="171"/>
      <c r="AK362" s="56"/>
      <c r="AL362" s="55"/>
      <c r="AM362" s="55"/>
      <c r="AN362" s="55"/>
      <c r="AO362" s="55"/>
      <c r="AP362" s="55"/>
      <c r="AQ362" s="55"/>
      <c r="AR362" s="55"/>
      <c r="AS362" s="55"/>
      <c r="AT362" s="55"/>
      <c r="AU362" s="55"/>
      <c r="AV362" s="55"/>
      <c r="AW362" s="55"/>
      <c r="BA362" s="2"/>
      <c r="BB362" s="2"/>
      <c r="BC362" s="101"/>
      <c r="BD362" s="101"/>
    </row>
    <row r="363" spans="1:56" s="84" customFormat="1" x14ac:dyDescent="0.35">
      <c r="A363" s="53"/>
      <c r="B363" s="54"/>
      <c r="C363" s="53"/>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c r="AC363" s="171"/>
      <c r="AD363" s="171"/>
      <c r="AE363" s="171"/>
      <c r="AF363" s="171"/>
      <c r="AG363" s="171"/>
      <c r="AH363" s="171"/>
      <c r="AI363" s="171"/>
      <c r="AJ363" s="171"/>
      <c r="AK363" s="56"/>
      <c r="AL363" s="55"/>
      <c r="AM363" s="55"/>
      <c r="AN363" s="55"/>
      <c r="AO363" s="55"/>
      <c r="AP363" s="55"/>
      <c r="AQ363" s="55"/>
      <c r="AR363" s="55"/>
      <c r="AS363" s="55"/>
      <c r="AT363" s="55"/>
      <c r="AU363" s="55"/>
      <c r="AV363" s="55"/>
      <c r="AW363" s="55"/>
      <c r="AX363" s="53"/>
      <c r="BA363" s="2"/>
      <c r="BB363" s="2"/>
      <c r="BC363" s="101"/>
      <c r="BD363" s="101"/>
    </row>
    <row r="364" spans="1:56" s="84" customFormat="1" x14ac:dyDescent="0.35">
      <c r="A364" s="53"/>
      <c r="B364" s="54"/>
      <c r="C364" s="53"/>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c r="AC364" s="171"/>
      <c r="AD364" s="171"/>
      <c r="AE364" s="171"/>
      <c r="AF364" s="171"/>
      <c r="AG364" s="171"/>
      <c r="AH364" s="171"/>
      <c r="AI364" s="171"/>
      <c r="AJ364" s="171"/>
      <c r="AK364" s="56"/>
      <c r="AL364" s="55"/>
      <c r="AM364" s="55"/>
      <c r="AN364" s="55"/>
      <c r="AO364" s="55"/>
      <c r="AP364" s="55"/>
      <c r="AQ364" s="55"/>
      <c r="AR364" s="55"/>
      <c r="AS364" s="55"/>
      <c r="AT364" s="55"/>
      <c r="AU364" s="55"/>
      <c r="AV364" s="55"/>
      <c r="AW364" s="55"/>
      <c r="AX364" s="53"/>
      <c r="BA364" s="2"/>
      <c r="BB364" s="2"/>
      <c r="BC364" s="101"/>
      <c r="BD364" s="101"/>
    </row>
    <row r="365" spans="1:56" s="84" customFormat="1" ht="15" customHeight="1" x14ac:dyDescent="0.35">
      <c r="A365" s="53"/>
      <c r="B365" s="54"/>
      <c r="C365" s="53"/>
      <c r="D365" s="53"/>
      <c r="E365" s="53"/>
      <c r="F365" s="98"/>
      <c r="G365" s="55"/>
      <c r="H365" s="55"/>
      <c r="I365" s="55"/>
      <c r="J365" s="55"/>
      <c r="K365" s="55"/>
      <c r="L365" s="55"/>
      <c r="M365" s="55"/>
      <c r="N365" s="55"/>
      <c r="O365" s="55"/>
      <c r="P365" s="55"/>
      <c r="Q365" s="55"/>
      <c r="R365" s="55"/>
      <c r="S365" s="55"/>
      <c r="T365" s="55"/>
      <c r="U365" s="56"/>
      <c r="V365" s="55"/>
      <c r="W365" s="55"/>
      <c r="X365" s="55"/>
      <c r="Y365" s="55"/>
      <c r="Z365" s="55"/>
      <c r="AA365" s="55"/>
      <c r="AB365" s="55"/>
      <c r="AC365" s="55"/>
      <c r="AD365" s="55"/>
      <c r="AE365" s="55"/>
      <c r="AF365" s="55"/>
      <c r="AG365" s="55"/>
      <c r="AH365" s="55"/>
      <c r="AI365" s="55"/>
      <c r="AJ365" s="55"/>
      <c r="AK365" s="56"/>
      <c r="AL365" s="55"/>
      <c r="AM365" s="55"/>
      <c r="AN365" s="55"/>
      <c r="AO365" s="55"/>
      <c r="AP365" s="55"/>
      <c r="AQ365" s="55"/>
      <c r="AR365" s="55"/>
      <c r="AS365" s="55"/>
      <c r="AT365" s="55"/>
      <c r="AU365" s="55"/>
      <c r="AV365" s="55"/>
      <c r="AW365" s="55"/>
      <c r="AX365" s="53"/>
      <c r="BA365" s="2"/>
      <c r="BB365" s="2"/>
      <c r="BC365" s="101"/>
      <c r="BD365" s="101"/>
    </row>
    <row r="366" spans="1:56" s="84" customFormat="1" ht="15" customHeight="1" x14ac:dyDescent="0.35">
      <c r="A366" s="53"/>
      <c r="B366" s="54" t="s">
        <v>53</v>
      </c>
      <c r="C366" s="53"/>
      <c r="D366" s="31" t="s">
        <v>74</v>
      </c>
      <c r="E366" s="34"/>
      <c r="F366" s="99"/>
      <c r="G366" s="34"/>
      <c r="H366" s="34"/>
      <c r="I366" s="34"/>
      <c r="J366" s="34"/>
      <c r="K366" s="53"/>
      <c r="L366" s="55" t="s">
        <v>8</v>
      </c>
      <c r="M366" s="53"/>
      <c r="N366" s="142">
        <f ca="1">NOW()</f>
        <v>44720.650928935182</v>
      </c>
      <c r="O366" s="142"/>
      <c r="P366" s="142"/>
      <c r="Q366" s="53"/>
      <c r="R366" s="53"/>
      <c r="S366" s="53"/>
      <c r="T366" s="53"/>
      <c r="U366" s="53"/>
      <c r="V366" s="55"/>
      <c r="W366" s="55"/>
      <c r="X366" s="55"/>
      <c r="Y366" s="55"/>
      <c r="Z366" s="55"/>
      <c r="AA366" s="55"/>
      <c r="AB366" s="55"/>
      <c r="AC366" s="55"/>
      <c r="AD366" s="55"/>
      <c r="AE366" s="55"/>
      <c r="AF366" s="55"/>
      <c r="AG366" s="55"/>
      <c r="AH366" s="55"/>
      <c r="AI366" s="55"/>
      <c r="AJ366" s="55"/>
      <c r="AK366" s="56"/>
      <c r="AL366" s="55"/>
      <c r="AM366" s="55"/>
      <c r="AN366" s="55"/>
      <c r="AO366" s="55"/>
      <c r="AP366" s="55"/>
      <c r="AQ366" s="55"/>
      <c r="AR366" s="55"/>
      <c r="AS366" s="55"/>
      <c r="AT366" s="55"/>
      <c r="AU366" s="55"/>
      <c r="AV366" s="55"/>
      <c r="AW366" s="55"/>
      <c r="AX366" s="53"/>
      <c r="BA366" s="2"/>
      <c r="BB366" s="2"/>
      <c r="BC366" s="101"/>
      <c r="BD366" s="101"/>
    </row>
    <row r="367" spans="1:56" s="84" customFormat="1" x14ac:dyDescent="0.35">
      <c r="A367" s="53"/>
      <c r="B367" s="54"/>
      <c r="C367" s="53"/>
      <c r="D367" s="53"/>
      <c r="E367" s="53"/>
      <c r="F367" s="98"/>
      <c r="G367" s="55"/>
      <c r="H367" s="55"/>
      <c r="I367" s="55"/>
      <c r="J367" s="55"/>
      <c r="K367" s="53"/>
      <c r="L367" s="55"/>
      <c r="M367" s="53"/>
      <c r="N367" s="55"/>
      <c r="O367" s="56"/>
      <c r="P367" s="53"/>
      <c r="Q367" s="53"/>
      <c r="R367" s="53"/>
      <c r="S367" s="53"/>
      <c r="T367" s="53"/>
      <c r="U367" s="53"/>
      <c r="V367" s="55"/>
      <c r="W367" s="55"/>
      <c r="X367" s="55"/>
      <c r="Y367" s="55"/>
      <c r="Z367" s="55"/>
      <c r="AA367" s="55"/>
      <c r="AB367" s="55"/>
      <c r="AC367" s="55"/>
      <c r="AD367" s="55"/>
      <c r="AE367" s="55"/>
      <c r="AF367" s="55"/>
      <c r="AG367" s="55"/>
      <c r="AH367" s="55"/>
      <c r="AI367" s="55"/>
      <c r="AJ367" s="55"/>
      <c r="AK367" s="56"/>
      <c r="AL367" s="55"/>
      <c r="AM367" s="55"/>
      <c r="AN367" s="55"/>
      <c r="AO367" s="55"/>
      <c r="AP367" s="55"/>
      <c r="AQ367" s="55"/>
      <c r="AR367" s="55"/>
      <c r="AS367" s="55"/>
      <c r="AT367" s="55"/>
      <c r="AU367" s="55"/>
      <c r="AV367" s="55"/>
      <c r="AW367" s="55"/>
      <c r="AX367" s="53"/>
      <c r="BA367" s="2"/>
      <c r="BB367" s="2"/>
      <c r="BC367" s="101"/>
      <c r="BD367" s="101"/>
    </row>
    <row r="368" spans="1:56" s="84" customFormat="1" x14ac:dyDescent="0.35">
      <c r="A368" s="53"/>
      <c r="B368" s="54" t="s">
        <v>54</v>
      </c>
      <c r="C368" s="53"/>
      <c r="D368" s="31"/>
      <c r="E368" s="34"/>
      <c r="F368" s="99"/>
      <c r="G368" s="34"/>
      <c r="H368" s="34"/>
      <c r="I368" s="34"/>
      <c r="J368" s="34"/>
      <c r="K368" s="53"/>
      <c r="L368" s="55" t="s">
        <v>8</v>
      </c>
      <c r="M368" s="53"/>
      <c r="N368" s="142">
        <f ca="1">NOW()</f>
        <v>44720.650928935182</v>
      </c>
      <c r="O368" s="142"/>
      <c r="P368" s="142"/>
      <c r="Q368" s="53"/>
      <c r="R368" s="53"/>
      <c r="S368" s="53"/>
      <c r="T368" s="53"/>
      <c r="U368" s="53"/>
      <c r="V368" s="55"/>
      <c r="W368" s="55"/>
      <c r="X368" s="55"/>
      <c r="Y368" s="55"/>
      <c r="Z368" s="55"/>
      <c r="AA368" s="55"/>
      <c r="AB368" s="55"/>
      <c r="AC368" s="55"/>
      <c r="AD368" s="55"/>
      <c r="AE368" s="55"/>
      <c r="AF368" s="55"/>
      <c r="AG368" s="55"/>
      <c r="AH368" s="55"/>
      <c r="AI368" s="55"/>
      <c r="AJ368" s="55"/>
      <c r="AK368" s="56"/>
      <c r="AL368" s="55"/>
      <c r="AM368" s="55"/>
      <c r="AN368" s="55"/>
      <c r="AO368" s="55"/>
      <c r="AP368" s="55"/>
      <c r="AQ368" s="55"/>
      <c r="AR368" s="55"/>
      <c r="AS368" s="55"/>
      <c r="AT368" s="55"/>
      <c r="AU368" s="55"/>
      <c r="AV368" s="55"/>
      <c r="AW368" s="55"/>
      <c r="AX368" s="53"/>
      <c r="BA368" s="2"/>
      <c r="BB368" s="2"/>
      <c r="BC368" s="101"/>
      <c r="BD368" s="101"/>
    </row>
    <row r="369" spans="1:56" s="84" customFormat="1" x14ac:dyDescent="0.35">
      <c r="A369" s="53"/>
      <c r="B369" s="54"/>
      <c r="C369" s="53"/>
      <c r="D369" s="53"/>
      <c r="E369" s="53"/>
      <c r="F369" s="98"/>
      <c r="G369" s="55"/>
      <c r="H369" s="55"/>
      <c r="I369" s="55"/>
      <c r="J369" s="55"/>
      <c r="K369" s="55"/>
      <c r="L369" s="55"/>
      <c r="M369" s="55"/>
      <c r="N369" s="55"/>
      <c r="O369" s="55"/>
      <c r="P369" s="55"/>
      <c r="Q369" s="55"/>
      <c r="R369" s="55"/>
      <c r="S369" s="55"/>
      <c r="T369" s="55"/>
      <c r="U369" s="56"/>
      <c r="V369" s="55"/>
      <c r="W369" s="55"/>
      <c r="X369" s="55"/>
      <c r="Y369" s="55"/>
      <c r="Z369" s="55"/>
      <c r="AA369" s="55"/>
      <c r="AB369" s="55"/>
      <c r="AC369" s="55"/>
      <c r="AD369" s="55"/>
      <c r="AE369" s="55"/>
      <c r="AF369" s="55"/>
      <c r="AG369" s="55"/>
      <c r="AH369" s="55"/>
      <c r="AI369" s="55"/>
      <c r="AJ369" s="55"/>
      <c r="AK369" s="56"/>
      <c r="AL369" s="55"/>
      <c r="AM369" s="55"/>
      <c r="AN369" s="55"/>
      <c r="AO369" s="55"/>
      <c r="AP369" s="55"/>
      <c r="AQ369" s="55"/>
      <c r="AR369" s="55"/>
      <c r="AS369" s="55"/>
      <c r="AT369" s="55"/>
      <c r="AU369" s="55"/>
      <c r="AV369" s="55"/>
      <c r="AW369" s="55"/>
      <c r="AX369" s="53"/>
      <c r="BA369" s="2"/>
      <c r="BB369" s="2"/>
      <c r="BC369" s="101"/>
      <c r="BD369" s="101"/>
    </row>
    <row r="370" spans="1:56" s="84" customFormat="1" x14ac:dyDescent="0.35">
      <c r="A370" s="53"/>
      <c r="B370" s="54" t="s">
        <v>9</v>
      </c>
      <c r="C370" s="53"/>
      <c r="D370" s="53"/>
      <c r="E370" s="53"/>
      <c r="F370" s="98"/>
      <c r="G370" s="55"/>
      <c r="H370" s="55"/>
      <c r="I370" s="55"/>
      <c r="J370" s="55"/>
      <c r="K370" s="55"/>
      <c r="L370" s="55"/>
      <c r="M370" s="55"/>
      <c r="N370" s="55"/>
      <c r="O370" s="55"/>
      <c r="P370" s="55"/>
      <c r="Q370" s="55"/>
      <c r="R370" s="55"/>
      <c r="S370" s="55"/>
      <c r="T370" s="55"/>
      <c r="U370" s="56"/>
      <c r="V370" s="55"/>
      <c r="W370" s="55"/>
      <c r="X370" s="55"/>
      <c r="Y370" s="55"/>
      <c r="Z370" s="55"/>
      <c r="AA370" s="55"/>
      <c r="AB370" s="55"/>
      <c r="AC370" s="55"/>
      <c r="AD370" s="55"/>
      <c r="AE370" s="55"/>
      <c r="AF370" s="55"/>
      <c r="AG370" s="55"/>
      <c r="AH370" s="55"/>
      <c r="AI370" s="55"/>
      <c r="AJ370" s="55"/>
      <c r="AK370" s="56"/>
      <c r="AL370" s="55"/>
      <c r="AM370" s="55"/>
      <c r="AN370" s="55"/>
      <c r="AO370" s="55"/>
      <c r="AP370" s="55"/>
      <c r="AQ370" s="55"/>
      <c r="AR370" s="55"/>
      <c r="AS370" s="55"/>
      <c r="AT370" s="55"/>
      <c r="AU370" s="55"/>
      <c r="AV370" s="55"/>
      <c r="AW370" s="55"/>
      <c r="AX370" s="53"/>
      <c r="BA370" s="2"/>
      <c r="BB370" s="2"/>
      <c r="BC370" s="101"/>
      <c r="BD370" s="101"/>
    </row>
    <row r="371" spans="1:56" x14ac:dyDescent="0.35">
      <c r="BA371" s="2"/>
      <c r="BB371" s="2"/>
      <c r="BC371" s="101"/>
      <c r="BD371" s="101"/>
    </row>
    <row r="372" spans="1:56" x14ac:dyDescent="0.35">
      <c r="BA372" s="2"/>
      <c r="BB372" s="2"/>
      <c r="BC372" s="101"/>
      <c r="BD372" s="101"/>
    </row>
    <row r="373" spans="1:56" s="84" customFormat="1" ht="28.5" x14ac:dyDescent="0.65">
      <c r="F373" s="50"/>
      <c r="G373" s="143" t="s">
        <v>10</v>
      </c>
      <c r="H373" s="143"/>
      <c r="I373" s="143"/>
      <c r="J373" s="143"/>
      <c r="K373" s="143"/>
      <c r="L373" s="143"/>
      <c r="M373" s="143"/>
      <c r="N373" s="143"/>
      <c r="O373" s="143"/>
      <c r="P373" s="143"/>
      <c r="Q373" s="143"/>
      <c r="R373" s="143"/>
      <c r="S373" s="143"/>
      <c r="T373" s="143"/>
      <c r="U373" s="143"/>
      <c r="W373" s="37" t="s">
        <v>12</v>
      </c>
      <c r="X373" s="86" t="s">
        <v>11</v>
      </c>
      <c r="BA373" s="2"/>
      <c r="BB373" s="2"/>
      <c r="BC373" s="101"/>
      <c r="BD373" s="101"/>
    </row>
    <row r="374" spans="1:56" s="84" customFormat="1" x14ac:dyDescent="0.35">
      <c r="F374" s="50"/>
      <c r="G374" s="84" t="s">
        <v>0</v>
      </c>
      <c r="W374" s="37" t="s">
        <v>13</v>
      </c>
      <c r="X374" s="86" t="s">
        <v>14</v>
      </c>
      <c r="BA374" s="2"/>
      <c r="BB374" s="2"/>
      <c r="BC374" s="101"/>
      <c r="BD374" s="101"/>
    </row>
    <row r="375" spans="1:56" s="84" customFormat="1" x14ac:dyDescent="0.35">
      <c r="F375" s="50"/>
      <c r="W375" s="37" t="s">
        <v>1</v>
      </c>
      <c r="X375" s="86" t="s">
        <v>15</v>
      </c>
      <c r="BA375" s="2"/>
      <c r="BB375" s="2"/>
      <c r="BC375" s="101"/>
      <c r="BD375" s="101"/>
    </row>
    <row r="376" spans="1:56" s="84" customFormat="1" x14ac:dyDescent="0.35">
      <c r="F376" s="50"/>
      <c r="W376" s="37" t="s">
        <v>2</v>
      </c>
      <c r="X376" s="86" t="s">
        <v>16</v>
      </c>
      <c r="BA376" s="2"/>
      <c r="BB376" s="2"/>
      <c r="BC376" s="101"/>
      <c r="BD376" s="101"/>
    </row>
    <row r="377" spans="1:56" s="84" customFormat="1" ht="15" customHeight="1" x14ac:dyDescent="0.35">
      <c r="B377" s="154" t="s">
        <v>35</v>
      </c>
      <c r="F377" s="50"/>
      <c r="G377" s="154" t="s">
        <v>36</v>
      </c>
      <c r="H377" s="154"/>
      <c r="I377" s="154"/>
      <c r="K377" s="154" t="s">
        <v>36</v>
      </c>
      <c r="L377" s="154"/>
      <c r="M377" s="154"/>
      <c r="W377" s="37" t="s">
        <v>3</v>
      </c>
      <c r="X377" s="86" t="s">
        <v>17</v>
      </c>
      <c r="BA377" s="2"/>
      <c r="BB377" s="2"/>
      <c r="BC377" s="101"/>
      <c r="BD377" s="101"/>
    </row>
    <row r="378" spans="1:56" s="84" customFormat="1" x14ac:dyDescent="0.35">
      <c r="B378" s="155"/>
      <c r="D378" s="37" t="s">
        <v>34</v>
      </c>
      <c r="F378" s="50"/>
      <c r="G378" s="154"/>
      <c r="H378" s="154"/>
      <c r="I378" s="154"/>
      <c r="K378" s="154"/>
      <c r="L378" s="154"/>
      <c r="M378" s="154"/>
      <c r="W378" s="38"/>
      <c r="BA378" s="2"/>
      <c r="BB378" s="2"/>
      <c r="BC378" s="101"/>
      <c r="BD378" s="101"/>
    </row>
    <row r="379" spans="1:56" s="84" customFormat="1" x14ac:dyDescent="0.35">
      <c r="B379" s="100">
        <f>B305+1</f>
        <v>15</v>
      </c>
      <c r="D379" s="100">
        <f>D305</f>
        <v>2021</v>
      </c>
      <c r="E379" s="87" t="s">
        <v>38</v>
      </c>
      <c r="F379" s="50"/>
      <c r="G379" s="156">
        <f>K305+1</f>
        <v>44381</v>
      </c>
      <c r="H379" s="157"/>
      <c r="I379" s="158"/>
      <c r="J379" s="37" t="s">
        <v>37</v>
      </c>
      <c r="K379" s="156">
        <f>IF(G379="","",G379+13)</f>
        <v>44394</v>
      </c>
      <c r="L379" s="157"/>
      <c r="M379" s="158"/>
      <c r="P379" s="159" t="s">
        <v>39</v>
      </c>
      <c r="Q379" s="160"/>
      <c r="R379" s="160"/>
      <c r="S379" s="160"/>
      <c r="T379" s="161"/>
      <c r="U379" s="24">
        <v>80</v>
      </c>
      <c r="BA379" s="2"/>
      <c r="BB379" s="2"/>
      <c r="BC379" s="101"/>
      <c r="BD379" s="101"/>
    </row>
    <row r="380" spans="1:56" s="84" customFormat="1" x14ac:dyDescent="0.35">
      <c r="F380" s="50"/>
      <c r="AM380" s="144" t="s">
        <v>4</v>
      </c>
      <c r="AN380" s="144"/>
      <c r="AO380" s="144"/>
      <c r="AP380" s="144"/>
      <c r="AQ380" s="144"/>
      <c r="AR380" s="144"/>
      <c r="AS380" s="144"/>
      <c r="AU380" s="100" t="s">
        <v>4</v>
      </c>
      <c r="BA380" s="2"/>
      <c r="BB380" s="2"/>
      <c r="BC380" s="101"/>
      <c r="BD380" s="101"/>
    </row>
    <row r="381" spans="1:56" s="84" customFormat="1" ht="15" customHeight="1" x14ac:dyDescent="0.35">
      <c r="B381" s="40"/>
      <c r="C381" s="41"/>
      <c r="D381" s="42" t="s">
        <v>32</v>
      </c>
      <c r="E381" s="43" t="s">
        <v>5</v>
      </c>
      <c r="F381" s="50"/>
      <c r="G381" s="162">
        <f>G379</f>
        <v>44381</v>
      </c>
      <c r="H381" s="163"/>
      <c r="I381" s="162">
        <f>IF(G381="","",G381+1)</f>
        <v>44382</v>
      </c>
      <c r="J381" s="163"/>
      <c r="K381" s="162">
        <f>IF(I381="","",I381+1)</f>
        <v>44383</v>
      </c>
      <c r="L381" s="163"/>
      <c r="M381" s="162">
        <f>IF(K381="","",K381+1)</f>
        <v>44384</v>
      </c>
      <c r="N381" s="163"/>
      <c r="O381" s="162">
        <f>IF(M381="","",M381+1)</f>
        <v>44385</v>
      </c>
      <c r="P381" s="163"/>
      <c r="Q381" s="162">
        <f>IF(O381="","",O381+1)</f>
        <v>44386</v>
      </c>
      <c r="R381" s="163"/>
      <c r="S381" s="162">
        <f>IF(Q381="","",Q381+1)</f>
        <v>44387</v>
      </c>
      <c r="T381" s="164"/>
      <c r="U381" s="44"/>
      <c r="W381" s="162">
        <f>IF(S381="","",S381+1)</f>
        <v>44388</v>
      </c>
      <c r="X381" s="163"/>
      <c r="Y381" s="162">
        <f>IF(W381="","",W381+1)</f>
        <v>44389</v>
      </c>
      <c r="Z381" s="163"/>
      <c r="AA381" s="162">
        <f>IF(Y381="","",Y381+1)</f>
        <v>44390</v>
      </c>
      <c r="AB381" s="163"/>
      <c r="AC381" s="162">
        <f>IF(AA381="","",AA381+1)</f>
        <v>44391</v>
      </c>
      <c r="AD381" s="163"/>
      <c r="AE381" s="162">
        <f>IF(AC381="","",AC381+1)</f>
        <v>44392</v>
      </c>
      <c r="AF381" s="163"/>
      <c r="AG381" s="162">
        <f>IF(AE381="","",AE381+1)</f>
        <v>44393</v>
      </c>
      <c r="AH381" s="163"/>
      <c r="AI381" s="162">
        <f>IF(AG381="","",AG381+1)</f>
        <v>44394</v>
      </c>
      <c r="AJ381" s="164"/>
      <c r="AK381" s="44"/>
      <c r="AM381" s="145" t="s">
        <v>18</v>
      </c>
      <c r="AN381" s="165" t="s">
        <v>55</v>
      </c>
      <c r="AO381" s="145" t="s">
        <v>19</v>
      </c>
      <c r="AP381" s="145" t="s">
        <v>20</v>
      </c>
      <c r="AQ381" s="145" t="s">
        <v>21</v>
      </c>
      <c r="AR381" s="166" t="s">
        <v>22</v>
      </c>
      <c r="AS381" s="167" t="s">
        <v>23</v>
      </c>
      <c r="AU381" s="144" t="s">
        <v>6</v>
      </c>
      <c r="AW381" s="145" t="s">
        <v>24</v>
      </c>
      <c r="BA381" s="2"/>
      <c r="BB381" s="2"/>
      <c r="BC381" s="101"/>
      <c r="BD381" s="101"/>
    </row>
    <row r="382" spans="1:56" s="84" customFormat="1" x14ac:dyDescent="0.35">
      <c r="B382" s="45" t="s">
        <v>33</v>
      </c>
      <c r="C382" s="46"/>
      <c r="D382" s="47"/>
      <c r="E382" s="47"/>
      <c r="F382" s="50"/>
      <c r="G382" s="146" t="s">
        <v>25</v>
      </c>
      <c r="H382" s="147"/>
      <c r="I382" s="146" t="s">
        <v>26</v>
      </c>
      <c r="J382" s="147"/>
      <c r="K382" s="146" t="s">
        <v>27</v>
      </c>
      <c r="L382" s="147"/>
      <c r="M382" s="146" t="s">
        <v>28</v>
      </c>
      <c r="N382" s="147"/>
      <c r="O382" s="146" t="s">
        <v>29</v>
      </c>
      <c r="P382" s="147"/>
      <c r="Q382" s="146" t="s">
        <v>30</v>
      </c>
      <c r="R382" s="147"/>
      <c r="S382" s="146" t="s">
        <v>31</v>
      </c>
      <c r="T382" s="148"/>
      <c r="U382" s="48" t="s">
        <v>7</v>
      </c>
      <c r="W382" s="146" t="s">
        <v>25</v>
      </c>
      <c r="X382" s="147"/>
      <c r="Y382" s="146" t="s">
        <v>26</v>
      </c>
      <c r="Z382" s="147"/>
      <c r="AA382" s="146" t="s">
        <v>27</v>
      </c>
      <c r="AB382" s="147"/>
      <c r="AC382" s="146" t="s">
        <v>28</v>
      </c>
      <c r="AD382" s="147"/>
      <c r="AE382" s="146" t="s">
        <v>29</v>
      </c>
      <c r="AF382" s="147"/>
      <c r="AG382" s="146" t="s">
        <v>30</v>
      </c>
      <c r="AH382" s="147"/>
      <c r="AI382" s="146" t="s">
        <v>31</v>
      </c>
      <c r="AJ382" s="148"/>
      <c r="AK382" s="48" t="s">
        <v>7</v>
      </c>
      <c r="AM382" s="145"/>
      <c r="AN382" s="165"/>
      <c r="AO382" s="145"/>
      <c r="AP382" s="145"/>
      <c r="AQ382" s="145"/>
      <c r="AR382" s="166"/>
      <c r="AS382" s="167"/>
      <c r="AU382" s="144"/>
      <c r="AW382" s="145"/>
      <c r="BA382" s="2"/>
      <c r="BB382" s="2"/>
      <c r="BC382" s="101"/>
      <c r="BD382" s="101"/>
    </row>
    <row r="383" spans="1:56" s="84" customFormat="1" x14ac:dyDescent="0.35">
      <c r="B383" s="63"/>
      <c r="C383" s="25"/>
      <c r="D383" s="25"/>
      <c r="E383" s="25"/>
      <c r="F383" s="50"/>
      <c r="BA383" s="2"/>
      <c r="BB383" s="2"/>
      <c r="BC383" s="101"/>
      <c r="BD383" s="101"/>
    </row>
    <row r="384" spans="1:56" s="84" customFormat="1" x14ac:dyDescent="0.35">
      <c r="B384" s="26"/>
      <c r="C384" s="27"/>
      <c r="D384" s="28">
        <f>IF(D310="","",D310)</f>
        <v>31428</v>
      </c>
      <c r="E384" s="29" t="str">
        <f>IF(E310="","",E310)</f>
        <v/>
      </c>
      <c r="F384" s="50">
        <f>B379</f>
        <v>15</v>
      </c>
      <c r="G384" s="59"/>
      <c r="H384" s="64"/>
      <c r="I384" s="106"/>
      <c r="J384" s="105"/>
      <c r="K384" s="106"/>
      <c r="L384" s="105"/>
      <c r="M384" s="106"/>
      <c r="N384" s="105"/>
      <c r="O384" s="106"/>
      <c r="P384" s="105"/>
      <c r="Q384" s="106"/>
      <c r="R384" s="105"/>
      <c r="S384" s="59"/>
      <c r="T384" s="64"/>
      <c r="U384" s="44"/>
      <c r="W384" s="59"/>
      <c r="X384" s="64"/>
      <c r="Y384" s="106"/>
      <c r="Z384" s="105"/>
      <c r="AA384" s="106"/>
      <c r="AB384" s="105"/>
      <c r="AC384" s="106"/>
      <c r="AD384" s="105"/>
      <c r="AE384" s="106"/>
      <c r="AF384" s="105"/>
      <c r="AG384" s="106"/>
      <c r="AH384" s="105"/>
      <c r="AI384" s="59"/>
      <c r="AJ384" s="64"/>
      <c r="AK384" s="44"/>
      <c r="AM384" s="49"/>
      <c r="AN384" s="49"/>
      <c r="AO384" s="49"/>
      <c r="AP384" s="49"/>
      <c r="AQ384" s="49"/>
      <c r="AR384" s="40"/>
      <c r="AS384" s="51"/>
      <c r="AU384" s="49"/>
      <c r="AW384" s="52"/>
      <c r="BA384" s="2"/>
      <c r="BB384" s="2"/>
      <c r="BC384" s="101"/>
      <c r="BD384" s="101"/>
    </row>
    <row r="385" spans="2:56" s="84" customFormat="1" x14ac:dyDescent="0.35">
      <c r="B385" s="30" t="str">
        <f>IF(B311="","",B311)</f>
        <v>Gaulin, Francis</v>
      </c>
      <c r="C385" s="31"/>
      <c r="D385" s="32"/>
      <c r="E385" s="33">
        <f t="shared" ref="E385:E416" si="185">IF(E311="","",E311)</f>
        <v>93542</v>
      </c>
      <c r="F385" s="50">
        <f>B379</f>
        <v>15</v>
      </c>
      <c r="G385" s="95"/>
      <c r="H385" s="70"/>
      <c r="I385" s="104"/>
      <c r="J385" s="103">
        <v>8</v>
      </c>
      <c r="K385" s="104"/>
      <c r="L385" s="103">
        <v>8</v>
      </c>
      <c r="M385" s="104"/>
      <c r="N385" s="103">
        <v>8</v>
      </c>
      <c r="O385" s="104"/>
      <c r="P385" s="103">
        <v>8</v>
      </c>
      <c r="Q385" s="104"/>
      <c r="R385" s="103">
        <v>8</v>
      </c>
      <c r="S385" s="69"/>
      <c r="T385" s="70"/>
      <c r="U385" s="71">
        <f>SUM(G385:T385)</f>
        <v>40</v>
      </c>
      <c r="V385" s="72"/>
      <c r="W385" s="69"/>
      <c r="X385" s="70"/>
      <c r="Y385" s="104"/>
      <c r="Z385" s="103">
        <v>8</v>
      </c>
      <c r="AA385" s="104"/>
      <c r="AB385" s="103">
        <v>8</v>
      </c>
      <c r="AC385" s="104"/>
      <c r="AD385" s="103">
        <v>8</v>
      </c>
      <c r="AE385" s="104"/>
      <c r="AF385" s="103">
        <v>8</v>
      </c>
      <c r="AG385" s="104"/>
      <c r="AH385" s="103">
        <v>8</v>
      </c>
      <c r="AI385" s="69"/>
      <c r="AJ385" s="70"/>
      <c r="AK385" s="71">
        <f>SUM(W385:AJ385)</f>
        <v>40</v>
      </c>
      <c r="AL385" s="72"/>
      <c r="AM385" s="73">
        <f>SUMIF($G384:$T384,"",$G385:$T385)+SUMIF($W384:$AJ384,"",$W385:$AJ385)-AN385</f>
        <v>80</v>
      </c>
      <c r="AN385" s="88">
        <f>IF(SUMIF($G384:$T384,"",$G385:$T385)+SUMIF($G384:$T384,"F",$G385:$T385)+SUMIF($G384:$T384,"V",$G385:$T385)-40&lt;0,0,SUMIF($G384:$T384,"",$G385:$T385)+SUMIF($G384:$T384,"F",$G385:$T385)+SUMIF($G384:$T384,"V",$G385:$T385)-($U$9/2))+IF(SUMIF($W384:$AJ384,"",$W385:$AJ385)+SUMIF($W384:$AJ384,"F",$W385:$AJ385)+SUMIF($W384:$AJ384,"V",$W385:$AJ385)-40&lt;0,0,SUMIF($W384:$AJ384,"",$W385:$AJ385)+SUMIF($W384:$AJ384,"F",$W385:$AJ385)+SUMIF($W384:$AJ384,"V",$W385:$AJ385)-($U$9/2))</f>
        <v>0</v>
      </c>
      <c r="AO385" s="73">
        <f>SUMIF($G384:$T384,"M",$G385:$T385)+SUMIF($W384:$AJ384,"M",$W385:$AJ385)</f>
        <v>0</v>
      </c>
      <c r="AP385" s="73">
        <f>SUMIF($G384:$T384,"F",$G385:$T385)+SUMIF($W384:$AJ384,"F",$W385:$AJ385)</f>
        <v>0</v>
      </c>
      <c r="AQ385" s="73">
        <f>SUMIF($G384:$T384,"V",$G385:$T385)+SUMIF($W384:$AJ384,"V",$W385:$AJ385)</f>
        <v>0</v>
      </c>
      <c r="AR385" s="74">
        <f>SUMIF($G384:$T384,"O",$G385:$T385)+SUMIF($W384:$AJ384,"O",$W385:$AJ385)</f>
        <v>0</v>
      </c>
      <c r="AS385" s="75">
        <f>SUM(AM385:AR385)</f>
        <v>80</v>
      </c>
      <c r="AT385" s="72"/>
      <c r="AU385" s="73">
        <f>SUMIF($G384:$T384,"A",$G385:$T385)+SUMIF($W384:$AJ384,"A",$W385:$AJ385)</f>
        <v>0</v>
      </c>
      <c r="AV385" s="72"/>
      <c r="AW385" s="76">
        <f>IF(B385="",0,IF($U$9="",0,$U$9))</f>
        <v>80</v>
      </c>
      <c r="BA385" s="2"/>
      <c r="BB385" s="2"/>
      <c r="BC385" s="101"/>
      <c r="BD385" s="101"/>
    </row>
    <row r="386" spans="2:56" s="84" customFormat="1" x14ac:dyDescent="0.35">
      <c r="B386" s="26"/>
      <c r="C386" s="27"/>
      <c r="D386" s="28">
        <f>IF(D312="","",D312)</f>
        <v>24287</v>
      </c>
      <c r="E386" s="29" t="str">
        <f t="shared" si="185"/>
        <v/>
      </c>
      <c r="F386" s="50">
        <f>B379</f>
        <v>15</v>
      </c>
      <c r="G386" s="59"/>
      <c r="H386" s="64"/>
      <c r="I386" s="106"/>
      <c r="J386" s="105"/>
      <c r="K386" s="106"/>
      <c r="L386" s="105"/>
      <c r="M386" s="106"/>
      <c r="N386" s="105"/>
      <c r="O386" s="106"/>
      <c r="P386" s="105"/>
      <c r="Q386" s="106"/>
      <c r="R386" s="105"/>
      <c r="S386" s="59"/>
      <c r="T386" s="64"/>
      <c r="U386" s="44"/>
      <c r="W386" s="59"/>
      <c r="X386" s="64"/>
      <c r="Y386" s="106"/>
      <c r="Z386" s="105"/>
      <c r="AA386" s="106"/>
      <c r="AB386" s="105"/>
      <c r="AC386" s="106"/>
      <c r="AD386" s="105"/>
      <c r="AE386" s="106"/>
      <c r="AF386" s="105"/>
      <c r="AG386" s="106"/>
      <c r="AH386" s="105"/>
      <c r="AI386" s="59"/>
      <c r="AJ386" s="64"/>
      <c r="AK386" s="44"/>
      <c r="AM386" s="49"/>
      <c r="AN386" s="49"/>
      <c r="AO386" s="49"/>
      <c r="AP386" s="49"/>
      <c r="AQ386" s="49"/>
      <c r="AR386" s="40"/>
      <c r="AS386" s="51"/>
      <c r="AU386" s="49"/>
      <c r="AW386" s="52"/>
      <c r="BA386" s="2"/>
      <c r="BB386" s="2"/>
      <c r="BC386" s="101"/>
      <c r="BD386" s="101"/>
    </row>
    <row r="387" spans="2:56" s="84" customFormat="1" x14ac:dyDescent="0.35">
      <c r="B387" s="30" t="str">
        <f>IF(B313="","",B313)</f>
        <v>Barrata, Dominic(Avance $500.00)</v>
      </c>
      <c r="C387" s="31"/>
      <c r="D387" s="32"/>
      <c r="E387" s="33">
        <f t="shared" si="185"/>
        <v>93595935</v>
      </c>
      <c r="F387" s="50">
        <f>B379</f>
        <v>15</v>
      </c>
      <c r="G387" s="69"/>
      <c r="H387" s="70"/>
      <c r="I387" s="104"/>
      <c r="J387" s="103" t="s">
        <v>69</v>
      </c>
      <c r="K387" s="104"/>
      <c r="L387" s="103" t="s">
        <v>69</v>
      </c>
      <c r="M387" s="104"/>
      <c r="N387" s="103" t="s">
        <v>69</v>
      </c>
      <c r="O387" s="104"/>
      <c r="P387" s="103" t="s">
        <v>69</v>
      </c>
      <c r="Q387" s="104"/>
      <c r="R387" s="103" t="s">
        <v>69</v>
      </c>
      <c r="S387" s="69"/>
      <c r="T387" s="70"/>
      <c r="U387" s="71">
        <f t="shared" ref="U387" si="186">SUM(G387:T387)</f>
        <v>0</v>
      </c>
      <c r="V387" s="72"/>
      <c r="W387" s="69"/>
      <c r="X387" s="70"/>
      <c r="Y387" s="104"/>
      <c r="Z387" s="103" t="s">
        <v>69</v>
      </c>
      <c r="AA387" s="104"/>
      <c r="AB387" s="103" t="s">
        <v>69</v>
      </c>
      <c r="AC387" s="104"/>
      <c r="AD387" s="103" t="s">
        <v>69</v>
      </c>
      <c r="AE387" s="104"/>
      <c r="AF387" s="103" t="s">
        <v>69</v>
      </c>
      <c r="AG387" s="104"/>
      <c r="AH387" s="103" t="s">
        <v>69</v>
      </c>
      <c r="AI387" s="69"/>
      <c r="AJ387" s="70"/>
      <c r="AK387" s="71">
        <f>SUM(W387:AJ387)</f>
        <v>0</v>
      </c>
      <c r="AL387" s="72"/>
      <c r="AM387" s="73">
        <f>SUMIF($G386:$T386,"",$G387:$T387)+SUMIF($W386:$AJ386,"",$W387:$AJ387)-AN387</f>
        <v>0</v>
      </c>
      <c r="AN387" s="88">
        <f>IF(SUMIF($G386:$T386,"",$G387:$T387)+SUMIF($G386:$T386,"F",$G387:$T387)+SUMIF($G386:$T386,"V",$G387:$T387)-40&lt;0,0,SUMIF($G386:$T386,"",$G387:$T387)+SUMIF($G386:$T386,"F",$G387:$T387)+SUMIF($G386:$T386,"V",$G387:$T387)-($U$9/2))+IF(SUMIF($W386:$AJ386,"",$W387:$AJ387)+SUMIF($W386:$AJ386,"F",$W387:$AJ387)+SUMIF($W386:$AJ386,"V",$W387:$AJ387)-40&lt;0,0,SUMIF($W386:$AJ386,"",$W387:$AJ387)+SUMIF($W386:$AJ386,"F",$W387:$AJ387)+SUMIF($W386:$AJ386,"V",$W387:$AJ387)-($U$9/2))</f>
        <v>0</v>
      </c>
      <c r="AO387" s="73">
        <f>SUMIF($G386:$T386,"M",$G387:$T387)+SUMIF($W386:$AJ386,"M",$W387:$AJ387)</f>
        <v>0</v>
      </c>
      <c r="AP387" s="73">
        <f>SUMIF($G386:$T386,"F",$G387:$T387)+SUMIF($W386:$AJ386,"F",$W387:$AJ387)</f>
        <v>0</v>
      </c>
      <c r="AQ387" s="73">
        <f>SUMIF($G386:$T386,"V",$G387:$T387)+SUMIF($W386:$AJ386,"V",$W387:$AJ387)</f>
        <v>0</v>
      </c>
      <c r="AR387" s="74">
        <f>SUMIF($G386:$T386,"O",$G387:$T387)+SUMIF($W386:$AJ386,"O",$W387:$AJ387)</f>
        <v>0</v>
      </c>
      <c r="AS387" s="75">
        <f>SUM(AM387:AR387)</f>
        <v>0</v>
      </c>
      <c r="AT387" s="72"/>
      <c r="AU387" s="73">
        <f>SUMIF($G386:$T386,"A",$G387:$T387)+SUMIF($W386:$AJ386,"A",$W387:$AJ387)</f>
        <v>0</v>
      </c>
      <c r="AV387" s="72"/>
      <c r="AW387" s="76">
        <f>IF(B387="",0,IF($U$9="",0,$U$9))</f>
        <v>80</v>
      </c>
      <c r="BA387" s="2"/>
      <c r="BB387" s="2"/>
      <c r="BC387" s="101"/>
      <c r="BD387" s="101"/>
    </row>
    <row r="388" spans="2:56" s="84" customFormat="1" x14ac:dyDescent="0.35">
      <c r="B388" s="26"/>
      <c r="C388" s="27"/>
      <c r="D388" s="28">
        <f>IF(D314="","",D314)</f>
        <v>92032</v>
      </c>
      <c r="E388" s="29" t="str">
        <f t="shared" si="185"/>
        <v/>
      </c>
      <c r="F388" s="50">
        <f>B379</f>
        <v>15</v>
      </c>
      <c r="G388" s="59"/>
      <c r="H388" s="64"/>
      <c r="I388" s="106"/>
      <c r="J388" s="105"/>
      <c r="K388" s="106"/>
      <c r="L388" s="105"/>
      <c r="M388" s="106"/>
      <c r="N388" s="105"/>
      <c r="O388" s="106"/>
      <c r="P388" s="105"/>
      <c r="Q388" s="106"/>
      <c r="R388" s="105"/>
      <c r="S388" s="59"/>
      <c r="T388" s="64"/>
      <c r="U388" s="44"/>
      <c r="W388" s="59"/>
      <c r="X388" s="64"/>
      <c r="Y388" s="106"/>
      <c r="Z388" s="105"/>
      <c r="AA388" s="106"/>
      <c r="AB388" s="105"/>
      <c r="AC388" s="106"/>
      <c r="AD388" s="105"/>
      <c r="AE388" s="106"/>
      <c r="AF388" s="105"/>
      <c r="AG388" s="106"/>
      <c r="AH388" s="105"/>
      <c r="AI388" s="59"/>
      <c r="AJ388" s="64"/>
      <c r="AK388" s="44"/>
      <c r="AM388" s="49"/>
      <c r="AN388" s="49"/>
      <c r="AO388" s="49"/>
      <c r="AP388" s="49"/>
      <c r="AQ388" s="49"/>
      <c r="AR388" s="40"/>
      <c r="AS388" s="51"/>
      <c r="AU388" s="49"/>
      <c r="AW388" s="52"/>
      <c r="BA388" s="2"/>
      <c r="BB388" s="2"/>
      <c r="BC388" s="101"/>
      <c r="BD388" s="101"/>
    </row>
    <row r="389" spans="2:56" s="84" customFormat="1" x14ac:dyDescent="0.35">
      <c r="B389" s="30" t="str">
        <f>IF(B315="","",B315)</f>
        <v>Benoit, Jean-Paul(Avance $1,600.00)</v>
      </c>
      <c r="C389" s="31"/>
      <c r="D389" s="32"/>
      <c r="E389" s="33">
        <f t="shared" si="185"/>
        <v>93595935</v>
      </c>
      <c r="F389" s="50">
        <f>B379</f>
        <v>15</v>
      </c>
      <c r="G389" s="69"/>
      <c r="H389" s="70"/>
      <c r="I389" s="104"/>
      <c r="J389" s="103" t="s">
        <v>69</v>
      </c>
      <c r="K389" s="104"/>
      <c r="L389" s="103" t="s">
        <v>69</v>
      </c>
      <c r="M389" s="104"/>
      <c r="N389" s="103" t="s">
        <v>69</v>
      </c>
      <c r="O389" s="104"/>
      <c r="P389" s="103" t="s">
        <v>69</v>
      </c>
      <c r="Q389" s="104"/>
      <c r="R389" s="103" t="s">
        <v>69</v>
      </c>
      <c r="S389" s="69"/>
      <c r="T389" s="70"/>
      <c r="U389" s="71">
        <f t="shared" ref="U389" si="187">SUM(G389:T389)</f>
        <v>0</v>
      </c>
      <c r="V389" s="72"/>
      <c r="W389" s="69"/>
      <c r="X389" s="70"/>
      <c r="Y389" s="104"/>
      <c r="Z389" s="103" t="s">
        <v>69</v>
      </c>
      <c r="AA389" s="104"/>
      <c r="AB389" s="103" t="s">
        <v>69</v>
      </c>
      <c r="AC389" s="104"/>
      <c r="AD389" s="103" t="s">
        <v>69</v>
      </c>
      <c r="AE389" s="104"/>
      <c r="AF389" s="103" t="s">
        <v>69</v>
      </c>
      <c r="AG389" s="104"/>
      <c r="AH389" s="103" t="s">
        <v>69</v>
      </c>
      <c r="AI389" s="69"/>
      <c r="AJ389" s="70"/>
      <c r="AK389" s="71">
        <f>SUM(W389:AJ389)</f>
        <v>0</v>
      </c>
      <c r="AL389" s="72"/>
      <c r="AM389" s="73">
        <f>SUMIF($G388:$T388,"",$G389:$T389)+SUMIF($W388:$AJ388,"",$W389:$AJ389)-AN389</f>
        <v>0</v>
      </c>
      <c r="AN389" s="88">
        <f>IF(SUMIF($G388:$T388,"",$G389:$T389)+SUMIF($G388:$T388,"F",$G389:$T389)+SUMIF($G388:$T388,"V",$G389:$T389)-40&lt;0,0,SUMIF($G388:$T388,"",$G389:$T389)+SUMIF($G388:$T388,"F",$G389:$T389)+SUMIF($G388:$T388,"V",$G389:$T389)-($U$9/2))+IF(SUMIF($W388:$AJ388,"",$W389:$AJ389)+SUMIF($W388:$AJ388,"F",$W389:$AJ389)+SUMIF($W388:$AJ388,"V",$W389:$AJ389)-40&lt;0,0,SUMIF($W388:$AJ388,"",$W389:$AJ389)+SUMIF($W388:$AJ388,"F",$W389:$AJ389)+SUMIF($W388:$AJ388,"V",$W389:$AJ389)-($U$9/2))</f>
        <v>0</v>
      </c>
      <c r="AO389" s="73">
        <f>SUMIF($G388:$T388,"M",$G389:$T389)+SUMIF($W388:$AJ388,"M",$W389:$AJ389)</f>
        <v>0</v>
      </c>
      <c r="AP389" s="73">
        <f>SUMIF($G388:$T388,"F",$G389:$T389)+SUMIF($W388:$AJ388,"F",$W389:$AJ389)</f>
        <v>0</v>
      </c>
      <c r="AQ389" s="73">
        <f>SUMIF($G388:$T388,"V",$G389:$T389)+SUMIF($W388:$AJ388,"V",$W389:$AJ389)</f>
        <v>0</v>
      </c>
      <c r="AR389" s="74">
        <f>SUMIF($G388:$T388,"O",$G389:$T389)+SUMIF($W388:$AJ388,"O",$W389:$AJ389)</f>
        <v>0</v>
      </c>
      <c r="AS389" s="75">
        <f>SUM(AM389:AR389)</f>
        <v>0</v>
      </c>
      <c r="AT389" s="72"/>
      <c r="AU389" s="73">
        <f>SUMIF($G388:$T388,"A",$G389:$T389)+SUMIF($W388:$AJ388,"A",$W389:$AJ389)</f>
        <v>0</v>
      </c>
      <c r="AV389" s="72"/>
      <c r="AW389" s="76">
        <f>IF(B389="",0,IF($U$9="",0,$U$9))</f>
        <v>80</v>
      </c>
      <c r="BA389" s="2"/>
      <c r="BB389" s="2"/>
      <c r="BC389" s="101"/>
      <c r="BD389" s="101"/>
    </row>
    <row r="390" spans="2:56" s="84" customFormat="1" x14ac:dyDescent="0.35">
      <c r="B390" s="26"/>
      <c r="C390" s="27"/>
      <c r="D390" s="28">
        <f>IF(D316="","",D316)</f>
        <v>81077</v>
      </c>
      <c r="E390" s="29" t="str">
        <f t="shared" si="185"/>
        <v/>
      </c>
      <c r="F390" s="50">
        <f>B379</f>
        <v>15</v>
      </c>
      <c r="G390" s="93"/>
      <c r="H390" s="94"/>
      <c r="I390" s="106"/>
      <c r="J390" s="105"/>
      <c r="K390" s="106"/>
      <c r="L390" s="105"/>
      <c r="M390" s="106"/>
      <c r="N390" s="105"/>
      <c r="O390" s="106"/>
      <c r="P390" s="105"/>
      <c r="Q390" s="106"/>
      <c r="R390" s="105"/>
      <c r="S390" s="59"/>
      <c r="T390" s="64"/>
      <c r="U390" s="44"/>
      <c r="W390" s="59"/>
      <c r="X390" s="64"/>
      <c r="Y390" s="106"/>
      <c r="Z390" s="105"/>
      <c r="AA390" s="106"/>
      <c r="AB390" s="105"/>
      <c r="AC390" s="106"/>
      <c r="AD390" s="105"/>
      <c r="AE390" s="106"/>
      <c r="AF390" s="105"/>
      <c r="AG390" s="106"/>
      <c r="AH390" s="105"/>
      <c r="AI390" s="59"/>
      <c r="AJ390" s="64"/>
      <c r="AK390" s="44"/>
      <c r="AM390" s="49"/>
      <c r="AN390" s="49"/>
      <c r="AO390" s="49"/>
      <c r="AP390" s="49"/>
      <c r="AQ390" s="49"/>
      <c r="AR390" s="40"/>
      <c r="AS390" s="51"/>
      <c r="AU390" s="49"/>
      <c r="AW390" s="52"/>
      <c r="BA390" s="2"/>
      <c r="BB390" s="2"/>
      <c r="BC390" s="101"/>
      <c r="BD390" s="101"/>
    </row>
    <row r="391" spans="2:56" s="84" customFormat="1" x14ac:dyDescent="0.35">
      <c r="B391" s="30" t="str">
        <f>IF(B317="","",B317)</f>
        <v>Bourassa, Julie</v>
      </c>
      <c r="C391" s="31"/>
      <c r="D391" s="32"/>
      <c r="E391" s="33">
        <f t="shared" si="185"/>
        <v>93540</v>
      </c>
      <c r="F391" s="50">
        <f>B379</f>
        <v>15</v>
      </c>
      <c r="G391" s="93"/>
      <c r="H391" s="94"/>
      <c r="I391" s="104"/>
      <c r="J391" s="103">
        <v>8</v>
      </c>
      <c r="K391" s="104"/>
      <c r="L391" s="103">
        <v>8.5</v>
      </c>
      <c r="M391" s="104"/>
      <c r="N391" s="103">
        <v>8</v>
      </c>
      <c r="O391" s="104"/>
      <c r="P391" s="103">
        <v>8.5</v>
      </c>
      <c r="Q391" s="104"/>
      <c r="R391" s="103">
        <v>7.5</v>
      </c>
      <c r="S391" s="69"/>
      <c r="T391" s="70"/>
      <c r="U391" s="71">
        <f t="shared" ref="U391" si="188">SUM(G391:T391)</f>
        <v>40.5</v>
      </c>
      <c r="V391" s="72"/>
      <c r="W391" s="69"/>
      <c r="X391" s="70"/>
      <c r="Y391" s="104"/>
      <c r="Z391" s="103">
        <v>8</v>
      </c>
      <c r="AA391" s="104"/>
      <c r="AB391" s="103">
        <v>8.5</v>
      </c>
      <c r="AC391" s="104"/>
      <c r="AD391" s="103">
        <v>8</v>
      </c>
      <c r="AE391" s="104"/>
      <c r="AF391" s="103">
        <v>8.5</v>
      </c>
      <c r="AG391" s="104"/>
      <c r="AH391" s="103">
        <v>8</v>
      </c>
      <c r="AI391" s="69"/>
      <c r="AJ391" s="70"/>
      <c r="AK391" s="71">
        <f>SUM(W391:AJ391)</f>
        <v>41</v>
      </c>
      <c r="AL391" s="72"/>
      <c r="AM391" s="73">
        <f>SUMIF($G390:$T390,"",$G391:$T391)+SUMIF($W390:$AJ390,"",$W391:$AJ391)-AN391</f>
        <v>80</v>
      </c>
      <c r="AN391" s="88">
        <f>IF(SUMIF($G390:$T390,"",$G391:$T391)+SUMIF($G390:$T390,"F",$G391:$T391)+SUMIF($G390:$T390,"V",$G391:$T391)-40&lt;0,0,SUMIF($G390:$T390,"",$G391:$T391)+SUMIF($G390:$T390,"F",$G391:$T391)+SUMIF($G390:$T390,"V",$G391:$T391)-($U$9/2))+IF(SUMIF($W390:$AJ390,"",$W391:$AJ391)+SUMIF($W390:$AJ390,"F",$W391:$AJ391)+SUMIF($W390:$AJ390,"V",$W391:$AJ391)-40&lt;0,0,SUMIF($W390:$AJ390,"",$W391:$AJ391)+SUMIF($W390:$AJ390,"F",$W391:$AJ391)+SUMIF($W390:$AJ390,"V",$W391:$AJ391)-($U$9/2))</f>
        <v>1.5</v>
      </c>
      <c r="AO391" s="73">
        <f>SUMIF($G390:$T390,"M",$G391:$T391)+SUMIF($W390:$AJ390,"M",$W391:$AJ391)</f>
        <v>0</v>
      </c>
      <c r="AP391" s="73">
        <f>SUMIF($G390:$T390,"F",$G391:$T391)+SUMIF($W390:$AJ390,"F",$W391:$AJ391)</f>
        <v>0</v>
      </c>
      <c r="AQ391" s="73">
        <f>SUMIF($G390:$T390,"V",$G391:$T391)+SUMIF($W390:$AJ390,"V",$W391:$AJ391)</f>
        <v>0</v>
      </c>
      <c r="AR391" s="74">
        <f>SUMIF($G390:$T390,"O",$G391:$T391)+SUMIF($W390:$AJ390,"O",$W391:$AJ391)</f>
        <v>0</v>
      </c>
      <c r="AS391" s="75">
        <f>SUM(AM391:AR391)</f>
        <v>81.5</v>
      </c>
      <c r="AT391" s="72"/>
      <c r="AU391" s="73">
        <f>SUMIF($G390:$T390,"A",$G391:$T391)+SUMIF($W390:$AJ390,"A",$W391:$AJ391)</f>
        <v>0</v>
      </c>
      <c r="AV391" s="72"/>
      <c r="AW391" s="76">
        <f>IF(B391="",0,IF($U$9="",0,$U$9))</f>
        <v>80</v>
      </c>
      <c r="BA391" s="2"/>
      <c r="BB391" s="2"/>
      <c r="BC391" s="101"/>
      <c r="BD391" s="101"/>
    </row>
    <row r="392" spans="2:56" s="84" customFormat="1" x14ac:dyDescent="0.35">
      <c r="B392" s="26"/>
      <c r="C392" s="27"/>
      <c r="D392" s="28">
        <f>IF(D318="","",D318)</f>
        <v>78475</v>
      </c>
      <c r="E392" s="29" t="str">
        <f t="shared" si="185"/>
        <v/>
      </c>
      <c r="F392" s="50">
        <f>B379</f>
        <v>15</v>
      </c>
      <c r="G392" s="59"/>
      <c r="H392" s="64"/>
      <c r="I392" s="106"/>
      <c r="J392" s="105"/>
      <c r="K392" s="106"/>
      <c r="L392" s="105" t="s">
        <v>13</v>
      </c>
      <c r="M392" s="106"/>
      <c r="N392" s="105"/>
      <c r="O392" s="106"/>
      <c r="P392" s="105"/>
      <c r="Q392" s="106"/>
      <c r="R392" s="105"/>
      <c r="S392" s="59"/>
      <c r="T392" s="64"/>
      <c r="U392" s="44"/>
      <c r="W392" s="59"/>
      <c r="X392" s="64"/>
      <c r="Y392" s="106"/>
      <c r="Z392" s="105"/>
      <c r="AA392" s="106"/>
      <c r="AB392" s="105"/>
      <c r="AC392" s="106"/>
      <c r="AD392" s="105"/>
      <c r="AE392" s="106"/>
      <c r="AF392" s="105"/>
      <c r="AG392" s="106"/>
      <c r="AH392" s="105"/>
      <c r="AI392" s="59"/>
      <c r="AJ392" s="64"/>
      <c r="AK392" s="44"/>
      <c r="AM392" s="49"/>
      <c r="AN392" s="49"/>
      <c r="AO392" s="49"/>
      <c r="AP392" s="49"/>
      <c r="AQ392" s="49"/>
      <c r="AR392" s="40"/>
      <c r="AS392" s="51"/>
      <c r="AU392" s="49"/>
      <c r="AW392" s="52"/>
      <c r="BA392" s="2"/>
      <c r="BB392" s="2"/>
      <c r="BC392" s="101"/>
      <c r="BD392" s="101"/>
    </row>
    <row r="393" spans="2:56" s="84" customFormat="1" x14ac:dyDescent="0.35">
      <c r="B393" s="30" t="str">
        <f>IF(B319="","",B319)</f>
        <v>Charbonneau, Samuel</v>
      </c>
      <c r="C393" s="31"/>
      <c r="D393" s="32"/>
      <c r="E393" s="33">
        <f t="shared" si="185"/>
        <v>93540</v>
      </c>
      <c r="F393" s="50">
        <f>B379</f>
        <v>15</v>
      </c>
      <c r="G393" s="69"/>
      <c r="H393" s="70"/>
      <c r="I393" s="104"/>
      <c r="J393" s="103">
        <v>8.5</v>
      </c>
      <c r="K393" s="104"/>
      <c r="L393" s="103">
        <v>8</v>
      </c>
      <c r="M393" s="104"/>
      <c r="N393" s="103">
        <v>8.5</v>
      </c>
      <c r="O393" s="104"/>
      <c r="P393" s="103">
        <v>8</v>
      </c>
      <c r="Q393" s="104"/>
      <c r="R393" s="103">
        <v>8</v>
      </c>
      <c r="S393" s="69"/>
      <c r="T393" s="70"/>
      <c r="U393" s="71">
        <f t="shared" ref="U393" si="189">SUM(G393:T393)</f>
        <v>41</v>
      </c>
      <c r="V393" s="72"/>
      <c r="W393" s="69"/>
      <c r="X393" s="70"/>
      <c r="Y393" s="104"/>
      <c r="Z393" s="103">
        <v>8.5</v>
      </c>
      <c r="AA393" s="104"/>
      <c r="AB393" s="103">
        <v>8</v>
      </c>
      <c r="AC393" s="104"/>
      <c r="AD393" s="103">
        <v>8.5</v>
      </c>
      <c r="AE393" s="104"/>
      <c r="AF393" s="103">
        <v>8</v>
      </c>
      <c r="AG393" s="104"/>
      <c r="AH393" s="103">
        <v>7.5</v>
      </c>
      <c r="AI393" s="69"/>
      <c r="AJ393" s="70"/>
      <c r="AK393" s="71">
        <f>SUM(W393:AJ393)</f>
        <v>40.5</v>
      </c>
      <c r="AL393" s="72"/>
      <c r="AM393" s="73">
        <f>SUMIF($G392:$T392,"",$G393:$T393)+SUMIF($W392:$AJ392,"",$W393:$AJ393)-AN393</f>
        <v>72</v>
      </c>
      <c r="AN393" s="88">
        <f>IF(SUMIF($G392:$T392,"",$G393:$T393)+SUMIF($G392:$T392,"F",$G393:$T393)+SUMIF($G392:$T392,"V",$G393:$T393)-40&lt;0,0,SUMIF($G392:$T392,"",$G393:$T393)+SUMIF($G392:$T392,"F",$G393:$T393)+SUMIF($G392:$T392,"V",$G393:$T393)-($U$9/2))+IF(SUMIF($W392:$AJ392,"",$W393:$AJ393)+SUMIF($W392:$AJ392,"F",$W393:$AJ393)+SUMIF($W392:$AJ392,"V",$W393:$AJ393)-40&lt;0,0,SUMIF($W392:$AJ392,"",$W393:$AJ393)+SUMIF($W392:$AJ392,"F",$W393:$AJ393)+SUMIF($W392:$AJ392,"V",$W393:$AJ393)-($U$9/2))</f>
        <v>1.5</v>
      </c>
      <c r="AO393" s="73">
        <f>SUMIF($G392:$T392,"M",$G393:$T393)+SUMIF($W392:$AJ392,"M",$W393:$AJ393)</f>
        <v>0</v>
      </c>
      <c r="AP393" s="73">
        <f>SUMIF($G392:$T392,"F",$G393:$T393)+SUMIF($W392:$AJ392,"F",$W393:$AJ393)</f>
        <v>8</v>
      </c>
      <c r="AQ393" s="73">
        <f>SUMIF($G392:$T392,"V",$G393:$T393)+SUMIF($W392:$AJ392,"V",$W393:$AJ393)</f>
        <v>0</v>
      </c>
      <c r="AR393" s="74">
        <f>SUMIF($G392:$T392,"O",$G393:$T393)+SUMIF($W392:$AJ392,"O",$W393:$AJ393)</f>
        <v>0</v>
      </c>
      <c r="AS393" s="75">
        <f>SUM(AM393:AR393)</f>
        <v>81.5</v>
      </c>
      <c r="AT393" s="72"/>
      <c r="AU393" s="73">
        <f>SUMIF($G392:$T392,"A",$G393:$T393)+SUMIF($W392:$AJ392,"A",$W393:$AJ393)</f>
        <v>0</v>
      </c>
      <c r="AV393" s="72"/>
      <c r="AW393" s="76">
        <f>IF(B393="",0,IF($U$9="",0,$U$9))</f>
        <v>80</v>
      </c>
      <c r="BA393" s="2"/>
      <c r="BB393" s="2"/>
      <c r="BC393" s="101"/>
      <c r="BD393" s="101"/>
    </row>
    <row r="394" spans="2:56" s="84" customFormat="1" x14ac:dyDescent="0.35">
      <c r="B394" s="26"/>
      <c r="C394" s="27"/>
      <c r="D394" s="28">
        <f>IF(D320="","",D320)</f>
        <v>24238</v>
      </c>
      <c r="E394" s="29" t="str">
        <f t="shared" si="185"/>
        <v/>
      </c>
      <c r="F394" s="50">
        <f>B379</f>
        <v>15</v>
      </c>
      <c r="G394" s="59"/>
      <c r="H394" s="64"/>
      <c r="I394" s="106"/>
      <c r="J394" s="105"/>
      <c r="K394" s="106"/>
      <c r="L394" s="105"/>
      <c r="M394" s="106"/>
      <c r="N394" s="105"/>
      <c r="O394" s="106"/>
      <c r="P394" s="105"/>
      <c r="Q394" s="106"/>
      <c r="R394" s="105"/>
      <c r="S394" s="59"/>
      <c r="T394" s="64"/>
      <c r="U394" s="44"/>
      <c r="W394" s="59"/>
      <c r="X394" s="64"/>
      <c r="Y394" s="106"/>
      <c r="Z394" s="105"/>
      <c r="AA394" s="106"/>
      <c r="AB394" s="105"/>
      <c r="AC394" s="106"/>
      <c r="AD394" s="105"/>
      <c r="AE394" s="106"/>
      <c r="AF394" s="105"/>
      <c r="AG394" s="106"/>
      <c r="AH394" s="105"/>
      <c r="AI394" s="59"/>
      <c r="AJ394" s="64"/>
      <c r="AK394" s="44"/>
      <c r="AM394" s="49"/>
      <c r="AN394" s="49"/>
      <c r="AO394" s="49"/>
      <c r="AP394" s="49"/>
      <c r="AQ394" s="49"/>
      <c r="AR394" s="40"/>
      <c r="AS394" s="51"/>
      <c r="AU394" s="49"/>
      <c r="AW394" s="52"/>
      <c r="BA394" s="2"/>
      <c r="BB394" s="2"/>
      <c r="BC394" s="101"/>
      <c r="BD394" s="101"/>
    </row>
    <row r="395" spans="2:56" s="84" customFormat="1" x14ac:dyDescent="0.35">
      <c r="B395" s="30" t="str">
        <f>IF(B321="","",B321)</f>
        <v>Curtis, Jason</v>
      </c>
      <c r="C395" s="31"/>
      <c r="D395" s="32"/>
      <c r="E395" s="33">
        <f t="shared" si="185"/>
        <v>93595935</v>
      </c>
      <c r="F395" s="50">
        <f>B379</f>
        <v>15</v>
      </c>
      <c r="G395" s="69"/>
      <c r="H395" s="70"/>
      <c r="I395" s="104"/>
      <c r="J395" s="103">
        <v>8</v>
      </c>
      <c r="K395" s="104"/>
      <c r="L395" s="103">
        <v>8</v>
      </c>
      <c r="M395" s="104"/>
      <c r="N395" s="103">
        <v>8</v>
      </c>
      <c r="O395" s="104"/>
      <c r="P395" s="103">
        <v>8</v>
      </c>
      <c r="Q395" s="104"/>
      <c r="R395" s="103">
        <v>8</v>
      </c>
      <c r="S395" s="69"/>
      <c r="T395" s="70"/>
      <c r="U395" s="71">
        <f t="shared" ref="U395" si="190">SUM(G395:T395)</f>
        <v>40</v>
      </c>
      <c r="V395" s="72"/>
      <c r="W395" s="69"/>
      <c r="X395" s="70"/>
      <c r="Y395" s="104"/>
      <c r="Z395" s="103">
        <v>8</v>
      </c>
      <c r="AA395" s="104"/>
      <c r="AB395" s="103">
        <v>8</v>
      </c>
      <c r="AC395" s="104"/>
      <c r="AD395" s="103">
        <v>8</v>
      </c>
      <c r="AE395" s="104"/>
      <c r="AF395" s="103">
        <v>8</v>
      </c>
      <c r="AG395" s="104"/>
      <c r="AH395" s="103">
        <v>8</v>
      </c>
      <c r="AI395" s="69"/>
      <c r="AJ395" s="70"/>
      <c r="AK395" s="71">
        <f>SUM(W395:AJ395)</f>
        <v>40</v>
      </c>
      <c r="AL395" s="72"/>
      <c r="AM395" s="73">
        <f>SUMIF($G394:$T394,"",$G395:$T395)+SUMIF($W394:$AJ394,"",$W395:$AJ395)-AN395</f>
        <v>80</v>
      </c>
      <c r="AN395" s="88">
        <f>IF(SUMIF($G394:$T394,"",$G395:$T395)+SUMIF($G394:$T394,"F",$G395:$T395)+SUMIF($G394:$T394,"V",$G395:$T395)-40&lt;0,0,SUMIF($G394:$T394,"",$G395:$T395)+SUMIF($G394:$T394,"F",$G395:$T395)+SUMIF($G394:$T394,"V",$G395:$T395)-($U$9/2))+IF(SUMIF($W394:$AJ394,"",$W395:$AJ395)+SUMIF($W394:$AJ394,"F",$W395:$AJ395)+SUMIF($W394:$AJ394,"V",$W395:$AJ395)-40&lt;0,0,SUMIF($W394:$AJ394,"",$W395:$AJ395)+SUMIF($W394:$AJ394,"F",$W395:$AJ395)+SUMIF($W394:$AJ394,"V",$W395:$AJ395)-($U$9/2))</f>
        <v>0</v>
      </c>
      <c r="AO395" s="73">
        <f>SUMIF($G394:$T394,"M",$G395:$T395)+SUMIF($W394:$AJ394,"M",$W395:$AJ395)</f>
        <v>0</v>
      </c>
      <c r="AP395" s="73">
        <f>SUMIF($G394:$T394,"F",$G395:$T395)+SUMIF($W394:$AJ394,"F",$W395:$AJ395)</f>
        <v>0</v>
      </c>
      <c r="AQ395" s="73">
        <f>SUMIF($G394:$T394,"V",$G395:$T395)+SUMIF($W394:$AJ394,"V",$W395:$AJ395)</f>
        <v>0</v>
      </c>
      <c r="AR395" s="74">
        <f>SUMIF($G394:$T394,"O",$G395:$T395)+SUMIF($W394:$AJ394,"O",$W395:$AJ395)</f>
        <v>0</v>
      </c>
      <c r="AS395" s="75">
        <f>SUM(AM395:AR395)</f>
        <v>80</v>
      </c>
      <c r="AT395" s="72"/>
      <c r="AU395" s="73">
        <f>SUMIF($G394:$T394,"A",$G395:$T395)+SUMIF($W394:$AJ394,"A",$W395:$AJ395)</f>
        <v>0</v>
      </c>
      <c r="AV395" s="72"/>
      <c r="AW395" s="76">
        <f>IF(B395="",0,IF($U$9="",0,$U$9))</f>
        <v>80</v>
      </c>
      <c r="BA395" s="2"/>
      <c r="BB395" s="2"/>
      <c r="BC395" s="101"/>
      <c r="BD395" s="101"/>
    </row>
    <row r="396" spans="2:56" s="84" customFormat="1" x14ac:dyDescent="0.35">
      <c r="B396" s="26"/>
      <c r="C396" s="27"/>
      <c r="D396" s="28">
        <f>IF(D322="","",D322)</f>
        <v>79709</v>
      </c>
      <c r="E396" s="29" t="str">
        <f t="shared" si="185"/>
        <v/>
      </c>
      <c r="F396" s="50">
        <f>B379</f>
        <v>15</v>
      </c>
      <c r="G396" s="59"/>
      <c r="H396" s="64"/>
      <c r="I396" s="106"/>
      <c r="J396" s="105"/>
      <c r="K396" s="106"/>
      <c r="L396" s="105"/>
      <c r="M396" s="106"/>
      <c r="N396" s="105"/>
      <c r="O396" s="106"/>
      <c r="P396" s="105"/>
      <c r="Q396" s="106"/>
      <c r="R396" s="105"/>
      <c r="S396" s="59"/>
      <c r="T396" s="64"/>
      <c r="U396" s="44"/>
      <c r="W396" s="59"/>
      <c r="X396" s="64"/>
      <c r="Y396" s="106"/>
      <c r="Z396" s="105"/>
      <c r="AA396" s="106"/>
      <c r="AB396" s="105"/>
      <c r="AC396" s="106"/>
      <c r="AD396" s="105"/>
      <c r="AE396" s="106"/>
      <c r="AF396" s="105"/>
      <c r="AG396" s="106"/>
      <c r="AH396" s="105"/>
      <c r="AI396" s="59"/>
      <c r="AJ396" s="64"/>
      <c r="AK396" s="44"/>
      <c r="AM396" s="49"/>
      <c r="AN396" s="49"/>
      <c r="AO396" s="49"/>
      <c r="AP396" s="49"/>
      <c r="AQ396" s="49"/>
      <c r="AR396" s="40"/>
      <c r="AS396" s="51"/>
      <c r="AU396" s="49"/>
      <c r="AW396" s="52"/>
      <c r="BA396" s="2"/>
      <c r="BB396" s="2"/>
      <c r="BC396" s="101"/>
      <c r="BD396" s="101"/>
    </row>
    <row r="397" spans="2:56" s="84" customFormat="1" x14ac:dyDescent="0.35">
      <c r="B397" s="30" t="str">
        <f>IF(B323="","",B323)</f>
        <v>De Rose, Natale</v>
      </c>
      <c r="C397" s="31"/>
      <c r="D397" s="32"/>
      <c r="E397" s="33">
        <f t="shared" si="185"/>
        <v>93595935</v>
      </c>
      <c r="F397" s="50">
        <f>B379</f>
        <v>15</v>
      </c>
      <c r="G397" s="69"/>
      <c r="H397" s="70"/>
      <c r="I397" s="104"/>
      <c r="J397" s="103">
        <v>8</v>
      </c>
      <c r="K397" s="104"/>
      <c r="L397" s="103">
        <v>8</v>
      </c>
      <c r="M397" s="104"/>
      <c r="N397" s="103">
        <v>8</v>
      </c>
      <c r="O397" s="104"/>
      <c r="P397" s="103">
        <v>8</v>
      </c>
      <c r="Q397" s="104"/>
      <c r="R397" s="103">
        <v>8</v>
      </c>
      <c r="S397" s="69"/>
      <c r="T397" s="70"/>
      <c r="U397" s="71">
        <f t="shared" ref="U397" si="191">SUM(G397:T397)</f>
        <v>40</v>
      </c>
      <c r="V397" s="72"/>
      <c r="W397" s="69"/>
      <c r="X397" s="70"/>
      <c r="Y397" s="104"/>
      <c r="Z397" s="103">
        <v>8</v>
      </c>
      <c r="AA397" s="104"/>
      <c r="AB397" s="103">
        <v>8</v>
      </c>
      <c r="AC397" s="104"/>
      <c r="AD397" s="103">
        <v>8</v>
      </c>
      <c r="AE397" s="104"/>
      <c r="AF397" s="103">
        <v>8</v>
      </c>
      <c r="AG397" s="104"/>
      <c r="AH397" s="103">
        <v>8</v>
      </c>
      <c r="AI397" s="69"/>
      <c r="AJ397" s="70"/>
      <c r="AK397" s="71">
        <f>SUM(W397:AJ397)</f>
        <v>40</v>
      </c>
      <c r="AL397" s="72"/>
      <c r="AM397" s="73">
        <f>SUMIF($G396:$T396,"",$G397:$T397)+SUMIF($W396:$AJ396,"",$W397:$AJ397)-AN397</f>
        <v>80</v>
      </c>
      <c r="AN397" s="88">
        <f>IF(SUMIF($G396:$T396,"",$G397:$T397)+SUMIF($G396:$T396,"F",$G397:$T397)+SUMIF($G396:$T396,"V",$G397:$T397)-40&lt;0,0,SUMIF($G396:$T396,"",$G397:$T397)+SUMIF($G396:$T396,"F",$G397:$T397)+SUMIF($G396:$T396,"V",$G397:$T397)-($U$9/2))+IF(SUMIF($W396:$AJ396,"",$W397:$AJ397)+SUMIF($W396:$AJ396,"F",$W397:$AJ397)+SUMIF($W396:$AJ396,"V",$W397:$AJ397)-40&lt;0,0,SUMIF($W396:$AJ396,"",$W397:$AJ397)+SUMIF($W396:$AJ396,"F",$W397:$AJ397)+SUMIF($W396:$AJ396,"V",$W397:$AJ397)-($U$9/2))</f>
        <v>0</v>
      </c>
      <c r="AO397" s="73">
        <f>SUMIF($G396:$T396,"M",$G397:$T397)+SUMIF($W396:$AJ396,"M",$W397:$AJ397)</f>
        <v>0</v>
      </c>
      <c r="AP397" s="73">
        <f>SUMIF($G396:$T396,"F",$G397:$T397)+SUMIF($W396:$AJ396,"F",$W397:$AJ397)</f>
        <v>0</v>
      </c>
      <c r="AQ397" s="73">
        <f>SUMIF($G396:$T396,"V",$G397:$T397)+SUMIF($W396:$AJ396,"V",$W397:$AJ397)</f>
        <v>0</v>
      </c>
      <c r="AR397" s="74">
        <f>SUMIF($G396:$T396,"O",$G397:$T397)+SUMIF($W396:$AJ396,"O",$W397:$AJ397)</f>
        <v>0</v>
      </c>
      <c r="AS397" s="75">
        <f>SUM(AM397:AR397)</f>
        <v>80</v>
      </c>
      <c r="AT397" s="72"/>
      <c r="AU397" s="73">
        <f>SUMIF($G396:$T396,"A",$G397:$T397)+SUMIF($W396:$AJ396,"A",$W397:$AJ397)</f>
        <v>0</v>
      </c>
      <c r="AV397" s="72"/>
      <c r="AW397" s="76">
        <f>IF(B397="",0,IF($U$9="",0,$U$9))</f>
        <v>80</v>
      </c>
      <c r="BA397" s="2"/>
      <c r="BB397" s="2"/>
      <c r="BC397" s="101"/>
      <c r="BD397" s="101"/>
    </row>
    <row r="398" spans="2:56" s="84" customFormat="1" x14ac:dyDescent="0.35">
      <c r="B398" s="26"/>
      <c r="C398" s="27"/>
      <c r="D398" s="28">
        <f>IF(D324="","",D324)</f>
        <v>92027</v>
      </c>
      <c r="E398" s="29" t="str">
        <f t="shared" si="185"/>
        <v/>
      </c>
      <c r="F398" s="50">
        <f>B379</f>
        <v>15</v>
      </c>
      <c r="G398" s="59"/>
      <c r="H398" s="64"/>
      <c r="I398" s="106"/>
      <c r="J398" s="105"/>
      <c r="K398" s="106"/>
      <c r="L398" s="105"/>
      <c r="M398" s="106"/>
      <c r="N398" s="105"/>
      <c r="O398" s="106"/>
      <c r="P398" s="105"/>
      <c r="Q398" s="106"/>
      <c r="R398" s="105"/>
      <c r="S398" s="59"/>
      <c r="T398" s="64"/>
      <c r="U398" s="44"/>
      <c r="W398" s="59"/>
      <c r="X398" s="64"/>
      <c r="Y398" s="106"/>
      <c r="Z398" s="105"/>
      <c r="AA398" s="106"/>
      <c r="AB398" s="105"/>
      <c r="AC398" s="106"/>
      <c r="AD398" s="105"/>
      <c r="AE398" s="106"/>
      <c r="AF398" s="105"/>
      <c r="AG398" s="106"/>
      <c r="AH398" s="105"/>
      <c r="AI398" s="59"/>
      <c r="AJ398" s="64"/>
      <c r="AK398" s="44"/>
      <c r="AM398" s="49"/>
      <c r="AN398" s="49"/>
      <c r="AO398" s="49"/>
      <c r="AP398" s="49"/>
      <c r="AQ398" s="49"/>
      <c r="AR398" s="40"/>
      <c r="AS398" s="51"/>
      <c r="AU398" s="49"/>
      <c r="AW398" s="52"/>
      <c r="BA398" s="2"/>
      <c r="BB398" s="2"/>
      <c r="BC398" s="101"/>
      <c r="BD398" s="101"/>
    </row>
    <row r="399" spans="2:56" s="84" customFormat="1" x14ac:dyDescent="0.35">
      <c r="B399" s="30" t="str">
        <f>IF(B325="","",B325)</f>
        <v>Descoteaux, Gerald</v>
      </c>
      <c r="C399" s="31"/>
      <c r="D399" s="32"/>
      <c r="E399" s="33">
        <f t="shared" si="185"/>
        <v>93595935</v>
      </c>
      <c r="F399" s="50">
        <f>B379</f>
        <v>15</v>
      </c>
      <c r="G399" s="69"/>
      <c r="H399" s="70"/>
      <c r="I399" s="104"/>
      <c r="J399" s="103">
        <v>8</v>
      </c>
      <c r="K399" s="104"/>
      <c r="L399" s="103">
        <v>8</v>
      </c>
      <c r="M399" s="104"/>
      <c r="N399" s="103">
        <v>8</v>
      </c>
      <c r="O399" s="104"/>
      <c r="P399" s="103">
        <v>8</v>
      </c>
      <c r="Q399" s="104"/>
      <c r="R399" s="103">
        <v>8</v>
      </c>
      <c r="S399" s="69"/>
      <c r="T399" s="70"/>
      <c r="U399" s="71">
        <f t="shared" ref="U399" si="192">SUM(G399:T399)</f>
        <v>40</v>
      </c>
      <c r="V399" s="72"/>
      <c r="W399" s="69"/>
      <c r="X399" s="70"/>
      <c r="Y399" s="104"/>
      <c r="Z399" s="103">
        <v>8</v>
      </c>
      <c r="AA399" s="104"/>
      <c r="AB399" s="103">
        <v>8</v>
      </c>
      <c r="AC399" s="104"/>
      <c r="AD399" s="103">
        <v>8</v>
      </c>
      <c r="AE399" s="104"/>
      <c r="AF399" s="103">
        <v>8</v>
      </c>
      <c r="AG399" s="104"/>
      <c r="AH399" s="103">
        <v>8</v>
      </c>
      <c r="AI399" s="69"/>
      <c r="AJ399" s="70"/>
      <c r="AK399" s="71">
        <f>SUM(W399:AJ399)</f>
        <v>40</v>
      </c>
      <c r="AL399" s="72"/>
      <c r="AM399" s="73">
        <f>SUMIF($G398:$T398,"",$G399:$T399)+SUMIF($W398:$AJ398,"",$W399:$AJ399)-AN399</f>
        <v>80</v>
      </c>
      <c r="AN399" s="88">
        <f>IF(SUMIF($G398:$T398,"",$G399:$T399)+SUMIF($G398:$T398,"F",$G399:$T399)+SUMIF($G398:$T398,"V",$G399:$T399)-40&lt;0,0,SUMIF($G398:$T398,"",$G399:$T399)+SUMIF($G398:$T398,"F",$G399:$T399)+SUMIF($G398:$T398,"V",$G399:$T399)-($U$9/2))+IF(SUMIF($W398:$AJ398,"",$W399:$AJ399)+SUMIF($W398:$AJ398,"F",$W399:$AJ399)+SUMIF($W398:$AJ398,"V",$W399:$AJ399)-40&lt;0,0,SUMIF($W398:$AJ398,"",$W399:$AJ399)+SUMIF($W398:$AJ398,"F",$W399:$AJ399)+SUMIF($W398:$AJ398,"V",$W399:$AJ399)-($U$9/2))</f>
        <v>0</v>
      </c>
      <c r="AO399" s="73">
        <f>SUMIF($G398:$T398,"M",$G399:$T399)+SUMIF($W398:$AJ398,"M",$W399:$AJ399)</f>
        <v>0</v>
      </c>
      <c r="AP399" s="73">
        <f>SUMIF($G398:$T398,"F",$G399:$T399)+SUMIF($W398:$AJ398,"F",$W399:$AJ399)</f>
        <v>0</v>
      </c>
      <c r="AQ399" s="73">
        <f>SUMIF($G398:$T398,"V",$G399:$T399)+SUMIF($W398:$AJ398,"V",$W399:$AJ399)</f>
        <v>0</v>
      </c>
      <c r="AR399" s="74">
        <f>SUMIF($G398:$T398,"O",$G399:$T399)+SUMIF($W398:$AJ398,"O",$W399:$AJ399)</f>
        <v>0</v>
      </c>
      <c r="AS399" s="75">
        <f>SUM(AM399:AR399)</f>
        <v>80</v>
      </c>
      <c r="AT399" s="72"/>
      <c r="AU399" s="73">
        <f>SUMIF($G398:$T398,"A",$G399:$T399)+SUMIF($W398:$AJ398,"A",$W399:$AJ399)</f>
        <v>0</v>
      </c>
      <c r="AV399" s="72"/>
      <c r="AW399" s="76">
        <f>IF(B399="",0,IF($U$9="",0,$U$9))</f>
        <v>80</v>
      </c>
      <c r="BA399" s="2"/>
      <c r="BB399" s="2"/>
      <c r="BC399" s="101"/>
      <c r="BD399" s="101"/>
    </row>
    <row r="400" spans="2:56" s="84" customFormat="1" x14ac:dyDescent="0.35">
      <c r="B400" s="26"/>
      <c r="C400" s="27"/>
      <c r="D400" s="28">
        <f>IF(D326="","",D326)</f>
        <v>73795</v>
      </c>
      <c r="E400" s="29" t="str">
        <f t="shared" si="185"/>
        <v/>
      </c>
      <c r="F400" s="50">
        <f>B379</f>
        <v>15</v>
      </c>
      <c r="G400" s="59"/>
      <c r="H400" s="64"/>
      <c r="I400" s="106"/>
      <c r="J400" s="105"/>
      <c r="K400" s="106"/>
      <c r="L400" s="105"/>
      <c r="M400" s="106"/>
      <c r="N400" s="105"/>
      <c r="O400" s="106"/>
      <c r="P400" s="105"/>
      <c r="Q400" s="106"/>
      <c r="R400" s="105"/>
      <c r="S400" s="59"/>
      <c r="T400" s="64"/>
      <c r="U400" s="44"/>
      <c r="W400" s="59"/>
      <c r="X400" s="64"/>
      <c r="Y400" s="106"/>
      <c r="Z400" s="105"/>
      <c r="AA400" s="106"/>
      <c r="AB400" s="105"/>
      <c r="AC400" s="106"/>
      <c r="AD400" s="105"/>
      <c r="AE400" s="106"/>
      <c r="AF400" s="105"/>
      <c r="AG400" s="106"/>
      <c r="AH400" s="105"/>
      <c r="AI400" s="59"/>
      <c r="AJ400" s="64"/>
      <c r="AK400" s="44"/>
      <c r="AM400" s="49"/>
      <c r="AN400" s="49"/>
      <c r="AO400" s="49"/>
      <c r="AP400" s="49"/>
      <c r="AQ400" s="49"/>
      <c r="AR400" s="40"/>
      <c r="AS400" s="51"/>
      <c r="AU400" s="49"/>
      <c r="AW400" s="52"/>
      <c r="BA400" s="2"/>
      <c r="BB400" s="2"/>
      <c r="BC400" s="101"/>
      <c r="BD400" s="101"/>
    </row>
    <row r="401" spans="2:56" s="84" customFormat="1" x14ac:dyDescent="0.35">
      <c r="B401" s="30" t="str">
        <f>IF(B327="","",B327)</f>
        <v>Fortin, Veronique</v>
      </c>
      <c r="C401" s="31"/>
      <c r="D401" s="32"/>
      <c r="E401" s="33">
        <f t="shared" si="185"/>
        <v>93540</v>
      </c>
      <c r="F401" s="50">
        <f>B379</f>
        <v>15</v>
      </c>
      <c r="G401" s="69"/>
      <c r="H401" s="70"/>
      <c r="I401" s="104"/>
      <c r="J401" s="103">
        <v>8</v>
      </c>
      <c r="K401" s="104"/>
      <c r="L401" s="103">
        <v>8</v>
      </c>
      <c r="M401" s="104"/>
      <c r="N401" s="103">
        <v>8</v>
      </c>
      <c r="O401" s="104"/>
      <c r="P401" s="103">
        <v>8</v>
      </c>
      <c r="Q401" s="104"/>
      <c r="R401" s="103">
        <v>7.5</v>
      </c>
      <c r="S401" s="69"/>
      <c r="T401" s="70"/>
      <c r="U401" s="71">
        <f t="shared" ref="U401" si="193">SUM(G401:T401)</f>
        <v>39.5</v>
      </c>
      <c r="V401" s="72"/>
      <c r="W401" s="69"/>
      <c r="X401" s="70"/>
      <c r="Y401" s="104"/>
      <c r="Z401" s="103">
        <v>8</v>
      </c>
      <c r="AA401" s="104"/>
      <c r="AB401" s="103">
        <v>8</v>
      </c>
      <c r="AC401" s="104"/>
      <c r="AD401" s="103">
        <v>8</v>
      </c>
      <c r="AE401" s="104"/>
      <c r="AF401" s="103">
        <v>8</v>
      </c>
      <c r="AG401" s="104"/>
      <c r="AH401" s="103">
        <v>7.5</v>
      </c>
      <c r="AI401" s="69"/>
      <c r="AJ401" s="70"/>
      <c r="AK401" s="71">
        <f>SUM(W401:AJ401)</f>
        <v>39.5</v>
      </c>
      <c r="AL401" s="72"/>
      <c r="AM401" s="73">
        <f>SUMIF($G400:$T400,"",$G401:$T401)+SUMIF($W400:$AJ400,"",$W401:$AJ401)-AN401</f>
        <v>79</v>
      </c>
      <c r="AN401" s="88">
        <f>IF(SUMIF($G400:$T400,"",$G401:$T401)+SUMIF($G400:$T400,"F",$G401:$T401)+SUMIF($G400:$T400,"V",$G401:$T401)-40&lt;0,0,SUMIF($G400:$T400,"",$G401:$T401)+SUMIF($G400:$T400,"F",$G401:$T401)+SUMIF($G400:$T400,"V",$G401:$T401)-($U$9/2))+IF(SUMIF($W400:$AJ400,"",$W401:$AJ401)+SUMIF($W400:$AJ400,"F",$W401:$AJ401)+SUMIF($W400:$AJ400,"V",$W401:$AJ401)-40&lt;0,0,SUMIF($W400:$AJ400,"",$W401:$AJ401)+SUMIF($W400:$AJ400,"F",$W401:$AJ401)+SUMIF($W400:$AJ400,"V",$W401:$AJ401)-($U$9/2))</f>
        <v>0</v>
      </c>
      <c r="AO401" s="73">
        <f>SUMIF($G400:$T400,"M",$G401:$T401)+SUMIF($W400:$AJ400,"M",$W401:$AJ401)</f>
        <v>0</v>
      </c>
      <c r="AP401" s="73">
        <f>SUMIF($G400:$T400,"F",$G401:$T401)+SUMIF($W400:$AJ400,"F",$W401:$AJ401)</f>
        <v>0</v>
      </c>
      <c r="AQ401" s="73">
        <f>SUMIF($G400:$T400,"V",$G401:$T401)+SUMIF($W400:$AJ400,"V",$W401:$AJ401)</f>
        <v>0</v>
      </c>
      <c r="AR401" s="74">
        <f>SUMIF($G400:$T400,"O",$G401:$T401)+SUMIF($W400:$AJ400,"O",$W401:$AJ401)</f>
        <v>0</v>
      </c>
      <c r="AS401" s="75">
        <f>SUM(AM401:AR401)</f>
        <v>79</v>
      </c>
      <c r="AT401" s="72"/>
      <c r="AU401" s="73">
        <f>SUMIF($G400:$T400,"A",$G401:$T401)+SUMIF($W400:$AJ400,"A",$W401:$AJ401)</f>
        <v>0</v>
      </c>
      <c r="AV401" s="72"/>
      <c r="AW401" s="76">
        <f>IF(B401="",0,IF($U$9="",0,$U$9))</f>
        <v>80</v>
      </c>
      <c r="BA401" s="2"/>
      <c r="BB401" s="2"/>
      <c r="BC401" s="101"/>
      <c r="BD401" s="101"/>
    </row>
    <row r="402" spans="2:56" s="84" customFormat="1" x14ac:dyDescent="0.35">
      <c r="B402" s="26"/>
      <c r="C402" s="27"/>
      <c r="D402" s="28">
        <f>IF(D328="","",D328)</f>
        <v>23206</v>
      </c>
      <c r="E402" s="29" t="str">
        <f t="shared" si="185"/>
        <v/>
      </c>
      <c r="F402" s="50">
        <f>B379</f>
        <v>15</v>
      </c>
      <c r="G402" s="59"/>
      <c r="H402" s="64"/>
      <c r="I402" s="106"/>
      <c r="J402" s="105" t="s">
        <v>12</v>
      </c>
      <c r="K402" s="106"/>
      <c r="L402" s="105"/>
      <c r="M402" s="106"/>
      <c r="N402" s="105"/>
      <c r="O402" s="106"/>
      <c r="P402" s="105"/>
      <c r="Q402" s="106"/>
      <c r="R402" s="105"/>
      <c r="S402" s="59"/>
      <c r="T402" s="64"/>
      <c r="U402" s="44"/>
      <c r="W402" s="59"/>
      <c r="X402" s="64"/>
      <c r="Y402" s="106"/>
      <c r="Z402" s="105"/>
      <c r="AA402" s="106"/>
      <c r="AB402" s="105"/>
      <c r="AC402" s="106"/>
      <c r="AD402" s="105"/>
      <c r="AE402" s="106"/>
      <c r="AF402" s="105"/>
      <c r="AG402" s="106"/>
      <c r="AH402" s="105"/>
      <c r="AI402" s="59"/>
      <c r="AJ402" s="64"/>
      <c r="AK402" s="44"/>
      <c r="AM402" s="49"/>
      <c r="AN402" s="49"/>
      <c r="AO402" s="49"/>
      <c r="AP402" s="49"/>
      <c r="AQ402" s="49"/>
      <c r="AR402" s="40"/>
      <c r="AS402" s="51"/>
      <c r="AU402" s="49"/>
      <c r="AW402" s="52"/>
      <c r="BA402" s="2"/>
      <c r="BB402" s="2"/>
      <c r="BC402" s="101"/>
      <c r="BD402" s="101"/>
    </row>
    <row r="403" spans="2:56" s="84" customFormat="1" x14ac:dyDescent="0.35">
      <c r="B403" s="30" t="str">
        <f>IF(B329="","",B329)</f>
        <v>Gadbois, Dominic</v>
      </c>
      <c r="C403" s="31"/>
      <c r="D403" s="32"/>
      <c r="E403" s="33">
        <f t="shared" si="185"/>
        <v>93545</v>
      </c>
      <c r="F403" s="50">
        <f>B379</f>
        <v>15</v>
      </c>
      <c r="G403" s="69"/>
      <c r="H403" s="70"/>
      <c r="I403" s="104"/>
      <c r="J403" s="103">
        <v>8</v>
      </c>
      <c r="K403" s="104"/>
      <c r="L403" s="103">
        <v>7.5</v>
      </c>
      <c r="M403" s="104"/>
      <c r="N403" s="103">
        <v>7.75</v>
      </c>
      <c r="O403" s="104"/>
      <c r="P403" s="103">
        <v>7.25</v>
      </c>
      <c r="Q403" s="104"/>
      <c r="R403" s="103">
        <v>7.75</v>
      </c>
      <c r="S403" s="69"/>
      <c r="T403" s="70"/>
      <c r="U403" s="71">
        <f t="shared" ref="U403" si="194">SUM(G403:T403)</f>
        <v>38.25</v>
      </c>
      <c r="V403" s="72"/>
      <c r="W403" s="69"/>
      <c r="X403" s="70"/>
      <c r="Y403" s="104"/>
      <c r="Z403" s="103">
        <v>8</v>
      </c>
      <c r="AA403" s="104"/>
      <c r="AB403" s="103">
        <v>7.5</v>
      </c>
      <c r="AC403" s="104"/>
      <c r="AD403" s="103">
        <v>8</v>
      </c>
      <c r="AE403" s="104"/>
      <c r="AF403" s="103">
        <v>7.5</v>
      </c>
      <c r="AG403" s="104"/>
      <c r="AH403" s="103">
        <v>8</v>
      </c>
      <c r="AI403" s="69"/>
      <c r="AJ403" s="70"/>
      <c r="AK403" s="71">
        <f>SUM(W403:AJ403)</f>
        <v>39</v>
      </c>
      <c r="AL403" s="72"/>
      <c r="AM403" s="73">
        <f>SUMIF($G402:$T402,"",$G403:$T403)+SUMIF($W402:$AJ402,"",$W403:$AJ403)-AN403</f>
        <v>69.25</v>
      </c>
      <c r="AN403" s="88">
        <f>IF(SUMIF($G402:$T402,"",$G403:$T403)+SUMIF($G402:$T402,"F",$G403:$T403)+SUMIF($G402:$T402,"V",$G403:$T403)-40&lt;0,0,SUMIF($G402:$T402,"",$G403:$T403)+SUMIF($G402:$T402,"F",$G403:$T403)+SUMIF($G402:$T402,"V",$G403:$T403)-($U$9/2))+IF(SUMIF($W402:$AJ402,"",$W403:$AJ403)+SUMIF($W402:$AJ402,"F",$W403:$AJ403)+SUMIF($W402:$AJ402,"V",$W403:$AJ403)-40&lt;0,0,SUMIF($W402:$AJ402,"",$W403:$AJ403)+SUMIF($W402:$AJ402,"F",$W403:$AJ403)+SUMIF($W402:$AJ402,"V",$W403:$AJ403)-($U$9/2))</f>
        <v>0</v>
      </c>
      <c r="AO403" s="73">
        <f>SUMIF($G402:$T402,"M",$G403:$T403)+SUMIF($W402:$AJ402,"M",$W403:$AJ403)</f>
        <v>8</v>
      </c>
      <c r="AP403" s="73">
        <f>SUMIF($G402:$T402,"F",$G403:$T403)+SUMIF($W402:$AJ402,"F",$W403:$AJ403)</f>
        <v>0</v>
      </c>
      <c r="AQ403" s="73">
        <f>SUMIF($G402:$T402,"V",$G403:$T403)+SUMIF($W402:$AJ402,"V",$W403:$AJ403)</f>
        <v>0</v>
      </c>
      <c r="AR403" s="74">
        <f>SUMIF($G402:$T402,"O",$G403:$T403)+SUMIF($W402:$AJ402,"O",$W403:$AJ403)</f>
        <v>0</v>
      </c>
      <c r="AS403" s="75">
        <f>SUM(AM403:AR403)</f>
        <v>77.25</v>
      </c>
      <c r="AT403" s="72"/>
      <c r="AU403" s="73">
        <f>SUMIF($G402:$T402,"A",$G403:$T403)+SUMIF($W402:$AJ402,"A",$W403:$AJ403)</f>
        <v>0</v>
      </c>
      <c r="AV403" s="72"/>
      <c r="AW403" s="76">
        <f>IF(B403="",0,IF($U$9="",0,$U$9))</f>
        <v>80</v>
      </c>
      <c r="BA403" s="2"/>
      <c r="BB403" s="2"/>
      <c r="BC403" s="101"/>
      <c r="BD403" s="101"/>
    </row>
    <row r="404" spans="2:56" s="84" customFormat="1" x14ac:dyDescent="0.35">
      <c r="B404" s="26"/>
      <c r="C404" s="27"/>
      <c r="D404" s="28">
        <f>IF(D330="","",D330)</f>
        <v>33664</v>
      </c>
      <c r="E404" s="29" t="str">
        <f t="shared" si="185"/>
        <v/>
      </c>
      <c r="F404" s="50">
        <f>B379</f>
        <v>15</v>
      </c>
      <c r="G404" s="59"/>
      <c r="H404" s="64"/>
      <c r="I404" s="106"/>
      <c r="J404" s="105"/>
      <c r="K404" s="106"/>
      <c r="L404" s="105"/>
      <c r="M404" s="106"/>
      <c r="N404" s="105"/>
      <c r="O404" s="106"/>
      <c r="P404" s="105"/>
      <c r="Q404" s="106"/>
      <c r="R404" s="105"/>
      <c r="S404" s="59"/>
      <c r="T404" s="64"/>
      <c r="U404" s="44"/>
      <c r="W404" s="59"/>
      <c r="X404" s="64"/>
      <c r="Y404" s="106"/>
      <c r="Z404" s="105"/>
      <c r="AA404" s="106"/>
      <c r="AB404" s="105"/>
      <c r="AC404" s="106"/>
      <c r="AD404" s="105"/>
      <c r="AE404" s="106"/>
      <c r="AF404" s="105"/>
      <c r="AG404" s="106"/>
      <c r="AH404" s="105"/>
      <c r="AI404" s="59"/>
      <c r="AJ404" s="64"/>
      <c r="AK404" s="44"/>
      <c r="AM404" s="49"/>
      <c r="AN404" s="49"/>
      <c r="AO404" s="49"/>
      <c r="AP404" s="49"/>
      <c r="AQ404" s="49"/>
      <c r="AR404" s="40"/>
      <c r="AS404" s="51"/>
      <c r="AU404" s="49"/>
      <c r="AW404" s="52"/>
      <c r="BA404" s="2"/>
      <c r="BB404" s="2"/>
      <c r="BC404" s="101"/>
      <c r="BD404" s="101"/>
    </row>
    <row r="405" spans="2:56" s="84" customFormat="1" x14ac:dyDescent="0.35">
      <c r="B405" s="30" t="str">
        <f>IF(B331="","",B331)</f>
        <v>Knox Michaud, Jessy</v>
      </c>
      <c r="C405" s="31"/>
      <c r="D405" s="32"/>
      <c r="E405" s="33">
        <f t="shared" si="185"/>
        <v>93542</v>
      </c>
      <c r="F405" s="50">
        <f>B379</f>
        <v>15</v>
      </c>
      <c r="G405" s="69"/>
      <c r="H405" s="70"/>
      <c r="I405" s="104"/>
      <c r="J405" s="103">
        <v>8</v>
      </c>
      <c r="K405" s="104"/>
      <c r="L405" s="103">
        <v>8</v>
      </c>
      <c r="M405" s="104"/>
      <c r="N405" s="103">
        <v>8</v>
      </c>
      <c r="O405" s="104"/>
      <c r="P405" s="103">
        <v>8</v>
      </c>
      <c r="Q405" s="104"/>
      <c r="R405" s="103">
        <v>8</v>
      </c>
      <c r="S405" s="69"/>
      <c r="T405" s="70"/>
      <c r="U405" s="71">
        <f t="shared" ref="U405" si="195">SUM(G405:T405)</f>
        <v>40</v>
      </c>
      <c r="V405" s="72"/>
      <c r="W405" s="69"/>
      <c r="X405" s="70"/>
      <c r="Y405" s="104"/>
      <c r="Z405" s="103">
        <v>8</v>
      </c>
      <c r="AA405" s="104"/>
      <c r="AB405" s="103">
        <v>8</v>
      </c>
      <c r="AC405" s="104"/>
      <c r="AD405" s="103">
        <v>8</v>
      </c>
      <c r="AE405" s="104"/>
      <c r="AF405" s="103">
        <v>8</v>
      </c>
      <c r="AG405" s="104"/>
      <c r="AH405" s="103">
        <v>8</v>
      </c>
      <c r="AI405" s="69"/>
      <c r="AJ405" s="70"/>
      <c r="AK405" s="71">
        <f>SUM(W405:AJ405)</f>
        <v>40</v>
      </c>
      <c r="AL405" s="72"/>
      <c r="AM405" s="73">
        <f>SUMIF($G404:$T404,"",$G405:$T405)+SUMIF($W404:$AJ404,"",$W405:$AJ405)-AN405</f>
        <v>80</v>
      </c>
      <c r="AN405" s="88">
        <f>IF(SUMIF($G404:$T404,"",$G405:$T405)+SUMIF($G404:$T404,"F",$G405:$T405)+SUMIF($G404:$T404,"V",$G405:$T405)-40&lt;0,0,SUMIF($G404:$T404,"",$G405:$T405)+SUMIF($G404:$T404,"F",$G405:$T405)+SUMIF($G404:$T404,"V",$G405:$T405)-($U$9/2))+IF(SUMIF($W404:$AJ404,"",$W405:$AJ405)+SUMIF($W404:$AJ404,"F",$W405:$AJ405)+SUMIF($W404:$AJ404,"V",$W405:$AJ405)-40&lt;0,0,SUMIF($W404:$AJ404,"",$W405:$AJ405)+SUMIF($W404:$AJ404,"F",$W405:$AJ405)+SUMIF($W404:$AJ404,"V",$W405:$AJ405)-($U$9/2))</f>
        <v>0</v>
      </c>
      <c r="AO405" s="73">
        <f>SUMIF($G404:$T404,"M",$G405:$T405)+SUMIF($W404:$AJ404,"M",$W405:$AJ405)</f>
        <v>0</v>
      </c>
      <c r="AP405" s="73">
        <f>SUMIF($G404:$T404,"F",$G405:$T405)+SUMIF($W404:$AJ404,"F",$W405:$AJ405)</f>
        <v>0</v>
      </c>
      <c r="AQ405" s="73">
        <f>SUMIF($G404:$T404,"V",$G405:$T405)+SUMIF($W404:$AJ404,"V",$W405:$AJ405)</f>
        <v>0</v>
      </c>
      <c r="AR405" s="74">
        <f>SUMIF($G404:$T404,"O",$G405:$T405)+SUMIF($W404:$AJ404,"O",$W405:$AJ405)</f>
        <v>0</v>
      </c>
      <c r="AS405" s="75">
        <f>SUM(AM405:AR405)</f>
        <v>80</v>
      </c>
      <c r="AT405" s="72"/>
      <c r="AU405" s="73">
        <f>SUMIF($G404:$T404,"A",$G405:$T405)+SUMIF($W404:$AJ404,"A",$W405:$AJ405)</f>
        <v>0</v>
      </c>
      <c r="AV405" s="72"/>
      <c r="AW405" s="76">
        <f>IF(B405="",0,IF($U$9="",0,$U$9))</f>
        <v>80</v>
      </c>
      <c r="BA405" s="2"/>
      <c r="BB405" s="2"/>
      <c r="BC405" s="101"/>
      <c r="BD405" s="101"/>
    </row>
    <row r="406" spans="2:56" s="84" customFormat="1" x14ac:dyDescent="0.35">
      <c r="B406" s="26"/>
      <c r="C406" s="27"/>
      <c r="D406" s="28">
        <f>IF(D332="","",D332)</f>
        <v>14206</v>
      </c>
      <c r="E406" s="29" t="str">
        <f t="shared" si="185"/>
        <v/>
      </c>
      <c r="F406" s="50">
        <f>B379</f>
        <v>15</v>
      </c>
      <c r="G406" s="59"/>
      <c r="H406" s="64"/>
      <c r="I406" s="106"/>
      <c r="J406" s="105"/>
      <c r="K406" s="106"/>
      <c r="L406" s="105"/>
      <c r="M406" s="106"/>
      <c r="N406" s="105"/>
      <c r="O406" s="106"/>
      <c r="P406" s="105"/>
      <c r="Q406" s="106"/>
      <c r="R406" s="105"/>
      <c r="S406" s="59"/>
      <c r="T406" s="64"/>
      <c r="U406" s="44"/>
      <c r="W406" s="59"/>
      <c r="X406" s="64"/>
      <c r="Y406" s="106"/>
      <c r="Z406" s="105"/>
      <c r="AA406" s="106"/>
      <c r="AB406" s="105"/>
      <c r="AC406" s="106"/>
      <c r="AD406" s="105"/>
      <c r="AE406" s="106"/>
      <c r="AF406" s="105"/>
      <c r="AG406" s="106"/>
      <c r="AH406" s="105"/>
      <c r="AI406" s="59"/>
      <c r="AJ406" s="64"/>
      <c r="AK406" s="44"/>
      <c r="AM406" s="49"/>
      <c r="AN406" s="49"/>
      <c r="AO406" s="49"/>
      <c r="AP406" s="49"/>
      <c r="AQ406" s="49"/>
      <c r="AR406" s="40"/>
      <c r="AS406" s="51"/>
      <c r="AU406" s="49"/>
      <c r="AW406" s="52"/>
      <c r="BA406" s="2"/>
      <c r="BB406" s="2"/>
      <c r="BC406" s="101"/>
      <c r="BD406" s="101"/>
    </row>
    <row r="407" spans="2:56" s="84" customFormat="1" x14ac:dyDescent="0.35">
      <c r="B407" s="30" t="str">
        <f>IF(B333="","",B333)</f>
        <v>Landry, Bernard</v>
      </c>
      <c r="C407" s="31"/>
      <c r="D407" s="32"/>
      <c r="E407" s="33">
        <f t="shared" si="185"/>
        <v>93545</v>
      </c>
      <c r="F407" s="50">
        <f>B379</f>
        <v>15</v>
      </c>
      <c r="G407" s="69"/>
      <c r="H407" s="70"/>
      <c r="I407" s="104"/>
      <c r="J407" s="103">
        <v>8</v>
      </c>
      <c r="K407" s="104"/>
      <c r="L407" s="103">
        <v>8</v>
      </c>
      <c r="M407" s="104"/>
      <c r="N407" s="103">
        <v>8</v>
      </c>
      <c r="O407" s="104"/>
      <c r="P407" s="103">
        <v>8</v>
      </c>
      <c r="Q407" s="104"/>
      <c r="R407" s="103">
        <v>8</v>
      </c>
      <c r="S407" s="69"/>
      <c r="T407" s="70"/>
      <c r="U407" s="71">
        <f t="shared" ref="U407" si="196">SUM(G407:T407)</f>
        <v>40</v>
      </c>
      <c r="V407" s="72"/>
      <c r="W407" s="69"/>
      <c r="X407" s="70"/>
      <c r="Y407" s="104"/>
      <c r="Z407" s="103">
        <v>8</v>
      </c>
      <c r="AA407" s="104"/>
      <c r="AB407" s="103">
        <v>8</v>
      </c>
      <c r="AC407" s="104"/>
      <c r="AD407" s="103">
        <v>8</v>
      </c>
      <c r="AE407" s="104"/>
      <c r="AF407" s="103">
        <v>8</v>
      </c>
      <c r="AG407" s="104"/>
      <c r="AH407" s="103">
        <v>8</v>
      </c>
      <c r="AI407" s="69"/>
      <c r="AJ407" s="70"/>
      <c r="AK407" s="71">
        <f>SUM(W407:AJ407)</f>
        <v>40</v>
      </c>
      <c r="AL407" s="72"/>
      <c r="AM407" s="73">
        <f>SUMIF($G406:$T406,"",$G407:$T407)+SUMIF($W406:$AJ406,"",$W407:$AJ407)-AN407</f>
        <v>80</v>
      </c>
      <c r="AN407" s="88">
        <f>IF(SUMIF($G406:$T406,"",$G407:$T407)+SUMIF($G406:$T406,"F",$G407:$T407)+SUMIF($G406:$T406,"V",$G407:$T407)-40&lt;0,0,SUMIF($G406:$T406,"",$G407:$T407)+SUMIF($G406:$T406,"F",$G407:$T407)+SUMIF($G406:$T406,"V",$G407:$T407)-($U$9/2))+IF(SUMIF($W406:$AJ406,"",$W407:$AJ407)+SUMIF($W406:$AJ406,"F",$W407:$AJ407)+SUMIF($W406:$AJ406,"V",$W407:$AJ407)-40&lt;0,0,SUMIF($W406:$AJ406,"",$W407:$AJ407)+SUMIF($W406:$AJ406,"F",$W407:$AJ407)+SUMIF($W406:$AJ406,"V",$W407:$AJ407)-($U$9/2))</f>
        <v>0</v>
      </c>
      <c r="AO407" s="73">
        <f>SUMIF($G406:$T406,"M",$G407:$T407)+SUMIF($W406:$AJ406,"M",$W407:$AJ407)</f>
        <v>0</v>
      </c>
      <c r="AP407" s="73">
        <f>SUMIF($G406:$T406,"F",$G407:$T407)+SUMIF($W406:$AJ406,"F",$W407:$AJ407)</f>
        <v>0</v>
      </c>
      <c r="AQ407" s="73">
        <f>SUMIF($G406:$T406,"V",$G407:$T407)+SUMIF($W406:$AJ406,"V",$W407:$AJ407)</f>
        <v>0</v>
      </c>
      <c r="AR407" s="74">
        <f>SUMIF($G406:$T406,"O",$G407:$T407)+SUMIF($W406:$AJ406,"O",$W407:$AJ407)</f>
        <v>0</v>
      </c>
      <c r="AS407" s="75">
        <f>SUM(AM407:AR407)</f>
        <v>80</v>
      </c>
      <c r="AT407" s="72"/>
      <c r="AU407" s="73">
        <f>SUMIF($G406:$T406,"A",$G407:$T407)+SUMIF($W406:$AJ406,"A",$W407:$AJ407)</f>
        <v>0</v>
      </c>
      <c r="AV407" s="72"/>
      <c r="AW407" s="76">
        <f>IF(B407="",0,IF($U$9="",0,$U$9))</f>
        <v>80</v>
      </c>
      <c r="BA407" s="2"/>
      <c r="BB407" s="2"/>
      <c r="BC407" s="101"/>
      <c r="BD407" s="101"/>
    </row>
    <row r="408" spans="2:56" s="84" customFormat="1" x14ac:dyDescent="0.35">
      <c r="B408" s="26"/>
      <c r="C408" s="27"/>
      <c r="D408" s="28">
        <f>IF(D334="","",D334)</f>
        <v>92257</v>
      </c>
      <c r="E408" s="29" t="str">
        <f t="shared" si="185"/>
        <v/>
      </c>
      <c r="F408" s="50">
        <f>B379</f>
        <v>15</v>
      </c>
      <c r="G408" s="59"/>
      <c r="H408" s="64"/>
      <c r="I408" s="106"/>
      <c r="J408" s="105"/>
      <c r="K408" s="106"/>
      <c r="L408" s="105"/>
      <c r="M408" s="106"/>
      <c r="N408" s="105"/>
      <c r="O408" s="106"/>
      <c r="P408" s="105"/>
      <c r="Q408" s="106"/>
      <c r="R408" s="105"/>
      <c r="S408" s="59"/>
      <c r="T408" s="64"/>
      <c r="U408" s="44"/>
      <c r="W408" s="59"/>
      <c r="X408" s="64"/>
      <c r="Y408" s="106"/>
      <c r="Z408" s="105"/>
      <c r="AA408" s="106"/>
      <c r="AB408" s="105"/>
      <c r="AC408" s="106"/>
      <c r="AD408" s="105"/>
      <c r="AE408" s="106"/>
      <c r="AF408" s="105"/>
      <c r="AG408" s="106"/>
      <c r="AH408" s="105"/>
      <c r="AI408" s="59"/>
      <c r="AJ408" s="64"/>
      <c r="AK408" s="44"/>
      <c r="AM408" s="49"/>
      <c r="AN408" s="49"/>
      <c r="AO408" s="49"/>
      <c r="AP408" s="49"/>
      <c r="AQ408" s="49"/>
      <c r="AR408" s="40"/>
      <c r="AS408" s="51"/>
      <c r="AU408" s="49"/>
      <c r="AW408" s="52"/>
      <c r="BA408" s="2"/>
      <c r="BB408" s="2"/>
      <c r="BC408" s="101"/>
      <c r="BD408" s="101"/>
    </row>
    <row r="409" spans="2:56" s="84" customFormat="1" x14ac:dyDescent="0.35">
      <c r="B409" s="30" t="str">
        <f>IF(B335="","",B335)</f>
        <v>Lelievre, Anik</v>
      </c>
      <c r="C409" s="31"/>
      <c r="D409" s="32"/>
      <c r="E409" s="33">
        <f t="shared" si="185"/>
        <v>93513</v>
      </c>
      <c r="F409" s="50">
        <f>B379</f>
        <v>15</v>
      </c>
      <c r="G409" s="69"/>
      <c r="H409" s="70"/>
      <c r="I409" s="104"/>
      <c r="J409" s="103">
        <v>8</v>
      </c>
      <c r="K409" s="104"/>
      <c r="L409" s="103">
        <v>8</v>
      </c>
      <c r="M409" s="104"/>
      <c r="N409" s="103">
        <v>8</v>
      </c>
      <c r="O409" s="104"/>
      <c r="P409" s="103">
        <v>8</v>
      </c>
      <c r="Q409" s="104"/>
      <c r="R409" s="103">
        <v>8</v>
      </c>
      <c r="S409" s="69"/>
      <c r="T409" s="70"/>
      <c r="U409" s="71">
        <f t="shared" ref="U409" si="197">SUM(G409:T409)</f>
        <v>40</v>
      </c>
      <c r="V409" s="72"/>
      <c r="W409" s="69"/>
      <c r="X409" s="70"/>
      <c r="Y409" s="104"/>
      <c r="Z409" s="103">
        <v>8</v>
      </c>
      <c r="AA409" s="104"/>
      <c r="AB409" s="103">
        <v>8</v>
      </c>
      <c r="AC409" s="104"/>
      <c r="AD409" s="103">
        <v>8</v>
      </c>
      <c r="AE409" s="104"/>
      <c r="AF409" s="103">
        <v>8</v>
      </c>
      <c r="AG409" s="104"/>
      <c r="AH409" s="103">
        <v>8</v>
      </c>
      <c r="AI409" s="69"/>
      <c r="AJ409" s="70"/>
      <c r="AK409" s="71">
        <f>SUM(W409:AJ409)</f>
        <v>40</v>
      </c>
      <c r="AL409" s="72"/>
      <c r="AM409" s="73">
        <f>SUMIF($G408:$T408,"",$G409:$T409)+SUMIF($W408:$AJ408,"",$W409:$AJ409)-AN409</f>
        <v>80</v>
      </c>
      <c r="AN409" s="88">
        <f>IF(SUMIF($G408:$T408,"",$G409:$T409)+SUMIF($G408:$T408,"F",$G409:$T409)+SUMIF($G408:$T408,"V",$G409:$T409)-40&lt;0,0,SUMIF($G408:$T408,"",$G409:$T409)+SUMIF($G408:$T408,"F",$G409:$T409)+SUMIF($G408:$T408,"V",$G409:$T409)-($U$9/2))+IF(SUMIF($W408:$AJ408,"",$W409:$AJ409)+SUMIF($W408:$AJ408,"F",$W409:$AJ409)+SUMIF($W408:$AJ408,"V",$W409:$AJ409)-40&lt;0,0,SUMIF($W408:$AJ408,"",$W409:$AJ409)+SUMIF($W408:$AJ408,"F",$W409:$AJ409)+SUMIF($W408:$AJ408,"V",$W409:$AJ409)-($U$9/2))</f>
        <v>0</v>
      </c>
      <c r="AO409" s="73">
        <f>SUMIF($G408:$T408,"M",$G409:$T409)+SUMIF($W408:$AJ408,"M",$W409:$AJ409)</f>
        <v>0</v>
      </c>
      <c r="AP409" s="73">
        <f>SUMIF($G408:$T408,"F",$G409:$T409)+SUMIF($W408:$AJ408,"F",$W409:$AJ409)</f>
        <v>0</v>
      </c>
      <c r="AQ409" s="73">
        <f>SUMIF($G408:$T408,"V",$G409:$T409)+SUMIF($W408:$AJ408,"V",$W409:$AJ409)</f>
        <v>0</v>
      </c>
      <c r="AR409" s="74">
        <f>SUMIF($G408:$T408,"O",$G409:$T409)+SUMIF($W408:$AJ408,"O",$W409:$AJ409)</f>
        <v>0</v>
      </c>
      <c r="AS409" s="75">
        <f>SUM(AM409:AR409)</f>
        <v>80</v>
      </c>
      <c r="AT409" s="72"/>
      <c r="AU409" s="73">
        <f>SUMIF($G408:$T408,"A",$G409:$T409)+SUMIF($W408:$AJ408,"A",$W409:$AJ409)</f>
        <v>0</v>
      </c>
      <c r="AV409" s="72"/>
      <c r="AW409" s="76">
        <f>IF(B409="",0,IF($U$9="",0,$U$9))</f>
        <v>80</v>
      </c>
      <c r="BA409" s="2"/>
      <c r="BB409" s="2"/>
      <c r="BC409" s="101"/>
      <c r="BD409" s="101"/>
    </row>
    <row r="410" spans="2:56" s="84" customFormat="1" x14ac:dyDescent="0.35">
      <c r="B410" s="26"/>
      <c r="C410" s="27"/>
      <c r="D410" s="28">
        <f>IF(D336="","",D336)</f>
        <v>81042</v>
      </c>
      <c r="E410" s="29" t="str">
        <f t="shared" si="185"/>
        <v/>
      </c>
      <c r="F410" s="50">
        <f>B379</f>
        <v>15</v>
      </c>
      <c r="G410" s="59"/>
      <c r="H410" s="64"/>
      <c r="I410" s="106"/>
      <c r="J410" s="105"/>
      <c r="K410" s="106"/>
      <c r="L410" s="105"/>
      <c r="M410" s="106"/>
      <c r="N410" s="105"/>
      <c r="O410" s="106"/>
      <c r="P410" s="105"/>
      <c r="Q410" s="106"/>
      <c r="R410" s="105"/>
      <c r="S410" s="59"/>
      <c r="T410" s="64"/>
      <c r="U410" s="44"/>
      <c r="W410" s="59"/>
      <c r="X410" s="64"/>
      <c r="Y410" s="106"/>
      <c r="Z410" s="105"/>
      <c r="AA410" s="106"/>
      <c r="AB410" s="105"/>
      <c r="AC410" s="106"/>
      <c r="AD410" s="105" t="s">
        <v>1</v>
      </c>
      <c r="AE410" s="106"/>
      <c r="AF410" s="105"/>
      <c r="AG410" s="106"/>
      <c r="AH410" s="105"/>
      <c r="AI410" s="59"/>
      <c r="AJ410" s="64"/>
      <c r="AK410" s="44"/>
      <c r="AM410" s="49"/>
      <c r="AN410" s="49"/>
      <c r="AO410" s="49"/>
      <c r="AP410" s="49"/>
      <c r="AQ410" s="49"/>
      <c r="AR410" s="40"/>
      <c r="AS410" s="51"/>
      <c r="AU410" s="49"/>
      <c r="AW410" s="52"/>
      <c r="BA410" s="2"/>
      <c r="BB410" s="2"/>
      <c r="BC410" s="101"/>
      <c r="BD410" s="101"/>
    </row>
    <row r="411" spans="2:56" s="84" customFormat="1" x14ac:dyDescent="0.35">
      <c r="B411" s="30" t="str">
        <f>IF(B337="","",B337)</f>
        <v>Letarte, Martin</v>
      </c>
      <c r="C411" s="31"/>
      <c r="D411" s="32"/>
      <c r="E411" s="33">
        <f t="shared" si="185"/>
        <v>93545</v>
      </c>
      <c r="F411" s="50">
        <f>B379</f>
        <v>15</v>
      </c>
      <c r="G411" s="69"/>
      <c r="H411" s="70"/>
      <c r="I411" s="104"/>
      <c r="J411" s="103">
        <v>8</v>
      </c>
      <c r="K411" s="104"/>
      <c r="L411" s="103">
        <v>8</v>
      </c>
      <c r="M411" s="104"/>
      <c r="N411" s="103">
        <v>8</v>
      </c>
      <c r="O411" s="104"/>
      <c r="P411" s="103">
        <v>8</v>
      </c>
      <c r="Q411" s="104"/>
      <c r="R411" s="103">
        <v>8</v>
      </c>
      <c r="S411" s="69"/>
      <c r="T411" s="70"/>
      <c r="U411" s="71">
        <f t="shared" ref="U411" si="198">SUM(G411:T411)</f>
        <v>40</v>
      </c>
      <c r="V411" s="72"/>
      <c r="W411" s="69"/>
      <c r="X411" s="70"/>
      <c r="Y411" s="104"/>
      <c r="Z411" s="103">
        <v>8</v>
      </c>
      <c r="AA411" s="104"/>
      <c r="AB411" s="103">
        <v>8</v>
      </c>
      <c r="AC411" s="104"/>
      <c r="AD411" s="103">
        <v>8</v>
      </c>
      <c r="AE411" s="104"/>
      <c r="AF411" s="103">
        <v>8</v>
      </c>
      <c r="AG411" s="104"/>
      <c r="AH411" s="103">
        <v>8</v>
      </c>
      <c r="AI411" s="69"/>
      <c r="AJ411" s="70"/>
      <c r="AK411" s="71">
        <f>SUM(W411:AJ411)</f>
        <v>40</v>
      </c>
      <c r="AL411" s="72"/>
      <c r="AM411" s="73">
        <f>SUMIF($G410:$T410,"",$G411:$T411)+SUMIF($W410:$AJ410,"",$W411:$AJ411)-AN411</f>
        <v>72</v>
      </c>
      <c r="AN411" s="88">
        <f>IF(SUMIF($G410:$T410,"",$G411:$T411)+SUMIF($G410:$T410,"F",$G411:$T411)+SUMIF($G410:$T410,"V",$G411:$T411)-40&lt;0,0,SUMIF($G410:$T410,"",$G411:$T411)+SUMIF($G410:$T410,"F",$G411:$T411)+SUMIF($G410:$T410,"V",$G411:$T411)-($U$9/2))+IF(SUMIF($W410:$AJ410,"",$W411:$AJ411)+SUMIF($W410:$AJ410,"F",$W411:$AJ411)+SUMIF($W410:$AJ410,"V",$W411:$AJ411)-40&lt;0,0,SUMIF($W410:$AJ410,"",$W411:$AJ411)+SUMIF($W410:$AJ410,"F",$W411:$AJ411)+SUMIF($W410:$AJ410,"V",$W411:$AJ411)-($U$9/2))</f>
        <v>0</v>
      </c>
      <c r="AO411" s="73">
        <f>SUMIF($G410:$T410,"M",$G411:$T411)+SUMIF($W410:$AJ410,"M",$W411:$AJ411)</f>
        <v>0</v>
      </c>
      <c r="AP411" s="73">
        <f>SUMIF($G410:$T410,"F",$G411:$T411)+SUMIF($W410:$AJ410,"F",$W411:$AJ411)</f>
        <v>0</v>
      </c>
      <c r="AQ411" s="73">
        <f>SUMIF($G410:$T410,"V",$G411:$T411)+SUMIF($W410:$AJ410,"V",$W411:$AJ411)</f>
        <v>8</v>
      </c>
      <c r="AR411" s="74">
        <f>SUMIF($G410:$T410,"O",$G411:$T411)+SUMIF($W410:$AJ410,"O",$W411:$AJ411)</f>
        <v>0</v>
      </c>
      <c r="AS411" s="75">
        <f>SUM(AM411:AR411)</f>
        <v>80</v>
      </c>
      <c r="AT411" s="72"/>
      <c r="AU411" s="73">
        <f>SUMIF($G410:$T410,"A",$G411:$T411)+SUMIF($W410:$AJ410,"A",$W411:$AJ411)</f>
        <v>0</v>
      </c>
      <c r="AV411" s="72"/>
      <c r="AW411" s="76">
        <f>IF(B411="",0,IF($U$9="",0,$U$9))</f>
        <v>80</v>
      </c>
      <c r="BA411" s="2"/>
      <c r="BB411" s="2"/>
      <c r="BC411" s="101"/>
      <c r="BD411" s="101"/>
    </row>
    <row r="412" spans="2:56" s="84" customFormat="1" x14ac:dyDescent="0.35">
      <c r="B412" s="26"/>
      <c r="C412" s="27"/>
      <c r="D412" s="28">
        <f>IF(D338="","",D338)</f>
        <v>23930</v>
      </c>
      <c r="E412" s="29" t="str">
        <f t="shared" si="185"/>
        <v/>
      </c>
      <c r="F412" s="50">
        <f>B379</f>
        <v>15</v>
      </c>
      <c r="G412" s="59"/>
      <c r="H412" s="64"/>
      <c r="I412" s="106"/>
      <c r="J412" s="105"/>
      <c r="K412" s="106"/>
      <c r="L412" s="105"/>
      <c r="M412" s="106"/>
      <c r="N412" s="105"/>
      <c r="O412" s="106"/>
      <c r="P412" s="105"/>
      <c r="Q412" s="106"/>
      <c r="R412" s="105"/>
      <c r="S412" s="59"/>
      <c r="T412" s="64"/>
      <c r="U412" s="44"/>
      <c r="W412" s="59"/>
      <c r="X412" s="64"/>
      <c r="Y412" s="106"/>
      <c r="Z412" s="105"/>
      <c r="AA412" s="106"/>
      <c r="AB412" s="105"/>
      <c r="AC412" s="106"/>
      <c r="AD412" s="105"/>
      <c r="AE412" s="106"/>
      <c r="AF412" s="105"/>
      <c r="AG412" s="106"/>
      <c r="AH412" s="105"/>
      <c r="AI412" s="59"/>
      <c r="AJ412" s="64"/>
      <c r="AK412" s="44"/>
      <c r="AM412" s="49"/>
      <c r="AN412" s="49"/>
      <c r="AO412" s="49"/>
      <c r="AP412" s="49"/>
      <c r="AQ412" s="49"/>
      <c r="AR412" s="40"/>
      <c r="AS412" s="51"/>
      <c r="AU412" s="49"/>
      <c r="AW412" s="52"/>
      <c r="BA412" s="2"/>
      <c r="BB412" s="2"/>
      <c r="BC412" s="101"/>
      <c r="BD412" s="101"/>
    </row>
    <row r="413" spans="2:56" s="84" customFormat="1" x14ac:dyDescent="0.35">
      <c r="B413" s="30" t="str">
        <f>IF(B339="","",B339)</f>
        <v>Martinez Parada, José Francisco</v>
      </c>
      <c r="C413" s="31"/>
      <c r="D413" s="32"/>
      <c r="E413" s="33">
        <f t="shared" si="185"/>
        <v>93545</v>
      </c>
      <c r="F413" s="50">
        <f>B379</f>
        <v>15</v>
      </c>
      <c r="G413" s="69"/>
      <c r="H413" s="70"/>
      <c r="I413" s="104"/>
      <c r="J413" s="103">
        <v>8</v>
      </c>
      <c r="K413" s="104"/>
      <c r="L413" s="103">
        <v>8</v>
      </c>
      <c r="M413" s="104"/>
      <c r="N413" s="103">
        <v>8.25</v>
      </c>
      <c r="O413" s="104"/>
      <c r="P413" s="103">
        <v>8</v>
      </c>
      <c r="Q413" s="104"/>
      <c r="R413" s="103">
        <v>8</v>
      </c>
      <c r="S413" s="69"/>
      <c r="T413" s="70"/>
      <c r="U413" s="71">
        <f t="shared" ref="U413" si="199">SUM(G413:T413)</f>
        <v>40.25</v>
      </c>
      <c r="V413" s="72"/>
      <c r="W413" s="69"/>
      <c r="X413" s="70"/>
      <c r="Y413" s="104"/>
      <c r="Z413" s="103">
        <v>8</v>
      </c>
      <c r="AA413" s="104"/>
      <c r="AB413" s="103">
        <v>8</v>
      </c>
      <c r="AC413" s="104"/>
      <c r="AD413" s="103">
        <v>8</v>
      </c>
      <c r="AE413" s="104"/>
      <c r="AF413" s="103">
        <v>8</v>
      </c>
      <c r="AG413" s="104"/>
      <c r="AH413" s="103">
        <v>8</v>
      </c>
      <c r="AI413" s="69"/>
      <c r="AJ413" s="70"/>
      <c r="AK413" s="71">
        <f>SUM(W413:AJ413)</f>
        <v>40</v>
      </c>
      <c r="AL413" s="72"/>
      <c r="AM413" s="73">
        <f>SUMIF($G412:$T412,"",$G413:$T413)+SUMIF($W412:$AJ412,"",$W413:$AJ413)-AN413</f>
        <v>80</v>
      </c>
      <c r="AN413" s="88">
        <f>IF(SUMIF($G412:$T412,"",$G413:$T413)+SUMIF($G412:$T412,"F",$G413:$T413)+SUMIF($G412:$T412,"V",$G413:$T413)-40&lt;0,0,SUMIF($G412:$T412,"",$G413:$T413)+SUMIF($G412:$T412,"F",$G413:$T413)+SUMIF($G412:$T412,"V",$G413:$T413)-($U$9/2))+IF(SUMIF($W412:$AJ412,"",$W413:$AJ413)+SUMIF($W412:$AJ412,"F",$W413:$AJ413)+SUMIF($W412:$AJ412,"V",$W413:$AJ413)-40&lt;0,0,SUMIF($W412:$AJ412,"",$W413:$AJ413)+SUMIF($W412:$AJ412,"F",$W413:$AJ413)+SUMIF($W412:$AJ412,"V",$W413:$AJ413)-($U$9/2))</f>
        <v>0.25</v>
      </c>
      <c r="AO413" s="73">
        <f>SUMIF($G412:$T412,"M",$G413:$T413)+SUMIF($W412:$AJ412,"M",$W413:$AJ413)</f>
        <v>0</v>
      </c>
      <c r="AP413" s="73">
        <f>SUMIF($G412:$T412,"F",$G413:$T413)+SUMIF($W412:$AJ412,"F",$W413:$AJ413)</f>
        <v>0</v>
      </c>
      <c r="AQ413" s="73">
        <f>SUMIF($G412:$T412,"V",$G413:$T413)+SUMIF($W412:$AJ412,"V",$W413:$AJ413)</f>
        <v>0</v>
      </c>
      <c r="AR413" s="74">
        <f>SUMIF($G412:$T412,"O",$G413:$T413)+SUMIF($W412:$AJ412,"O",$W413:$AJ413)</f>
        <v>0</v>
      </c>
      <c r="AS413" s="75">
        <f>SUM(AM413:AR413)</f>
        <v>80.25</v>
      </c>
      <c r="AT413" s="72"/>
      <c r="AU413" s="73">
        <f>SUMIF($G412:$T412,"A",$G413:$T413)+SUMIF($W412:$AJ412,"A",$W413:$AJ413)</f>
        <v>0</v>
      </c>
      <c r="AV413" s="72"/>
      <c r="AW413" s="76">
        <f>IF(B413="",0,IF($U$9="",0,$U$9))</f>
        <v>80</v>
      </c>
      <c r="BA413" s="2"/>
      <c r="BB413" s="2"/>
      <c r="BC413" s="101"/>
      <c r="BD413" s="101"/>
    </row>
    <row r="414" spans="2:56" s="84" customFormat="1" x14ac:dyDescent="0.35">
      <c r="B414" s="26"/>
      <c r="C414" s="27"/>
      <c r="D414" s="28">
        <f>IF(D340="","",D340)</f>
        <v>11792</v>
      </c>
      <c r="E414" s="29" t="str">
        <f t="shared" si="185"/>
        <v/>
      </c>
      <c r="F414" s="50">
        <f>B379</f>
        <v>15</v>
      </c>
      <c r="G414" s="59"/>
      <c r="H414" s="64"/>
      <c r="I414" s="106"/>
      <c r="J414" s="105"/>
      <c r="K414" s="106"/>
      <c r="L414" s="105"/>
      <c r="M414" s="106"/>
      <c r="N414" s="105"/>
      <c r="O414" s="106"/>
      <c r="P414" s="105"/>
      <c r="Q414" s="106"/>
      <c r="R414" s="105"/>
      <c r="S414" s="59"/>
      <c r="T414" s="64"/>
      <c r="U414" s="44"/>
      <c r="W414" s="59"/>
      <c r="X414" s="64"/>
      <c r="Y414" s="106"/>
      <c r="Z414" s="105"/>
      <c r="AA414" s="106"/>
      <c r="AB414" s="105"/>
      <c r="AC414" s="106"/>
      <c r="AD414" s="105"/>
      <c r="AE414" s="106"/>
      <c r="AF414" s="105"/>
      <c r="AG414" s="106"/>
      <c r="AH414" s="105"/>
      <c r="AI414" s="59"/>
      <c r="AJ414" s="64"/>
      <c r="AK414" s="44"/>
      <c r="AM414" s="49"/>
      <c r="AN414" s="49"/>
      <c r="AO414" s="49"/>
      <c r="AP414" s="49"/>
      <c r="AQ414" s="49"/>
      <c r="AR414" s="40"/>
      <c r="AS414" s="51"/>
      <c r="AU414" s="49"/>
      <c r="AW414" s="52"/>
      <c r="BA414" s="2"/>
      <c r="BB414" s="2"/>
      <c r="BC414" s="101"/>
      <c r="BD414" s="101"/>
    </row>
    <row r="415" spans="2:56" s="84" customFormat="1" x14ac:dyDescent="0.35">
      <c r="B415" s="30" t="str">
        <f>IF(B341="","",B341)</f>
        <v>Pellerin, Pierre</v>
      </c>
      <c r="C415" s="31"/>
      <c r="D415" s="32"/>
      <c r="E415" s="33">
        <f t="shared" si="185"/>
        <v>93595935</v>
      </c>
      <c r="F415" s="50">
        <f>B379</f>
        <v>15</v>
      </c>
      <c r="G415" s="69"/>
      <c r="H415" s="70"/>
      <c r="I415" s="104"/>
      <c r="J415" s="103">
        <v>8</v>
      </c>
      <c r="K415" s="104"/>
      <c r="L415" s="103">
        <v>8</v>
      </c>
      <c r="M415" s="104"/>
      <c r="N415" s="103">
        <v>8</v>
      </c>
      <c r="O415" s="104"/>
      <c r="P415" s="103">
        <v>8</v>
      </c>
      <c r="Q415" s="104"/>
      <c r="R415" s="103">
        <v>8</v>
      </c>
      <c r="S415" s="69"/>
      <c r="T415" s="70"/>
      <c r="U415" s="71">
        <f t="shared" ref="U415" si="200">SUM(G415:T415)</f>
        <v>40</v>
      </c>
      <c r="V415" s="72"/>
      <c r="W415" s="69"/>
      <c r="X415" s="70"/>
      <c r="Y415" s="104"/>
      <c r="Z415" s="103">
        <v>8</v>
      </c>
      <c r="AA415" s="104"/>
      <c r="AB415" s="103">
        <v>8</v>
      </c>
      <c r="AC415" s="104"/>
      <c r="AD415" s="103">
        <v>8</v>
      </c>
      <c r="AE415" s="104"/>
      <c r="AF415" s="103">
        <v>8</v>
      </c>
      <c r="AG415" s="104"/>
      <c r="AH415" s="103">
        <v>8</v>
      </c>
      <c r="AI415" s="69"/>
      <c r="AJ415" s="70"/>
      <c r="AK415" s="71">
        <f>SUM(Z415:AH415)</f>
        <v>40</v>
      </c>
      <c r="AL415" s="72"/>
      <c r="AM415" s="73">
        <f>SUMIF($G414:$T414,"",$G415:$T415)+SUMIF($W414:$AJ414,"",$W415:$AJ415)-AN415</f>
        <v>80</v>
      </c>
      <c r="AN415" s="88">
        <f>IF(SUMIF($G414:$T414,"",$G415:$T415)+SUMIF($G414:$T414,"F",$G415:$T415)+SUMIF($G414:$T414,"V",$G415:$T415)-40&lt;0,0,SUMIF($G414:$T414,"",$G415:$T415)+SUMIF($G414:$T414,"F",$G415:$T415)+SUMIF($G414:$T414,"V",$G415:$T415)-($U$9/2))+IF(SUMIF($W414:$AJ414,"",$W415:$AJ415)+SUMIF($W414:$AJ414,"F",$W415:$AJ415)+SUMIF($W414:$AJ414,"V",$W415:$AJ415)-40&lt;0,0,SUMIF($W414:$AJ414,"",$W415:$AJ415)+SUMIF($W414:$AJ414,"F",$W415:$AJ415)+SUMIF($W414:$AJ414,"V",$W415:$AJ415)-($U$9/2))</f>
        <v>0</v>
      </c>
      <c r="AO415" s="73">
        <f>SUMIF($G414:$T414,"M",$G415:$T415)+SUMIF($W414:$AJ414,"M",$W415:$AJ415)</f>
        <v>0</v>
      </c>
      <c r="AP415" s="73">
        <f>SUMIF($G414:$T414,"F",$G415:$T415)+SUMIF($W414:$AJ414,"F",$W415:$AJ415)</f>
        <v>0</v>
      </c>
      <c r="AQ415" s="73">
        <f>SUMIF($G414:$T414,"V",$G415:$T415)+SUMIF($W414:$AJ414,"V",$W415:$AJ415)</f>
        <v>0</v>
      </c>
      <c r="AR415" s="74">
        <f>SUMIF($G414:$T414,"O",$G415:$T415)+SUMIF($W414:$AJ414,"O",$W415:$AJ415)</f>
        <v>0</v>
      </c>
      <c r="AS415" s="75">
        <f>SUM(AM415:AR415)</f>
        <v>80</v>
      </c>
      <c r="AT415" s="72"/>
      <c r="AU415" s="73">
        <f>SUMIF($G414:$T414,"A",$G415:$T415)+SUMIF($W414:$AJ414,"A",$W415:$AJ415)</f>
        <v>0</v>
      </c>
      <c r="AV415" s="72"/>
      <c r="AW415" s="76">
        <f>IF(B415="",0,IF($U$9="",0,$U$9))</f>
        <v>80</v>
      </c>
      <c r="BA415" s="2"/>
      <c r="BB415" s="2"/>
      <c r="BC415" s="101"/>
      <c r="BD415" s="101"/>
    </row>
    <row r="416" spans="2:56" s="84" customFormat="1" x14ac:dyDescent="0.35">
      <c r="B416" s="26"/>
      <c r="C416" s="27"/>
      <c r="D416" s="28">
        <f>IF(D342="","",D342)</f>
        <v>81043</v>
      </c>
      <c r="E416" s="29" t="str">
        <f t="shared" si="185"/>
        <v/>
      </c>
      <c r="F416" s="50">
        <f>B379</f>
        <v>15</v>
      </c>
      <c r="G416" s="59"/>
      <c r="H416" s="64"/>
      <c r="I416" s="106"/>
      <c r="J416" s="105"/>
      <c r="K416" s="106"/>
      <c r="L416" s="105"/>
      <c r="M416" s="106"/>
      <c r="N416" s="105"/>
      <c r="O416" s="106"/>
      <c r="P416" s="105"/>
      <c r="Q416" s="106"/>
      <c r="R416" s="105" t="s">
        <v>1</v>
      </c>
      <c r="S416" s="59"/>
      <c r="T416" s="64"/>
      <c r="U416" s="44"/>
      <c r="W416" s="59"/>
      <c r="X416" s="64"/>
      <c r="Y416" s="106"/>
      <c r="Z416" s="105"/>
      <c r="AA416" s="106"/>
      <c r="AB416" s="105"/>
      <c r="AC416" s="106"/>
      <c r="AD416" s="105"/>
      <c r="AE416" s="106"/>
      <c r="AF416" s="105"/>
      <c r="AG416" s="106"/>
      <c r="AH416" s="105" t="s">
        <v>1</v>
      </c>
      <c r="AI416" s="59"/>
      <c r="AJ416" s="64"/>
      <c r="AK416" s="44"/>
      <c r="AM416" s="49"/>
      <c r="AN416" s="49"/>
      <c r="AO416" s="49"/>
      <c r="AP416" s="49"/>
      <c r="AQ416" s="49"/>
      <c r="AR416" s="40"/>
      <c r="AS416" s="51"/>
      <c r="AU416" s="49"/>
      <c r="AW416" s="52"/>
      <c r="BA416" s="2"/>
      <c r="BB416" s="2"/>
      <c r="BC416" s="101"/>
      <c r="BD416" s="101"/>
    </row>
    <row r="417" spans="1:56" s="84" customFormat="1" x14ac:dyDescent="0.35">
      <c r="B417" s="30" t="str">
        <f>IF(B343="","",B343)</f>
        <v>Rodrigue, Frank</v>
      </c>
      <c r="C417" s="31"/>
      <c r="D417" s="32"/>
      <c r="E417" s="33">
        <f t="shared" ref="E417:E433" si="201">IF(E343="","",E343)</f>
        <v>93545</v>
      </c>
      <c r="F417" s="50">
        <f>B379</f>
        <v>15</v>
      </c>
      <c r="G417" s="69"/>
      <c r="H417" s="70"/>
      <c r="I417" s="104"/>
      <c r="J417" s="103">
        <v>8</v>
      </c>
      <c r="K417" s="104"/>
      <c r="L417" s="103">
        <v>8</v>
      </c>
      <c r="M417" s="104"/>
      <c r="N417" s="103">
        <v>8</v>
      </c>
      <c r="O417" s="104"/>
      <c r="P417" s="103">
        <v>8</v>
      </c>
      <c r="Q417" s="104"/>
      <c r="R417" s="103">
        <v>8</v>
      </c>
      <c r="S417" s="69"/>
      <c r="T417" s="70"/>
      <c r="U417" s="71">
        <f t="shared" ref="U417" si="202">SUM(G417:T417)</f>
        <v>40</v>
      </c>
      <c r="V417" s="72"/>
      <c r="W417" s="69"/>
      <c r="X417" s="70"/>
      <c r="Y417" s="104"/>
      <c r="Z417" s="103">
        <v>8</v>
      </c>
      <c r="AA417" s="104"/>
      <c r="AB417" s="103">
        <v>8</v>
      </c>
      <c r="AC417" s="104"/>
      <c r="AD417" s="103">
        <v>8</v>
      </c>
      <c r="AE417" s="104"/>
      <c r="AF417" s="103">
        <v>8</v>
      </c>
      <c r="AG417" s="104"/>
      <c r="AH417" s="103">
        <v>8</v>
      </c>
      <c r="AI417" s="69"/>
      <c r="AJ417" s="70"/>
      <c r="AK417" s="71">
        <f>SUM(W417:AJ417)</f>
        <v>40</v>
      </c>
      <c r="AL417" s="72"/>
      <c r="AM417" s="73">
        <f>SUMIF($G416:$T416,"",$G417:$T417)+SUMIF($W416:$AJ416,"",$W417:$AJ417)-AN417</f>
        <v>64</v>
      </c>
      <c r="AN417" s="88">
        <f>IF(SUMIF($G416:$T416,"",$G417:$T417)+SUMIF($G416:$T416,"F",$G417:$T417)+SUMIF($G416:$T416,"V",$G417:$T417)-40&lt;0,0,SUMIF($G416:$T416,"",$G417:$T417)+SUMIF($G416:$T416,"F",$G417:$T417)+SUMIF($G416:$T416,"V",$G417:$T417)-($U$9/2))+IF(SUMIF($W416:$AJ416,"",$W417:$AJ417)+SUMIF($W416:$AJ416,"F",$W417:$AJ417)+SUMIF($W416:$AJ416,"V",$W417:$AJ417)-40&lt;0,0,SUMIF($W416:$AJ416,"",$W417:$AJ417)+SUMIF($W416:$AJ416,"F",$W417:$AJ417)+SUMIF($W416:$AJ416,"V",$W417:$AJ417)-($U$9/2))</f>
        <v>0</v>
      </c>
      <c r="AO417" s="73">
        <f>SUMIF($G416:$T416,"M",$G417:$T417)+SUMIF($W416:$AJ416,"M",$W417:$AJ417)</f>
        <v>0</v>
      </c>
      <c r="AP417" s="73">
        <f>SUMIF($G416:$T416,"F",$G417:$T417)+SUMIF($W416:$AJ416,"F",$W417:$AJ417)</f>
        <v>0</v>
      </c>
      <c r="AQ417" s="73">
        <f>SUMIF($G416:$T416,"V",$G417:$T417)+SUMIF($W416:$AJ416,"V",$W417:$AJ417)</f>
        <v>16</v>
      </c>
      <c r="AR417" s="74">
        <f>SUMIF($G416:$T416,"O",$G417:$T417)+SUMIF($W416:$AJ416,"O",$W417:$AJ417)</f>
        <v>0</v>
      </c>
      <c r="AS417" s="75">
        <f>SUM(AM417:AR417)</f>
        <v>80</v>
      </c>
      <c r="AT417" s="72"/>
      <c r="AU417" s="73">
        <f>SUMIF($G416:$T416,"A",$G417:$T417)+SUMIF($W416:$AJ416,"A",$W417:$AJ417)</f>
        <v>0</v>
      </c>
      <c r="AV417" s="72"/>
      <c r="AW417" s="76">
        <f>IF(B417="",0,IF($U$9="",0,$U$9))</f>
        <v>80</v>
      </c>
      <c r="BA417" s="2"/>
      <c r="BB417" s="2"/>
      <c r="BC417" s="101"/>
      <c r="BD417" s="101"/>
    </row>
    <row r="418" spans="1:56" s="84" customFormat="1" x14ac:dyDescent="0.35">
      <c r="B418" s="26"/>
      <c r="C418" s="27"/>
      <c r="D418" s="28">
        <f>IF(D344="","",D344)</f>
        <v>72673</v>
      </c>
      <c r="E418" s="29" t="str">
        <f t="shared" si="201"/>
        <v/>
      </c>
      <c r="F418" s="50">
        <f>B379</f>
        <v>15</v>
      </c>
      <c r="G418" s="59"/>
      <c r="H418" s="64"/>
      <c r="I418" s="106"/>
      <c r="J418" s="105"/>
      <c r="K418" s="106"/>
      <c r="L418" s="105"/>
      <c r="M418" s="106"/>
      <c r="N418" s="105"/>
      <c r="O418" s="106"/>
      <c r="P418" s="105"/>
      <c r="Q418" s="106"/>
      <c r="R418" s="105"/>
      <c r="S418" s="59"/>
      <c r="T418" s="64"/>
      <c r="U418" s="44"/>
      <c r="W418" s="59"/>
      <c r="X418" s="64"/>
      <c r="Y418" s="106"/>
      <c r="Z418" s="105"/>
      <c r="AA418" s="106"/>
      <c r="AB418" s="105"/>
      <c r="AC418" s="106"/>
      <c r="AD418" s="105"/>
      <c r="AE418" s="106"/>
      <c r="AF418" s="105"/>
      <c r="AG418" s="106"/>
      <c r="AH418" s="105"/>
      <c r="AI418" s="59"/>
      <c r="AJ418" s="64"/>
      <c r="AK418" s="44"/>
      <c r="AM418" s="49"/>
      <c r="AN418" s="49"/>
      <c r="AO418" s="49"/>
      <c r="AP418" s="49"/>
      <c r="AQ418" s="49"/>
      <c r="AR418" s="40"/>
      <c r="AS418" s="51"/>
      <c r="AU418" s="49"/>
      <c r="AW418" s="52"/>
      <c r="BA418" s="2"/>
      <c r="BB418" s="2"/>
      <c r="BC418" s="101"/>
      <c r="BD418" s="101"/>
    </row>
    <row r="419" spans="1:56" s="84" customFormat="1" x14ac:dyDescent="0.35">
      <c r="B419" s="30" t="str">
        <f>IF(B345="","",B345)</f>
        <v>St-Georges, Manuel (avance $2,000)</v>
      </c>
      <c r="C419" s="31"/>
      <c r="D419" s="32"/>
      <c r="E419" s="33">
        <f t="shared" si="201"/>
        <v>93595935</v>
      </c>
      <c r="F419" s="50">
        <f>B379</f>
        <v>15</v>
      </c>
      <c r="G419" s="69"/>
      <c r="H419" s="70"/>
      <c r="I419" s="104"/>
      <c r="J419" s="103" t="s">
        <v>69</v>
      </c>
      <c r="K419" s="104"/>
      <c r="L419" s="103" t="s">
        <v>69</v>
      </c>
      <c r="M419" s="104"/>
      <c r="N419" s="103" t="s">
        <v>69</v>
      </c>
      <c r="O419" s="104"/>
      <c r="P419" s="103" t="s">
        <v>69</v>
      </c>
      <c r="Q419" s="104"/>
      <c r="R419" s="103" t="s">
        <v>69</v>
      </c>
      <c r="S419" s="69"/>
      <c r="T419" s="70"/>
      <c r="U419" s="71">
        <f t="shared" ref="U419" si="203">SUM(G419:T419)</f>
        <v>0</v>
      </c>
      <c r="V419" s="72"/>
      <c r="W419" s="69"/>
      <c r="X419" s="70"/>
      <c r="Y419" s="104"/>
      <c r="Z419" s="103" t="s">
        <v>69</v>
      </c>
      <c r="AA419" s="104"/>
      <c r="AB419" s="103" t="s">
        <v>69</v>
      </c>
      <c r="AC419" s="104"/>
      <c r="AD419" s="103" t="s">
        <v>69</v>
      </c>
      <c r="AE419" s="104"/>
      <c r="AF419" s="103" t="s">
        <v>69</v>
      </c>
      <c r="AG419" s="104"/>
      <c r="AH419" s="103" t="s">
        <v>69</v>
      </c>
      <c r="AI419" s="69"/>
      <c r="AJ419" s="70"/>
      <c r="AK419" s="71">
        <f>SUM(W419:AJ419)</f>
        <v>0</v>
      </c>
      <c r="AL419" s="72"/>
      <c r="AM419" s="73">
        <f>SUMIF($G418:$T418,"",$G419:$T419)+SUMIF($W418:$AJ418,"",$W419:$AJ419)-AN419</f>
        <v>0</v>
      </c>
      <c r="AN419" s="88">
        <f>IF(SUMIF($G418:$T418,"",$G419:$T419)+SUMIF($G418:$T418,"F",$G419:$T419)+SUMIF($G418:$T418,"V",$G419:$T419)-40&lt;0,0,SUMIF($G418:$T418,"",$G419:$T419)+SUMIF($G418:$T418,"F",$G419:$T419)+SUMIF($G418:$T418,"V",$G419:$T419)-($U$9/2))+IF(SUMIF($W418:$AJ418,"",$W419:$AJ419)+SUMIF($W418:$AJ418,"F",$W419:$AJ419)+SUMIF($W418:$AJ418,"V",$W419:$AJ419)-40&lt;0,0,SUMIF($W418:$AJ418,"",$W419:$AJ419)+SUMIF($W418:$AJ418,"F",$W419:$AJ419)+SUMIF($W418:$AJ418,"V",$W419:$AJ419)-($U$9/2))</f>
        <v>0</v>
      </c>
      <c r="AO419" s="73">
        <f>SUMIF($G418:$T418,"M",$G419:$T419)+SUMIF($W418:$AJ418,"M",$W419:$AJ419)</f>
        <v>0</v>
      </c>
      <c r="AP419" s="73">
        <f>SUMIF($G418:$T418,"F",$G419:$T419)+SUMIF($W418:$AJ418,"F",$W419:$AJ419)</f>
        <v>0</v>
      </c>
      <c r="AQ419" s="73">
        <f>SUMIF($G418:$T418,"V",$G419:$T419)+SUMIF($W418:$AJ418,"V",$W419:$AJ419)</f>
        <v>0</v>
      </c>
      <c r="AR419" s="74">
        <f>SUMIF($G418:$T418,"O",$G419:$T419)+SUMIF($W418:$AJ418,"O",$W419:$AJ419)</f>
        <v>0</v>
      </c>
      <c r="AS419" s="75">
        <f>SUM(AM419:AR419)</f>
        <v>0</v>
      </c>
      <c r="AT419" s="72"/>
      <c r="AU419" s="73">
        <f>SUMIF($G418:$T418,"A",$G419:$T419)+SUMIF($W418:$AJ418,"A",$W419:$AJ419)</f>
        <v>0</v>
      </c>
      <c r="AV419" s="72"/>
      <c r="AW419" s="76">
        <f>IF(B419="",0,IF($U$9="",0,$U$9))</f>
        <v>80</v>
      </c>
      <c r="BA419" s="2"/>
      <c r="BB419" s="2"/>
      <c r="BC419" s="101"/>
      <c r="BD419" s="101"/>
    </row>
    <row r="420" spans="1:56" s="84" customFormat="1" x14ac:dyDescent="0.35">
      <c r="B420" s="26"/>
      <c r="C420" s="27"/>
      <c r="D420" s="28" t="str">
        <f>IF(D346="","",D346)</f>
        <v/>
      </c>
      <c r="E420" s="29" t="str">
        <f t="shared" si="201"/>
        <v/>
      </c>
      <c r="F420" s="50">
        <f>B379</f>
        <v>15</v>
      </c>
      <c r="G420" s="59"/>
      <c r="H420" s="64"/>
      <c r="I420" s="106"/>
      <c r="J420" s="105"/>
      <c r="K420" s="106"/>
      <c r="L420" s="105"/>
      <c r="M420" s="106"/>
      <c r="N420" s="105"/>
      <c r="O420" s="106"/>
      <c r="P420" s="105"/>
      <c r="Q420" s="106"/>
      <c r="R420" s="105"/>
      <c r="S420" s="59"/>
      <c r="T420" s="64"/>
      <c r="U420" s="44"/>
      <c r="W420" s="59"/>
      <c r="X420" s="64"/>
      <c r="Y420" s="106"/>
      <c r="Z420" s="105"/>
      <c r="AA420" s="106"/>
      <c r="AB420" s="105"/>
      <c r="AC420" s="106"/>
      <c r="AD420" s="105"/>
      <c r="AE420" s="106"/>
      <c r="AF420" s="105"/>
      <c r="AG420" s="106"/>
      <c r="AH420" s="105"/>
      <c r="AI420" s="59"/>
      <c r="AJ420" s="64"/>
      <c r="AK420" s="44"/>
      <c r="AM420" s="49"/>
      <c r="AN420" s="49"/>
      <c r="AO420" s="49"/>
      <c r="AP420" s="49"/>
      <c r="AQ420" s="49"/>
      <c r="AR420" s="40"/>
      <c r="AS420" s="51"/>
      <c r="AU420" s="49"/>
      <c r="AW420" s="52"/>
      <c r="BA420" s="2"/>
      <c r="BB420" s="2"/>
      <c r="BC420" s="101"/>
      <c r="BD420" s="101"/>
    </row>
    <row r="421" spans="1:56" s="84" customFormat="1" x14ac:dyDescent="0.35">
      <c r="B421" s="30" t="str">
        <f>IF(B347="","",B347)</f>
        <v/>
      </c>
      <c r="C421" s="31"/>
      <c r="D421" s="32"/>
      <c r="E421" s="33" t="str">
        <f t="shared" si="201"/>
        <v/>
      </c>
      <c r="F421" s="50">
        <f>B379</f>
        <v>15</v>
      </c>
      <c r="G421" s="69"/>
      <c r="H421" s="70"/>
      <c r="I421" s="104"/>
      <c r="J421" s="103"/>
      <c r="K421" s="104"/>
      <c r="L421" s="103"/>
      <c r="M421" s="104"/>
      <c r="N421" s="103"/>
      <c r="O421" s="104"/>
      <c r="P421" s="103"/>
      <c r="Q421" s="104"/>
      <c r="R421" s="103"/>
      <c r="S421" s="69"/>
      <c r="T421" s="70"/>
      <c r="U421" s="71">
        <f t="shared" ref="U421" si="204">SUM(G421:T421)</f>
        <v>0</v>
      </c>
      <c r="V421" s="72"/>
      <c r="W421" s="69"/>
      <c r="X421" s="70"/>
      <c r="Y421" s="104"/>
      <c r="Z421" s="103"/>
      <c r="AA421" s="104"/>
      <c r="AB421" s="103"/>
      <c r="AC421" s="104"/>
      <c r="AD421" s="103"/>
      <c r="AE421" s="104"/>
      <c r="AF421" s="103"/>
      <c r="AG421" s="104"/>
      <c r="AH421" s="103"/>
      <c r="AI421" s="69"/>
      <c r="AJ421" s="70"/>
      <c r="AK421" s="71">
        <f>SUM(W421:AJ421)</f>
        <v>0</v>
      </c>
      <c r="AL421" s="72"/>
      <c r="AM421" s="73">
        <f>SUMIF($G420:$T420,"",$G421:$T421)+SUMIF($W420:$AJ420,"",$W421:$AJ421)-AN421</f>
        <v>0</v>
      </c>
      <c r="AN421" s="88">
        <f>IF(SUMIF($G420:$T420,"",$G421:$T421)+SUMIF($G420:$T420,"F",$G421:$T421)+SUMIF($G420:$T420,"V",$G421:$T421)-40&lt;0,0,SUMIF($G420:$T420,"",$G421:$T421)+SUMIF($G420:$T420,"F",$G421:$T421)+SUMIF($G420:$T420,"V",$G421:$T421)-($U$9/2))+IF(SUMIF($W420:$AJ420,"",$W421:$AJ421)+SUMIF($W420:$AJ420,"F",$W421:$AJ421)+SUMIF($W420:$AJ420,"V",$W421:$AJ421)-40&lt;0,0,SUMIF($W420:$AJ420,"",$W421:$AJ421)+SUMIF($W420:$AJ420,"F",$W421:$AJ421)+SUMIF($W420:$AJ420,"V",$W421:$AJ421)-($U$9/2))</f>
        <v>0</v>
      </c>
      <c r="AO421" s="73">
        <f>SUMIF($G420:$T420,"M",$G421:$T421)+SUMIF($W420:$AJ420,"M",$W421:$AJ421)</f>
        <v>0</v>
      </c>
      <c r="AP421" s="73">
        <f>SUMIF($G420:$T420,"F",$G421:$T421)+SUMIF($W420:$AJ420,"F",$W421:$AJ421)</f>
        <v>0</v>
      </c>
      <c r="AQ421" s="73">
        <f>SUMIF($G420:$T420,"V",$G421:$T421)+SUMIF($W420:$AJ420,"V",$W421:$AJ421)</f>
        <v>0</v>
      </c>
      <c r="AR421" s="74">
        <f>SUMIF($G420:$T420,"O",$G421:$T421)+SUMIF($W420:$AJ420,"O",$W421:$AJ421)</f>
        <v>0</v>
      </c>
      <c r="AS421" s="75">
        <f>SUM(AM421:AR421)</f>
        <v>0</v>
      </c>
      <c r="AT421" s="72"/>
      <c r="AU421" s="73">
        <f>SUMIF($G420:$T420,"A",$G421:$T421)+SUMIF($W420:$AJ420,"A",$W421:$AJ421)</f>
        <v>0</v>
      </c>
      <c r="AV421" s="72"/>
      <c r="AW421" s="76">
        <f>IF(B421="",0,IF($U$9="",0,$U$9))</f>
        <v>0</v>
      </c>
      <c r="BA421" s="2"/>
      <c r="BB421" s="2"/>
      <c r="BC421" s="101"/>
      <c r="BD421" s="101"/>
    </row>
    <row r="422" spans="1:56" s="84" customFormat="1" x14ac:dyDescent="0.35">
      <c r="B422" s="26"/>
      <c r="C422" s="27"/>
      <c r="D422" s="28">
        <f>IF(D348="","",D348)</f>
        <v>23736</v>
      </c>
      <c r="E422" s="29" t="str">
        <f t="shared" si="201"/>
        <v/>
      </c>
      <c r="F422" s="50">
        <f>B379</f>
        <v>15</v>
      </c>
      <c r="G422" s="59"/>
      <c r="H422" s="64"/>
      <c r="I422" s="106"/>
      <c r="J422" s="105"/>
      <c r="K422" s="106"/>
      <c r="L422" s="105"/>
      <c r="M422" s="106"/>
      <c r="N422" s="105"/>
      <c r="O422" s="106"/>
      <c r="P422" s="105"/>
      <c r="Q422" s="106"/>
      <c r="R422" s="105"/>
      <c r="S422" s="59"/>
      <c r="T422" s="64"/>
      <c r="U422" s="44"/>
      <c r="W422" s="59"/>
      <c r="X422" s="64"/>
      <c r="Y422" s="106"/>
      <c r="Z422" s="105" t="s">
        <v>3</v>
      </c>
      <c r="AA422" s="106"/>
      <c r="AB422" s="105" t="s">
        <v>3</v>
      </c>
      <c r="AC422" s="106"/>
      <c r="AD422" s="105" t="s">
        <v>3</v>
      </c>
      <c r="AE422" s="106"/>
      <c r="AF422" s="105" t="s">
        <v>3</v>
      </c>
      <c r="AG422" s="106"/>
      <c r="AH422" s="105" t="s">
        <v>3</v>
      </c>
      <c r="AI422" s="59"/>
      <c r="AJ422" s="64"/>
      <c r="AK422" s="44"/>
      <c r="AM422" s="49"/>
      <c r="AN422" s="49"/>
      <c r="AO422" s="49"/>
      <c r="AP422" s="49"/>
      <c r="AQ422" s="49"/>
      <c r="AR422" s="40"/>
      <c r="AS422" s="51"/>
      <c r="AU422" s="49"/>
      <c r="AW422" s="52"/>
      <c r="BA422" s="2"/>
      <c r="BB422" s="2"/>
      <c r="BC422" s="101"/>
      <c r="BD422" s="101"/>
    </row>
    <row r="423" spans="1:56" s="84" customFormat="1" x14ac:dyDescent="0.35">
      <c r="B423" s="30" t="str">
        <f>IF(B349="","",B349)</f>
        <v>Voster, Jean-Michel</v>
      </c>
      <c r="C423" s="31"/>
      <c r="D423" s="32"/>
      <c r="E423" s="33">
        <f t="shared" si="201"/>
        <v>93545</v>
      </c>
      <c r="F423" s="50">
        <f>B379</f>
        <v>15</v>
      </c>
      <c r="G423" s="69"/>
      <c r="H423" s="70"/>
      <c r="I423" s="104"/>
      <c r="J423" s="103">
        <v>7.75</v>
      </c>
      <c r="K423" s="104"/>
      <c r="L423" s="103">
        <v>8</v>
      </c>
      <c r="M423" s="104"/>
      <c r="N423" s="103">
        <v>7.25</v>
      </c>
      <c r="O423" s="104"/>
      <c r="P423" s="103">
        <v>8</v>
      </c>
      <c r="Q423" s="104"/>
      <c r="R423" s="103">
        <v>7</v>
      </c>
      <c r="S423" s="69"/>
      <c r="T423" s="70"/>
      <c r="U423" s="71">
        <f t="shared" ref="U423" si="205">SUM(G423:T423)</f>
        <v>38</v>
      </c>
      <c r="V423" s="72"/>
      <c r="W423" s="69"/>
      <c r="X423" s="70"/>
      <c r="Y423" s="104"/>
      <c r="Z423" s="103">
        <v>0</v>
      </c>
      <c r="AA423" s="104"/>
      <c r="AB423" s="103">
        <v>0</v>
      </c>
      <c r="AC423" s="104"/>
      <c r="AD423" s="103">
        <v>0</v>
      </c>
      <c r="AE423" s="104"/>
      <c r="AF423" s="103">
        <v>0</v>
      </c>
      <c r="AG423" s="104"/>
      <c r="AH423" s="103">
        <v>0</v>
      </c>
      <c r="AI423" s="69"/>
      <c r="AJ423" s="70"/>
      <c r="AK423" s="71">
        <f>SUM(W423:AJ423)</f>
        <v>0</v>
      </c>
      <c r="AL423" s="72"/>
      <c r="AM423" s="73">
        <f>SUMIF($G422:$T422,"",$G423:$T423)+SUMIF($W422:$AJ422,"",$W423:$AJ423)-AN423</f>
        <v>38</v>
      </c>
      <c r="AN423" s="88">
        <f>IF(SUMIF($G422:$T422,"",$G423:$T423)+SUMIF($G422:$T422,"F",$G423:$T423)+SUMIF($G422:$T422,"V",$G423:$T423)-40&lt;0,0,SUMIF($G422:$T422,"",$G423:$T423)+SUMIF($G422:$T422,"F",$G423:$T423)+SUMIF($G422:$T422,"V",$G423:$T423)-($U$9/2))+IF(SUMIF($W422:$AJ422,"",$W423:$AJ423)+SUMIF($W422:$AJ422,"F",$W423:$AJ423)+SUMIF($W422:$AJ422,"V",$W423:$AJ423)-40&lt;0,0,SUMIF($W422:$AJ422,"",$W423:$AJ423)+SUMIF($W422:$AJ422,"F",$W423:$AJ423)+SUMIF($W422:$AJ422,"V",$W423:$AJ423)-($U$9/2))</f>
        <v>0</v>
      </c>
      <c r="AO423" s="73">
        <f>SUMIF($G422:$T422,"M",$G423:$T423)+SUMIF($W422:$AJ422,"M",$W423:$AJ423)</f>
        <v>0</v>
      </c>
      <c r="AP423" s="73">
        <f>SUMIF($G422:$T422,"F",$G423:$T423)+SUMIF($W422:$AJ422,"F",$W423:$AJ423)</f>
        <v>0</v>
      </c>
      <c r="AQ423" s="73">
        <f>SUMIF($G422:$T422,"V",$G423:$T423)+SUMIF($W422:$AJ422,"V",$W423:$AJ423)</f>
        <v>0</v>
      </c>
      <c r="AR423" s="74">
        <f>SUMIF($G422:$T422,"O",$G423:$T423)+SUMIF($W422:$AJ422,"O",$W423:$AJ423)</f>
        <v>0</v>
      </c>
      <c r="AS423" s="75">
        <f>SUM(AM423:AR423)</f>
        <v>38</v>
      </c>
      <c r="AT423" s="72"/>
      <c r="AU423" s="73">
        <f>SUMIF($G422:$T422,"A",$G423:$T423)+SUMIF($W422:$AJ422,"A",$W423:$AJ423)</f>
        <v>0</v>
      </c>
      <c r="AV423" s="72"/>
      <c r="AW423" s="76">
        <f>IF(B423="",0,IF($U$9="",0,$U$9))</f>
        <v>80</v>
      </c>
      <c r="BA423" s="2"/>
      <c r="BB423" s="2"/>
      <c r="BC423" s="101"/>
      <c r="BD423" s="101"/>
    </row>
    <row r="424" spans="1:56" s="53" customFormat="1" ht="15" customHeight="1" x14ac:dyDescent="0.35">
      <c r="A424" s="84"/>
      <c r="B424" s="26"/>
      <c r="C424" s="27"/>
      <c r="D424" s="28" t="str">
        <f>IF(D350="","",D350)</f>
        <v/>
      </c>
      <c r="E424" s="29" t="str">
        <f t="shared" si="201"/>
        <v/>
      </c>
      <c r="F424" s="50">
        <f>B379</f>
        <v>15</v>
      </c>
      <c r="G424" s="59"/>
      <c r="H424" s="64"/>
      <c r="I424" s="106"/>
      <c r="J424" s="105"/>
      <c r="K424" s="106"/>
      <c r="L424" s="105"/>
      <c r="M424" s="106"/>
      <c r="N424" s="105"/>
      <c r="O424" s="106"/>
      <c r="P424" s="105"/>
      <c r="Q424" s="106"/>
      <c r="R424" s="105"/>
      <c r="S424" s="59"/>
      <c r="T424" s="64"/>
      <c r="U424" s="44"/>
      <c r="V424" s="84"/>
      <c r="W424" s="59"/>
      <c r="X424" s="64"/>
      <c r="Y424" s="106"/>
      <c r="Z424" s="105"/>
      <c r="AA424" s="106"/>
      <c r="AB424" s="105"/>
      <c r="AC424" s="106"/>
      <c r="AD424" s="105"/>
      <c r="AE424" s="106"/>
      <c r="AF424" s="105"/>
      <c r="AG424" s="106"/>
      <c r="AH424" s="105"/>
      <c r="AI424" s="59"/>
      <c r="AJ424" s="64"/>
      <c r="AK424" s="44"/>
      <c r="AL424" s="84"/>
      <c r="AM424" s="49"/>
      <c r="AN424" s="49"/>
      <c r="AO424" s="49"/>
      <c r="AP424" s="49"/>
      <c r="AQ424" s="49"/>
      <c r="AR424" s="40"/>
      <c r="AS424" s="51"/>
      <c r="AT424" s="84"/>
      <c r="AU424" s="49"/>
      <c r="AV424" s="84"/>
      <c r="AW424" s="52"/>
      <c r="AX424" s="84"/>
      <c r="BA424" s="2"/>
      <c r="BB424" s="2"/>
      <c r="BC424" s="101"/>
      <c r="BD424" s="101"/>
    </row>
    <row r="425" spans="1:56" s="57" customFormat="1" ht="15" customHeight="1" x14ac:dyDescent="0.35">
      <c r="A425" s="84"/>
      <c r="B425" s="30" t="str">
        <f>IF(B351="","",B351)</f>
        <v/>
      </c>
      <c r="C425" s="31"/>
      <c r="D425" s="32"/>
      <c r="E425" s="33" t="str">
        <f t="shared" si="201"/>
        <v/>
      </c>
      <c r="F425" s="50">
        <f>B379</f>
        <v>15</v>
      </c>
      <c r="G425" s="69"/>
      <c r="H425" s="70"/>
      <c r="I425" s="104"/>
      <c r="J425" s="103"/>
      <c r="K425" s="104"/>
      <c r="L425" s="103"/>
      <c r="M425" s="104"/>
      <c r="N425" s="103"/>
      <c r="O425" s="104"/>
      <c r="P425" s="103"/>
      <c r="Q425" s="104"/>
      <c r="R425" s="103"/>
      <c r="S425" s="69"/>
      <c r="T425" s="70"/>
      <c r="U425" s="71">
        <f t="shared" ref="U425" si="206">SUM(G425:T425)</f>
        <v>0</v>
      </c>
      <c r="V425" s="72"/>
      <c r="W425" s="69"/>
      <c r="X425" s="70"/>
      <c r="Y425" s="104"/>
      <c r="Z425" s="103"/>
      <c r="AA425" s="104"/>
      <c r="AB425" s="103"/>
      <c r="AC425" s="104"/>
      <c r="AD425" s="103"/>
      <c r="AE425" s="104"/>
      <c r="AF425" s="103"/>
      <c r="AG425" s="104"/>
      <c r="AH425" s="103"/>
      <c r="AI425" s="69"/>
      <c r="AJ425" s="70"/>
      <c r="AK425" s="71">
        <f>SUM(W425:AJ425)</f>
        <v>0</v>
      </c>
      <c r="AL425" s="72"/>
      <c r="AM425" s="73">
        <f>SUMIF($G424:$T424,"",$G425:$T425)+SUMIF($W424:$AJ424,"",$W425:$AJ425)-AN425</f>
        <v>0</v>
      </c>
      <c r="AN425" s="88">
        <f>IF(SUMIF($G424:$T424,"",$G425:$T425)+SUMIF($G424:$T424,"F",$G425:$T425)+SUMIF($G424:$T424,"V",$G425:$T425)-40&lt;0,0,SUMIF($G424:$T424,"",$G425:$T425)+SUMIF($G424:$T424,"F",$G425:$T425)+SUMIF($G424:$T424,"V",$G425:$T425)-($U$9/2))+IF(SUMIF($W424:$AJ424,"",$W425:$AJ425)+SUMIF($W424:$AJ424,"F",$W425:$AJ425)+SUMIF($W424:$AJ424,"V",$W425:$AJ425)-40&lt;0,0,SUMIF($W424:$AJ424,"",$W425:$AJ425)+SUMIF($W424:$AJ424,"F",$W425:$AJ425)+SUMIF($W424:$AJ424,"V",$W425:$AJ425)-($U$9/2))</f>
        <v>0</v>
      </c>
      <c r="AO425" s="73">
        <f>SUMIF($G424:$T424,"M",$G425:$T425)+SUMIF($W424:$AJ424,"M",$W425:$AJ425)</f>
        <v>0</v>
      </c>
      <c r="AP425" s="73">
        <f>SUMIF($G424:$T424,"F",$G425:$T425)+SUMIF($W424:$AJ424,"F",$W425:$AJ425)</f>
        <v>0</v>
      </c>
      <c r="AQ425" s="73">
        <f>SUMIF($G424:$T424,"V",$G425:$T425)+SUMIF($W424:$AJ424,"V",$W425:$AJ425)</f>
        <v>0</v>
      </c>
      <c r="AR425" s="74">
        <f>SUMIF($G424:$T424,"O",$G425:$T425)+SUMIF($W424:$AJ424,"O",$W425:$AJ425)</f>
        <v>0</v>
      </c>
      <c r="AS425" s="75">
        <f>SUM(AM425:AR425)</f>
        <v>0</v>
      </c>
      <c r="AT425" s="72"/>
      <c r="AU425" s="73">
        <f>SUMIF($G424:$T424,"A",$G425:$T425)+SUMIF($W424:$AJ424,"A",$W425:$AJ425)</f>
        <v>0</v>
      </c>
      <c r="AV425" s="72"/>
      <c r="AW425" s="76">
        <f>IF(B425="",0,IF($U$9="",0,$U$9))</f>
        <v>0</v>
      </c>
      <c r="AX425" s="84"/>
      <c r="BA425" s="2"/>
      <c r="BB425" s="2"/>
      <c r="BC425" s="101"/>
      <c r="BD425" s="101"/>
    </row>
    <row r="426" spans="1:56" s="53" customFormat="1" ht="15" customHeight="1" x14ac:dyDescent="0.35">
      <c r="A426" s="84"/>
      <c r="B426" s="26"/>
      <c r="C426" s="27"/>
      <c r="D426" s="28" t="str">
        <f>IF(D352="","",D352)</f>
        <v/>
      </c>
      <c r="E426" s="29" t="str">
        <f t="shared" si="201"/>
        <v/>
      </c>
      <c r="F426" s="50">
        <f>B379</f>
        <v>15</v>
      </c>
      <c r="G426" s="59"/>
      <c r="H426" s="64"/>
      <c r="I426" s="106"/>
      <c r="J426" s="105"/>
      <c r="K426" s="106"/>
      <c r="L426" s="105"/>
      <c r="M426" s="106"/>
      <c r="N426" s="105"/>
      <c r="O426" s="106"/>
      <c r="P426" s="105"/>
      <c r="Q426" s="106"/>
      <c r="R426" s="105"/>
      <c r="S426" s="59"/>
      <c r="T426" s="64"/>
      <c r="U426" s="44"/>
      <c r="V426" s="84"/>
      <c r="W426" s="59"/>
      <c r="X426" s="64"/>
      <c r="Y426" s="106"/>
      <c r="Z426" s="105"/>
      <c r="AA426" s="106"/>
      <c r="AB426" s="105"/>
      <c r="AC426" s="106"/>
      <c r="AD426" s="105"/>
      <c r="AE426" s="106"/>
      <c r="AF426" s="105"/>
      <c r="AG426" s="106"/>
      <c r="AH426" s="105"/>
      <c r="AI426" s="59"/>
      <c r="AJ426" s="64"/>
      <c r="AK426" s="44"/>
      <c r="AL426" s="84"/>
      <c r="AM426" s="49"/>
      <c r="AN426" s="49"/>
      <c r="AO426" s="49"/>
      <c r="AP426" s="49"/>
      <c r="AQ426" s="49"/>
      <c r="AR426" s="40"/>
      <c r="AS426" s="51"/>
      <c r="AT426" s="84"/>
      <c r="AU426" s="49"/>
      <c r="AV426" s="84"/>
      <c r="AW426" s="52"/>
      <c r="AX426" s="84"/>
      <c r="BA426" s="2"/>
      <c r="BB426" s="2"/>
      <c r="BC426" s="101"/>
      <c r="BD426" s="101"/>
    </row>
    <row r="427" spans="1:56" s="53" customFormat="1" x14ac:dyDescent="0.35">
      <c r="A427" s="84"/>
      <c r="B427" s="30" t="str">
        <f>IF(B353="","",B353)</f>
        <v/>
      </c>
      <c r="C427" s="31"/>
      <c r="D427" s="32"/>
      <c r="E427" s="33" t="str">
        <f t="shared" si="201"/>
        <v/>
      </c>
      <c r="F427" s="50">
        <f>B379</f>
        <v>15</v>
      </c>
      <c r="G427" s="69"/>
      <c r="H427" s="70"/>
      <c r="I427" s="104"/>
      <c r="J427" s="103"/>
      <c r="K427" s="104"/>
      <c r="L427" s="103"/>
      <c r="M427" s="104"/>
      <c r="N427" s="103"/>
      <c r="O427" s="104"/>
      <c r="P427" s="103"/>
      <c r="Q427" s="104"/>
      <c r="R427" s="103"/>
      <c r="S427" s="69"/>
      <c r="T427" s="70"/>
      <c r="U427" s="71">
        <f t="shared" ref="U427" si="207">SUM(G427:T427)</f>
        <v>0</v>
      </c>
      <c r="V427" s="72"/>
      <c r="W427" s="69"/>
      <c r="X427" s="70"/>
      <c r="Y427" s="104"/>
      <c r="Z427" s="103"/>
      <c r="AA427" s="104"/>
      <c r="AB427" s="103"/>
      <c r="AC427" s="104"/>
      <c r="AD427" s="103"/>
      <c r="AE427" s="104"/>
      <c r="AF427" s="103"/>
      <c r="AG427" s="104"/>
      <c r="AH427" s="103"/>
      <c r="AI427" s="69"/>
      <c r="AJ427" s="70"/>
      <c r="AK427" s="71">
        <f>SUM(W427:AJ427)</f>
        <v>0</v>
      </c>
      <c r="AL427" s="72"/>
      <c r="AM427" s="73">
        <f>SUMIF($G426:$T426,"",$G427:$T427)+SUMIF($W426:$AJ426,"",$W427:$AJ427)-AN427</f>
        <v>0</v>
      </c>
      <c r="AN427" s="88">
        <f>IF(SUMIF($G426:$T426,"",$G427:$T427)+SUMIF($G426:$T426,"F",$G427:$T427)+SUMIF($G426:$T426,"V",$G427:$T427)-40&lt;0,0,SUMIF($G426:$T426,"",$G427:$T427)+SUMIF($G426:$T426,"F",$G427:$T427)+SUMIF($G426:$T426,"V",$G427:$T427)-($U$9/2))+IF(SUMIF($W426:$AJ426,"",$W427:$AJ427)+SUMIF($W426:$AJ426,"F",$W427:$AJ427)+SUMIF($W426:$AJ426,"V",$W427:$AJ427)-40&lt;0,0,SUMIF($W426:$AJ426,"",$W427:$AJ427)+SUMIF($W426:$AJ426,"F",$W427:$AJ427)+SUMIF($W426:$AJ426,"V",$W427:$AJ427)-($U$9/2))</f>
        <v>0</v>
      </c>
      <c r="AO427" s="73">
        <f>SUMIF($G426:$T426,"M",$G427:$T427)+SUMIF($W426:$AJ426,"M",$W427:$AJ427)</f>
        <v>0</v>
      </c>
      <c r="AP427" s="73">
        <f>SUMIF($G426:$T426,"F",$G427:$T427)+SUMIF($W426:$AJ426,"F",$W427:$AJ427)</f>
        <v>0</v>
      </c>
      <c r="AQ427" s="73">
        <f>SUMIF($G426:$T426,"V",$G427:$T427)+SUMIF($W426:$AJ426,"V",$W427:$AJ427)</f>
        <v>0</v>
      </c>
      <c r="AR427" s="74">
        <f>SUMIF($G426:$T426,"O",$G427:$T427)+SUMIF($W426:$AJ426,"O",$W427:$AJ427)</f>
        <v>0</v>
      </c>
      <c r="AS427" s="75">
        <f>SUM(AM427:AR427)</f>
        <v>0</v>
      </c>
      <c r="AT427" s="72"/>
      <c r="AU427" s="73">
        <f>SUMIF($G426:$T426,"A",$G427:$T427)+SUMIF($W426:$AJ426,"A",$W427:$AJ427)</f>
        <v>0</v>
      </c>
      <c r="AV427" s="72"/>
      <c r="AW427" s="76">
        <f>IF(B427="",0,IF($U$9="",0,$U$9))</f>
        <v>0</v>
      </c>
      <c r="AX427" s="84"/>
      <c r="BA427" s="2"/>
      <c r="BB427" s="2"/>
      <c r="BC427" s="101"/>
      <c r="BD427" s="101"/>
    </row>
    <row r="428" spans="1:56" s="53" customFormat="1" x14ac:dyDescent="0.35">
      <c r="A428" s="84"/>
      <c r="B428" s="26"/>
      <c r="C428" s="27"/>
      <c r="D428" s="28" t="str">
        <f>IF(D354="","",D354)</f>
        <v/>
      </c>
      <c r="E428" s="29" t="str">
        <f t="shared" si="201"/>
        <v/>
      </c>
      <c r="F428" s="50">
        <f>B379</f>
        <v>15</v>
      </c>
      <c r="G428" s="59"/>
      <c r="H428" s="64"/>
      <c r="I428" s="58"/>
      <c r="J428" s="65"/>
      <c r="K428" s="58"/>
      <c r="L428" s="65"/>
      <c r="M428" s="58"/>
      <c r="N428" s="65"/>
      <c r="O428" s="58"/>
      <c r="P428" s="65"/>
      <c r="Q428" s="58"/>
      <c r="R428" s="65"/>
      <c r="S428" s="59"/>
      <c r="T428" s="64"/>
      <c r="U428" s="44"/>
      <c r="V428" s="84"/>
      <c r="W428" s="59"/>
      <c r="X428" s="64"/>
      <c r="Y428" s="58"/>
      <c r="Z428" s="65"/>
      <c r="AA428" s="58"/>
      <c r="AB428" s="65"/>
      <c r="AC428" s="58"/>
      <c r="AD428" s="65"/>
      <c r="AE428" s="58"/>
      <c r="AF428" s="65"/>
      <c r="AG428" s="58"/>
      <c r="AH428" s="65"/>
      <c r="AI428" s="59"/>
      <c r="AJ428" s="64"/>
      <c r="AK428" s="44"/>
      <c r="AL428" s="84"/>
      <c r="AM428" s="49"/>
      <c r="AN428" s="49"/>
      <c r="AO428" s="49"/>
      <c r="AP428" s="49"/>
      <c r="AQ428" s="49"/>
      <c r="AR428" s="40"/>
      <c r="AS428" s="51"/>
      <c r="AT428" s="84"/>
      <c r="AU428" s="49"/>
      <c r="AV428" s="84"/>
      <c r="AW428" s="52"/>
      <c r="AX428" s="84"/>
      <c r="BA428" s="2"/>
      <c r="BB428" s="2"/>
      <c r="BC428" s="101"/>
      <c r="BD428" s="101"/>
    </row>
    <row r="429" spans="1:56" s="53" customFormat="1" x14ac:dyDescent="0.35">
      <c r="A429" s="84"/>
      <c r="B429" s="30" t="str">
        <f>IF(B355="","",B355)</f>
        <v/>
      </c>
      <c r="C429" s="31"/>
      <c r="D429" s="32"/>
      <c r="E429" s="33" t="str">
        <f t="shared" si="201"/>
        <v/>
      </c>
      <c r="F429" s="50">
        <f>B379</f>
        <v>15</v>
      </c>
      <c r="G429" s="69"/>
      <c r="H429" s="70"/>
      <c r="I429" s="67"/>
      <c r="J429" s="68"/>
      <c r="K429" s="67"/>
      <c r="L429" s="68"/>
      <c r="M429" s="67"/>
      <c r="N429" s="68"/>
      <c r="O429" s="67"/>
      <c r="P429" s="68"/>
      <c r="Q429" s="67"/>
      <c r="R429" s="68"/>
      <c r="S429" s="69"/>
      <c r="T429" s="70"/>
      <c r="U429" s="71">
        <f t="shared" ref="U429" si="208">SUM(G429:T429)</f>
        <v>0</v>
      </c>
      <c r="V429" s="72"/>
      <c r="W429" s="69"/>
      <c r="X429" s="70"/>
      <c r="Y429" s="67"/>
      <c r="Z429" s="68"/>
      <c r="AA429" s="67"/>
      <c r="AB429" s="68"/>
      <c r="AC429" s="67"/>
      <c r="AD429" s="68"/>
      <c r="AE429" s="67"/>
      <c r="AF429" s="68"/>
      <c r="AG429" s="67"/>
      <c r="AH429" s="68"/>
      <c r="AI429" s="69"/>
      <c r="AJ429" s="70"/>
      <c r="AK429" s="71">
        <v>0</v>
      </c>
      <c r="AL429" s="72"/>
      <c r="AM429" s="73">
        <f>SUMIF($G428:$T428,"",$G429:$T429)+SUMIF($W428:$AJ428,"",$W429:$AJ429)-AN429</f>
        <v>0</v>
      </c>
      <c r="AN429" s="88">
        <f>IF(SUMIF($G428:$T428,"",$G429:$T429)+SUMIF($G428:$T428,"F",$G429:$T429)+SUMIF($G428:$T428,"V",$G429:$T429)-40&lt;0,0,SUMIF($G428:$T428,"",$G429:$T429)+SUMIF($G428:$T428,"F",$G429:$T429)+SUMIF($G428:$T428,"V",$G429:$T429)-($U$9/2))+IF(SUMIF($W428:$AJ428,"",$W429:$AJ429)+SUMIF($W428:$AJ428,"F",$W429:$AJ429)+SUMIF($W428:$AJ428,"V",$W429:$AJ429)-40&lt;0,0,SUMIF($W428:$AJ428,"",$W429:$AJ429)+SUMIF($W428:$AJ428,"F",$W429:$AJ429)+SUMIF($W428:$AJ428,"V",$W429:$AJ429)-($U$9/2))</f>
        <v>0</v>
      </c>
      <c r="AO429" s="73">
        <f>SUMIF($G428:$T428,"M",$G429:$T429)+SUMIF($W428:$AJ428,"M",$W429:$AJ429)</f>
        <v>0</v>
      </c>
      <c r="AP429" s="73">
        <f>SUMIF($G428:$T428,"F",$G429:$T429)+SUMIF($W428:$AJ428,"F",$W429:$AJ429)</f>
        <v>0</v>
      </c>
      <c r="AQ429" s="73">
        <f>SUMIF($G428:$T428,"V",$G429:$T429)+SUMIF($W428:$AJ428,"V",$W429:$AJ429)</f>
        <v>0</v>
      </c>
      <c r="AR429" s="74">
        <f>SUMIF($G428:$T428,"O",$G429:$T429)+SUMIF($W428:$AJ428,"O",$W429:$AJ429)</f>
        <v>0</v>
      </c>
      <c r="AS429" s="75">
        <f>SUM(AM429:AR429)</f>
        <v>0</v>
      </c>
      <c r="AT429" s="72"/>
      <c r="AU429" s="73">
        <f>SUMIF($G428:$T428,"A",$G429:$T429)+SUMIF($W428:$AJ428,"A",$W429:$AJ429)</f>
        <v>0</v>
      </c>
      <c r="AV429" s="72"/>
      <c r="AW429" s="76">
        <f>IF(B429="",0,IF($U$9="",0,$U$9))</f>
        <v>0</v>
      </c>
      <c r="AX429" s="84"/>
      <c r="BA429" s="2"/>
      <c r="BB429" s="2"/>
      <c r="BC429" s="101"/>
      <c r="BD429" s="101"/>
    </row>
    <row r="430" spans="1:56" s="53" customFormat="1" x14ac:dyDescent="0.35">
      <c r="A430" s="84"/>
      <c r="B430" s="26"/>
      <c r="C430" s="27"/>
      <c r="D430" s="28" t="str">
        <f>IF(D356="","",D356)</f>
        <v/>
      </c>
      <c r="E430" s="29" t="str">
        <f t="shared" si="201"/>
        <v/>
      </c>
      <c r="F430" s="50">
        <f>B379</f>
        <v>15</v>
      </c>
      <c r="G430" s="59"/>
      <c r="H430" s="64"/>
      <c r="I430" s="58"/>
      <c r="J430" s="65"/>
      <c r="K430" s="58"/>
      <c r="L430" s="65"/>
      <c r="M430" s="58"/>
      <c r="N430" s="65"/>
      <c r="O430" s="58"/>
      <c r="P430" s="65"/>
      <c r="Q430" s="58"/>
      <c r="R430" s="65"/>
      <c r="S430" s="59"/>
      <c r="T430" s="64"/>
      <c r="U430" s="44"/>
      <c r="V430" s="84"/>
      <c r="W430" s="59"/>
      <c r="X430" s="64"/>
      <c r="Y430" s="58"/>
      <c r="Z430" s="65"/>
      <c r="AA430" s="58"/>
      <c r="AB430" s="65"/>
      <c r="AC430" s="58"/>
      <c r="AD430" s="65"/>
      <c r="AE430" s="58"/>
      <c r="AF430" s="65"/>
      <c r="AG430" s="58"/>
      <c r="AH430" s="65"/>
      <c r="AI430" s="59"/>
      <c r="AJ430" s="64"/>
      <c r="AK430" s="44"/>
      <c r="AL430" s="84"/>
      <c r="AM430" s="49"/>
      <c r="AN430" s="49"/>
      <c r="AO430" s="49"/>
      <c r="AP430" s="49"/>
      <c r="AQ430" s="49"/>
      <c r="AR430" s="40"/>
      <c r="AS430" s="51"/>
      <c r="AT430" s="84"/>
      <c r="AU430" s="49"/>
      <c r="AV430" s="84"/>
      <c r="AW430" s="52"/>
      <c r="AX430" s="84"/>
      <c r="BA430" s="2"/>
      <c r="BB430" s="2"/>
      <c r="BC430" s="101"/>
      <c r="BD430" s="101"/>
    </row>
    <row r="431" spans="1:56" s="53" customFormat="1" x14ac:dyDescent="0.35">
      <c r="A431" s="84"/>
      <c r="B431" s="30" t="str">
        <f>IF(B357="","",B357)</f>
        <v/>
      </c>
      <c r="C431" s="31"/>
      <c r="D431" s="32"/>
      <c r="E431" s="33" t="str">
        <f t="shared" si="201"/>
        <v/>
      </c>
      <c r="F431" s="50">
        <f>B379</f>
        <v>15</v>
      </c>
      <c r="G431" s="69"/>
      <c r="H431" s="70"/>
      <c r="I431" s="67"/>
      <c r="J431" s="68"/>
      <c r="K431" s="67"/>
      <c r="L431" s="68"/>
      <c r="M431" s="67"/>
      <c r="N431" s="68"/>
      <c r="O431" s="67"/>
      <c r="P431" s="68"/>
      <c r="Q431" s="67"/>
      <c r="R431" s="68"/>
      <c r="S431" s="69"/>
      <c r="T431" s="70"/>
      <c r="U431" s="71">
        <f t="shared" ref="U431" si="209">SUM(G431:T431)</f>
        <v>0</v>
      </c>
      <c r="V431" s="72"/>
      <c r="W431" s="69"/>
      <c r="X431" s="70"/>
      <c r="Y431" s="67"/>
      <c r="Z431" s="68"/>
      <c r="AA431" s="67"/>
      <c r="AB431" s="68"/>
      <c r="AC431" s="67"/>
      <c r="AD431" s="68"/>
      <c r="AE431" s="67"/>
      <c r="AF431" s="68"/>
      <c r="AG431" s="67"/>
      <c r="AH431" s="68"/>
      <c r="AI431" s="69"/>
      <c r="AJ431" s="70"/>
      <c r="AK431" s="71">
        <v>0</v>
      </c>
      <c r="AL431" s="72"/>
      <c r="AM431" s="73">
        <v>0</v>
      </c>
      <c r="AN431" s="88">
        <v>0</v>
      </c>
      <c r="AO431" s="73">
        <v>0</v>
      </c>
      <c r="AP431" s="73">
        <v>0</v>
      </c>
      <c r="AQ431" s="73">
        <v>0</v>
      </c>
      <c r="AR431" s="74">
        <v>0</v>
      </c>
      <c r="AS431" s="75">
        <v>0</v>
      </c>
      <c r="AT431" s="72"/>
      <c r="AU431" s="73">
        <f>SUMIF($G430:$T430,"A",$G431:$T431)+SUMIF($W430:$AJ430,"A",$W431:$AJ431)</f>
        <v>0</v>
      </c>
      <c r="AV431" s="72"/>
      <c r="AW431" s="76">
        <f>IF(B431="",0,IF($U$9="",0,$U$9))</f>
        <v>0</v>
      </c>
      <c r="AX431" s="84"/>
      <c r="BA431" s="2"/>
      <c r="BB431" s="2"/>
      <c r="BC431" s="101"/>
      <c r="BD431" s="101"/>
    </row>
    <row r="432" spans="1:56" s="53" customFormat="1" x14ac:dyDescent="0.35">
      <c r="A432" s="84"/>
      <c r="B432" s="26"/>
      <c r="C432" s="27"/>
      <c r="D432" s="28" t="str">
        <f>IF(D358="","",D358)</f>
        <v/>
      </c>
      <c r="E432" s="29" t="str">
        <f t="shared" si="201"/>
        <v/>
      </c>
      <c r="F432" s="50">
        <f>B379</f>
        <v>15</v>
      </c>
      <c r="G432" s="59"/>
      <c r="H432" s="64"/>
      <c r="I432" s="58"/>
      <c r="J432" s="65"/>
      <c r="K432" s="58"/>
      <c r="L432" s="65"/>
      <c r="M432" s="58"/>
      <c r="N432" s="65"/>
      <c r="O432" s="58"/>
      <c r="P432" s="65"/>
      <c r="Q432" s="58"/>
      <c r="R432" s="65"/>
      <c r="S432" s="59"/>
      <c r="T432" s="64"/>
      <c r="U432" s="44"/>
      <c r="V432" s="84"/>
      <c r="W432" s="59"/>
      <c r="X432" s="64"/>
      <c r="Y432" s="58"/>
      <c r="Z432" s="65"/>
      <c r="AA432" s="58"/>
      <c r="AB432" s="65"/>
      <c r="AC432" s="58"/>
      <c r="AD432" s="65"/>
      <c r="AE432" s="58"/>
      <c r="AF432" s="65"/>
      <c r="AG432" s="58"/>
      <c r="AH432" s="65"/>
      <c r="AI432" s="59"/>
      <c r="AJ432" s="64"/>
      <c r="AK432" s="44"/>
      <c r="AL432" s="84"/>
      <c r="AM432" s="49"/>
      <c r="AN432" s="49"/>
      <c r="AO432" s="49"/>
      <c r="AP432" s="49"/>
      <c r="AQ432" s="49"/>
      <c r="AR432" s="40"/>
      <c r="AS432" s="51"/>
      <c r="AT432" s="84"/>
      <c r="AU432" s="49"/>
      <c r="AV432" s="84"/>
      <c r="AW432" s="52"/>
      <c r="AX432" s="84"/>
      <c r="BA432" s="2"/>
      <c r="BB432" s="2"/>
      <c r="BC432" s="101"/>
      <c r="BD432" s="101"/>
    </row>
    <row r="433" spans="1:56" s="53" customFormat="1" ht="15" thickBot="1" x14ac:dyDescent="0.4">
      <c r="A433" s="84"/>
      <c r="B433" s="30" t="str">
        <f>IF(B359="","",B359)</f>
        <v/>
      </c>
      <c r="C433" s="31"/>
      <c r="D433" s="32"/>
      <c r="E433" s="33" t="str">
        <f t="shared" si="201"/>
        <v/>
      </c>
      <c r="F433" s="50">
        <f>B379</f>
        <v>15</v>
      </c>
      <c r="G433" s="69"/>
      <c r="H433" s="70"/>
      <c r="I433" s="67"/>
      <c r="J433" s="68"/>
      <c r="K433" s="67"/>
      <c r="L433" s="68"/>
      <c r="M433" s="67"/>
      <c r="N433" s="68"/>
      <c r="O433" s="67"/>
      <c r="P433" s="68"/>
      <c r="Q433" s="67"/>
      <c r="R433" s="68"/>
      <c r="S433" s="69"/>
      <c r="T433" s="70"/>
      <c r="U433" s="71">
        <f t="shared" ref="U433" si="210">SUM(G433:T433)</f>
        <v>0</v>
      </c>
      <c r="V433" s="72"/>
      <c r="W433" s="69"/>
      <c r="X433" s="70"/>
      <c r="Y433" s="67"/>
      <c r="Z433" s="68"/>
      <c r="AA433" s="67"/>
      <c r="AB433" s="68"/>
      <c r="AC433" s="67"/>
      <c r="AD433" s="68"/>
      <c r="AE433" s="67"/>
      <c r="AF433" s="68"/>
      <c r="AG433" s="67"/>
      <c r="AH433" s="68"/>
      <c r="AI433" s="69"/>
      <c r="AJ433" s="70"/>
      <c r="AK433" s="71">
        <v>0</v>
      </c>
      <c r="AL433" s="72"/>
      <c r="AM433" s="73">
        <v>0</v>
      </c>
      <c r="AN433" s="88">
        <v>0</v>
      </c>
      <c r="AO433" s="73">
        <v>0</v>
      </c>
      <c r="AP433" s="73">
        <v>0</v>
      </c>
      <c r="AQ433" s="73">
        <v>0</v>
      </c>
      <c r="AR433" s="74">
        <v>0</v>
      </c>
      <c r="AS433" s="75">
        <v>0</v>
      </c>
      <c r="AT433" s="72"/>
      <c r="AU433" s="73">
        <f>SUMIF($G432:$T432,"A",$G433:$T433)+SUMIF($W432:$AJ432,"A",$W433:$AJ433)</f>
        <v>0</v>
      </c>
      <c r="AV433" s="72"/>
      <c r="AW433" s="76">
        <f>IF(B433="",0,IF($U$9="",0,$U$9))</f>
        <v>0</v>
      </c>
      <c r="AX433" s="84"/>
      <c r="BA433" s="2"/>
      <c r="BB433" s="2"/>
      <c r="BC433" s="101"/>
      <c r="BD433" s="101"/>
    </row>
    <row r="434" spans="1:56" s="53" customFormat="1" ht="27.75" customHeight="1" thickBot="1" x14ac:dyDescent="0.4">
      <c r="A434" s="84"/>
      <c r="B434" s="149" t="s">
        <v>7</v>
      </c>
      <c r="C434" s="150"/>
      <c r="D434" s="150"/>
      <c r="E434" s="151"/>
      <c r="F434" s="97"/>
      <c r="G434" s="152">
        <f>SUM(G384:H433)</f>
        <v>0</v>
      </c>
      <c r="H434" s="152"/>
      <c r="I434" s="152">
        <f>SUM(I384:J433)</f>
        <v>128.25</v>
      </c>
      <c r="J434" s="152"/>
      <c r="K434" s="152">
        <f>SUM(K384:L433)</f>
        <v>128</v>
      </c>
      <c r="L434" s="152"/>
      <c r="M434" s="152">
        <f>SUM(M384:N433)</f>
        <v>127.75</v>
      </c>
      <c r="N434" s="152"/>
      <c r="O434" s="152">
        <f>SUM(O384:P433)</f>
        <v>127.75</v>
      </c>
      <c r="P434" s="152"/>
      <c r="Q434" s="152">
        <f>SUM(Q384:R433)</f>
        <v>125.75</v>
      </c>
      <c r="R434" s="152"/>
      <c r="S434" s="152">
        <f>SUM(S384:T433)</f>
        <v>0</v>
      </c>
      <c r="T434" s="153"/>
      <c r="U434" s="77">
        <f>SUM(U384:U433)</f>
        <v>637.5</v>
      </c>
      <c r="V434" s="78"/>
      <c r="W434" s="152">
        <f>SUM(W384:X433)</f>
        <v>0</v>
      </c>
      <c r="X434" s="152"/>
      <c r="Y434" s="152">
        <f>SUM(Y384:Z433)</f>
        <v>120.5</v>
      </c>
      <c r="Z434" s="152"/>
      <c r="AA434" s="152">
        <f>SUM(AA384:AB433)</f>
        <v>120</v>
      </c>
      <c r="AB434" s="152"/>
      <c r="AC434" s="152">
        <f>SUM(AC384:AD433)</f>
        <v>120.5</v>
      </c>
      <c r="AD434" s="152"/>
      <c r="AE434" s="152">
        <f>SUM(AE384:AF433)</f>
        <v>120</v>
      </c>
      <c r="AF434" s="152"/>
      <c r="AG434" s="152">
        <f>SUM(AG384:AH433)</f>
        <v>119</v>
      </c>
      <c r="AH434" s="152"/>
      <c r="AI434" s="152">
        <f>SUM(AI384:AJ433)</f>
        <v>0</v>
      </c>
      <c r="AJ434" s="152"/>
      <c r="AK434" s="77">
        <f>SUM(AK384:AK433)</f>
        <v>600</v>
      </c>
      <c r="AL434" s="78"/>
      <c r="AM434" s="79">
        <f t="shared" ref="AM434:AS434" si="211">SUM(AM384:AM433)</f>
        <v>1194.25</v>
      </c>
      <c r="AN434" s="79">
        <f t="shared" si="211"/>
        <v>3.25</v>
      </c>
      <c r="AO434" s="79">
        <f t="shared" si="211"/>
        <v>8</v>
      </c>
      <c r="AP434" s="79">
        <f t="shared" si="211"/>
        <v>8</v>
      </c>
      <c r="AQ434" s="79">
        <f t="shared" si="211"/>
        <v>24</v>
      </c>
      <c r="AR434" s="80">
        <f t="shared" si="211"/>
        <v>0</v>
      </c>
      <c r="AS434" s="81">
        <f t="shared" si="211"/>
        <v>1237.5</v>
      </c>
      <c r="AT434" s="78"/>
      <c r="AU434" s="82">
        <f>SUM(AU384:AU433)</f>
        <v>0</v>
      </c>
      <c r="AV434" s="78"/>
      <c r="AW434" s="83">
        <f>SUM(AW384:AW433)</f>
        <v>1520</v>
      </c>
      <c r="AX434" s="84"/>
      <c r="BA434" s="2"/>
      <c r="BB434" s="2"/>
      <c r="BC434" s="101"/>
      <c r="BD434" s="101"/>
    </row>
    <row r="435" spans="1:56" s="53" customFormat="1" ht="15" thickTop="1" x14ac:dyDescent="0.35">
      <c r="B435" s="54"/>
      <c r="F435" s="98"/>
      <c r="G435" s="55"/>
      <c r="H435" s="55"/>
      <c r="I435" s="55"/>
      <c r="J435" s="55"/>
      <c r="K435" s="55"/>
      <c r="L435" s="55"/>
      <c r="M435" s="55"/>
      <c r="N435" s="55"/>
      <c r="O435" s="55"/>
      <c r="P435" s="55"/>
      <c r="Q435" s="55"/>
      <c r="R435" s="55"/>
      <c r="S435" s="55"/>
      <c r="T435" s="55"/>
      <c r="U435" s="56"/>
      <c r="V435" s="55"/>
      <c r="W435" s="55"/>
      <c r="X435" s="55"/>
      <c r="Y435" s="55"/>
      <c r="Z435" s="55"/>
      <c r="AA435" s="55"/>
      <c r="AB435" s="55"/>
      <c r="AC435" s="55"/>
      <c r="AD435" s="55"/>
      <c r="AE435" s="55"/>
      <c r="AF435" s="55"/>
      <c r="AG435" s="55"/>
      <c r="AH435" s="55"/>
      <c r="AI435" s="55"/>
      <c r="AJ435" s="55"/>
      <c r="AK435" s="56"/>
      <c r="AL435" s="55"/>
      <c r="AM435" s="55"/>
      <c r="AN435" s="55"/>
      <c r="AO435" s="55"/>
      <c r="AP435" s="55"/>
      <c r="AQ435" s="55"/>
      <c r="AR435" s="55"/>
      <c r="AS435" s="55"/>
      <c r="AT435" s="55"/>
      <c r="AU435" s="55"/>
      <c r="AV435" s="55"/>
      <c r="AW435" s="55"/>
      <c r="BA435" s="2"/>
      <c r="BB435" s="2"/>
      <c r="BC435" s="101"/>
      <c r="BD435" s="101"/>
    </row>
    <row r="436" spans="1:56" s="53" customFormat="1" x14ac:dyDescent="0.35">
      <c r="B436" s="54" t="s">
        <v>52</v>
      </c>
      <c r="D436" s="141" t="s">
        <v>85</v>
      </c>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1"/>
      <c r="AE436" s="141"/>
      <c r="AF436" s="141"/>
      <c r="AG436" s="141"/>
      <c r="AH436" s="141"/>
      <c r="AI436" s="141"/>
      <c r="AJ436" s="141"/>
      <c r="AK436" s="56"/>
      <c r="AL436" s="55"/>
      <c r="AM436" s="55"/>
      <c r="AN436" s="55"/>
      <c r="AO436" s="55"/>
      <c r="AP436" s="55"/>
      <c r="AQ436" s="55"/>
      <c r="AR436" s="55"/>
      <c r="AS436" s="55"/>
      <c r="AT436" s="55"/>
      <c r="AU436" s="55"/>
      <c r="AV436" s="55"/>
      <c r="AW436" s="55"/>
      <c r="BA436" s="2"/>
      <c r="BB436" s="2"/>
      <c r="BC436" s="101"/>
      <c r="BD436" s="101"/>
    </row>
    <row r="437" spans="1:56" s="84" customFormat="1" x14ac:dyDescent="0.35">
      <c r="A437" s="53"/>
      <c r="B437" s="54"/>
      <c r="C437" s="53"/>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c r="AB437" s="141"/>
      <c r="AC437" s="141"/>
      <c r="AD437" s="141"/>
      <c r="AE437" s="141"/>
      <c r="AF437" s="141"/>
      <c r="AG437" s="141"/>
      <c r="AH437" s="141"/>
      <c r="AI437" s="141"/>
      <c r="AJ437" s="141"/>
      <c r="AK437" s="56"/>
      <c r="AL437" s="55"/>
      <c r="AM437" s="55"/>
      <c r="AN437" s="55"/>
      <c r="AO437" s="55"/>
      <c r="AP437" s="55"/>
      <c r="AQ437" s="55"/>
      <c r="AR437" s="55"/>
      <c r="AS437" s="55"/>
      <c r="AT437" s="55"/>
      <c r="AU437" s="55"/>
      <c r="AV437" s="55"/>
      <c r="AW437" s="55"/>
      <c r="AX437" s="53"/>
      <c r="BA437" s="2"/>
      <c r="BB437" s="2"/>
      <c r="BC437" s="101"/>
      <c r="BD437" s="101"/>
    </row>
    <row r="438" spans="1:56" s="84" customFormat="1" x14ac:dyDescent="0.35">
      <c r="A438" s="53"/>
      <c r="B438" s="54"/>
      <c r="C438" s="53"/>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c r="AB438" s="141"/>
      <c r="AC438" s="141"/>
      <c r="AD438" s="141"/>
      <c r="AE438" s="141"/>
      <c r="AF438" s="141"/>
      <c r="AG438" s="141"/>
      <c r="AH438" s="141"/>
      <c r="AI438" s="141"/>
      <c r="AJ438" s="141"/>
      <c r="AK438" s="56"/>
      <c r="AL438" s="55"/>
      <c r="AM438" s="55"/>
      <c r="AN438" s="55"/>
      <c r="AO438" s="55"/>
      <c r="AP438" s="55"/>
      <c r="AQ438" s="55"/>
      <c r="AR438" s="55"/>
      <c r="AS438" s="55"/>
      <c r="AT438" s="55"/>
      <c r="AU438" s="55"/>
      <c r="AV438" s="55"/>
      <c r="AW438" s="55"/>
      <c r="AX438" s="53"/>
      <c r="BA438" s="2"/>
      <c r="BB438" s="2"/>
      <c r="BC438" s="101"/>
      <c r="BD438" s="101"/>
    </row>
    <row r="439" spans="1:56" s="84" customFormat="1" ht="15" customHeight="1" x14ac:dyDescent="0.35">
      <c r="A439" s="53"/>
      <c r="B439" s="54"/>
      <c r="C439" s="53"/>
      <c r="D439" s="53"/>
      <c r="E439" s="53"/>
      <c r="F439" s="98"/>
      <c r="G439" s="55"/>
      <c r="H439" s="55"/>
      <c r="I439" s="55"/>
      <c r="J439" s="55"/>
      <c r="K439" s="55"/>
      <c r="L439" s="55"/>
      <c r="M439" s="55"/>
      <c r="N439" s="55"/>
      <c r="O439" s="55"/>
      <c r="P439" s="55"/>
      <c r="Q439" s="55"/>
      <c r="R439" s="55"/>
      <c r="S439" s="55"/>
      <c r="T439" s="55"/>
      <c r="U439" s="56"/>
      <c r="V439" s="55"/>
      <c r="W439" s="55"/>
      <c r="X439" s="55"/>
      <c r="Y439" s="55"/>
      <c r="Z439" s="55"/>
      <c r="AA439" s="55"/>
      <c r="AB439" s="55"/>
      <c r="AC439" s="55"/>
      <c r="AD439" s="55"/>
      <c r="AE439" s="55"/>
      <c r="AF439" s="55"/>
      <c r="AG439" s="55"/>
      <c r="AH439" s="55"/>
      <c r="AI439" s="55"/>
      <c r="AJ439" s="55"/>
      <c r="AK439" s="56"/>
      <c r="AL439" s="55"/>
      <c r="AM439" s="55"/>
      <c r="AN439" s="55"/>
      <c r="AO439" s="55"/>
      <c r="AP439" s="55"/>
      <c r="AQ439" s="55"/>
      <c r="AR439" s="55"/>
      <c r="AS439" s="55"/>
      <c r="AT439" s="55"/>
      <c r="AU439" s="55"/>
      <c r="AV439" s="55"/>
      <c r="AW439" s="55"/>
      <c r="AX439" s="53"/>
      <c r="BA439" s="2"/>
      <c r="BB439" s="2"/>
      <c r="BC439" s="101"/>
      <c r="BD439" s="101"/>
    </row>
    <row r="440" spans="1:56" s="84" customFormat="1" ht="15" customHeight="1" x14ac:dyDescent="0.35">
      <c r="A440" s="53"/>
      <c r="B440" s="54" t="s">
        <v>53</v>
      </c>
      <c r="C440" s="53"/>
      <c r="D440" s="31" t="s">
        <v>86</v>
      </c>
      <c r="E440" s="34"/>
      <c r="F440" s="99"/>
      <c r="G440" s="34"/>
      <c r="H440" s="34"/>
      <c r="I440" s="34"/>
      <c r="J440" s="34"/>
      <c r="K440" s="53"/>
      <c r="L440" s="55" t="s">
        <v>8</v>
      </c>
      <c r="M440" s="53"/>
      <c r="N440" s="142">
        <f ca="1">NOW()</f>
        <v>44720.650928935182</v>
      </c>
      <c r="O440" s="142"/>
      <c r="P440" s="142"/>
      <c r="Q440" s="53"/>
      <c r="R440" s="53"/>
      <c r="S440" s="53"/>
      <c r="T440" s="53"/>
      <c r="U440" s="53"/>
      <c r="V440" s="55"/>
      <c r="W440" s="55"/>
      <c r="X440" s="55"/>
      <c r="Y440" s="55"/>
      <c r="Z440" s="55"/>
      <c r="AA440" s="55"/>
      <c r="AB440" s="55"/>
      <c r="AC440" s="55"/>
      <c r="AD440" s="55"/>
      <c r="AE440" s="55"/>
      <c r="AF440" s="55"/>
      <c r="AG440" s="55"/>
      <c r="AH440" s="55"/>
      <c r="AI440" s="55"/>
      <c r="AJ440" s="55"/>
      <c r="AK440" s="56"/>
      <c r="AL440" s="55"/>
      <c r="AM440" s="55"/>
      <c r="AN440" s="55"/>
      <c r="AO440" s="55"/>
      <c r="AP440" s="55"/>
      <c r="AQ440" s="55"/>
      <c r="AR440" s="55"/>
      <c r="AS440" s="55"/>
      <c r="AT440" s="55"/>
      <c r="AU440" s="55"/>
      <c r="AV440" s="55"/>
      <c r="AW440" s="55"/>
      <c r="AX440" s="53"/>
      <c r="BA440" s="2"/>
      <c r="BB440" s="2"/>
      <c r="BC440" s="101"/>
      <c r="BD440" s="101"/>
    </row>
    <row r="441" spans="1:56" s="84" customFormat="1" x14ac:dyDescent="0.35">
      <c r="A441" s="53"/>
      <c r="B441" s="54"/>
      <c r="C441" s="53"/>
      <c r="D441" s="53"/>
      <c r="E441" s="53"/>
      <c r="F441" s="98"/>
      <c r="G441" s="55"/>
      <c r="H441" s="55"/>
      <c r="I441" s="55"/>
      <c r="J441" s="55"/>
      <c r="K441" s="53"/>
      <c r="L441" s="55"/>
      <c r="M441" s="53"/>
      <c r="N441" s="55"/>
      <c r="O441" s="56"/>
      <c r="P441" s="53"/>
      <c r="Q441" s="53"/>
      <c r="R441" s="53"/>
      <c r="S441" s="53"/>
      <c r="T441" s="53"/>
      <c r="U441" s="53"/>
      <c r="V441" s="55"/>
      <c r="W441" s="55"/>
      <c r="X441" s="55"/>
      <c r="Y441" s="55"/>
      <c r="Z441" s="55"/>
      <c r="AA441" s="55"/>
      <c r="AB441" s="55"/>
      <c r="AC441" s="55"/>
      <c r="AD441" s="55"/>
      <c r="AE441" s="55"/>
      <c r="AF441" s="55"/>
      <c r="AG441" s="55"/>
      <c r="AH441" s="55"/>
      <c r="AI441" s="55"/>
      <c r="AJ441" s="55"/>
      <c r="AK441" s="56"/>
      <c r="AL441" s="55"/>
      <c r="AM441" s="55"/>
      <c r="AN441" s="55"/>
      <c r="AO441" s="55"/>
      <c r="AP441" s="55"/>
      <c r="AQ441" s="55"/>
      <c r="AR441" s="55"/>
      <c r="AS441" s="55"/>
      <c r="AT441" s="55"/>
      <c r="AU441" s="55"/>
      <c r="AV441" s="55"/>
      <c r="AW441" s="55"/>
      <c r="AX441" s="53"/>
      <c r="BA441" s="2"/>
      <c r="BB441" s="2"/>
      <c r="BC441" s="101"/>
      <c r="BD441" s="101"/>
    </row>
    <row r="442" spans="1:56" s="84" customFormat="1" x14ac:dyDescent="0.35">
      <c r="A442" s="53"/>
      <c r="B442" s="54" t="s">
        <v>54</v>
      </c>
      <c r="C442" s="53"/>
      <c r="D442" s="31"/>
      <c r="E442" s="34"/>
      <c r="F442" s="99"/>
      <c r="G442" s="34"/>
      <c r="H442" s="34"/>
      <c r="I442" s="34"/>
      <c r="J442" s="34"/>
      <c r="K442" s="53"/>
      <c r="L442" s="55" t="s">
        <v>8</v>
      </c>
      <c r="M442" s="53"/>
      <c r="N442" s="142">
        <f ca="1">NOW()</f>
        <v>44720.650928935182</v>
      </c>
      <c r="O442" s="142"/>
      <c r="P442" s="142"/>
      <c r="Q442" s="53"/>
      <c r="R442" s="53"/>
      <c r="S442" s="53"/>
      <c r="T442" s="53"/>
      <c r="U442" s="53"/>
      <c r="V442" s="55"/>
      <c r="W442" s="55"/>
      <c r="X442" s="55"/>
      <c r="Y442" s="55"/>
      <c r="Z442" s="55"/>
      <c r="AA442" s="55"/>
      <c r="AB442" s="55"/>
      <c r="AC442" s="55"/>
      <c r="AD442" s="55"/>
      <c r="AE442" s="55"/>
      <c r="AF442" s="55"/>
      <c r="AG442" s="55"/>
      <c r="AH442" s="55"/>
      <c r="AI442" s="55"/>
      <c r="AJ442" s="55"/>
      <c r="AK442" s="56"/>
      <c r="AL442" s="55"/>
      <c r="AM442" s="55"/>
      <c r="AN442" s="55"/>
      <c r="AO442" s="55"/>
      <c r="AP442" s="55"/>
      <c r="AQ442" s="55"/>
      <c r="AR442" s="55"/>
      <c r="AS442" s="55"/>
      <c r="AT442" s="55"/>
      <c r="AU442" s="55"/>
      <c r="AV442" s="55"/>
      <c r="AW442" s="55"/>
      <c r="AX442" s="53"/>
      <c r="BA442" s="2"/>
      <c r="BB442" s="2"/>
      <c r="BC442" s="101"/>
      <c r="BD442" s="101"/>
    </row>
    <row r="443" spans="1:56" s="84" customFormat="1" x14ac:dyDescent="0.35">
      <c r="A443" s="53"/>
      <c r="B443" s="54"/>
      <c r="C443" s="53"/>
      <c r="D443" s="53"/>
      <c r="E443" s="53"/>
      <c r="F443" s="98"/>
      <c r="G443" s="55"/>
      <c r="H443" s="55"/>
      <c r="I443" s="55"/>
      <c r="J443" s="55"/>
      <c r="K443" s="55"/>
      <c r="L443" s="55"/>
      <c r="M443" s="55"/>
      <c r="N443" s="55"/>
      <c r="O443" s="55"/>
      <c r="P443" s="55"/>
      <c r="Q443" s="55"/>
      <c r="R443" s="55"/>
      <c r="S443" s="55"/>
      <c r="T443" s="55"/>
      <c r="U443" s="56"/>
      <c r="V443" s="55"/>
      <c r="W443" s="55"/>
      <c r="X443" s="55"/>
      <c r="Y443" s="55"/>
      <c r="Z443" s="55"/>
      <c r="AA443" s="55"/>
      <c r="AB443" s="55"/>
      <c r="AC443" s="55"/>
      <c r="AD443" s="55"/>
      <c r="AE443" s="55"/>
      <c r="AF443" s="55"/>
      <c r="AG443" s="55"/>
      <c r="AH443" s="55"/>
      <c r="AI443" s="55"/>
      <c r="AJ443" s="55"/>
      <c r="AK443" s="56"/>
      <c r="AL443" s="55"/>
      <c r="AM443" s="55"/>
      <c r="AN443" s="55"/>
      <c r="AO443" s="55"/>
      <c r="AP443" s="55"/>
      <c r="AQ443" s="55"/>
      <c r="AR443" s="55"/>
      <c r="AS443" s="55"/>
      <c r="AT443" s="55"/>
      <c r="AU443" s="55"/>
      <c r="AV443" s="55"/>
      <c r="AW443" s="55"/>
      <c r="AX443" s="53"/>
      <c r="BA443" s="2"/>
      <c r="BB443" s="2"/>
      <c r="BC443" s="101"/>
      <c r="BD443" s="101"/>
    </row>
    <row r="444" spans="1:56" s="84" customFormat="1" x14ac:dyDescent="0.35">
      <c r="A444" s="53"/>
      <c r="B444" s="54" t="s">
        <v>9</v>
      </c>
      <c r="C444" s="53"/>
      <c r="D444" s="53"/>
      <c r="E444" s="53"/>
      <c r="F444" s="98"/>
      <c r="G444" s="55"/>
      <c r="H444" s="55"/>
      <c r="I444" s="55"/>
      <c r="J444" s="55"/>
      <c r="K444" s="55"/>
      <c r="L444" s="55"/>
      <c r="M444" s="55"/>
      <c r="N444" s="55"/>
      <c r="O444" s="55"/>
      <c r="P444" s="55"/>
      <c r="Q444" s="55"/>
      <c r="R444" s="55"/>
      <c r="S444" s="55"/>
      <c r="T444" s="55"/>
      <c r="U444" s="56"/>
      <c r="V444" s="55"/>
      <c r="W444" s="55"/>
      <c r="X444" s="55"/>
      <c r="Y444" s="55"/>
      <c r="Z444" s="55"/>
      <c r="AA444" s="55"/>
      <c r="AB444" s="55"/>
      <c r="AC444" s="55"/>
      <c r="AD444" s="55"/>
      <c r="AE444" s="55"/>
      <c r="AF444" s="55"/>
      <c r="AG444" s="55"/>
      <c r="AH444" s="55"/>
      <c r="AI444" s="55"/>
      <c r="AJ444" s="55"/>
      <c r="AK444" s="56"/>
      <c r="AL444" s="55"/>
      <c r="AM444" s="55"/>
      <c r="AN444" s="55"/>
      <c r="AO444" s="55"/>
      <c r="AP444" s="55"/>
      <c r="AQ444" s="55"/>
      <c r="AR444" s="55"/>
      <c r="AS444" s="55"/>
      <c r="AT444" s="55"/>
      <c r="AU444" s="55"/>
      <c r="AV444" s="55"/>
      <c r="AW444" s="55"/>
      <c r="AX444" s="53"/>
      <c r="BA444" s="2"/>
      <c r="BB444" s="2"/>
      <c r="BC444" s="101"/>
      <c r="BD444" s="101"/>
    </row>
    <row r="445" spans="1:56" x14ac:dyDescent="0.35">
      <c r="BA445" s="2"/>
      <c r="BB445" s="2"/>
      <c r="BC445" s="101"/>
      <c r="BD445" s="101"/>
    </row>
    <row r="446" spans="1:56" x14ac:dyDescent="0.35">
      <c r="BA446" s="2"/>
      <c r="BB446" s="2"/>
      <c r="BC446" s="101"/>
      <c r="BD446" s="101"/>
    </row>
    <row r="447" spans="1:56" s="84" customFormat="1" ht="28.5" x14ac:dyDescent="0.65">
      <c r="F447" s="50"/>
      <c r="G447" s="143" t="s">
        <v>10</v>
      </c>
      <c r="H447" s="143"/>
      <c r="I447" s="143"/>
      <c r="J447" s="143"/>
      <c r="K447" s="143"/>
      <c r="L447" s="143"/>
      <c r="M447" s="143"/>
      <c r="N447" s="143"/>
      <c r="O447" s="143"/>
      <c r="P447" s="143"/>
      <c r="Q447" s="143"/>
      <c r="R447" s="143"/>
      <c r="S447" s="143"/>
      <c r="T447" s="143"/>
      <c r="U447" s="143"/>
      <c r="W447" s="37" t="s">
        <v>12</v>
      </c>
      <c r="X447" s="86" t="s">
        <v>11</v>
      </c>
      <c r="BA447" s="2"/>
      <c r="BB447" s="2"/>
      <c r="BC447" s="101"/>
      <c r="BD447" s="101"/>
    </row>
    <row r="448" spans="1:56" s="84" customFormat="1" x14ac:dyDescent="0.35">
      <c r="F448" s="50"/>
      <c r="G448" s="84" t="s">
        <v>0</v>
      </c>
      <c r="W448" s="37" t="s">
        <v>13</v>
      </c>
      <c r="X448" s="86" t="s">
        <v>14</v>
      </c>
      <c r="BA448" s="2"/>
      <c r="BB448" s="2"/>
      <c r="BC448" s="101"/>
      <c r="BD448" s="101"/>
    </row>
    <row r="449" spans="2:56" s="84" customFormat="1" x14ac:dyDescent="0.35">
      <c r="F449" s="50"/>
      <c r="W449" s="37" t="s">
        <v>1</v>
      </c>
      <c r="X449" s="86" t="s">
        <v>15</v>
      </c>
      <c r="BA449" s="2"/>
      <c r="BB449" s="2"/>
      <c r="BC449" s="101"/>
      <c r="BD449" s="101"/>
    </row>
    <row r="450" spans="2:56" s="84" customFormat="1" x14ac:dyDescent="0.35">
      <c r="F450" s="50"/>
      <c r="W450" s="37" t="s">
        <v>2</v>
      </c>
      <c r="X450" s="86" t="s">
        <v>16</v>
      </c>
      <c r="BA450" s="2"/>
      <c r="BB450" s="2"/>
      <c r="BC450" s="101"/>
      <c r="BD450" s="101"/>
    </row>
    <row r="451" spans="2:56" s="84" customFormat="1" ht="15" customHeight="1" x14ac:dyDescent="0.35">
      <c r="B451" s="154" t="s">
        <v>35</v>
      </c>
      <c r="F451" s="50"/>
      <c r="G451" s="154" t="s">
        <v>36</v>
      </c>
      <c r="H451" s="154"/>
      <c r="I451" s="154"/>
      <c r="K451" s="154" t="s">
        <v>36</v>
      </c>
      <c r="L451" s="154"/>
      <c r="M451" s="154"/>
      <c r="W451" s="37" t="s">
        <v>3</v>
      </c>
      <c r="X451" s="86" t="s">
        <v>17</v>
      </c>
      <c r="BA451" s="2"/>
      <c r="BB451" s="2"/>
      <c r="BC451" s="101"/>
      <c r="BD451" s="101"/>
    </row>
    <row r="452" spans="2:56" s="84" customFormat="1" x14ac:dyDescent="0.35">
      <c r="B452" s="155"/>
      <c r="D452" s="37" t="s">
        <v>34</v>
      </c>
      <c r="F452" s="50"/>
      <c r="G452" s="154"/>
      <c r="H452" s="154"/>
      <c r="I452" s="154"/>
      <c r="K452" s="154"/>
      <c r="L452" s="154"/>
      <c r="M452" s="154"/>
      <c r="W452" s="38"/>
      <c r="BA452" s="2"/>
      <c r="BB452" s="2"/>
      <c r="BC452" s="101"/>
      <c r="BD452" s="101"/>
    </row>
    <row r="453" spans="2:56" s="84" customFormat="1" x14ac:dyDescent="0.35">
      <c r="B453" s="100">
        <f>B379+1</f>
        <v>16</v>
      </c>
      <c r="D453" s="100">
        <f>D379</f>
        <v>2021</v>
      </c>
      <c r="E453" s="87" t="s">
        <v>38</v>
      </c>
      <c r="F453" s="50"/>
      <c r="G453" s="156">
        <f>K379+1</f>
        <v>44395</v>
      </c>
      <c r="H453" s="157"/>
      <c r="I453" s="158"/>
      <c r="J453" s="37" t="s">
        <v>37</v>
      </c>
      <c r="K453" s="156">
        <f>IF(G453="","",G453+13)</f>
        <v>44408</v>
      </c>
      <c r="L453" s="157"/>
      <c r="M453" s="158"/>
      <c r="P453" s="159" t="s">
        <v>39</v>
      </c>
      <c r="Q453" s="160"/>
      <c r="R453" s="160"/>
      <c r="S453" s="160"/>
      <c r="T453" s="161"/>
      <c r="U453" s="24">
        <v>80</v>
      </c>
      <c r="BA453" s="2"/>
      <c r="BB453" s="2"/>
      <c r="BC453" s="101"/>
      <c r="BD453" s="101"/>
    </row>
    <row r="454" spans="2:56" s="84" customFormat="1" x14ac:dyDescent="0.35">
      <c r="F454" s="50"/>
      <c r="AM454" s="144" t="s">
        <v>4</v>
      </c>
      <c r="AN454" s="144"/>
      <c r="AO454" s="144"/>
      <c r="AP454" s="144"/>
      <c r="AQ454" s="144"/>
      <c r="AR454" s="144"/>
      <c r="AS454" s="144"/>
      <c r="AU454" s="100" t="s">
        <v>4</v>
      </c>
      <c r="BA454" s="2"/>
      <c r="BB454" s="2"/>
      <c r="BC454" s="101"/>
      <c r="BD454" s="101"/>
    </row>
    <row r="455" spans="2:56" s="84" customFormat="1" ht="15" customHeight="1" x14ac:dyDescent="0.35">
      <c r="B455" s="40"/>
      <c r="C455" s="41"/>
      <c r="D455" s="42" t="s">
        <v>32</v>
      </c>
      <c r="E455" s="43" t="s">
        <v>5</v>
      </c>
      <c r="F455" s="50"/>
      <c r="G455" s="162">
        <f>G453</f>
        <v>44395</v>
      </c>
      <c r="H455" s="163"/>
      <c r="I455" s="162">
        <f>IF(G455="","",G455+1)</f>
        <v>44396</v>
      </c>
      <c r="J455" s="163"/>
      <c r="K455" s="162">
        <f>IF(I455="","",I455+1)</f>
        <v>44397</v>
      </c>
      <c r="L455" s="163"/>
      <c r="M455" s="162">
        <f>IF(K455="","",K455+1)</f>
        <v>44398</v>
      </c>
      <c r="N455" s="163"/>
      <c r="O455" s="162">
        <f>IF(M455="","",M455+1)</f>
        <v>44399</v>
      </c>
      <c r="P455" s="163"/>
      <c r="Q455" s="162">
        <f>IF(O455="","",O455+1)</f>
        <v>44400</v>
      </c>
      <c r="R455" s="163"/>
      <c r="S455" s="162">
        <f>IF(Q455="","",Q455+1)</f>
        <v>44401</v>
      </c>
      <c r="T455" s="164"/>
      <c r="U455" s="44"/>
      <c r="W455" s="162">
        <f>IF(S455="","",S455+1)</f>
        <v>44402</v>
      </c>
      <c r="X455" s="163"/>
      <c r="Y455" s="162">
        <f>IF(W455="","",W455+1)</f>
        <v>44403</v>
      </c>
      <c r="Z455" s="163"/>
      <c r="AA455" s="162">
        <f>IF(Y455="","",Y455+1)</f>
        <v>44404</v>
      </c>
      <c r="AB455" s="163"/>
      <c r="AC455" s="162">
        <f>IF(AA455="","",AA455+1)</f>
        <v>44405</v>
      </c>
      <c r="AD455" s="163"/>
      <c r="AE455" s="162">
        <f>IF(AC455="","",AC455+1)</f>
        <v>44406</v>
      </c>
      <c r="AF455" s="163"/>
      <c r="AG455" s="162">
        <f>IF(AE455="","",AE455+1)</f>
        <v>44407</v>
      </c>
      <c r="AH455" s="163"/>
      <c r="AI455" s="162">
        <f>IF(AG455="","",AG455+1)</f>
        <v>44408</v>
      </c>
      <c r="AJ455" s="164"/>
      <c r="AK455" s="44"/>
      <c r="AM455" s="145" t="s">
        <v>18</v>
      </c>
      <c r="AN455" s="165" t="s">
        <v>55</v>
      </c>
      <c r="AO455" s="145" t="s">
        <v>19</v>
      </c>
      <c r="AP455" s="145" t="s">
        <v>20</v>
      </c>
      <c r="AQ455" s="145" t="s">
        <v>21</v>
      </c>
      <c r="AR455" s="166" t="s">
        <v>22</v>
      </c>
      <c r="AS455" s="167" t="s">
        <v>23</v>
      </c>
      <c r="AU455" s="144" t="s">
        <v>6</v>
      </c>
      <c r="AW455" s="145" t="s">
        <v>24</v>
      </c>
      <c r="BA455" s="2"/>
      <c r="BB455" s="2"/>
      <c r="BC455" s="101"/>
      <c r="BD455" s="101"/>
    </row>
    <row r="456" spans="2:56" s="84" customFormat="1" x14ac:dyDescent="0.35">
      <c r="B456" s="45" t="s">
        <v>33</v>
      </c>
      <c r="C456" s="46"/>
      <c r="D456" s="47"/>
      <c r="E456" s="47"/>
      <c r="F456" s="50"/>
      <c r="G456" s="146" t="s">
        <v>25</v>
      </c>
      <c r="H456" s="147"/>
      <c r="I456" s="146" t="s">
        <v>26</v>
      </c>
      <c r="J456" s="147"/>
      <c r="K456" s="146" t="s">
        <v>27</v>
      </c>
      <c r="L456" s="147"/>
      <c r="M456" s="146" t="s">
        <v>28</v>
      </c>
      <c r="N456" s="147"/>
      <c r="O456" s="146" t="s">
        <v>29</v>
      </c>
      <c r="P456" s="147"/>
      <c r="Q456" s="146" t="s">
        <v>30</v>
      </c>
      <c r="R456" s="147"/>
      <c r="S456" s="146" t="s">
        <v>31</v>
      </c>
      <c r="T456" s="148"/>
      <c r="U456" s="48" t="s">
        <v>7</v>
      </c>
      <c r="W456" s="146" t="s">
        <v>25</v>
      </c>
      <c r="X456" s="147"/>
      <c r="Y456" s="146" t="s">
        <v>26</v>
      </c>
      <c r="Z456" s="147"/>
      <c r="AA456" s="146" t="s">
        <v>27</v>
      </c>
      <c r="AB456" s="147"/>
      <c r="AC456" s="146" t="s">
        <v>28</v>
      </c>
      <c r="AD456" s="147"/>
      <c r="AE456" s="146" t="s">
        <v>29</v>
      </c>
      <c r="AF456" s="147"/>
      <c r="AG456" s="146" t="s">
        <v>30</v>
      </c>
      <c r="AH456" s="147"/>
      <c r="AI456" s="146" t="s">
        <v>31</v>
      </c>
      <c r="AJ456" s="148"/>
      <c r="AK456" s="48" t="s">
        <v>7</v>
      </c>
      <c r="AM456" s="145"/>
      <c r="AN456" s="165"/>
      <c r="AO456" s="145"/>
      <c r="AP456" s="145"/>
      <c r="AQ456" s="145"/>
      <c r="AR456" s="166"/>
      <c r="AS456" s="167"/>
      <c r="AU456" s="144"/>
      <c r="AW456" s="145"/>
      <c r="BA456" s="2"/>
      <c r="BB456" s="2"/>
      <c r="BC456" s="101"/>
      <c r="BD456" s="101"/>
    </row>
    <row r="457" spans="2:56" s="84" customFormat="1" x14ac:dyDescent="0.35">
      <c r="B457" s="63"/>
      <c r="C457" s="25"/>
      <c r="D457" s="25"/>
      <c r="E457" s="25"/>
      <c r="F457" s="50"/>
      <c r="BA457" s="2"/>
      <c r="BB457" s="2"/>
      <c r="BC457" s="101"/>
      <c r="BD457" s="101"/>
    </row>
    <row r="458" spans="2:56" s="84" customFormat="1" x14ac:dyDescent="0.35">
      <c r="B458" s="26"/>
      <c r="C458" s="27"/>
      <c r="D458" s="28">
        <f>IF(D384="","",D384)</f>
        <v>31428</v>
      </c>
      <c r="E458" s="29" t="str">
        <f>IF(E384="","",E384)</f>
        <v/>
      </c>
      <c r="F458" s="50">
        <f>B453</f>
        <v>16</v>
      </c>
      <c r="G458" s="59"/>
      <c r="H458" s="64"/>
      <c r="I458" s="106"/>
      <c r="J458" s="105" t="s">
        <v>1</v>
      </c>
      <c r="K458" s="106"/>
      <c r="L458" s="105" t="s">
        <v>1</v>
      </c>
      <c r="M458" s="106"/>
      <c r="N458" s="105" t="s">
        <v>1</v>
      </c>
      <c r="O458" s="106"/>
      <c r="P458" s="105" t="s">
        <v>1</v>
      </c>
      <c r="Q458" s="106"/>
      <c r="R458" s="105" t="s">
        <v>1</v>
      </c>
      <c r="S458" s="59"/>
      <c r="T458" s="64"/>
      <c r="U458" s="44"/>
      <c r="W458" s="59"/>
      <c r="X458" s="64"/>
      <c r="Y458" s="106"/>
      <c r="Z458" s="105"/>
      <c r="AA458" s="106"/>
      <c r="AB458" s="105"/>
      <c r="AC458" s="106"/>
      <c r="AD458" s="105"/>
      <c r="AE458" s="106"/>
      <c r="AF458" s="105"/>
      <c r="AG458" s="106"/>
      <c r="AH458" s="105"/>
      <c r="AI458" s="59"/>
      <c r="AJ458" s="64"/>
      <c r="AK458" s="44"/>
      <c r="AM458" s="49"/>
      <c r="AN458" s="49"/>
      <c r="AO458" s="49"/>
      <c r="AP458" s="49"/>
      <c r="AQ458" s="49"/>
      <c r="AR458" s="40"/>
      <c r="AS458" s="51"/>
      <c r="AU458" s="49"/>
      <c r="AW458" s="52"/>
      <c r="BA458" s="2"/>
      <c r="BB458" s="2"/>
      <c r="BC458" s="101"/>
      <c r="BD458" s="101"/>
    </row>
    <row r="459" spans="2:56" s="84" customFormat="1" x14ac:dyDescent="0.35">
      <c r="B459" s="30" t="str">
        <f>IF(B385="","",B385)</f>
        <v>Gaulin, Francis</v>
      </c>
      <c r="C459" s="31"/>
      <c r="D459" s="32"/>
      <c r="E459" s="33">
        <f t="shared" ref="E459:E490" si="212">IF(E385="","",E385)</f>
        <v>93542</v>
      </c>
      <c r="F459" s="50">
        <f>B453</f>
        <v>16</v>
      </c>
      <c r="G459" s="95"/>
      <c r="H459" s="70"/>
      <c r="I459" s="104"/>
      <c r="J459" s="103">
        <v>0</v>
      </c>
      <c r="K459" s="104"/>
      <c r="L459" s="103">
        <v>0</v>
      </c>
      <c r="M459" s="104"/>
      <c r="N459" s="103">
        <v>0</v>
      </c>
      <c r="O459" s="104"/>
      <c r="P459" s="103">
        <v>0</v>
      </c>
      <c r="Q459" s="104"/>
      <c r="R459" s="103">
        <v>0</v>
      </c>
      <c r="S459" s="69"/>
      <c r="T459" s="70"/>
      <c r="U459" s="71">
        <f>SUM(G459:T459)</f>
        <v>0</v>
      </c>
      <c r="V459" s="72"/>
      <c r="W459" s="69"/>
      <c r="X459" s="70"/>
      <c r="Y459" s="104"/>
      <c r="Z459" s="103">
        <v>8</v>
      </c>
      <c r="AA459" s="104"/>
      <c r="AB459" s="103">
        <v>8</v>
      </c>
      <c r="AC459" s="104"/>
      <c r="AD459" s="103">
        <v>8</v>
      </c>
      <c r="AE459" s="104"/>
      <c r="AF459" s="103">
        <v>8</v>
      </c>
      <c r="AG459" s="104"/>
      <c r="AH459" s="103">
        <v>5.5</v>
      </c>
      <c r="AI459" s="69"/>
      <c r="AJ459" s="70"/>
      <c r="AK459" s="71">
        <f>SUM(W459:AJ459)</f>
        <v>37.5</v>
      </c>
      <c r="AL459" s="72"/>
      <c r="AM459" s="73">
        <f>SUMIF($G458:$T458,"",$G459:$T459)+SUMIF($W458:$AJ458,"",$W459:$AJ459)-AN459</f>
        <v>37.5</v>
      </c>
      <c r="AN459" s="88">
        <f>IF(SUMIF($G458:$T458,"",$G459:$T459)+SUMIF($G458:$T458,"F",$G459:$T459)+SUMIF($G458:$T458,"V",$G459:$T459)-40&lt;0,0,SUMIF($G458:$T458,"",$G459:$T459)+SUMIF($G458:$T458,"F",$G459:$T459)+SUMIF($G458:$T458,"V",$G459:$T459)-($U$9/2))+IF(SUMIF($W458:$AJ458,"",$W459:$AJ459)+SUMIF($W458:$AJ458,"F",$W459:$AJ459)+SUMIF($W458:$AJ458,"V",$W459:$AJ459)-40&lt;0,0,SUMIF($W458:$AJ458,"",$W459:$AJ459)+SUMIF($W458:$AJ458,"F",$W459:$AJ459)+SUMIF($W458:$AJ458,"V",$W459:$AJ459)-($U$9/2))</f>
        <v>0</v>
      </c>
      <c r="AO459" s="73">
        <f>SUMIF($G458:$T458,"M",$G459:$T459)+SUMIF($W458:$AJ458,"M",$W459:$AJ459)</f>
        <v>0</v>
      </c>
      <c r="AP459" s="73">
        <f>SUMIF($G458:$T458,"F",$G459:$T459)+SUMIF($W458:$AJ458,"F",$W459:$AJ459)</f>
        <v>0</v>
      </c>
      <c r="AQ459" s="73">
        <f>SUMIF($G458:$T458,"V",$G459:$T459)+SUMIF($W458:$AJ458,"V",$W459:$AJ459)</f>
        <v>0</v>
      </c>
      <c r="AR459" s="74">
        <f>SUMIF($G458:$T458,"O",$G459:$T459)+SUMIF($W458:$AJ458,"O",$W459:$AJ459)</f>
        <v>0</v>
      </c>
      <c r="AS459" s="75">
        <f>SUM(AM459:AR459)</f>
        <v>37.5</v>
      </c>
      <c r="AT459" s="72"/>
      <c r="AU459" s="73">
        <f>SUMIF($G458:$T458,"A",$G459:$T459)+SUMIF($W458:$AJ458,"A",$W459:$AJ459)</f>
        <v>0</v>
      </c>
      <c r="AV459" s="72"/>
      <c r="AW459" s="76">
        <f>IF(B459="",0,IF($U$9="",0,$U$9))</f>
        <v>80</v>
      </c>
      <c r="BA459" s="2"/>
      <c r="BB459" s="2"/>
      <c r="BC459" s="101"/>
      <c r="BD459" s="101"/>
    </row>
    <row r="460" spans="2:56" s="84" customFormat="1" x14ac:dyDescent="0.35">
      <c r="B460" s="26"/>
      <c r="C460" s="27"/>
      <c r="D460" s="28">
        <f>IF(D386="","",D386)</f>
        <v>24287</v>
      </c>
      <c r="E460" s="29" t="str">
        <f t="shared" si="212"/>
        <v/>
      </c>
      <c r="F460" s="50">
        <f>B453</f>
        <v>16</v>
      </c>
      <c r="G460" s="59"/>
      <c r="H460" s="64"/>
      <c r="I460" s="106"/>
      <c r="J460" s="105"/>
      <c r="K460" s="106"/>
      <c r="L460" s="105"/>
      <c r="M460" s="106"/>
      <c r="N460" s="105"/>
      <c r="O460" s="106"/>
      <c r="P460" s="105"/>
      <c r="Q460" s="106"/>
      <c r="R460" s="105"/>
      <c r="S460" s="59"/>
      <c r="T460" s="64"/>
      <c r="U460" s="44"/>
      <c r="W460" s="59"/>
      <c r="X460" s="64"/>
      <c r="Y460" s="106"/>
      <c r="Z460" s="105"/>
      <c r="AA460" s="106"/>
      <c r="AB460" s="105"/>
      <c r="AC460" s="106"/>
      <c r="AD460" s="105"/>
      <c r="AE460" s="106"/>
      <c r="AF460" s="105"/>
      <c r="AG460" s="106"/>
      <c r="AH460" s="105"/>
      <c r="AI460" s="59"/>
      <c r="AJ460" s="64"/>
      <c r="AK460" s="44"/>
      <c r="AM460" s="49"/>
      <c r="AN460" s="49"/>
      <c r="AO460" s="49"/>
      <c r="AP460" s="49"/>
      <c r="AQ460" s="49"/>
      <c r="AR460" s="40"/>
      <c r="AS460" s="51"/>
      <c r="AU460" s="49"/>
      <c r="AW460" s="52"/>
      <c r="BA460" s="2"/>
      <c r="BB460" s="2"/>
      <c r="BC460" s="101"/>
      <c r="BD460" s="101"/>
    </row>
    <row r="461" spans="2:56" s="84" customFormat="1" x14ac:dyDescent="0.35">
      <c r="B461" s="30" t="str">
        <f>IF(B387="","",B387)</f>
        <v>Barrata, Dominic(Avance $500.00)</v>
      </c>
      <c r="C461" s="31"/>
      <c r="D461" s="32"/>
      <c r="E461" s="33">
        <f t="shared" si="212"/>
        <v>93595935</v>
      </c>
      <c r="F461" s="50">
        <f>B453</f>
        <v>16</v>
      </c>
      <c r="G461" s="69"/>
      <c r="H461" s="70"/>
      <c r="I461" s="104"/>
      <c r="J461" s="103" t="s">
        <v>69</v>
      </c>
      <c r="K461" s="104"/>
      <c r="L461" s="103" t="s">
        <v>69</v>
      </c>
      <c r="M461" s="104"/>
      <c r="N461" s="103" t="s">
        <v>69</v>
      </c>
      <c r="O461" s="104"/>
      <c r="P461" s="103" t="s">
        <v>69</v>
      </c>
      <c r="Q461" s="104"/>
      <c r="R461" s="103" t="s">
        <v>69</v>
      </c>
      <c r="S461" s="69"/>
      <c r="T461" s="70"/>
      <c r="U461" s="71">
        <f t="shared" ref="U461" si="213">SUM(G461:T461)</f>
        <v>0</v>
      </c>
      <c r="V461" s="72"/>
      <c r="W461" s="69"/>
      <c r="X461" s="70"/>
      <c r="Y461" s="104"/>
      <c r="Z461" s="103" t="s">
        <v>69</v>
      </c>
      <c r="AA461" s="104"/>
      <c r="AB461" s="103" t="s">
        <v>69</v>
      </c>
      <c r="AC461" s="104"/>
      <c r="AD461" s="103" t="s">
        <v>69</v>
      </c>
      <c r="AE461" s="104"/>
      <c r="AF461" s="103" t="s">
        <v>69</v>
      </c>
      <c r="AG461" s="104"/>
      <c r="AH461" s="103" t="s">
        <v>69</v>
      </c>
      <c r="AI461" s="69"/>
      <c r="AJ461" s="70"/>
      <c r="AK461" s="71">
        <f>SUM(W461:AJ461)</f>
        <v>0</v>
      </c>
      <c r="AL461" s="72"/>
      <c r="AM461" s="73">
        <f>SUMIF($G460:$T460,"",$G461:$T461)+SUMIF($W460:$AJ460,"",$W461:$AJ461)-AN461</f>
        <v>0</v>
      </c>
      <c r="AN461" s="88">
        <f>IF(SUMIF($G460:$T460,"",$G461:$T461)+SUMIF($G460:$T460,"F",$G461:$T461)+SUMIF($G460:$T460,"V",$G461:$T461)-40&lt;0,0,SUMIF($G460:$T460,"",$G461:$T461)+SUMIF($G460:$T460,"F",$G461:$T461)+SUMIF($G460:$T460,"V",$G461:$T461)-($U$9/2))+IF(SUMIF($W460:$AJ460,"",$W461:$AJ461)+SUMIF($W460:$AJ460,"F",$W461:$AJ461)+SUMIF($W460:$AJ460,"V",$W461:$AJ461)-40&lt;0,0,SUMIF($W460:$AJ460,"",$W461:$AJ461)+SUMIF($W460:$AJ460,"F",$W461:$AJ461)+SUMIF($W460:$AJ460,"V",$W461:$AJ461)-($U$9/2))</f>
        <v>0</v>
      </c>
      <c r="AO461" s="73">
        <f>SUMIF($G460:$T460,"M",$G461:$T461)+SUMIF($W460:$AJ460,"M",$W461:$AJ461)</f>
        <v>0</v>
      </c>
      <c r="AP461" s="73">
        <f>SUMIF($G460:$T460,"F",$G461:$T461)+SUMIF($W460:$AJ460,"F",$W461:$AJ461)</f>
        <v>0</v>
      </c>
      <c r="AQ461" s="73">
        <f>SUMIF($G460:$T460,"V",$G461:$T461)+SUMIF($W460:$AJ460,"V",$W461:$AJ461)</f>
        <v>0</v>
      </c>
      <c r="AR461" s="74">
        <f>SUMIF($G460:$T460,"O",$G461:$T461)+SUMIF($W460:$AJ460,"O",$W461:$AJ461)</f>
        <v>0</v>
      </c>
      <c r="AS461" s="75">
        <f>SUM(AM461:AR461)</f>
        <v>0</v>
      </c>
      <c r="AT461" s="72"/>
      <c r="AU461" s="73">
        <f>SUMIF($G460:$T460,"A",$G461:$T461)+SUMIF($W460:$AJ460,"A",$W461:$AJ461)</f>
        <v>0</v>
      </c>
      <c r="AV461" s="72"/>
      <c r="AW461" s="76">
        <f>IF(B461="",0,IF($U$9="",0,$U$9))</f>
        <v>80</v>
      </c>
      <c r="BA461" s="2"/>
      <c r="BB461" s="2"/>
      <c r="BC461" s="101"/>
      <c r="BD461" s="101"/>
    </row>
    <row r="462" spans="2:56" s="84" customFormat="1" x14ac:dyDescent="0.35">
      <c r="B462" s="26"/>
      <c r="C462" s="27"/>
      <c r="D462" s="28">
        <f>IF(D388="","",D388)</f>
        <v>92032</v>
      </c>
      <c r="E462" s="29" t="str">
        <f t="shared" si="212"/>
        <v/>
      </c>
      <c r="F462" s="50">
        <f>B453</f>
        <v>16</v>
      </c>
      <c r="G462" s="59"/>
      <c r="H462" s="64"/>
      <c r="I462" s="106"/>
      <c r="J462" s="105"/>
      <c r="K462" s="106"/>
      <c r="L462" s="105"/>
      <c r="M462" s="106"/>
      <c r="N462" s="105"/>
      <c r="O462" s="106"/>
      <c r="P462" s="105"/>
      <c r="Q462" s="106"/>
      <c r="R462" s="105"/>
      <c r="S462" s="59"/>
      <c r="T462" s="64"/>
      <c r="U462" s="44"/>
      <c r="W462" s="59"/>
      <c r="X462" s="64"/>
      <c r="Y462" s="106"/>
      <c r="Z462" s="105"/>
      <c r="AA462" s="106"/>
      <c r="AB462" s="105"/>
      <c r="AC462" s="106"/>
      <c r="AD462" s="105"/>
      <c r="AE462" s="106"/>
      <c r="AF462" s="105"/>
      <c r="AG462" s="106"/>
      <c r="AH462" s="105"/>
      <c r="AI462" s="59"/>
      <c r="AJ462" s="64"/>
      <c r="AK462" s="44"/>
      <c r="AM462" s="49"/>
      <c r="AN462" s="49"/>
      <c r="AO462" s="49"/>
      <c r="AP462" s="49"/>
      <c r="AQ462" s="49"/>
      <c r="AR462" s="40"/>
      <c r="AS462" s="51"/>
      <c r="AU462" s="49"/>
      <c r="AW462" s="52"/>
      <c r="BA462" s="2"/>
      <c r="BB462" s="2"/>
      <c r="BC462" s="101"/>
      <c r="BD462" s="101"/>
    </row>
    <row r="463" spans="2:56" s="84" customFormat="1" x14ac:dyDescent="0.35">
      <c r="B463" s="30" t="str">
        <f>IF(B389="","",B389)</f>
        <v>Benoit, Jean-Paul(Avance $1,600.00)</v>
      </c>
      <c r="C463" s="31"/>
      <c r="D463" s="32"/>
      <c r="E463" s="33">
        <f t="shared" si="212"/>
        <v>93595935</v>
      </c>
      <c r="F463" s="50">
        <f>B453</f>
        <v>16</v>
      </c>
      <c r="G463" s="69"/>
      <c r="H463" s="70"/>
      <c r="I463" s="104"/>
      <c r="J463" s="103" t="s">
        <v>69</v>
      </c>
      <c r="K463" s="104"/>
      <c r="L463" s="103" t="s">
        <v>69</v>
      </c>
      <c r="M463" s="104"/>
      <c r="N463" s="103" t="s">
        <v>69</v>
      </c>
      <c r="O463" s="104"/>
      <c r="P463" s="103" t="s">
        <v>69</v>
      </c>
      <c r="Q463" s="104"/>
      <c r="R463" s="103" t="s">
        <v>69</v>
      </c>
      <c r="S463" s="69"/>
      <c r="T463" s="70"/>
      <c r="U463" s="71">
        <f t="shared" ref="U463" si="214">SUM(G463:T463)</f>
        <v>0</v>
      </c>
      <c r="V463" s="72"/>
      <c r="W463" s="69"/>
      <c r="X463" s="70"/>
      <c r="Y463" s="104"/>
      <c r="Z463" s="103" t="s">
        <v>69</v>
      </c>
      <c r="AA463" s="104"/>
      <c r="AB463" s="103" t="s">
        <v>69</v>
      </c>
      <c r="AC463" s="104"/>
      <c r="AD463" s="103" t="s">
        <v>69</v>
      </c>
      <c r="AE463" s="104"/>
      <c r="AF463" s="103" t="s">
        <v>69</v>
      </c>
      <c r="AG463" s="104"/>
      <c r="AH463" s="103" t="s">
        <v>69</v>
      </c>
      <c r="AI463" s="69"/>
      <c r="AJ463" s="70"/>
      <c r="AK463" s="71">
        <f>SUM(W463:AJ463)</f>
        <v>0</v>
      </c>
      <c r="AL463" s="72"/>
      <c r="AM463" s="73">
        <f>SUMIF($G462:$T462,"",$G463:$T463)+SUMIF($W462:$AJ462,"",$W463:$AJ463)-AN463</f>
        <v>0</v>
      </c>
      <c r="AN463" s="88">
        <f>IF(SUMIF($G462:$T462,"",$G463:$T463)+SUMIF($G462:$T462,"F",$G463:$T463)+SUMIF($G462:$T462,"V",$G463:$T463)-40&lt;0,0,SUMIF($G462:$T462,"",$G463:$T463)+SUMIF($G462:$T462,"F",$G463:$T463)+SUMIF($G462:$T462,"V",$G463:$T463)-($U$9/2))+IF(SUMIF($W462:$AJ462,"",$W463:$AJ463)+SUMIF($W462:$AJ462,"F",$W463:$AJ463)+SUMIF($W462:$AJ462,"V",$W463:$AJ463)-40&lt;0,0,SUMIF($W462:$AJ462,"",$W463:$AJ463)+SUMIF($W462:$AJ462,"F",$W463:$AJ463)+SUMIF($W462:$AJ462,"V",$W463:$AJ463)-($U$9/2))</f>
        <v>0</v>
      </c>
      <c r="AO463" s="73">
        <f>SUMIF($G462:$T462,"M",$G463:$T463)+SUMIF($W462:$AJ462,"M",$W463:$AJ463)</f>
        <v>0</v>
      </c>
      <c r="AP463" s="73">
        <f>SUMIF($G462:$T462,"F",$G463:$T463)+SUMIF($W462:$AJ462,"F",$W463:$AJ463)</f>
        <v>0</v>
      </c>
      <c r="AQ463" s="73">
        <f>SUMIF($G462:$T462,"V",$G463:$T463)+SUMIF($W462:$AJ462,"V",$W463:$AJ463)</f>
        <v>0</v>
      </c>
      <c r="AR463" s="74">
        <f>SUMIF($G462:$T462,"O",$G463:$T463)+SUMIF($W462:$AJ462,"O",$W463:$AJ463)</f>
        <v>0</v>
      </c>
      <c r="AS463" s="75">
        <f>SUM(AM463:AR463)</f>
        <v>0</v>
      </c>
      <c r="AT463" s="72"/>
      <c r="AU463" s="73">
        <f>SUMIF($G462:$T462,"A",$G463:$T463)+SUMIF($W462:$AJ462,"A",$W463:$AJ463)</f>
        <v>0</v>
      </c>
      <c r="AV463" s="72"/>
      <c r="AW463" s="76">
        <f>IF(B463="",0,IF($U$9="",0,$U$9))</f>
        <v>80</v>
      </c>
      <c r="BA463" s="2"/>
      <c r="BB463" s="2"/>
      <c r="BC463" s="101"/>
      <c r="BD463" s="101"/>
    </row>
    <row r="464" spans="2:56" s="84" customFormat="1" x14ac:dyDescent="0.35">
      <c r="B464" s="26"/>
      <c r="C464" s="27"/>
      <c r="D464" s="28">
        <f>IF(D390="","",D390)</f>
        <v>81077</v>
      </c>
      <c r="E464" s="29" t="str">
        <f t="shared" si="212"/>
        <v/>
      </c>
      <c r="F464" s="50">
        <f>B453</f>
        <v>16</v>
      </c>
      <c r="G464" s="93"/>
      <c r="H464" s="94"/>
      <c r="I464" s="106"/>
      <c r="J464" s="105"/>
      <c r="K464" s="106"/>
      <c r="L464" s="105"/>
      <c r="M464" s="106"/>
      <c r="N464" s="105"/>
      <c r="O464" s="106"/>
      <c r="P464" s="105"/>
      <c r="Q464" s="106"/>
      <c r="R464" s="105"/>
      <c r="S464" s="59"/>
      <c r="T464" s="64"/>
      <c r="U464" s="44"/>
      <c r="W464" s="59"/>
      <c r="X464" s="64"/>
      <c r="Y464" s="106"/>
      <c r="Z464" s="105"/>
      <c r="AA464" s="106"/>
      <c r="AB464" s="105"/>
      <c r="AC464" s="106"/>
      <c r="AD464" s="105"/>
      <c r="AE464" s="106"/>
      <c r="AF464" s="105"/>
      <c r="AG464" s="106"/>
      <c r="AH464" s="105"/>
      <c r="AI464" s="59"/>
      <c r="AJ464" s="64"/>
      <c r="AK464" s="44"/>
      <c r="AM464" s="49"/>
      <c r="AN464" s="49"/>
      <c r="AO464" s="49"/>
      <c r="AP464" s="49"/>
      <c r="AQ464" s="49"/>
      <c r="AR464" s="40"/>
      <c r="AS464" s="51"/>
      <c r="AU464" s="49"/>
      <c r="AW464" s="52"/>
      <c r="BA464" s="2"/>
      <c r="BB464" s="2"/>
      <c r="BC464" s="101"/>
      <c r="BD464" s="101"/>
    </row>
    <row r="465" spans="2:56" s="84" customFormat="1" x14ac:dyDescent="0.35">
      <c r="B465" s="30" t="str">
        <f>IF(B391="","",B391)</f>
        <v>Bourassa, Julie</v>
      </c>
      <c r="C465" s="31"/>
      <c r="D465" s="32"/>
      <c r="E465" s="33">
        <f t="shared" si="212"/>
        <v>93540</v>
      </c>
      <c r="F465" s="50">
        <f>B453</f>
        <v>16</v>
      </c>
      <c r="G465" s="93"/>
      <c r="H465" s="94"/>
      <c r="I465" s="104"/>
      <c r="J465" s="103">
        <v>8</v>
      </c>
      <c r="K465" s="104"/>
      <c r="L465" s="103">
        <v>8</v>
      </c>
      <c r="M465" s="104"/>
      <c r="N465" s="103">
        <v>8</v>
      </c>
      <c r="O465" s="104"/>
      <c r="P465" s="103">
        <v>8</v>
      </c>
      <c r="Q465" s="104"/>
      <c r="R465" s="103">
        <v>7.5</v>
      </c>
      <c r="S465" s="69"/>
      <c r="T465" s="70"/>
      <c r="U465" s="71">
        <f t="shared" ref="U465" si="215">SUM(G465:T465)</f>
        <v>39.5</v>
      </c>
      <c r="V465" s="72"/>
      <c r="W465" s="69"/>
      <c r="X465" s="70"/>
      <c r="Y465" s="104"/>
      <c r="Z465" s="103">
        <v>8</v>
      </c>
      <c r="AA465" s="104"/>
      <c r="AB465" s="103">
        <v>8</v>
      </c>
      <c r="AC465" s="104"/>
      <c r="AD465" s="103">
        <v>8</v>
      </c>
      <c r="AE465" s="104"/>
      <c r="AF465" s="103">
        <v>8</v>
      </c>
      <c r="AG465" s="104"/>
      <c r="AH465" s="103">
        <v>7.5</v>
      </c>
      <c r="AI465" s="69"/>
      <c r="AJ465" s="70"/>
      <c r="AK465" s="71">
        <f>SUM(W465:AJ465)</f>
        <v>39.5</v>
      </c>
      <c r="AL465" s="72"/>
      <c r="AM465" s="73">
        <f>SUMIF($G464:$T464,"",$G465:$T465)+SUMIF($W464:$AJ464,"",$W465:$AJ465)-AN465</f>
        <v>79</v>
      </c>
      <c r="AN465" s="88">
        <f>IF(SUMIF($G464:$T464,"",$G465:$T465)+SUMIF($G464:$T464,"F",$G465:$T465)+SUMIF($G464:$T464,"V",$G465:$T465)-40&lt;0,0,SUMIF($G464:$T464,"",$G465:$T465)+SUMIF($G464:$T464,"F",$G465:$T465)+SUMIF($G464:$T464,"V",$G465:$T465)-($U$9/2))+IF(SUMIF($W464:$AJ464,"",$W465:$AJ465)+SUMIF($W464:$AJ464,"F",$W465:$AJ465)+SUMIF($W464:$AJ464,"V",$W465:$AJ465)-40&lt;0,0,SUMIF($W464:$AJ464,"",$W465:$AJ465)+SUMIF($W464:$AJ464,"F",$W465:$AJ465)+SUMIF($W464:$AJ464,"V",$W465:$AJ465)-($U$9/2))</f>
        <v>0</v>
      </c>
      <c r="AO465" s="73">
        <f>SUMIF($G464:$T464,"M",$G465:$T465)+SUMIF($W464:$AJ464,"M",$W465:$AJ465)</f>
        <v>0</v>
      </c>
      <c r="AP465" s="73">
        <f>SUMIF($G464:$T464,"F",$G465:$T465)+SUMIF($W464:$AJ464,"F",$W465:$AJ465)</f>
        <v>0</v>
      </c>
      <c r="AQ465" s="73">
        <f>SUMIF($G464:$T464,"V",$G465:$T465)+SUMIF($W464:$AJ464,"V",$W465:$AJ465)</f>
        <v>0</v>
      </c>
      <c r="AR465" s="74">
        <f>SUMIF($G464:$T464,"O",$G465:$T465)+SUMIF($W464:$AJ464,"O",$W465:$AJ465)</f>
        <v>0</v>
      </c>
      <c r="AS465" s="75">
        <f>SUM(AM465:AR465)</f>
        <v>79</v>
      </c>
      <c r="AT465" s="72"/>
      <c r="AU465" s="73">
        <f>SUMIF($G464:$T464,"A",$G465:$T465)+SUMIF($W464:$AJ464,"A",$W465:$AJ465)</f>
        <v>0</v>
      </c>
      <c r="AV465" s="72"/>
      <c r="AW465" s="76">
        <f>IF(B465="",0,IF($U$9="",0,$U$9))</f>
        <v>80</v>
      </c>
      <c r="BA465" s="2"/>
      <c r="BB465" s="2"/>
      <c r="BC465" s="101"/>
      <c r="BD465" s="101"/>
    </row>
    <row r="466" spans="2:56" s="84" customFormat="1" x14ac:dyDescent="0.35">
      <c r="B466" s="26"/>
      <c r="C466" s="27"/>
      <c r="D466" s="28">
        <f>IF(D392="","",D392)</f>
        <v>78475</v>
      </c>
      <c r="E466" s="29" t="str">
        <f t="shared" si="212"/>
        <v/>
      </c>
      <c r="F466" s="50">
        <f>B453</f>
        <v>16</v>
      </c>
      <c r="G466" s="59"/>
      <c r="H466" s="64"/>
      <c r="I466" s="106"/>
      <c r="J466" s="105" t="s">
        <v>1</v>
      </c>
      <c r="K466" s="106"/>
      <c r="L466" s="105" t="s">
        <v>1</v>
      </c>
      <c r="M466" s="106"/>
      <c r="N466" s="105" t="s">
        <v>1</v>
      </c>
      <c r="O466" s="106"/>
      <c r="P466" s="105" t="s">
        <v>1</v>
      </c>
      <c r="Q466" s="106"/>
      <c r="R466" s="105" t="s">
        <v>1</v>
      </c>
      <c r="S466" s="59"/>
      <c r="T466" s="64"/>
      <c r="U466" s="44"/>
      <c r="W466" s="59"/>
      <c r="X466" s="64"/>
      <c r="Y466" s="106"/>
      <c r="Z466" s="105" t="s">
        <v>1</v>
      </c>
      <c r="AA466" s="106"/>
      <c r="AB466" s="105" t="s">
        <v>1</v>
      </c>
      <c r="AC466" s="106"/>
      <c r="AD466" s="105" t="s">
        <v>1</v>
      </c>
      <c r="AE466" s="106"/>
      <c r="AF466" s="105" t="s">
        <v>1</v>
      </c>
      <c r="AG466" s="106"/>
      <c r="AH466" s="105" t="s">
        <v>1</v>
      </c>
      <c r="AI466" s="59"/>
      <c r="AJ466" s="64"/>
      <c r="AK466" s="44"/>
      <c r="AM466" s="49"/>
      <c r="AN466" s="49"/>
      <c r="AO466" s="49"/>
      <c r="AP466" s="49"/>
      <c r="AQ466" s="49"/>
      <c r="AR466" s="40"/>
      <c r="AS466" s="51"/>
      <c r="AU466" s="49"/>
      <c r="AW466" s="52"/>
      <c r="BA466" s="2"/>
      <c r="BB466" s="2"/>
      <c r="BC466" s="101"/>
      <c r="BD466" s="101"/>
    </row>
    <row r="467" spans="2:56" s="84" customFormat="1" x14ac:dyDescent="0.35">
      <c r="B467" s="30" t="str">
        <f>IF(B393="","",B393)</f>
        <v>Charbonneau, Samuel</v>
      </c>
      <c r="C467" s="31"/>
      <c r="D467" s="32"/>
      <c r="E467" s="33">
        <f t="shared" si="212"/>
        <v>93540</v>
      </c>
      <c r="F467" s="50">
        <f>B453</f>
        <v>16</v>
      </c>
      <c r="G467" s="69"/>
      <c r="H467" s="70"/>
      <c r="I467" s="104"/>
      <c r="J467" s="103">
        <v>8</v>
      </c>
      <c r="K467" s="104"/>
      <c r="L467" s="103">
        <v>8</v>
      </c>
      <c r="M467" s="104"/>
      <c r="N467" s="103">
        <v>8</v>
      </c>
      <c r="O467" s="104"/>
      <c r="P467" s="103">
        <v>8</v>
      </c>
      <c r="Q467" s="104"/>
      <c r="R467" s="103">
        <v>8</v>
      </c>
      <c r="S467" s="69"/>
      <c r="T467" s="70"/>
      <c r="U467" s="71">
        <f t="shared" ref="U467" si="216">SUM(G467:T467)</f>
        <v>40</v>
      </c>
      <c r="V467" s="72"/>
      <c r="W467" s="69"/>
      <c r="X467" s="70"/>
      <c r="Y467" s="104"/>
      <c r="Z467" s="103">
        <v>8</v>
      </c>
      <c r="AA467" s="104"/>
      <c r="AB467" s="103">
        <v>8</v>
      </c>
      <c r="AC467" s="104"/>
      <c r="AD467" s="103">
        <v>8</v>
      </c>
      <c r="AE467" s="104"/>
      <c r="AF467" s="103">
        <v>8</v>
      </c>
      <c r="AG467" s="104"/>
      <c r="AH467" s="103">
        <v>8</v>
      </c>
      <c r="AI467" s="69"/>
      <c r="AJ467" s="70"/>
      <c r="AK467" s="71">
        <f>SUM(W467:AJ467)</f>
        <v>40</v>
      </c>
      <c r="AL467" s="72"/>
      <c r="AM467" s="73">
        <f>SUMIF($G466:$T466,"",$G467:$T467)+SUMIF($W466:$AJ466,"",$W467:$AJ467)-AN467</f>
        <v>0</v>
      </c>
      <c r="AN467" s="88">
        <f>IF(SUMIF($G466:$T466,"",$G467:$T467)+SUMIF($G466:$T466,"F",$G467:$T467)+SUMIF($G466:$T466,"V",$G467:$T467)-40&lt;0,0,SUMIF($G466:$T466,"",$G467:$T467)+SUMIF($G466:$T466,"F",$G467:$T467)+SUMIF($G466:$T466,"V",$G467:$T467)-($U$9/2))+IF(SUMIF($W466:$AJ466,"",$W467:$AJ467)+SUMIF($W466:$AJ466,"F",$W467:$AJ467)+SUMIF($W466:$AJ466,"V",$W467:$AJ467)-40&lt;0,0,SUMIF($W466:$AJ466,"",$W467:$AJ467)+SUMIF($W466:$AJ466,"F",$W467:$AJ467)+SUMIF($W466:$AJ466,"V",$W467:$AJ467)-($U$9/2))</f>
        <v>0</v>
      </c>
      <c r="AO467" s="73">
        <f>SUMIF($G466:$T466,"M",$G467:$T467)+SUMIF($W466:$AJ466,"M",$W467:$AJ467)</f>
        <v>0</v>
      </c>
      <c r="AP467" s="73">
        <f>SUMIF($G466:$T466,"F",$G467:$T467)+SUMIF($W466:$AJ466,"F",$W467:$AJ467)</f>
        <v>0</v>
      </c>
      <c r="AQ467" s="73">
        <f>SUMIF($G466:$T466,"V",$G467:$T467)+SUMIF($W466:$AJ466,"V",$W467:$AJ467)</f>
        <v>80</v>
      </c>
      <c r="AR467" s="74">
        <f>SUMIF($G466:$T466,"O",$G467:$T467)+SUMIF($W466:$AJ466,"O",$W467:$AJ467)</f>
        <v>0</v>
      </c>
      <c r="AS467" s="75">
        <f>SUM(AM467:AR467)</f>
        <v>80</v>
      </c>
      <c r="AT467" s="72"/>
      <c r="AU467" s="73">
        <f>SUMIF($G466:$T466,"A",$G467:$T467)+SUMIF($W466:$AJ466,"A",$W467:$AJ467)</f>
        <v>0</v>
      </c>
      <c r="AV467" s="72"/>
      <c r="AW467" s="76">
        <f>IF(B467="",0,IF($U$9="",0,$U$9))</f>
        <v>80</v>
      </c>
      <c r="BA467" s="2"/>
      <c r="BB467" s="2"/>
      <c r="BC467" s="101"/>
      <c r="BD467" s="101"/>
    </row>
    <row r="468" spans="2:56" s="84" customFormat="1" x14ac:dyDescent="0.35">
      <c r="B468" s="26"/>
      <c r="C468" s="27"/>
      <c r="D468" s="28">
        <f>IF(D394="","",D394)</f>
        <v>24238</v>
      </c>
      <c r="E468" s="29" t="str">
        <f t="shared" si="212"/>
        <v/>
      </c>
      <c r="F468" s="50">
        <f>B453</f>
        <v>16</v>
      </c>
      <c r="G468" s="59"/>
      <c r="H468" s="64"/>
      <c r="I468" s="106"/>
      <c r="J468" s="105" t="s">
        <v>1</v>
      </c>
      <c r="K468" s="106"/>
      <c r="L468" s="105" t="s">
        <v>1</v>
      </c>
      <c r="M468" s="106"/>
      <c r="N468" s="105" t="s">
        <v>1</v>
      </c>
      <c r="O468" s="106"/>
      <c r="P468" s="105" t="s">
        <v>1</v>
      </c>
      <c r="Q468" s="106"/>
      <c r="R468" s="105" t="s">
        <v>1</v>
      </c>
      <c r="S468" s="59"/>
      <c r="T468" s="64"/>
      <c r="U468" s="44"/>
      <c r="W468" s="59"/>
      <c r="X468" s="64"/>
      <c r="Y468" s="106"/>
      <c r="Z468" s="105" t="s">
        <v>1</v>
      </c>
      <c r="AA468" s="106"/>
      <c r="AB468" s="105" t="s">
        <v>1</v>
      </c>
      <c r="AC468" s="106"/>
      <c r="AD468" s="105" t="s">
        <v>1</v>
      </c>
      <c r="AE468" s="106"/>
      <c r="AF468" s="105" t="s">
        <v>1</v>
      </c>
      <c r="AG468" s="106"/>
      <c r="AH468" s="105" t="s">
        <v>1</v>
      </c>
      <c r="AI468" s="59"/>
      <c r="AJ468" s="64"/>
      <c r="AK468" s="44"/>
      <c r="AM468" s="49"/>
      <c r="AN468" s="49"/>
      <c r="AO468" s="49"/>
      <c r="AP468" s="49"/>
      <c r="AQ468" s="49"/>
      <c r="AR468" s="40"/>
      <c r="AS468" s="51"/>
      <c r="AU468" s="49"/>
      <c r="AW468" s="52"/>
      <c r="BA468" s="2"/>
      <c r="BB468" s="2"/>
      <c r="BC468" s="101"/>
      <c r="BD468" s="101"/>
    </row>
    <row r="469" spans="2:56" s="84" customFormat="1" x14ac:dyDescent="0.35">
      <c r="B469" s="30" t="str">
        <f>IF(B395="","",B395)</f>
        <v>Curtis, Jason</v>
      </c>
      <c r="C469" s="31"/>
      <c r="D469" s="32"/>
      <c r="E469" s="33">
        <f t="shared" si="212"/>
        <v>93595935</v>
      </c>
      <c r="F469" s="50">
        <f>B453</f>
        <v>16</v>
      </c>
      <c r="G469" s="69"/>
      <c r="H469" s="70"/>
      <c r="I469" s="104"/>
      <c r="J469" s="103">
        <v>8</v>
      </c>
      <c r="K469" s="104"/>
      <c r="L469" s="103">
        <v>8</v>
      </c>
      <c r="M469" s="104"/>
      <c r="N469" s="103">
        <v>8</v>
      </c>
      <c r="O469" s="104"/>
      <c r="P469" s="103">
        <v>8</v>
      </c>
      <c r="Q469" s="104"/>
      <c r="R469" s="103">
        <v>8</v>
      </c>
      <c r="S469" s="69"/>
      <c r="T469" s="70"/>
      <c r="U469" s="71">
        <f t="shared" ref="U469" si="217">SUM(G469:T469)</f>
        <v>40</v>
      </c>
      <c r="V469" s="72"/>
      <c r="W469" s="69"/>
      <c r="X469" s="70"/>
      <c r="Y469" s="104"/>
      <c r="Z469" s="103">
        <v>8</v>
      </c>
      <c r="AA469" s="104"/>
      <c r="AB469" s="103">
        <v>8</v>
      </c>
      <c r="AC469" s="104"/>
      <c r="AD469" s="103">
        <v>8</v>
      </c>
      <c r="AE469" s="104"/>
      <c r="AF469" s="103">
        <v>8</v>
      </c>
      <c r="AG469" s="104"/>
      <c r="AH469" s="103">
        <v>8</v>
      </c>
      <c r="AI469" s="69"/>
      <c r="AJ469" s="70"/>
      <c r="AK469" s="71">
        <f>SUM(W469:AJ469)</f>
        <v>40</v>
      </c>
      <c r="AL469" s="72"/>
      <c r="AM469" s="73">
        <f>SUMIF($G468:$T468,"",$G469:$T469)+SUMIF($W468:$AJ468,"",$W469:$AJ469)-AN469</f>
        <v>0</v>
      </c>
      <c r="AN469" s="88">
        <f>IF(SUMIF($G468:$T468,"",$G469:$T469)+SUMIF($G468:$T468,"F",$G469:$T469)+SUMIF($G468:$T468,"V",$G469:$T469)-40&lt;0,0,SUMIF($G468:$T468,"",$G469:$T469)+SUMIF($G468:$T468,"F",$G469:$T469)+SUMIF($G468:$T468,"V",$G469:$T469)-($U$9/2))+IF(SUMIF($W468:$AJ468,"",$W469:$AJ469)+SUMIF($W468:$AJ468,"F",$W469:$AJ469)+SUMIF($W468:$AJ468,"V",$W469:$AJ469)-40&lt;0,0,SUMIF($W468:$AJ468,"",$W469:$AJ469)+SUMIF($W468:$AJ468,"F",$W469:$AJ469)+SUMIF($W468:$AJ468,"V",$W469:$AJ469)-($U$9/2))</f>
        <v>0</v>
      </c>
      <c r="AO469" s="73">
        <f>SUMIF($G468:$T468,"M",$G469:$T469)+SUMIF($W468:$AJ468,"M",$W469:$AJ469)</f>
        <v>0</v>
      </c>
      <c r="AP469" s="73">
        <f>SUMIF($G468:$T468,"F",$G469:$T469)+SUMIF($W468:$AJ468,"F",$W469:$AJ469)</f>
        <v>0</v>
      </c>
      <c r="AQ469" s="73">
        <f>SUMIF($G468:$T468,"V",$G469:$T469)+SUMIF($W468:$AJ468,"V",$W469:$AJ469)</f>
        <v>80</v>
      </c>
      <c r="AR469" s="74">
        <f>SUMIF($G468:$T468,"O",$G469:$T469)+SUMIF($W468:$AJ468,"O",$W469:$AJ469)</f>
        <v>0</v>
      </c>
      <c r="AS469" s="75">
        <f>SUM(AM469:AR469)</f>
        <v>80</v>
      </c>
      <c r="AT469" s="72"/>
      <c r="AU469" s="73">
        <f>SUMIF($G468:$T468,"A",$G469:$T469)+SUMIF($W468:$AJ468,"A",$W469:$AJ469)</f>
        <v>0</v>
      </c>
      <c r="AV469" s="72"/>
      <c r="AW469" s="76">
        <f>IF(B469="",0,IF($U$9="",0,$U$9))</f>
        <v>80</v>
      </c>
      <c r="BA469" s="2"/>
      <c r="BB469" s="2"/>
      <c r="BC469" s="101"/>
      <c r="BD469" s="101"/>
    </row>
    <row r="470" spans="2:56" s="84" customFormat="1" x14ac:dyDescent="0.35">
      <c r="B470" s="26"/>
      <c r="C470" s="27"/>
      <c r="D470" s="28">
        <f>IF(D396="","",D396)</f>
        <v>79709</v>
      </c>
      <c r="E470" s="29" t="str">
        <f t="shared" si="212"/>
        <v/>
      </c>
      <c r="F470" s="50">
        <f>B453</f>
        <v>16</v>
      </c>
      <c r="G470" s="59"/>
      <c r="H470" s="64"/>
      <c r="I470" s="106"/>
      <c r="J470" s="105" t="s">
        <v>1</v>
      </c>
      <c r="K470" s="106"/>
      <c r="L470" s="105" t="s">
        <v>1</v>
      </c>
      <c r="M470" s="106"/>
      <c r="N470" s="105" t="s">
        <v>1</v>
      </c>
      <c r="O470" s="106"/>
      <c r="P470" s="105" t="s">
        <v>1</v>
      </c>
      <c r="Q470" s="106"/>
      <c r="R470" s="105" t="s">
        <v>1</v>
      </c>
      <c r="S470" s="59"/>
      <c r="T470" s="64"/>
      <c r="U470" s="44"/>
      <c r="W470" s="59"/>
      <c r="X470" s="64"/>
      <c r="Y470" s="106"/>
      <c r="Z470" s="105" t="s">
        <v>1</v>
      </c>
      <c r="AA470" s="106"/>
      <c r="AB470" s="105" t="s">
        <v>1</v>
      </c>
      <c r="AC470" s="106"/>
      <c r="AD470" s="105" t="s">
        <v>1</v>
      </c>
      <c r="AE470" s="106"/>
      <c r="AF470" s="105" t="s">
        <v>1</v>
      </c>
      <c r="AG470" s="106"/>
      <c r="AH470" s="105" t="s">
        <v>1</v>
      </c>
      <c r="AI470" s="59"/>
      <c r="AJ470" s="64"/>
      <c r="AK470" s="44"/>
      <c r="AM470" s="49"/>
      <c r="AN470" s="49"/>
      <c r="AO470" s="49"/>
      <c r="AP470" s="49"/>
      <c r="AQ470" s="49"/>
      <c r="AR470" s="40"/>
      <c r="AS470" s="51"/>
      <c r="AU470" s="49"/>
      <c r="AW470" s="52"/>
      <c r="BA470" s="2"/>
      <c r="BB470" s="2"/>
      <c r="BC470" s="101"/>
      <c r="BD470" s="101"/>
    </row>
    <row r="471" spans="2:56" s="84" customFormat="1" x14ac:dyDescent="0.35">
      <c r="B471" s="30" t="str">
        <f>IF(B397="","",B397)</f>
        <v>De Rose, Natale</v>
      </c>
      <c r="C471" s="31"/>
      <c r="D471" s="32"/>
      <c r="E471" s="33">
        <f t="shared" si="212"/>
        <v>93595935</v>
      </c>
      <c r="F471" s="50">
        <f>B453</f>
        <v>16</v>
      </c>
      <c r="G471" s="69"/>
      <c r="H471" s="70"/>
      <c r="I471" s="104"/>
      <c r="J471" s="103">
        <v>8</v>
      </c>
      <c r="K471" s="104"/>
      <c r="L471" s="103">
        <v>8</v>
      </c>
      <c r="M471" s="104"/>
      <c r="N471" s="103">
        <v>8</v>
      </c>
      <c r="O471" s="104"/>
      <c r="P471" s="103">
        <v>8</v>
      </c>
      <c r="Q471" s="104"/>
      <c r="R471" s="103">
        <v>8</v>
      </c>
      <c r="S471" s="69"/>
      <c r="T471" s="70"/>
      <c r="U471" s="71">
        <f t="shared" ref="U471" si="218">SUM(G471:T471)</f>
        <v>40</v>
      </c>
      <c r="V471" s="72"/>
      <c r="W471" s="69"/>
      <c r="X471" s="70"/>
      <c r="Y471" s="104"/>
      <c r="Z471" s="103">
        <v>8</v>
      </c>
      <c r="AA471" s="104"/>
      <c r="AB471" s="103">
        <v>8</v>
      </c>
      <c r="AC471" s="104"/>
      <c r="AD471" s="103">
        <v>8</v>
      </c>
      <c r="AE471" s="104"/>
      <c r="AF471" s="103">
        <v>8</v>
      </c>
      <c r="AG471" s="104"/>
      <c r="AH471" s="103">
        <v>8</v>
      </c>
      <c r="AI471" s="69"/>
      <c r="AJ471" s="70"/>
      <c r="AK471" s="71">
        <f>SUM(W471:AJ471)</f>
        <v>40</v>
      </c>
      <c r="AL471" s="72"/>
      <c r="AM471" s="73">
        <f>SUMIF($G470:$T470,"",$G471:$T471)+SUMIF($W470:$AJ470,"",$W471:$AJ471)-AN471</f>
        <v>0</v>
      </c>
      <c r="AN471" s="88">
        <f>IF(SUMIF($G470:$T470,"",$G471:$T471)+SUMIF($G470:$T470,"F",$G471:$T471)+SUMIF($G470:$T470,"V",$G471:$T471)-40&lt;0,0,SUMIF($G470:$T470,"",$G471:$T471)+SUMIF($G470:$T470,"F",$G471:$T471)+SUMIF($G470:$T470,"V",$G471:$T471)-($U$9/2))+IF(SUMIF($W470:$AJ470,"",$W471:$AJ471)+SUMIF($W470:$AJ470,"F",$W471:$AJ471)+SUMIF($W470:$AJ470,"V",$W471:$AJ471)-40&lt;0,0,SUMIF($W470:$AJ470,"",$W471:$AJ471)+SUMIF($W470:$AJ470,"F",$W471:$AJ471)+SUMIF($W470:$AJ470,"V",$W471:$AJ471)-($U$9/2))</f>
        <v>0</v>
      </c>
      <c r="AO471" s="73">
        <f>SUMIF($G470:$T470,"M",$G471:$T471)+SUMIF($W470:$AJ470,"M",$W471:$AJ471)</f>
        <v>0</v>
      </c>
      <c r="AP471" s="73">
        <f>SUMIF($G470:$T470,"F",$G471:$T471)+SUMIF($W470:$AJ470,"F",$W471:$AJ471)</f>
        <v>0</v>
      </c>
      <c r="AQ471" s="73">
        <f>SUMIF($G470:$T470,"V",$G471:$T471)+SUMIF($W470:$AJ470,"V",$W471:$AJ471)</f>
        <v>80</v>
      </c>
      <c r="AR471" s="74">
        <f>SUMIF($G470:$T470,"O",$G471:$T471)+SUMIF($W470:$AJ470,"O",$W471:$AJ471)</f>
        <v>0</v>
      </c>
      <c r="AS471" s="75">
        <f>SUM(AM471:AR471)</f>
        <v>80</v>
      </c>
      <c r="AT471" s="72"/>
      <c r="AU471" s="73">
        <f>SUMIF($G470:$T470,"A",$G471:$T471)+SUMIF($W470:$AJ470,"A",$W471:$AJ471)</f>
        <v>0</v>
      </c>
      <c r="AV471" s="72"/>
      <c r="AW471" s="76">
        <f>IF(B471="",0,IF($U$9="",0,$U$9))</f>
        <v>80</v>
      </c>
      <c r="BA471" s="2"/>
      <c r="BB471" s="2"/>
      <c r="BC471" s="101"/>
      <c r="BD471" s="101"/>
    </row>
    <row r="472" spans="2:56" s="84" customFormat="1" x14ac:dyDescent="0.35">
      <c r="B472" s="26"/>
      <c r="C472" s="27"/>
      <c r="D472" s="28">
        <f>IF(D398="","",D398)</f>
        <v>92027</v>
      </c>
      <c r="E472" s="29" t="str">
        <f t="shared" si="212"/>
        <v/>
      </c>
      <c r="F472" s="50">
        <f>B453</f>
        <v>16</v>
      </c>
      <c r="G472" s="59"/>
      <c r="H472" s="64"/>
      <c r="I472" s="106"/>
      <c r="J472" s="105" t="s">
        <v>1</v>
      </c>
      <c r="K472" s="106"/>
      <c r="L472" s="105" t="s">
        <v>1</v>
      </c>
      <c r="M472" s="106"/>
      <c r="N472" s="105" t="s">
        <v>1</v>
      </c>
      <c r="O472" s="106"/>
      <c r="P472" s="105" t="s">
        <v>1</v>
      </c>
      <c r="Q472" s="106"/>
      <c r="R472" s="105" t="s">
        <v>1</v>
      </c>
      <c r="S472" s="59"/>
      <c r="T472" s="64"/>
      <c r="U472" s="44"/>
      <c r="W472" s="59"/>
      <c r="X472" s="64"/>
      <c r="Y472" s="106"/>
      <c r="Z472" s="105" t="s">
        <v>1</v>
      </c>
      <c r="AA472" s="106"/>
      <c r="AB472" s="105" t="s">
        <v>1</v>
      </c>
      <c r="AC472" s="106"/>
      <c r="AD472" s="105" t="s">
        <v>1</v>
      </c>
      <c r="AE472" s="106"/>
      <c r="AF472" s="105" t="s">
        <v>1</v>
      </c>
      <c r="AG472" s="106"/>
      <c r="AH472" s="105" t="s">
        <v>1</v>
      </c>
      <c r="AI472" s="59"/>
      <c r="AJ472" s="64"/>
      <c r="AK472" s="44"/>
      <c r="AM472" s="49"/>
      <c r="AN472" s="49"/>
      <c r="AO472" s="49"/>
      <c r="AP472" s="49"/>
      <c r="AQ472" s="49"/>
      <c r="AR472" s="40"/>
      <c r="AS472" s="51"/>
      <c r="AU472" s="49"/>
      <c r="AW472" s="52"/>
      <c r="BA472" s="2"/>
      <c r="BB472" s="2"/>
      <c r="BC472" s="101"/>
      <c r="BD472" s="101"/>
    </row>
    <row r="473" spans="2:56" s="84" customFormat="1" x14ac:dyDescent="0.35">
      <c r="B473" s="30" t="str">
        <f>IF(B399="","",B399)</f>
        <v>Descoteaux, Gerald</v>
      </c>
      <c r="C473" s="31"/>
      <c r="D473" s="32"/>
      <c r="E473" s="33">
        <f t="shared" si="212"/>
        <v>93595935</v>
      </c>
      <c r="F473" s="50">
        <f>B453</f>
        <v>16</v>
      </c>
      <c r="G473" s="69"/>
      <c r="H473" s="70"/>
      <c r="I473" s="104"/>
      <c r="J473" s="103">
        <v>8</v>
      </c>
      <c r="K473" s="104"/>
      <c r="L473" s="103">
        <v>8</v>
      </c>
      <c r="M473" s="104"/>
      <c r="N473" s="103">
        <v>8</v>
      </c>
      <c r="O473" s="104"/>
      <c r="P473" s="103">
        <v>8</v>
      </c>
      <c r="Q473" s="104"/>
      <c r="R473" s="103">
        <v>8</v>
      </c>
      <c r="S473" s="69"/>
      <c r="T473" s="70"/>
      <c r="U473" s="71">
        <f t="shared" ref="U473" si="219">SUM(G473:T473)</f>
        <v>40</v>
      </c>
      <c r="V473" s="72"/>
      <c r="W473" s="69"/>
      <c r="X473" s="70"/>
      <c r="Y473" s="104"/>
      <c r="Z473" s="103">
        <v>8</v>
      </c>
      <c r="AA473" s="104"/>
      <c r="AB473" s="103">
        <v>8</v>
      </c>
      <c r="AC473" s="104"/>
      <c r="AD473" s="103">
        <v>8</v>
      </c>
      <c r="AE473" s="104"/>
      <c r="AF473" s="103">
        <v>8</v>
      </c>
      <c r="AG473" s="104"/>
      <c r="AH473" s="103">
        <v>8</v>
      </c>
      <c r="AI473" s="69"/>
      <c r="AJ473" s="70"/>
      <c r="AK473" s="71">
        <f>SUM(W473:AJ473)</f>
        <v>40</v>
      </c>
      <c r="AL473" s="72"/>
      <c r="AM473" s="73">
        <f>SUMIF($G472:$T472,"",$G473:$T473)+SUMIF($W472:$AJ472,"",$W473:$AJ473)-AN473</f>
        <v>0</v>
      </c>
      <c r="AN473" s="88">
        <f>IF(SUMIF($G472:$T472,"",$G473:$T473)+SUMIF($G472:$T472,"F",$G473:$T473)+SUMIF($G472:$T472,"V",$G473:$T473)-40&lt;0,0,SUMIF($G472:$T472,"",$G473:$T473)+SUMIF($G472:$T472,"F",$G473:$T473)+SUMIF($G472:$T472,"V",$G473:$T473)-($U$9/2))+IF(SUMIF($W472:$AJ472,"",$W473:$AJ473)+SUMIF($W472:$AJ472,"F",$W473:$AJ473)+SUMIF($W472:$AJ472,"V",$W473:$AJ473)-40&lt;0,0,SUMIF($W472:$AJ472,"",$W473:$AJ473)+SUMIF($W472:$AJ472,"F",$W473:$AJ473)+SUMIF($W472:$AJ472,"V",$W473:$AJ473)-($U$9/2))</f>
        <v>0</v>
      </c>
      <c r="AO473" s="73">
        <f>SUMIF($G472:$T472,"M",$G473:$T473)+SUMIF($W472:$AJ472,"M",$W473:$AJ473)</f>
        <v>0</v>
      </c>
      <c r="AP473" s="73">
        <f>SUMIF($G472:$T472,"F",$G473:$T473)+SUMIF($W472:$AJ472,"F",$W473:$AJ473)</f>
        <v>0</v>
      </c>
      <c r="AQ473" s="73">
        <f>SUMIF($G472:$T472,"V",$G473:$T473)+SUMIF($W472:$AJ472,"V",$W473:$AJ473)</f>
        <v>80</v>
      </c>
      <c r="AR473" s="74">
        <f>SUMIF($G472:$T472,"O",$G473:$T473)+SUMIF($W472:$AJ472,"O",$W473:$AJ473)</f>
        <v>0</v>
      </c>
      <c r="AS473" s="75">
        <f>SUM(AM473:AR473)</f>
        <v>80</v>
      </c>
      <c r="AT473" s="72"/>
      <c r="AU473" s="73">
        <f>SUMIF($G472:$T472,"A",$G473:$T473)+SUMIF($W472:$AJ472,"A",$W473:$AJ473)</f>
        <v>0</v>
      </c>
      <c r="AV473" s="72"/>
      <c r="AW473" s="76">
        <f>IF(B473="",0,IF($U$9="",0,$U$9))</f>
        <v>80</v>
      </c>
      <c r="BA473" s="2"/>
      <c r="BB473" s="2"/>
      <c r="BC473" s="101"/>
      <c r="BD473" s="101"/>
    </row>
    <row r="474" spans="2:56" s="84" customFormat="1" x14ac:dyDescent="0.35">
      <c r="B474" s="26"/>
      <c r="C474" s="27"/>
      <c r="D474" s="28">
        <f>IF(D400="","",D400)</f>
        <v>73795</v>
      </c>
      <c r="E474" s="29" t="str">
        <f t="shared" si="212"/>
        <v/>
      </c>
      <c r="F474" s="50">
        <f>B453</f>
        <v>16</v>
      </c>
      <c r="G474" s="59"/>
      <c r="H474" s="64"/>
      <c r="I474" s="106"/>
      <c r="J474" s="105" t="s">
        <v>1</v>
      </c>
      <c r="K474" s="106"/>
      <c r="L474" s="105" t="s">
        <v>1</v>
      </c>
      <c r="M474" s="106"/>
      <c r="N474" s="105" t="s">
        <v>1</v>
      </c>
      <c r="O474" s="106"/>
      <c r="P474" s="105" t="s">
        <v>1</v>
      </c>
      <c r="Q474" s="106"/>
      <c r="R474" s="105" t="s">
        <v>1</v>
      </c>
      <c r="S474" s="59"/>
      <c r="T474" s="64"/>
      <c r="U474" s="44"/>
      <c r="W474" s="59"/>
      <c r="X474" s="64"/>
      <c r="Y474" s="106"/>
      <c r="Z474" s="105" t="s">
        <v>1</v>
      </c>
      <c r="AA474" s="106"/>
      <c r="AB474" s="105" t="s">
        <v>1</v>
      </c>
      <c r="AC474" s="106"/>
      <c r="AD474" s="105" t="s">
        <v>1</v>
      </c>
      <c r="AE474" s="106"/>
      <c r="AF474" s="105" t="s">
        <v>1</v>
      </c>
      <c r="AG474" s="106"/>
      <c r="AH474" s="105" t="s">
        <v>1</v>
      </c>
      <c r="AI474" s="59"/>
      <c r="AJ474" s="64"/>
      <c r="AK474" s="44"/>
      <c r="AM474" s="49"/>
      <c r="AN474" s="49"/>
      <c r="AO474" s="49"/>
      <c r="AP474" s="49"/>
      <c r="AQ474" s="49"/>
      <c r="AR474" s="40"/>
      <c r="AS474" s="51"/>
      <c r="AU474" s="49"/>
      <c r="AW474" s="52"/>
      <c r="BA474" s="2"/>
      <c r="BB474" s="2"/>
      <c r="BC474" s="101"/>
      <c r="BD474" s="101"/>
    </row>
    <row r="475" spans="2:56" s="84" customFormat="1" x14ac:dyDescent="0.35">
      <c r="B475" s="30" t="str">
        <f>IF(B401="","",B401)</f>
        <v>Fortin, Veronique</v>
      </c>
      <c r="C475" s="31"/>
      <c r="D475" s="32"/>
      <c r="E475" s="33">
        <f t="shared" si="212"/>
        <v>93540</v>
      </c>
      <c r="F475" s="50">
        <f>B453</f>
        <v>16</v>
      </c>
      <c r="G475" s="69"/>
      <c r="H475" s="70"/>
      <c r="I475" s="104"/>
      <c r="J475" s="103">
        <v>8</v>
      </c>
      <c r="K475" s="104"/>
      <c r="L475" s="103">
        <v>8</v>
      </c>
      <c r="M475" s="104"/>
      <c r="N475" s="103">
        <v>8</v>
      </c>
      <c r="O475" s="104"/>
      <c r="P475" s="103">
        <v>8</v>
      </c>
      <c r="Q475" s="104"/>
      <c r="R475" s="103">
        <v>8</v>
      </c>
      <c r="S475" s="69"/>
      <c r="T475" s="70"/>
      <c r="U475" s="71">
        <f t="shared" ref="U475" si="220">SUM(G475:T475)</f>
        <v>40</v>
      </c>
      <c r="V475" s="72"/>
      <c r="W475" s="69"/>
      <c r="X475" s="70"/>
      <c r="Y475" s="104"/>
      <c r="Z475" s="103">
        <v>8</v>
      </c>
      <c r="AA475" s="104"/>
      <c r="AB475" s="103">
        <v>8</v>
      </c>
      <c r="AC475" s="104"/>
      <c r="AD475" s="103">
        <v>8</v>
      </c>
      <c r="AE475" s="104"/>
      <c r="AF475" s="103">
        <v>8</v>
      </c>
      <c r="AG475" s="104"/>
      <c r="AH475" s="103">
        <v>8</v>
      </c>
      <c r="AI475" s="69"/>
      <c r="AJ475" s="70"/>
      <c r="AK475" s="71">
        <f>SUM(W475:AJ475)</f>
        <v>40</v>
      </c>
      <c r="AL475" s="72"/>
      <c r="AM475" s="73">
        <f>SUMIF($G474:$T474,"",$G475:$T475)+SUMIF($W474:$AJ474,"",$W475:$AJ475)-AN475</f>
        <v>0</v>
      </c>
      <c r="AN475" s="88">
        <f>IF(SUMIF($G474:$T474,"",$G475:$T475)+SUMIF($G474:$T474,"F",$G475:$T475)+SUMIF($G474:$T474,"V",$G475:$T475)-40&lt;0,0,SUMIF($G474:$T474,"",$G475:$T475)+SUMIF($G474:$T474,"F",$G475:$T475)+SUMIF($G474:$T474,"V",$G475:$T475)-($U$9/2))+IF(SUMIF($W474:$AJ474,"",$W475:$AJ475)+SUMIF($W474:$AJ474,"F",$W475:$AJ475)+SUMIF($W474:$AJ474,"V",$W475:$AJ475)-40&lt;0,0,SUMIF($W474:$AJ474,"",$W475:$AJ475)+SUMIF($W474:$AJ474,"F",$W475:$AJ475)+SUMIF($W474:$AJ474,"V",$W475:$AJ475)-($U$9/2))</f>
        <v>0</v>
      </c>
      <c r="AO475" s="73">
        <f>SUMIF($G474:$T474,"M",$G475:$T475)+SUMIF($W474:$AJ474,"M",$W475:$AJ475)</f>
        <v>0</v>
      </c>
      <c r="AP475" s="73">
        <f>SUMIF($G474:$T474,"F",$G475:$T475)+SUMIF($W474:$AJ474,"F",$W475:$AJ475)</f>
        <v>0</v>
      </c>
      <c r="AQ475" s="73">
        <f>SUMIF($G474:$T474,"V",$G475:$T475)+SUMIF($W474:$AJ474,"V",$W475:$AJ475)</f>
        <v>80</v>
      </c>
      <c r="AR475" s="74">
        <f>SUMIF($G474:$T474,"O",$G475:$T475)+SUMIF($W474:$AJ474,"O",$W475:$AJ475)</f>
        <v>0</v>
      </c>
      <c r="AS475" s="75">
        <f>SUM(AM475:AR475)</f>
        <v>80</v>
      </c>
      <c r="AT475" s="72"/>
      <c r="AU475" s="73">
        <f>SUMIF($G474:$T474,"A",$G475:$T475)+SUMIF($W474:$AJ474,"A",$W475:$AJ475)</f>
        <v>0</v>
      </c>
      <c r="AV475" s="72"/>
      <c r="AW475" s="76">
        <f>IF(B475="",0,IF($U$9="",0,$U$9))</f>
        <v>80</v>
      </c>
      <c r="BA475" s="2"/>
      <c r="BB475" s="2"/>
      <c r="BC475" s="101"/>
      <c r="BD475" s="101"/>
    </row>
    <row r="476" spans="2:56" s="84" customFormat="1" x14ac:dyDescent="0.35">
      <c r="B476" s="26"/>
      <c r="C476" s="27"/>
      <c r="D476" s="28">
        <f>IF(D402="","",D402)</f>
        <v>23206</v>
      </c>
      <c r="E476" s="29" t="str">
        <f t="shared" si="212"/>
        <v/>
      </c>
      <c r="F476" s="50">
        <f>B453</f>
        <v>16</v>
      </c>
      <c r="G476" s="59"/>
      <c r="H476" s="64"/>
      <c r="I476" s="106"/>
      <c r="J476" s="105" t="s">
        <v>1</v>
      </c>
      <c r="K476" s="106"/>
      <c r="L476" s="105" t="s">
        <v>1</v>
      </c>
      <c r="M476" s="106"/>
      <c r="N476" s="105" t="s">
        <v>1</v>
      </c>
      <c r="O476" s="106"/>
      <c r="P476" s="105" t="s">
        <v>1</v>
      </c>
      <c r="Q476" s="106"/>
      <c r="R476" s="105" t="s">
        <v>1</v>
      </c>
      <c r="S476" s="59"/>
      <c r="T476" s="64"/>
      <c r="U476" s="44"/>
      <c r="W476" s="59"/>
      <c r="X476" s="64"/>
      <c r="Y476" s="106"/>
      <c r="Z476" s="105" t="s">
        <v>1</v>
      </c>
      <c r="AA476" s="106"/>
      <c r="AB476" s="105" t="s">
        <v>1</v>
      </c>
      <c r="AC476" s="106"/>
      <c r="AD476" s="105" t="s">
        <v>1</v>
      </c>
      <c r="AE476" s="106"/>
      <c r="AF476" s="105" t="s">
        <v>1</v>
      </c>
      <c r="AG476" s="106"/>
      <c r="AH476" s="105" t="s">
        <v>1</v>
      </c>
      <c r="AI476" s="59"/>
      <c r="AJ476" s="64"/>
      <c r="AK476" s="44"/>
      <c r="AM476" s="49"/>
      <c r="AN476" s="49"/>
      <c r="AO476" s="49"/>
      <c r="AP476" s="49"/>
      <c r="AQ476" s="49"/>
      <c r="AR476" s="40"/>
      <c r="AS476" s="51"/>
      <c r="AU476" s="49"/>
      <c r="AW476" s="52"/>
      <c r="BA476" s="2"/>
      <c r="BB476" s="2"/>
      <c r="BC476" s="101"/>
      <c r="BD476" s="101"/>
    </row>
    <row r="477" spans="2:56" s="84" customFormat="1" x14ac:dyDescent="0.35">
      <c r="B477" s="30" t="str">
        <f>IF(B403="","",B403)</f>
        <v>Gadbois, Dominic</v>
      </c>
      <c r="C477" s="31"/>
      <c r="D477" s="32"/>
      <c r="E477" s="33">
        <f t="shared" si="212"/>
        <v>93545</v>
      </c>
      <c r="F477" s="50">
        <f>B453</f>
        <v>16</v>
      </c>
      <c r="G477" s="69"/>
      <c r="H477" s="70"/>
      <c r="I477" s="104"/>
      <c r="J477" s="103">
        <v>8</v>
      </c>
      <c r="K477" s="104"/>
      <c r="L477" s="103">
        <v>8</v>
      </c>
      <c r="M477" s="104"/>
      <c r="N477" s="103">
        <v>8</v>
      </c>
      <c r="O477" s="104"/>
      <c r="P477" s="103">
        <v>8</v>
      </c>
      <c r="Q477" s="104"/>
      <c r="R477" s="103">
        <v>8</v>
      </c>
      <c r="S477" s="69"/>
      <c r="T477" s="70"/>
      <c r="U477" s="71">
        <f t="shared" ref="U477" si="221">SUM(G477:T477)</f>
        <v>40</v>
      </c>
      <c r="V477" s="72"/>
      <c r="W477" s="69"/>
      <c r="X477" s="70"/>
      <c r="Y477" s="104"/>
      <c r="Z477" s="103">
        <v>8</v>
      </c>
      <c r="AA477" s="104"/>
      <c r="AB477" s="103">
        <v>8</v>
      </c>
      <c r="AC477" s="104"/>
      <c r="AD477" s="103">
        <v>8</v>
      </c>
      <c r="AE477" s="104"/>
      <c r="AF477" s="103">
        <v>8</v>
      </c>
      <c r="AG477" s="104"/>
      <c r="AH477" s="103">
        <v>8</v>
      </c>
      <c r="AI477" s="69"/>
      <c r="AJ477" s="70"/>
      <c r="AK477" s="71">
        <f>SUM(W477:AJ477)</f>
        <v>40</v>
      </c>
      <c r="AL477" s="72"/>
      <c r="AM477" s="73">
        <f>SUMIF($G476:$T476,"",$G477:$T477)+SUMIF($W476:$AJ476,"",$W477:$AJ477)-AN477</f>
        <v>0</v>
      </c>
      <c r="AN477" s="88">
        <f>IF(SUMIF($G476:$T476,"",$G477:$T477)+SUMIF($G476:$T476,"F",$G477:$T477)+SUMIF($G476:$T476,"V",$G477:$T477)-40&lt;0,0,SUMIF($G476:$T476,"",$G477:$T477)+SUMIF($G476:$T476,"F",$G477:$T477)+SUMIF($G476:$T476,"V",$G477:$T477)-($U$9/2))+IF(SUMIF($W476:$AJ476,"",$W477:$AJ477)+SUMIF($W476:$AJ476,"F",$W477:$AJ477)+SUMIF($W476:$AJ476,"V",$W477:$AJ477)-40&lt;0,0,SUMIF($W476:$AJ476,"",$W477:$AJ477)+SUMIF($W476:$AJ476,"F",$W477:$AJ477)+SUMIF($W476:$AJ476,"V",$W477:$AJ477)-($U$9/2))</f>
        <v>0</v>
      </c>
      <c r="AO477" s="73">
        <f>SUMIF($G476:$T476,"M",$G477:$T477)+SUMIF($W476:$AJ476,"M",$W477:$AJ477)</f>
        <v>0</v>
      </c>
      <c r="AP477" s="73">
        <f>SUMIF($G476:$T476,"F",$G477:$T477)+SUMIF($W476:$AJ476,"F",$W477:$AJ477)</f>
        <v>0</v>
      </c>
      <c r="AQ477" s="73">
        <f>SUMIF($G476:$T476,"V",$G477:$T477)+SUMIF($W476:$AJ476,"V",$W477:$AJ477)</f>
        <v>80</v>
      </c>
      <c r="AR477" s="74">
        <f>SUMIF($G476:$T476,"O",$G477:$T477)+SUMIF($W476:$AJ476,"O",$W477:$AJ477)</f>
        <v>0</v>
      </c>
      <c r="AS477" s="75">
        <f>SUM(AM477:AR477)</f>
        <v>80</v>
      </c>
      <c r="AT477" s="72"/>
      <c r="AU477" s="73">
        <f>SUMIF($G476:$T476,"A",$G477:$T477)+SUMIF($W476:$AJ476,"A",$W477:$AJ477)</f>
        <v>0</v>
      </c>
      <c r="AV477" s="72"/>
      <c r="AW477" s="76">
        <f>IF(B477="",0,IF($U$9="",0,$U$9))</f>
        <v>80</v>
      </c>
      <c r="BA477" s="2"/>
      <c r="BB477" s="2"/>
      <c r="BC477" s="101"/>
      <c r="BD477" s="101"/>
    </row>
    <row r="478" spans="2:56" s="84" customFormat="1" x14ac:dyDescent="0.35">
      <c r="B478" s="26"/>
      <c r="C478" s="27"/>
      <c r="D478" s="28">
        <f>IF(D404="","",D404)</f>
        <v>33664</v>
      </c>
      <c r="E478" s="29" t="str">
        <f t="shared" si="212"/>
        <v/>
      </c>
      <c r="F478" s="50">
        <f>B453</f>
        <v>16</v>
      </c>
      <c r="G478" s="59"/>
      <c r="H478" s="64"/>
      <c r="I478" s="106"/>
      <c r="J478" s="105"/>
      <c r="K478" s="106"/>
      <c r="L478" s="105"/>
      <c r="M478" s="106"/>
      <c r="N478" s="105"/>
      <c r="O478" s="106"/>
      <c r="P478" s="105"/>
      <c r="Q478" s="106"/>
      <c r="R478" s="105"/>
      <c r="S478" s="59"/>
      <c r="T478" s="64"/>
      <c r="U478" s="44"/>
      <c r="W478" s="59"/>
      <c r="X478" s="64"/>
      <c r="Y478" s="106"/>
      <c r="Z478" s="105"/>
      <c r="AA478" s="106"/>
      <c r="AB478" s="105"/>
      <c r="AC478" s="106"/>
      <c r="AD478" s="105" t="s">
        <v>1</v>
      </c>
      <c r="AE478" s="106"/>
      <c r="AF478" s="105" t="s">
        <v>1</v>
      </c>
      <c r="AG478" s="106"/>
      <c r="AH478" s="105" t="s">
        <v>1</v>
      </c>
      <c r="AI478" s="59"/>
      <c r="AJ478" s="64"/>
      <c r="AK478" s="44"/>
      <c r="AM478" s="49"/>
      <c r="AN478" s="49"/>
      <c r="AO478" s="49"/>
      <c r="AP478" s="49"/>
      <c r="AQ478" s="49"/>
      <c r="AR478" s="40"/>
      <c r="AS478" s="51"/>
      <c r="AU478" s="49"/>
      <c r="AW478" s="52"/>
      <c r="BA478" s="2"/>
      <c r="BB478" s="2"/>
      <c r="BC478" s="101"/>
      <c r="BD478" s="101"/>
    </row>
    <row r="479" spans="2:56" s="84" customFormat="1" x14ac:dyDescent="0.35">
      <c r="B479" s="30" t="str">
        <f>IF(B405="","",B405)</f>
        <v>Knox Michaud, Jessy</v>
      </c>
      <c r="C479" s="31"/>
      <c r="D479" s="32"/>
      <c r="E479" s="33">
        <f t="shared" si="212"/>
        <v>93542</v>
      </c>
      <c r="F479" s="50">
        <f>B453</f>
        <v>16</v>
      </c>
      <c r="G479" s="69"/>
      <c r="H479" s="70"/>
      <c r="I479" s="104"/>
      <c r="J479" s="103">
        <v>8</v>
      </c>
      <c r="K479" s="104"/>
      <c r="L479" s="103">
        <v>8</v>
      </c>
      <c r="M479" s="104"/>
      <c r="N479" s="103">
        <v>8</v>
      </c>
      <c r="O479" s="104"/>
      <c r="P479" s="103">
        <v>8</v>
      </c>
      <c r="Q479" s="104"/>
      <c r="R479" s="103">
        <v>5.5</v>
      </c>
      <c r="S479" s="69"/>
      <c r="T479" s="70"/>
      <c r="U479" s="71">
        <f t="shared" ref="U479" si="222">SUM(G479:T479)</f>
        <v>37.5</v>
      </c>
      <c r="V479" s="72"/>
      <c r="W479" s="69"/>
      <c r="X479" s="70"/>
      <c r="Y479" s="104"/>
      <c r="Z479" s="103">
        <v>8</v>
      </c>
      <c r="AA479" s="104"/>
      <c r="AB479" s="103">
        <v>8</v>
      </c>
      <c r="AC479" s="104"/>
      <c r="AD479" s="103">
        <v>8</v>
      </c>
      <c r="AE479" s="104"/>
      <c r="AF479" s="103">
        <v>8</v>
      </c>
      <c r="AG479" s="104"/>
      <c r="AH479" s="103">
        <v>8</v>
      </c>
      <c r="AI479" s="69"/>
      <c r="AJ479" s="70"/>
      <c r="AK479" s="71">
        <f>SUM(W479:AJ479)</f>
        <v>40</v>
      </c>
      <c r="AL479" s="72"/>
      <c r="AM479" s="73">
        <f>SUMIF($G478:$T478,"",$G479:$T479)+SUMIF($W478:$AJ478,"",$W479:$AJ479)-AN479</f>
        <v>53.5</v>
      </c>
      <c r="AN479" s="88">
        <f>IF(SUMIF($G478:$T478,"",$G479:$T479)+SUMIF($G478:$T478,"F",$G479:$T479)+SUMIF($G478:$T478,"V",$G479:$T479)-40&lt;0,0,SUMIF($G478:$T478,"",$G479:$T479)+SUMIF($G478:$T478,"F",$G479:$T479)+SUMIF($G478:$T478,"V",$G479:$T479)-($U$9/2))+IF(SUMIF($W478:$AJ478,"",$W479:$AJ479)+SUMIF($W478:$AJ478,"F",$W479:$AJ479)+SUMIF($W478:$AJ478,"V",$W479:$AJ479)-40&lt;0,0,SUMIF($W478:$AJ478,"",$W479:$AJ479)+SUMIF($W478:$AJ478,"F",$W479:$AJ479)+SUMIF($W478:$AJ478,"V",$W479:$AJ479)-($U$9/2))</f>
        <v>0</v>
      </c>
      <c r="AO479" s="73">
        <f>SUMIF($G478:$T478,"M",$G479:$T479)+SUMIF($W478:$AJ478,"M",$W479:$AJ479)</f>
        <v>0</v>
      </c>
      <c r="AP479" s="73">
        <f>SUMIF($G478:$T478,"F",$G479:$T479)+SUMIF($W478:$AJ478,"F",$W479:$AJ479)</f>
        <v>0</v>
      </c>
      <c r="AQ479" s="73">
        <f>SUMIF($G478:$T478,"V",$G479:$T479)+SUMIF($W478:$AJ478,"V",$W479:$AJ479)</f>
        <v>24</v>
      </c>
      <c r="AR479" s="74">
        <f>SUMIF($G478:$T478,"O",$G479:$T479)+SUMIF($W478:$AJ478,"O",$W479:$AJ479)</f>
        <v>0</v>
      </c>
      <c r="AS479" s="75">
        <f>SUM(AM479:AR479)</f>
        <v>77.5</v>
      </c>
      <c r="AT479" s="72"/>
      <c r="AU479" s="73">
        <f>SUMIF($G478:$T478,"A",$G479:$T479)+SUMIF($W478:$AJ478,"A",$W479:$AJ479)</f>
        <v>0</v>
      </c>
      <c r="AV479" s="72"/>
      <c r="AW479" s="76">
        <f>IF(B479="",0,IF($U$9="",0,$U$9))</f>
        <v>80</v>
      </c>
      <c r="BA479" s="2"/>
      <c r="BB479" s="2"/>
      <c r="BC479" s="101"/>
      <c r="BD479" s="101"/>
    </row>
    <row r="480" spans="2:56" s="84" customFormat="1" x14ac:dyDescent="0.35">
      <c r="B480" s="26"/>
      <c r="C480" s="27"/>
      <c r="D480" s="28">
        <f>IF(D406="","",D406)</f>
        <v>14206</v>
      </c>
      <c r="E480" s="29" t="str">
        <f t="shared" si="212"/>
        <v/>
      </c>
      <c r="F480" s="50">
        <f>B453</f>
        <v>16</v>
      </c>
      <c r="G480" s="59"/>
      <c r="H480" s="64"/>
      <c r="I480" s="106"/>
      <c r="J480" s="105" t="s">
        <v>1</v>
      </c>
      <c r="K480" s="106"/>
      <c r="L480" s="105" t="s">
        <v>1</v>
      </c>
      <c r="M480" s="106"/>
      <c r="N480" s="105" t="s">
        <v>1</v>
      </c>
      <c r="O480" s="106"/>
      <c r="P480" s="105" t="s">
        <v>1</v>
      </c>
      <c r="Q480" s="106"/>
      <c r="R480" s="105" t="s">
        <v>1</v>
      </c>
      <c r="S480" s="59"/>
      <c r="T480" s="64"/>
      <c r="U480" s="44"/>
      <c r="W480" s="59"/>
      <c r="X480" s="64"/>
      <c r="Y480" s="106"/>
      <c r="Z480" s="105" t="s">
        <v>1</v>
      </c>
      <c r="AA480" s="106"/>
      <c r="AB480" s="105" t="s">
        <v>1</v>
      </c>
      <c r="AC480" s="106"/>
      <c r="AD480" s="105" t="s">
        <v>1</v>
      </c>
      <c r="AE480" s="106"/>
      <c r="AF480" s="105" t="s">
        <v>1</v>
      </c>
      <c r="AG480" s="106"/>
      <c r="AH480" s="105" t="s">
        <v>1</v>
      </c>
      <c r="AI480" s="59"/>
      <c r="AJ480" s="64"/>
      <c r="AK480" s="44"/>
      <c r="AM480" s="49"/>
      <c r="AN480" s="49"/>
      <c r="AO480" s="49"/>
      <c r="AP480" s="49"/>
      <c r="AQ480" s="49"/>
      <c r="AR480" s="40"/>
      <c r="AS480" s="51"/>
      <c r="AU480" s="49"/>
      <c r="AW480" s="52"/>
      <c r="BA480" s="2"/>
      <c r="BB480" s="2"/>
      <c r="BC480" s="101"/>
      <c r="BD480" s="101"/>
    </row>
    <row r="481" spans="2:56" s="84" customFormat="1" x14ac:dyDescent="0.35">
      <c r="B481" s="30" t="str">
        <f>IF(B407="","",B407)</f>
        <v>Landry, Bernard</v>
      </c>
      <c r="C481" s="31"/>
      <c r="D481" s="32"/>
      <c r="E481" s="33">
        <f t="shared" si="212"/>
        <v>93545</v>
      </c>
      <c r="F481" s="50">
        <f>B453</f>
        <v>16</v>
      </c>
      <c r="G481" s="69"/>
      <c r="H481" s="70"/>
      <c r="I481" s="104"/>
      <c r="J481" s="103">
        <v>8</v>
      </c>
      <c r="K481" s="104"/>
      <c r="L481" s="103">
        <v>8</v>
      </c>
      <c r="M481" s="104"/>
      <c r="N481" s="103">
        <v>8</v>
      </c>
      <c r="O481" s="104"/>
      <c r="P481" s="103">
        <v>8</v>
      </c>
      <c r="Q481" s="104"/>
      <c r="R481" s="103">
        <v>8</v>
      </c>
      <c r="S481" s="69"/>
      <c r="T481" s="70"/>
      <c r="U481" s="71">
        <f t="shared" ref="U481" si="223">SUM(G481:T481)</f>
        <v>40</v>
      </c>
      <c r="V481" s="72"/>
      <c r="W481" s="69"/>
      <c r="X481" s="70"/>
      <c r="Y481" s="104"/>
      <c r="Z481" s="103">
        <v>8</v>
      </c>
      <c r="AA481" s="104"/>
      <c r="AB481" s="103">
        <v>8</v>
      </c>
      <c r="AC481" s="104"/>
      <c r="AD481" s="103">
        <v>8</v>
      </c>
      <c r="AE481" s="104"/>
      <c r="AF481" s="103">
        <v>8</v>
      </c>
      <c r="AG481" s="104"/>
      <c r="AH481" s="103">
        <v>8</v>
      </c>
      <c r="AI481" s="69"/>
      <c r="AJ481" s="70"/>
      <c r="AK481" s="71">
        <f>SUM(W481:AJ481)</f>
        <v>40</v>
      </c>
      <c r="AL481" s="72"/>
      <c r="AM481" s="73">
        <f>SUMIF($G480:$T480,"",$G481:$T481)+SUMIF($W480:$AJ480,"",$W481:$AJ481)-AN481</f>
        <v>0</v>
      </c>
      <c r="AN481" s="88">
        <f>IF(SUMIF($G480:$T480,"",$G481:$T481)+SUMIF($G480:$T480,"F",$G481:$T481)+SUMIF($G480:$T480,"V",$G481:$T481)-40&lt;0,0,SUMIF($G480:$T480,"",$G481:$T481)+SUMIF($G480:$T480,"F",$G481:$T481)+SUMIF($G480:$T480,"V",$G481:$T481)-($U$9/2))+IF(SUMIF($W480:$AJ480,"",$W481:$AJ481)+SUMIF($W480:$AJ480,"F",$W481:$AJ481)+SUMIF($W480:$AJ480,"V",$W481:$AJ481)-40&lt;0,0,SUMIF($W480:$AJ480,"",$W481:$AJ481)+SUMIF($W480:$AJ480,"F",$W481:$AJ481)+SUMIF($W480:$AJ480,"V",$W481:$AJ481)-($U$9/2))</f>
        <v>0</v>
      </c>
      <c r="AO481" s="73">
        <f>SUMIF($G480:$T480,"M",$G481:$T481)+SUMIF($W480:$AJ480,"M",$W481:$AJ481)</f>
        <v>0</v>
      </c>
      <c r="AP481" s="73">
        <f>SUMIF($G480:$T480,"F",$G481:$T481)+SUMIF($W480:$AJ480,"F",$W481:$AJ481)</f>
        <v>0</v>
      </c>
      <c r="AQ481" s="73">
        <f>SUMIF($G480:$T480,"V",$G481:$T481)+SUMIF($W480:$AJ480,"V",$W481:$AJ481)</f>
        <v>80</v>
      </c>
      <c r="AR481" s="74">
        <f>SUMIF($G480:$T480,"O",$G481:$T481)+SUMIF($W480:$AJ480,"O",$W481:$AJ481)</f>
        <v>0</v>
      </c>
      <c r="AS481" s="75">
        <f>SUM(AM481:AR481)</f>
        <v>80</v>
      </c>
      <c r="AT481" s="72"/>
      <c r="AU481" s="73">
        <f>SUMIF($G480:$T480,"A",$G481:$T481)+SUMIF($W480:$AJ480,"A",$W481:$AJ481)</f>
        <v>0</v>
      </c>
      <c r="AV481" s="72"/>
      <c r="AW481" s="76">
        <f>IF(B481="",0,IF($U$9="",0,$U$9))</f>
        <v>80</v>
      </c>
      <c r="BA481" s="2"/>
      <c r="BB481" s="2"/>
      <c r="BC481" s="101"/>
      <c r="BD481" s="101"/>
    </row>
    <row r="482" spans="2:56" s="84" customFormat="1" x14ac:dyDescent="0.35">
      <c r="B482" s="26"/>
      <c r="C482" s="27"/>
      <c r="D482" s="28">
        <f>IF(D408="","",D408)</f>
        <v>92257</v>
      </c>
      <c r="E482" s="29" t="str">
        <f t="shared" si="212"/>
        <v/>
      </c>
      <c r="F482" s="50">
        <f>B453</f>
        <v>16</v>
      </c>
      <c r="G482" s="59"/>
      <c r="H482" s="64"/>
      <c r="I482" s="106"/>
      <c r="J482" s="130" t="s">
        <v>1</v>
      </c>
      <c r="K482" s="106"/>
      <c r="L482" s="130" t="s">
        <v>1</v>
      </c>
      <c r="M482" s="106"/>
      <c r="N482" s="130" t="s">
        <v>1</v>
      </c>
      <c r="O482" s="106"/>
      <c r="P482" s="130" t="s">
        <v>1</v>
      </c>
      <c r="Q482" s="106"/>
      <c r="R482" s="105" t="s">
        <v>1</v>
      </c>
      <c r="S482" s="59"/>
      <c r="T482" s="64"/>
      <c r="U482" s="44"/>
      <c r="W482" s="59"/>
      <c r="X482" s="64"/>
      <c r="Y482" s="106"/>
      <c r="Z482" s="105" t="s">
        <v>1</v>
      </c>
      <c r="AA482" s="106"/>
      <c r="AB482" s="105" t="s">
        <v>1</v>
      </c>
      <c r="AC482" s="106"/>
      <c r="AD482" s="105" t="s">
        <v>1</v>
      </c>
      <c r="AE482" s="106"/>
      <c r="AF482" s="105" t="s">
        <v>1</v>
      </c>
      <c r="AG482" s="106"/>
      <c r="AH482" s="105" t="s">
        <v>1</v>
      </c>
      <c r="AI482" s="59"/>
      <c r="AJ482" s="64"/>
      <c r="AK482" s="44"/>
      <c r="AM482" s="49"/>
      <c r="AN482" s="49"/>
      <c r="AO482" s="49"/>
      <c r="AP482" s="49"/>
      <c r="AQ482" s="49"/>
      <c r="AR482" s="40"/>
      <c r="AS482" s="51"/>
      <c r="AU482" s="49"/>
      <c r="AW482" s="52"/>
      <c r="BA482" s="2"/>
      <c r="BB482" s="2"/>
      <c r="BC482" s="101"/>
      <c r="BD482" s="101"/>
    </row>
    <row r="483" spans="2:56" s="84" customFormat="1" x14ac:dyDescent="0.35">
      <c r="B483" s="30" t="str">
        <f>IF(B409="","",B409)</f>
        <v>Lelievre, Anik</v>
      </c>
      <c r="C483" s="31"/>
      <c r="D483" s="32"/>
      <c r="E483" s="33">
        <f t="shared" si="212"/>
        <v>93513</v>
      </c>
      <c r="F483" s="50">
        <f>B453</f>
        <v>16</v>
      </c>
      <c r="G483" s="69"/>
      <c r="H483" s="70"/>
      <c r="I483" s="104"/>
      <c r="J483" s="103">
        <v>8</v>
      </c>
      <c r="K483" s="104"/>
      <c r="L483" s="103">
        <v>8</v>
      </c>
      <c r="M483" s="104"/>
      <c r="N483" s="103">
        <v>8</v>
      </c>
      <c r="O483" s="104"/>
      <c r="P483" s="103">
        <v>8</v>
      </c>
      <c r="Q483" s="104"/>
      <c r="R483" s="103">
        <v>8</v>
      </c>
      <c r="S483" s="69"/>
      <c r="T483" s="70"/>
      <c r="U483" s="71">
        <f t="shared" ref="U483" si="224">SUM(G483:T483)</f>
        <v>40</v>
      </c>
      <c r="V483" s="72"/>
      <c r="W483" s="69"/>
      <c r="X483" s="70"/>
      <c r="Y483" s="104"/>
      <c r="Z483" s="103">
        <v>8</v>
      </c>
      <c r="AA483" s="104"/>
      <c r="AB483" s="103">
        <v>8</v>
      </c>
      <c r="AC483" s="104"/>
      <c r="AD483" s="103">
        <v>8</v>
      </c>
      <c r="AE483" s="104"/>
      <c r="AF483" s="103">
        <v>8</v>
      </c>
      <c r="AG483" s="104"/>
      <c r="AH483" s="103">
        <v>8</v>
      </c>
      <c r="AI483" s="69"/>
      <c r="AJ483" s="70"/>
      <c r="AK483" s="71">
        <f>SUM(W483:AJ483)</f>
        <v>40</v>
      </c>
      <c r="AL483" s="72"/>
      <c r="AM483" s="73">
        <f>SUMIF($G482:$T482,"",$G483:$T483)+SUMIF($W482:$AJ482,"",$W483:$AJ483)-AN483</f>
        <v>0</v>
      </c>
      <c r="AN483" s="88">
        <f>IF(SUMIF($G482:$T482,"",$G483:$T483)+SUMIF($G482:$T482,"F",$G483:$T483)+SUMIF($G482:$T482,"V",$G483:$T483)-40&lt;0,0,SUMIF($G482:$T482,"",$G483:$T483)+SUMIF($G482:$T482,"F",$G483:$T483)+SUMIF($G482:$T482,"V",$G483:$T483)-($U$9/2))+IF(SUMIF($W482:$AJ482,"",$W483:$AJ483)+SUMIF($W482:$AJ482,"F",$W483:$AJ483)+SUMIF($W482:$AJ482,"V",$W483:$AJ483)-40&lt;0,0,SUMIF($W482:$AJ482,"",$W483:$AJ483)+SUMIF($W482:$AJ482,"F",$W483:$AJ483)+SUMIF($W482:$AJ482,"V",$W483:$AJ483)-($U$9/2))</f>
        <v>0</v>
      </c>
      <c r="AO483" s="73">
        <f>SUMIF($G482:$T482,"M",$G483:$T483)+SUMIF($W482:$AJ482,"M",$W483:$AJ483)</f>
        <v>0</v>
      </c>
      <c r="AP483" s="73">
        <f>SUMIF($G482:$T482,"F",$G483:$T483)+SUMIF($W482:$AJ482,"F",$W483:$AJ483)</f>
        <v>0</v>
      </c>
      <c r="AQ483" s="73">
        <f>SUMIF($G482:$T482,"V",$G483:$T483)+SUMIF($W482:$AJ482,"V",$W483:$AJ483)</f>
        <v>80</v>
      </c>
      <c r="AR483" s="74">
        <f>SUMIF($G482:$T482,"O",$G483:$T483)+SUMIF($W482:$AJ482,"O",$W483:$AJ483)</f>
        <v>0</v>
      </c>
      <c r="AS483" s="75">
        <f>SUM(AM483:AR483)</f>
        <v>80</v>
      </c>
      <c r="AT483" s="72"/>
      <c r="AU483" s="73">
        <f>SUMIF($G482:$T482,"A",$G483:$T483)+SUMIF($W482:$AJ482,"A",$W483:$AJ483)</f>
        <v>0</v>
      </c>
      <c r="AV483" s="72"/>
      <c r="AW483" s="76">
        <f>IF(B483="",0,IF($U$9="",0,$U$9))</f>
        <v>80</v>
      </c>
      <c r="BA483" s="2"/>
      <c r="BB483" s="2"/>
      <c r="BC483" s="101"/>
      <c r="BD483" s="101"/>
    </row>
    <row r="484" spans="2:56" s="84" customFormat="1" x14ac:dyDescent="0.35">
      <c r="B484" s="26"/>
      <c r="C484" s="27"/>
      <c r="D484" s="28">
        <f>IF(D410="","",D410)</f>
        <v>81042</v>
      </c>
      <c r="E484" s="29" t="str">
        <f t="shared" si="212"/>
        <v/>
      </c>
      <c r="F484" s="50">
        <f>B453</f>
        <v>16</v>
      </c>
      <c r="G484" s="59"/>
      <c r="H484" s="64"/>
      <c r="I484" s="106"/>
      <c r="J484" s="105" t="s">
        <v>3</v>
      </c>
      <c r="K484" s="106"/>
      <c r="L484" s="105" t="s">
        <v>3</v>
      </c>
      <c r="M484" s="106"/>
      <c r="N484" s="105" t="s">
        <v>3</v>
      </c>
      <c r="O484" s="106"/>
      <c r="P484" s="105" t="s">
        <v>3</v>
      </c>
      <c r="Q484" s="106"/>
      <c r="R484" s="105" t="s">
        <v>3</v>
      </c>
      <c r="S484" s="59"/>
      <c r="T484" s="64"/>
      <c r="U484" s="44"/>
      <c r="W484" s="59"/>
      <c r="X484" s="64"/>
      <c r="Y484" s="106"/>
      <c r="Z484" s="105" t="s">
        <v>3</v>
      </c>
      <c r="AA484" s="106"/>
      <c r="AB484" s="105" t="s">
        <v>3</v>
      </c>
      <c r="AC484" s="106"/>
      <c r="AD484" s="105" t="s">
        <v>3</v>
      </c>
      <c r="AE484" s="106"/>
      <c r="AF484" s="105" t="s">
        <v>3</v>
      </c>
      <c r="AG484" s="106"/>
      <c r="AH484" s="105" t="s">
        <v>3</v>
      </c>
      <c r="AI484" s="59"/>
      <c r="AJ484" s="64"/>
      <c r="AK484" s="44"/>
      <c r="AM484" s="49"/>
      <c r="AN484" s="49"/>
      <c r="AO484" s="49"/>
      <c r="AP484" s="49"/>
      <c r="AQ484" s="49"/>
      <c r="AR484" s="40"/>
      <c r="AS484" s="51"/>
      <c r="AU484" s="49"/>
      <c r="AW484" s="52"/>
      <c r="BA484" s="2"/>
      <c r="BB484" s="2"/>
      <c r="BC484" s="101"/>
      <c r="BD484" s="101"/>
    </row>
    <row r="485" spans="2:56" s="84" customFormat="1" x14ac:dyDescent="0.35">
      <c r="B485" s="30" t="str">
        <f>IF(B411="","",B411)</f>
        <v>Letarte, Martin</v>
      </c>
      <c r="C485" s="31"/>
      <c r="D485" s="32"/>
      <c r="E485" s="33">
        <f t="shared" si="212"/>
        <v>93545</v>
      </c>
      <c r="F485" s="50">
        <f>B453</f>
        <v>16</v>
      </c>
      <c r="G485" s="69"/>
      <c r="H485" s="70"/>
      <c r="I485" s="104"/>
      <c r="J485" s="103">
        <v>0</v>
      </c>
      <c r="K485" s="104"/>
      <c r="L485" s="103">
        <v>0</v>
      </c>
      <c r="M485" s="104"/>
      <c r="N485" s="103">
        <v>0</v>
      </c>
      <c r="O485" s="104"/>
      <c r="P485" s="103">
        <v>0</v>
      </c>
      <c r="Q485" s="104"/>
      <c r="R485" s="103">
        <v>0</v>
      </c>
      <c r="S485" s="69"/>
      <c r="T485" s="70"/>
      <c r="U485" s="71">
        <f t="shared" ref="U485" si="225">SUM(G485:T485)</f>
        <v>0</v>
      </c>
      <c r="V485" s="72"/>
      <c r="W485" s="69"/>
      <c r="X485" s="70"/>
      <c r="Y485" s="104"/>
      <c r="Z485" s="103">
        <v>0</v>
      </c>
      <c r="AA485" s="104"/>
      <c r="AB485" s="103">
        <v>0</v>
      </c>
      <c r="AC485" s="104"/>
      <c r="AD485" s="103">
        <v>0</v>
      </c>
      <c r="AE485" s="104"/>
      <c r="AF485" s="103">
        <v>0</v>
      </c>
      <c r="AG485" s="104"/>
      <c r="AH485" s="103">
        <v>0</v>
      </c>
      <c r="AI485" s="69"/>
      <c r="AJ485" s="70"/>
      <c r="AK485" s="71">
        <f>SUM(W485:AJ485)</f>
        <v>0</v>
      </c>
      <c r="AL485" s="72"/>
      <c r="AM485" s="73">
        <f>SUMIF($G484:$T484,"",$G485:$T485)+SUMIF($W484:$AJ484,"",$W485:$AJ485)-AN485</f>
        <v>0</v>
      </c>
      <c r="AN485" s="88">
        <f>IF(SUMIF($G484:$T484,"",$G485:$T485)+SUMIF($G484:$T484,"F",$G485:$T485)+SUMIF($G484:$T484,"V",$G485:$T485)-40&lt;0,0,SUMIF($G484:$T484,"",$G485:$T485)+SUMIF($G484:$T484,"F",$G485:$T485)+SUMIF($G484:$T484,"V",$G485:$T485)-($U$9/2))+IF(SUMIF($W484:$AJ484,"",$W485:$AJ485)+SUMIF($W484:$AJ484,"F",$W485:$AJ485)+SUMIF($W484:$AJ484,"V",$W485:$AJ485)-40&lt;0,0,SUMIF($W484:$AJ484,"",$W485:$AJ485)+SUMIF($W484:$AJ484,"F",$W485:$AJ485)+SUMIF($W484:$AJ484,"V",$W485:$AJ485)-($U$9/2))</f>
        <v>0</v>
      </c>
      <c r="AO485" s="73">
        <f>SUMIF($G484:$T484,"M",$G485:$T485)+SUMIF($W484:$AJ484,"M",$W485:$AJ485)</f>
        <v>0</v>
      </c>
      <c r="AP485" s="73">
        <f>SUMIF($G484:$T484,"F",$G485:$T485)+SUMIF($W484:$AJ484,"F",$W485:$AJ485)</f>
        <v>0</v>
      </c>
      <c r="AQ485" s="73">
        <f>SUMIF($G484:$T484,"V",$G485:$T485)+SUMIF($W484:$AJ484,"V",$W485:$AJ485)</f>
        <v>0</v>
      </c>
      <c r="AR485" s="74">
        <f>SUMIF($G484:$T484,"O",$G485:$T485)+SUMIF($W484:$AJ484,"O",$W485:$AJ485)</f>
        <v>0</v>
      </c>
      <c r="AS485" s="75">
        <f>SUM(AM485:AR485)</f>
        <v>0</v>
      </c>
      <c r="AT485" s="72"/>
      <c r="AU485" s="73">
        <f>SUMIF($G484:$T484,"A",$G485:$T485)+SUMIF($W484:$AJ484,"A",$W485:$AJ485)</f>
        <v>0</v>
      </c>
      <c r="AV485" s="72"/>
      <c r="AW485" s="76">
        <f>IF(B485="",0,IF($U$9="",0,$U$9))</f>
        <v>80</v>
      </c>
      <c r="BA485" s="2"/>
      <c r="BB485" s="2"/>
      <c r="BC485" s="101"/>
      <c r="BD485" s="101"/>
    </row>
    <row r="486" spans="2:56" s="84" customFormat="1" x14ac:dyDescent="0.35">
      <c r="B486" s="26"/>
      <c r="C486" s="27"/>
      <c r="D486" s="28">
        <f>IF(D412="","",D412)</f>
        <v>23930</v>
      </c>
      <c r="E486" s="29" t="str">
        <f t="shared" si="212"/>
        <v/>
      </c>
      <c r="F486" s="50">
        <f>B453</f>
        <v>16</v>
      </c>
      <c r="G486" s="59"/>
      <c r="H486" s="64"/>
      <c r="I486" s="106"/>
      <c r="J486" s="105" t="s">
        <v>1</v>
      </c>
      <c r="K486" s="106"/>
      <c r="L486" s="105" t="s">
        <v>1</v>
      </c>
      <c r="M486" s="106"/>
      <c r="N486" s="105" t="s">
        <v>1</v>
      </c>
      <c r="O486" s="106"/>
      <c r="P486" s="105" t="s">
        <v>1</v>
      </c>
      <c r="Q486" s="106"/>
      <c r="R486" s="105" t="s">
        <v>1</v>
      </c>
      <c r="S486" s="59"/>
      <c r="T486" s="64"/>
      <c r="U486" s="44"/>
      <c r="W486" s="59"/>
      <c r="X486" s="64"/>
      <c r="Y486" s="106"/>
      <c r="Z486" s="105" t="s">
        <v>1</v>
      </c>
      <c r="AA486" s="106"/>
      <c r="AB486" s="105" t="s">
        <v>1</v>
      </c>
      <c r="AC486" s="106"/>
      <c r="AD486" s="105" t="s">
        <v>1</v>
      </c>
      <c r="AE486" s="106"/>
      <c r="AF486" s="105" t="s">
        <v>1</v>
      </c>
      <c r="AG486" s="106"/>
      <c r="AH486" s="105" t="s">
        <v>1</v>
      </c>
      <c r="AI486" s="59"/>
      <c r="AJ486" s="64"/>
      <c r="AK486" s="44"/>
      <c r="AM486" s="49"/>
      <c r="AN486" s="49"/>
      <c r="AO486" s="49"/>
      <c r="AP486" s="49"/>
      <c r="AQ486" s="49"/>
      <c r="AR486" s="40"/>
      <c r="AS486" s="51"/>
      <c r="AU486" s="49"/>
      <c r="AW486" s="52"/>
      <c r="BA486" s="2"/>
      <c r="BB486" s="2"/>
      <c r="BC486" s="101"/>
      <c r="BD486" s="101"/>
    </row>
    <row r="487" spans="2:56" s="84" customFormat="1" x14ac:dyDescent="0.35">
      <c r="B487" s="30" t="str">
        <f>IF(B413="","",B413)</f>
        <v>Martinez Parada, José Francisco</v>
      </c>
      <c r="C487" s="31"/>
      <c r="D487" s="32"/>
      <c r="E487" s="33">
        <f t="shared" si="212"/>
        <v>93545</v>
      </c>
      <c r="F487" s="50">
        <f>B453</f>
        <v>16</v>
      </c>
      <c r="G487" s="69"/>
      <c r="H487" s="70"/>
      <c r="I487" s="104"/>
      <c r="J487" s="103">
        <v>8</v>
      </c>
      <c r="K487" s="104"/>
      <c r="L487" s="103">
        <v>8</v>
      </c>
      <c r="M487" s="104"/>
      <c r="N487" s="103">
        <v>8</v>
      </c>
      <c r="O487" s="104"/>
      <c r="P487" s="103">
        <v>8</v>
      </c>
      <c r="Q487" s="104"/>
      <c r="R487" s="103">
        <v>8</v>
      </c>
      <c r="S487" s="69"/>
      <c r="T487" s="70"/>
      <c r="U487" s="71">
        <f t="shared" ref="U487" si="226">SUM(G487:T487)</f>
        <v>40</v>
      </c>
      <c r="V487" s="72"/>
      <c r="W487" s="69"/>
      <c r="X487" s="70"/>
      <c r="Y487" s="104"/>
      <c r="Z487" s="103">
        <v>8</v>
      </c>
      <c r="AA487" s="104"/>
      <c r="AB487" s="103">
        <v>8</v>
      </c>
      <c r="AC487" s="104"/>
      <c r="AD487" s="103">
        <v>8</v>
      </c>
      <c r="AE487" s="104"/>
      <c r="AF487" s="103">
        <v>8</v>
      </c>
      <c r="AG487" s="104"/>
      <c r="AH487" s="103">
        <v>8</v>
      </c>
      <c r="AI487" s="69"/>
      <c r="AJ487" s="70"/>
      <c r="AK487" s="71">
        <f>SUM(W487:AJ487)</f>
        <v>40</v>
      </c>
      <c r="AL487" s="72"/>
      <c r="AM487" s="73">
        <f>SUMIF($G486:$T486,"",$G487:$T487)+SUMIF($W486:$AJ486,"",$W487:$AJ487)-AN487</f>
        <v>0</v>
      </c>
      <c r="AN487" s="88">
        <f>IF(SUMIF($G486:$T486,"",$G487:$T487)+SUMIF($G486:$T486,"F",$G487:$T487)+SUMIF($G486:$T486,"V",$G487:$T487)-40&lt;0,0,SUMIF($G486:$T486,"",$G487:$T487)+SUMIF($G486:$T486,"F",$G487:$T487)+SUMIF($G486:$T486,"V",$G487:$T487)-($U$9/2))+IF(SUMIF($W486:$AJ486,"",$W487:$AJ487)+SUMIF($W486:$AJ486,"F",$W487:$AJ487)+SUMIF($W486:$AJ486,"V",$W487:$AJ487)-40&lt;0,0,SUMIF($W486:$AJ486,"",$W487:$AJ487)+SUMIF($W486:$AJ486,"F",$W487:$AJ487)+SUMIF($W486:$AJ486,"V",$W487:$AJ487)-($U$9/2))</f>
        <v>0</v>
      </c>
      <c r="AO487" s="73">
        <f>SUMIF($G486:$T486,"M",$G487:$T487)+SUMIF($W486:$AJ486,"M",$W487:$AJ487)</f>
        <v>0</v>
      </c>
      <c r="AP487" s="73">
        <f>SUMIF($G486:$T486,"F",$G487:$T487)+SUMIF($W486:$AJ486,"F",$W487:$AJ487)</f>
        <v>0</v>
      </c>
      <c r="AQ487" s="73">
        <f>SUMIF($G486:$T486,"V",$G487:$T487)+SUMIF($W486:$AJ486,"V",$W487:$AJ487)</f>
        <v>80</v>
      </c>
      <c r="AR487" s="74">
        <f>SUMIF($G486:$T486,"O",$G487:$T487)+SUMIF($W486:$AJ486,"O",$W487:$AJ487)</f>
        <v>0</v>
      </c>
      <c r="AS487" s="75">
        <f>SUM(AM487:AR487)</f>
        <v>80</v>
      </c>
      <c r="AT487" s="72"/>
      <c r="AU487" s="73">
        <f>SUMIF($G486:$T486,"A",$G487:$T487)+SUMIF($W486:$AJ486,"A",$W487:$AJ487)</f>
        <v>0</v>
      </c>
      <c r="AV487" s="72"/>
      <c r="AW487" s="76">
        <f>IF(B487="",0,IF($U$9="",0,$U$9))</f>
        <v>80</v>
      </c>
      <c r="BA487" s="2"/>
      <c r="BB487" s="2"/>
      <c r="BC487" s="101"/>
      <c r="BD487" s="101"/>
    </row>
    <row r="488" spans="2:56" s="84" customFormat="1" x14ac:dyDescent="0.35">
      <c r="B488" s="26"/>
      <c r="C488" s="27"/>
      <c r="D488" s="28">
        <f>IF(D414="","",D414)</f>
        <v>11792</v>
      </c>
      <c r="E488" s="29" t="str">
        <f t="shared" si="212"/>
        <v/>
      </c>
      <c r="F488" s="50">
        <f>B453</f>
        <v>16</v>
      </c>
      <c r="G488" s="59"/>
      <c r="H488" s="64"/>
      <c r="I488" s="106"/>
      <c r="J488" s="105" t="s">
        <v>1</v>
      </c>
      <c r="K488" s="106"/>
      <c r="L488" s="105" t="s">
        <v>1</v>
      </c>
      <c r="M488" s="106"/>
      <c r="N488" s="105" t="s">
        <v>1</v>
      </c>
      <c r="O488" s="106"/>
      <c r="P488" s="105" t="s">
        <v>1</v>
      </c>
      <c r="Q488" s="106"/>
      <c r="R488" s="105" t="s">
        <v>1</v>
      </c>
      <c r="S488" s="59"/>
      <c r="T488" s="64"/>
      <c r="U488" s="44"/>
      <c r="W488" s="59"/>
      <c r="X488" s="64"/>
      <c r="Y488" s="106"/>
      <c r="Z488" s="105" t="s">
        <v>1</v>
      </c>
      <c r="AA488" s="106"/>
      <c r="AB488" s="105" t="s">
        <v>1</v>
      </c>
      <c r="AC488" s="106"/>
      <c r="AD488" s="105" t="s">
        <v>1</v>
      </c>
      <c r="AE488" s="106"/>
      <c r="AF488" s="105" t="s">
        <v>1</v>
      </c>
      <c r="AG488" s="106"/>
      <c r="AH488" s="105" t="s">
        <v>1</v>
      </c>
      <c r="AI488" s="59"/>
      <c r="AJ488" s="64"/>
      <c r="AK488" s="44"/>
      <c r="AM488" s="49"/>
      <c r="AN488" s="49"/>
      <c r="AO488" s="49"/>
      <c r="AP488" s="49"/>
      <c r="AQ488" s="49"/>
      <c r="AR488" s="40"/>
      <c r="AS488" s="51"/>
      <c r="AU488" s="49"/>
      <c r="AW488" s="52"/>
      <c r="BA488" s="2"/>
      <c r="BB488" s="2"/>
      <c r="BC488" s="101"/>
      <c r="BD488" s="101"/>
    </row>
    <row r="489" spans="2:56" s="84" customFormat="1" x14ac:dyDescent="0.35">
      <c r="B489" s="30" t="str">
        <f>IF(B415="","",B415)</f>
        <v>Pellerin, Pierre</v>
      </c>
      <c r="C489" s="31"/>
      <c r="D489" s="32"/>
      <c r="E489" s="33">
        <f t="shared" si="212"/>
        <v>93595935</v>
      </c>
      <c r="F489" s="50">
        <f>B453</f>
        <v>16</v>
      </c>
      <c r="G489" s="69"/>
      <c r="H489" s="70"/>
      <c r="I489" s="104"/>
      <c r="J489" s="103">
        <v>8</v>
      </c>
      <c r="K489" s="104"/>
      <c r="L489" s="103">
        <v>8</v>
      </c>
      <c r="M489" s="104"/>
      <c r="N489" s="103">
        <v>8</v>
      </c>
      <c r="O489" s="104"/>
      <c r="P489" s="103">
        <v>8</v>
      </c>
      <c r="Q489" s="104"/>
      <c r="R489" s="103">
        <v>8</v>
      </c>
      <c r="S489" s="69"/>
      <c r="T489" s="70"/>
      <c r="U489" s="71">
        <f t="shared" ref="U489" si="227">SUM(G489:T489)</f>
        <v>40</v>
      </c>
      <c r="V489" s="72"/>
      <c r="W489" s="69"/>
      <c r="X489" s="70"/>
      <c r="Y489" s="104"/>
      <c r="Z489" s="103">
        <v>8</v>
      </c>
      <c r="AA489" s="104"/>
      <c r="AB489" s="103">
        <v>8</v>
      </c>
      <c r="AC489" s="104"/>
      <c r="AD489" s="103">
        <v>8</v>
      </c>
      <c r="AE489" s="104"/>
      <c r="AF489" s="103">
        <v>8</v>
      </c>
      <c r="AG489" s="104"/>
      <c r="AH489" s="103">
        <v>8</v>
      </c>
      <c r="AI489" s="69"/>
      <c r="AJ489" s="70"/>
      <c r="AK489" s="71">
        <f>SUM(Z489:AH489)</f>
        <v>40</v>
      </c>
      <c r="AL489" s="72"/>
      <c r="AM489" s="73">
        <f>SUMIF($G488:$T488,"",$G489:$T489)+SUMIF($W488:$AJ488,"",$W489:$AJ489)-AN489</f>
        <v>0</v>
      </c>
      <c r="AN489" s="88">
        <f>IF(SUMIF($G488:$T488,"",$G489:$T489)+SUMIF($G488:$T488,"F",$G489:$T489)+SUMIF($G488:$T488,"V",$G489:$T489)-40&lt;0,0,SUMIF($G488:$T488,"",$G489:$T489)+SUMIF($G488:$T488,"F",$G489:$T489)+SUMIF($G488:$T488,"V",$G489:$T489)-($U$9/2))+IF(SUMIF($W488:$AJ488,"",$W489:$AJ489)+SUMIF($W488:$AJ488,"F",$W489:$AJ489)+SUMIF($W488:$AJ488,"V",$W489:$AJ489)-40&lt;0,0,SUMIF($W488:$AJ488,"",$W489:$AJ489)+SUMIF($W488:$AJ488,"F",$W489:$AJ489)+SUMIF($W488:$AJ488,"V",$W489:$AJ489)-($U$9/2))</f>
        <v>0</v>
      </c>
      <c r="AO489" s="73">
        <f>SUMIF($G488:$T488,"M",$G489:$T489)+SUMIF($W488:$AJ488,"M",$W489:$AJ489)</f>
        <v>0</v>
      </c>
      <c r="AP489" s="73">
        <f>SUMIF($G488:$T488,"F",$G489:$T489)+SUMIF($W488:$AJ488,"F",$W489:$AJ489)</f>
        <v>0</v>
      </c>
      <c r="AQ489" s="73">
        <f>SUMIF($G488:$T488,"V",$G489:$T489)+SUMIF($W488:$AJ488,"V",$W489:$AJ489)</f>
        <v>80</v>
      </c>
      <c r="AR489" s="74">
        <f>SUMIF($G488:$T488,"O",$G489:$T489)+SUMIF($W488:$AJ488,"O",$W489:$AJ489)</f>
        <v>0</v>
      </c>
      <c r="AS489" s="75">
        <f>SUM(AM489:AR489)</f>
        <v>80</v>
      </c>
      <c r="AT489" s="72"/>
      <c r="AU489" s="73">
        <f>SUMIF($G488:$T488,"A",$G489:$T489)+SUMIF($W488:$AJ488,"A",$W489:$AJ489)</f>
        <v>0</v>
      </c>
      <c r="AV489" s="72"/>
      <c r="AW489" s="76">
        <f>IF(B489="",0,IF($U$9="",0,$U$9))</f>
        <v>80</v>
      </c>
      <c r="BA489" s="2"/>
      <c r="BB489" s="2"/>
      <c r="BC489" s="101"/>
      <c r="BD489" s="101"/>
    </row>
    <row r="490" spans="2:56" s="84" customFormat="1" x14ac:dyDescent="0.35">
      <c r="B490" s="26"/>
      <c r="C490" s="27"/>
      <c r="D490" s="28">
        <f>IF(D416="","",D416)</f>
        <v>81043</v>
      </c>
      <c r="E490" s="29" t="str">
        <f t="shared" si="212"/>
        <v/>
      </c>
      <c r="F490" s="50">
        <f>B453</f>
        <v>16</v>
      </c>
      <c r="G490" s="59"/>
      <c r="H490" s="64"/>
      <c r="I490" s="106"/>
      <c r="J490" s="105" t="s">
        <v>1</v>
      </c>
      <c r="K490" s="106"/>
      <c r="L490" s="105" t="s">
        <v>1</v>
      </c>
      <c r="M490" s="106"/>
      <c r="N490" s="105" t="s">
        <v>1</v>
      </c>
      <c r="O490" s="106"/>
      <c r="P490" s="105" t="s">
        <v>1</v>
      </c>
      <c r="Q490" s="106"/>
      <c r="R490" s="105" t="s">
        <v>1</v>
      </c>
      <c r="S490" s="59"/>
      <c r="T490" s="64"/>
      <c r="U490" s="44"/>
      <c r="W490" s="59"/>
      <c r="X490" s="64"/>
      <c r="Y490" s="106"/>
      <c r="Z490" s="105" t="s">
        <v>1</v>
      </c>
      <c r="AA490" s="106"/>
      <c r="AB490" s="105" t="s">
        <v>1</v>
      </c>
      <c r="AC490" s="106"/>
      <c r="AD490" s="105" t="s">
        <v>1</v>
      </c>
      <c r="AE490" s="106"/>
      <c r="AF490" s="105" t="s">
        <v>1</v>
      </c>
      <c r="AG490" s="106"/>
      <c r="AH490" s="105" t="s">
        <v>1</v>
      </c>
      <c r="AI490" s="59"/>
      <c r="AJ490" s="64"/>
      <c r="AK490" s="44"/>
      <c r="AM490" s="49"/>
      <c r="AN490" s="49"/>
      <c r="AO490" s="49"/>
      <c r="AP490" s="49"/>
      <c r="AQ490" s="49"/>
      <c r="AR490" s="40"/>
      <c r="AS490" s="51"/>
      <c r="AU490" s="49"/>
      <c r="AW490" s="52"/>
      <c r="BA490" s="2"/>
      <c r="BB490" s="2"/>
      <c r="BC490" s="101"/>
      <c r="BD490" s="101"/>
    </row>
    <row r="491" spans="2:56" s="84" customFormat="1" x14ac:dyDescent="0.35">
      <c r="B491" s="30" t="str">
        <f>IF(B417="","",B417)</f>
        <v>Rodrigue, Frank</v>
      </c>
      <c r="C491" s="31"/>
      <c r="D491" s="32"/>
      <c r="E491" s="33">
        <f t="shared" ref="E491:E507" si="228">IF(E417="","",E417)</f>
        <v>93545</v>
      </c>
      <c r="F491" s="50">
        <f>B453</f>
        <v>16</v>
      </c>
      <c r="G491" s="69"/>
      <c r="H491" s="70"/>
      <c r="I491" s="104"/>
      <c r="J491" s="103">
        <v>8</v>
      </c>
      <c r="K491" s="104"/>
      <c r="L491" s="103">
        <v>8</v>
      </c>
      <c r="M491" s="104"/>
      <c r="N491" s="103">
        <v>8</v>
      </c>
      <c r="O491" s="104"/>
      <c r="P491" s="103">
        <v>8</v>
      </c>
      <c r="Q491" s="104"/>
      <c r="R491" s="103">
        <v>8</v>
      </c>
      <c r="S491" s="69"/>
      <c r="T491" s="70"/>
      <c r="U491" s="71">
        <f t="shared" ref="U491" si="229">SUM(G491:T491)</f>
        <v>40</v>
      </c>
      <c r="V491" s="72"/>
      <c r="W491" s="69"/>
      <c r="X491" s="70"/>
      <c r="Y491" s="104"/>
      <c r="Z491" s="103">
        <v>8</v>
      </c>
      <c r="AA491" s="104"/>
      <c r="AB491" s="103">
        <v>8</v>
      </c>
      <c r="AC491" s="104"/>
      <c r="AD491" s="103">
        <v>8</v>
      </c>
      <c r="AE491" s="104"/>
      <c r="AF491" s="103">
        <v>8</v>
      </c>
      <c r="AG491" s="104"/>
      <c r="AH491" s="103">
        <v>8</v>
      </c>
      <c r="AI491" s="69"/>
      <c r="AJ491" s="70"/>
      <c r="AK491" s="71">
        <f>SUM(W491:AJ491)</f>
        <v>40</v>
      </c>
      <c r="AL491" s="72"/>
      <c r="AM491" s="73">
        <f>SUMIF($G490:$T490,"",$G491:$T491)+SUMIF($W490:$AJ490,"",$W491:$AJ491)-AN491</f>
        <v>0</v>
      </c>
      <c r="AN491" s="88">
        <f>IF(SUMIF($G490:$T490,"",$G491:$T491)+SUMIF($G490:$T490,"F",$G491:$T491)+SUMIF($G490:$T490,"V",$G491:$T491)-40&lt;0,0,SUMIF($G490:$T490,"",$G491:$T491)+SUMIF($G490:$T490,"F",$G491:$T491)+SUMIF($G490:$T490,"V",$G491:$T491)-($U$9/2))+IF(SUMIF($W490:$AJ490,"",$W491:$AJ491)+SUMIF($W490:$AJ490,"F",$W491:$AJ491)+SUMIF($W490:$AJ490,"V",$W491:$AJ491)-40&lt;0,0,SUMIF($W490:$AJ490,"",$W491:$AJ491)+SUMIF($W490:$AJ490,"F",$W491:$AJ491)+SUMIF($W490:$AJ490,"V",$W491:$AJ491)-($U$9/2))</f>
        <v>0</v>
      </c>
      <c r="AO491" s="73">
        <f>SUMIF($G490:$T490,"M",$G491:$T491)+SUMIF($W490:$AJ490,"M",$W491:$AJ491)</f>
        <v>0</v>
      </c>
      <c r="AP491" s="73">
        <f>SUMIF($G490:$T490,"F",$G491:$T491)+SUMIF($W490:$AJ490,"F",$W491:$AJ491)</f>
        <v>0</v>
      </c>
      <c r="AQ491" s="73">
        <f>SUMIF($G490:$T490,"V",$G491:$T491)+SUMIF($W490:$AJ490,"V",$W491:$AJ491)</f>
        <v>80</v>
      </c>
      <c r="AR491" s="74">
        <f>SUMIF($G490:$T490,"O",$G491:$T491)+SUMIF($W490:$AJ490,"O",$W491:$AJ491)</f>
        <v>0</v>
      </c>
      <c r="AS491" s="75">
        <f>SUM(AM491:AR491)</f>
        <v>80</v>
      </c>
      <c r="AT491" s="72"/>
      <c r="AU491" s="73">
        <f>SUMIF($G490:$T490,"A",$G491:$T491)+SUMIF($W490:$AJ490,"A",$W491:$AJ491)</f>
        <v>0</v>
      </c>
      <c r="AV491" s="72"/>
      <c r="AW491" s="76">
        <f>IF(B491="",0,IF($U$9="",0,$U$9))</f>
        <v>80</v>
      </c>
      <c r="BA491" s="2"/>
      <c r="BB491" s="2"/>
      <c r="BC491" s="101"/>
      <c r="BD491" s="101"/>
    </row>
    <row r="492" spans="2:56" s="84" customFormat="1" x14ac:dyDescent="0.35">
      <c r="B492" s="26"/>
      <c r="C492" s="27"/>
      <c r="D492" s="28">
        <f>IF(D418="","",D418)</f>
        <v>72673</v>
      </c>
      <c r="E492" s="29" t="str">
        <f t="shared" si="228"/>
        <v/>
      </c>
      <c r="F492" s="50">
        <f>B453</f>
        <v>16</v>
      </c>
      <c r="G492" s="59"/>
      <c r="H492" s="64"/>
      <c r="I492" s="106"/>
      <c r="J492" s="105"/>
      <c r="K492" s="106"/>
      <c r="L492" s="105"/>
      <c r="M492" s="106"/>
      <c r="N492" s="105"/>
      <c r="O492" s="106"/>
      <c r="P492" s="105"/>
      <c r="Q492" s="106"/>
      <c r="R492" s="105"/>
      <c r="S492" s="59"/>
      <c r="T492" s="64"/>
      <c r="U492" s="44"/>
      <c r="W492" s="59"/>
      <c r="X492" s="64"/>
      <c r="Y492" s="106"/>
      <c r="Z492" s="105"/>
      <c r="AA492" s="106"/>
      <c r="AB492" s="105"/>
      <c r="AC492" s="106"/>
      <c r="AD492" s="105"/>
      <c r="AE492" s="106"/>
      <c r="AF492" s="105"/>
      <c r="AG492" s="106"/>
      <c r="AH492" s="105"/>
      <c r="AI492" s="59"/>
      <c r="AJ492" s="64"/>
      <c r="AK492" s="44"/>
      <c r="AM492" s="49"/>
      <c r="AN492" s="49"/>
      <c r="AO492" s="49"/>
      <c r="AP492" s="49"/>
      <c r="AQ492" s="49"/>
      <c r="AR492" s="40"/>
      <c r="AS492" s="51"/>
      <c r="AU492" s="49"/>
      <c r="AW492" s="52"/>
      <c r="BA492" s="2"/>
      <c r="BB492" s="2"/>
      <c r="BC492" s="101"/>
      <c r="BD492" s="101"/>
    </row>
    <row r="493" spans="2:56" s="84" customFormat="1" x14ac:dyDescent="0.35">
      <c r="B493" s="30" t="str">
        <f>IF(B419="","",B419)</f>
        <v>St-Georges, Manuel (avance $2,000)</v>
      </c>
      <c r="C493" s="31"/>
      <c r="D493" s="32"/>
      <c r="E493" s="33">
        <f t="shared" si="228"/>
        <v>93595935</v>
      </c>
      <c r="F493" s="50">
        <f>B453</f>
        <v>16</v>
      </c>
      <c r="G493" s="69"/>
      <c r="H493" s="70"/>
      <c r="I493" s="104"/>
      <c r="J493" s="103" t="s">
        <v>69</v>
      </c>
      <c r="K493" s="104"/>
      <c r="L493" s="103" t="s">
        <v>69</v>
      </c>
      <c r="M493" s="104"/>
      <c r="N493" s="103" t="s">
        <v>69</v>
      </c>
      <c r="O493" s="104"/>
      <c r="P493" s="103" t="s">
        <v>69</v>
      </c>
      <c r="Q493" s="104"/>
      <c r="R493" s="103" t="s">
        <v>69</v>
      </c>
      <c r="S493" s="69"/>
      <c r="T493" s="70"/>
      <c r="U493" s="71">
        <f t="shared" ref="U493" si="230">SUM(G493:T493)</f>
        <v>0</v>
      </c>
      <c r="V493" s="72"/>
      <c r="W493" s="69"/>
      <c r="X493" s="70"/>
      <c r="Y493" s="104"/>
      <c r="Z493" s="103" t="s">
        <v>69</v>
      </c>
      <c r="AA493" s="104"/>
      <c r="AB493" s="103" t="s">
        <v>69</v>
      </c>
      <c r="AC493" s="104"/>
      <c r="AD493" s="103" t="s">
        <v>69</v>
      </c>
      <c r="AE493" s="104"/>
      <c r="AF493" s="103" t="s">
        <v>69</v>
      </c>
      <c r="AG493" s="104"/>
      <c r="AH493" s="103" t="s">
        <v>69</v>
      </c>
      <c r="AI493" s="69"/>
      <c r="AJ493" s="70"/>
      <c r="AK493" s="71">
        <f>SUM(W493:AJ493)</f>
        <v>0</v>
      </c>
      <c r="AL493" s="72"/>
      <c r="AM493" s="73">
        <f>SUMIF($G492:$T492,"",$G493:$T493)+SUMIF($W492:$AJ492,"",$W493:$AJ493)-AN493</f>
        <v>0</v>
      </c>
      <c r="AN493" s="88">
        <f>IF(SUMIF($G492:$T492,"",$G493:$T493)+SUMIF($G492:$T492,"F",$G493:$T493)+SUMIF($G492:$T492,"V",$G493:$T493)-40&lt;0,0,SUMIF($G492:$T492,"",$G493:$T493)+SUMIF($G492:$T492,"F",$G493:$T493)+SUMIF($G492:$T492,"V",$G493:$T493)-($U$9/2))+IF(SUMIF($W492:$AJ492,"",$W493:$AJ493)+SUMIF($W492:$AJ492,"F",$W493:$AJ493)+SUMIF($W492:$AJ492,"V",$W493:$AJ493)-40&lt;0,0,SUMIF($W492:$AJ492,"",$W493:$AJ493)+SUMIF($W492:$AJ492,"F",$W493:$AJ493)+SUMIF($W492:$AJ492,"V",$W493:$AJ493)-($U$9/2))</f>
        <v>0</v>
      </c>
      <c r="AO493" s="73">
        <f>SUMIF($G492:$T492,"M",$G493:$T493)+SUMIF($W492:$AJ492,"M",$W493:$AJ493)</f>
        <v>0</v>
      </c>
      <c r="AP493" s="73">
        <f>SUMIF($G492:$T492,"F",$G493:$T493)+SUMIF($W492:$AJ492,"F",$W493:$AJ493)</f>
        <v>0</v>
      </c>
      <c r="AQ493" s="73">
        <f>SUMIF($G492:$T492,"V",$G493:$T493)+SUMIF($W492:$AJ492,"V",$W493:$AJ493)</f>
        <v>0</v>
      </c>
      <c r="AR493" s="74">
        <f>SUMIF($G492:$T492,"O",$G493:$T493)+SUMIF($W492:$AJ492,"O",$W493:$AJ493)</f>
        <v>0</v>
      </c>
      <c r="AS493" s="75">
        <f>SUM(AM493:AR493)</f>
        <v>0</v>
      </c>
      <c r="AT493" s="72"/>
      <c r="AU493" s="73">
        <f>SUMIF($G492:$T492,"A",$G493:$T493)+SUMIF($W492:$AJ492,"A",$W493:$AJ493)</f>
        <v>0</v>
      </c>
      <c r="AV493" s="72"/>
      <c r="AW493" s="76">
        <f>IF(B493="",0,IF($U$9="",0,$U$9))</f>
        <v>80</v>
      </c>
      <c r="BA493" s="2"/>
      <c r="BB493" s="2"/>
      <c r="BC493" s="101"/>
      <c r="BD493" s="101"/>
    </row>
    <row r="494" spans="2:56" s="84" customFormat="1" x14ac:dyDescent="0.35">
      <c r="B494" s="26"/>
      <c r="C494" s="27"/>
      <c r="D494" s="28" t="str">
        <f>IF(D420="","",D420)</f>
        <v/>
      </c>
      <c r="E494" s="29" t="str">
        <f t="shared" si="228"/>
        <v/>
      </c>
      <c r="F494" s="50">
        <f>B453</f>
        <v>16</v>
      </c>
      <c r="G494" s="59"/>
      <c r="H494" s="64"/>
      <c r="I494" s="106"/>
      <c r="J494" s="105"/>
      <c r="K494" s="106"/>
      <c r="L494" s="105"/>
      <c r="M494" s="106"/>
      <c r="N494" s="105"/>
      <c r="O494" s="106"/>
      <c r="P494" s="105"/>
      <c r="Q494" s="106"/>
      <c r="R494" s="105"/>
      <c r="S494" s="59"/>
      <c r="T494" s="64"/>
      <c r="U494" s="44"/>
      <c r="W494" s="59"/>
      <c r="X494" s="64"/>
      <c r="Y494" s="106"/>
      <c r="Z494" s="105"/>
      <c r="AA494" s="106"/>
      <c r="AB494" s="105"/>
      <c r="AC494" s="106"/>
      <c r="AD494" s="105"/>
      <c r="AE494" s="106"/>
      <c r="AF494" s="105"/>
      <c r="AG494" s="106"/>
      <c r="AH494" s="105"/>
      <c r="AI494" s="59"/>
      <c r="AJ494" s="64"/>
      <c r="AK494" s="44"/>
      <c r="AM494" s="49"/>
      <c r="AN494" s="49"/>
      <c r="AO494" s="49"/>
      <c r="AP494" s="49"/>
      <c r="AQ494" s="49"/>
      <c r="AR494" s="40"/>
      <c r="AS494" s="51"/>
      <c r="AU494" s="49"/>
      <c r="AW494" s="52"/>
      <c r="BA494" s="2"/>
      <c r="BB494" s="2"/>
      <c r="BC494" s="101"/>
      <c r="BD494" s="101"/>
    </row>
    <row r="495" spans="2:56" s="84" customFormat="1" x14ac:dyDescent="0.35">
      <c r="B495" s="30" t="str">
        <f>IF(B421="","",B421)</f>
        <v/>
      </c>
      <c r="C495" s="31"/>
      <c r="D495" s="32"/>
      <c r="E495" s="33" t="str">
        <f t="shared" si="228"/>
        <v/>
      </c>
      <c r="F495" s="50">
        <f>B453</f>
        <v>16</v>
      </c>
      <c r="G495" s="69"/>
      <c r="H495" s="70"/>
      <c r="I495" s="104"/>
      <c r="J495" s="103"/>
      <c r="K495" s="104"/>
      <c r="L495" s="103"/>
      <c r="M495" s="104"/>
      <c r="N495" s="103"/>
      <c r="O495" s="104"/>
      <c r="P495" s="103"/>
      <c r="Q495" s="104"/>
      <c r="R495" s="103"/>
      <c r="S495" s="69"/>
      <c r="T495" s="70"/>
      <c r="U495" s="71">
        <f t="shared" ref="U495" si="231">SUM(G495:T495)</f>
        <v>0</v>
      </c>
      <c r="V495" s="72"/>
      <c r="W495" s="69"/>
      <c r="X495" s="70"/>
      <c r="Y495" s="104"/>
      <c r="Z495" s="103"/>
      <c r="AA495" s="104"/>
      <c r="AB495" s="103"/>
      <c r="AC495" s="104"/>
      <c r="AD495" s="103"/>
      <c r="AE495" s="104"/>
      <c r="AF495" s="103"/>
      <c r="AG495" s="104"/>
      <c r="AH495" s="103"/>
      <c r="AI495" s="69"/>
      <c r="AJ495" s="70"/>
      <c r="AK495" s="71">
        <f>SUM(W495:AJ495)</f>
        <v>0</v>
      </c>
      <c r="AL495" s="72"/>
      <c r="AM495" s="73">
        <f>SUMIF($G494:$T494,"",$G495:$T495)+SUMIF($W494:$AJ494,"",$W495:$AJ495)-AN495</f>
        <v>0</v>
      </c>
      <c r="AN495" s="88">
        <f>IF(SUMIF($G494:$T494,"",$G495:$T495)+SUMIF($G494:$T494,"F",$G495:$T495)+SUMIF($G494:$T494,"V",$G495:$T495)-40&lt;0,0,SUMIF($G494:$T494,"",$G495:$T495)+SUMIF($G494:$T494,"F",$G495:$T495)+SUMIF($G494:$T494,"V",$G495:$T495)-($U$9/2))+IF(SUMIF($W494:$AJ494,"",$W495:$AJ495)+SUMIF($W494:$AJ494,"F",$W495:$AJ495)+SUMIF($W494:$AJ494,"V",$W495:$AJ495)-40&lt;0,0,SUMIF($W494:$AJ494,"",$W495:$AJ495)+SUMIF($W494:$AJ494,"F",$W495:$AJ495)+SUMIF($W494:$AJ494,"V",$W495:$AJ495)-($U$9/2))</f>
        <v>0</v>
      </c>
      <c r="AO495" s="73">
        <f>SUMIF($G494:$T494,"M",$G495:$T495)+SUMIF($W494:$AJ494,"M",$W495:$AJ495)</f>
        <v>0</v>
      </c>
      <c r="AP495" s="73">
        <f>SUMIF($G494:$T494,"F",$G495:$T495)+SUMIF($W494:$AJ494,"F",$W495:$AJ495)</f>
        <v>0</v>
      </c>
      <c r="AQ495" s="73">
        <f>SUMIF($G494:$T494,"V",$G495:$T495)+SUMIF($W494:$AJ494,"V",$W495:$AJ495)</f>
        <v>0</v>
      </c>
      <c r="AR495" s="74">
        <f>SUMIF($G494:$T494,"O",$G495:$T495)+SUMIF($W494:$AJ494,"O",$W495:$AJ495)</f>
        <v>0</v>
      </c>
      <c r="AS495" s="75">
        <f>SUM(AM495:AR495)</f>
        <v>0</v>
      </c>
      <c r="AT495" s="72"/>
      <c r="AU495" s="73">
        <f>SUMIF($G494:$T494,"A",$G495:$T495)+SUMIF($W494:$AJ494,"A",$W495:$AJ495)</f>
        <v>0</v>
      </c>
      <c r="AV495" s="72"/>
      <c r="AW495" s="76">
        <f>IF(B495="",0,IF($U$9="",0,$U$9))</f>
        <v>0</v>
      </c>
      <c r="BA495" s="2"/>
      <c r="BB495" s="2"/>
      <c r="BC495" s="101"/>
      <c r="BD495" s="101"/>
    </row>
    <row r="496" spans="2:56" s="84" customFormat="1" x14ac:dyDescent="0.35">
      <c r="B496" s="26"/>
      <c r="C496" s="27"/>
      <c r="D496" s="28">
        <f>IF(D422="","",D422)</f>
        <v>23736</v>
      </c>
      <c r="E496" s="29" t="str">
        <f t="shared" si="228"/>
        <v/>
      </c>
      <c r="F496" s="50">
        <f>B453</f>
        <v>16</v>
      </c>
      <c r="G496" s="59"/>
      <c r="H496" s="64"/>
      <c r="I496" s="106"/>
      <c r="J496" s="105"/>
      <c r="K496" s="106"/>
      <c r="L496" s="105"/>
      <c r="M496" s="106"/>
      <c r="N496" s="105"/>
      <c r="O496" s="106"/>
      <c r="P496" s="105"/>
      <c r="Q496" s="106"/>
      <c r="R496" s="105"/>
      <c r="S496" s="59"/>
      <c r="T496" s="64"/>
      <c r="U496" s="44"/>
      <c r="W496" s="59"/>
      <c r="X496" s="64"/>
      <c r="Y496" s="106"/>
      <c r="Z496" s="105"/>
      <c r="AA496" s="106"/>
      <c r="AB496" s="105"/>
      <c r="AC496" s="106"/>
      <c r="AD496" s="105"/>
      <c r="AE496" s="106"/>
      <c r="AF496" s="105"/>
      <c r="AG496" s="106"/>
      <c r="AH496" s="105"/>
      <c r="AI496" s="59"/>
      <c r="AJ496" s="64"/>
      <c r="AK496" s="44"/>
      <c r="AM496" s="49"/>
      <c r="AN496" s="49"/>
      <c r="AO496" s="49"/>
      <c r="AP496" s="49"/>
      <c r="AQ496" s="49"/>
      <c r="AR496" s="40"/>
      <c r="AS496" s="51"/>
      <c r="AU496" s="49"/>
      <c r="AW496" s="52"/>
      <c r="BA496" s="2"/>
      <c r="BB496" s="2"/>
      <c r="BC496" s="101"/>
      <c r="BD496" s="101"/>
    </row>
    <row r="497" spans="1:56" s="84" customFormat="1" x14ac:dyDescent="0.35">
      <c r="B497" s="30" t="str">
        <f>IF(B423="","",B423)</f>
        <v>Voster, Jean-Michel</v>
      </c>
      <c r="C497" s="31"/>
      <c r="D497" s="32"/>
      <c r="E497" s="33">
        <f t="shared" si="228"/>
        <v>93545</v>
      </c>
      <c r="F497" s="50">
        <f>B453</f>
        <v>16</v>
      </c>
      <c r="G497" s="69"/>
      <c r="H497" s="70"/>
      <c r="I497" s="104"/>
      <c r="J497" s="103">
        <v>8</v>
      </c>
      <c r="K497" s="104"/>
      <c r="L497" s="103">
        <v>8</v>
      </c>
      <c r="M497" s="104"/>
      <c r="N497" s="103">
        <v>8</v>
      </c>
      <c r="O497" s="104"/>
      <c r="P497" s="103">
        <v>8</v>
      </c>
      <c r="Q497" s="104"/>
      <c r="R497" s="103">
        <v>5.25</v>
      </c>
      <c r="S497" s="69"/>
      <c r="T497" s="70"/>
      <c r="U497" s="71">
        <f t="shared" ref="U497" si="232">SUM(G497:T497)</f>
        <v>37.25</v>
      </c>
      <c r="V497" s="72"/>
      <c r="W497" s="69"/>
      <c r="X497" s="70"/>
      <c r="Y497" s="104"/>
      <c r="Z497" s="103">
        <v>7.75</v>
      </c>
      <c r="AA497" s="104"/>
      <c r="AB497" s="103">
        <v>8</v>
      </c>
      <c r="AC497" s="104"/>
      <c r="AD497" s="103">
        <v>8</v>
      </c>
      <c r="AE497" s="104"/>
      <c r="AF497" s="103">
        <v>7.75</v>
      </c>
      <c r="AG497" s="104"/>
      <c r="AH497" s="103">
        <v>5.5</v>
      </c>
      <c r="AI497" s="69"/>
      <c r="AJ497" s="70"/>
      <c r="AK497" s="71">
        <f>SUM(W497:AJ497)</f>
        <v>37</v>
      </c>
      <c r="AL497" s="72"/>
      <c r="AM497" s="73">
        <f>SUMIF($G496:$T496,"",$G497:$T497)+SUMIF($W496:$AJ496,"",$W497:$AJ497)-AN497</f>
        <v>74.25</v>
      </c>
      <c r="AN497" s="88">
        <f>IF(SUMIF($G496:$T496,"",$G497:$T497)+SUMIF($G496:$T496,"F",$G497:$T497)+SUMIF($G496:$T496,"V",$G497:$T497)-40&lt;0,0,SUMIF($G496:$T496,"",$G497:$T497)+SUMIF($G496:$T496,"F",$G497:$T497)+SUMIF($G496:$T496,"V",$G497:$T497)-($U$9/2))+IF(SUMIF($W496:$AJ496,"",$W497:$AJ497)+SUMIF($W496:$AJ496,"F",$W497:$AJ497)+SUMIF($W496:$AJ496,"V",$W497:$AJ497)-40&lt;0,0,SUMIF($W496:$AJ496,"",$W497:$AJ497)+SUMIF($W496:$AJ496,"F",$W497:$AJ497)+SUMIF($W496:$AJ496,"V",$W497:$AJ497)-($U$9/2))</f>
        <v>0</v>
      </c>
      <c r="AO497" s="73">
        <f>SUMIF($G496:$T496,"M",$G497:$T497)+SUMIF($W496:$AJ496,"M",$W497:$AJ497)</f>
        <v>0</v>
      </c>
      <c r="AP497" s="73">
        <f>SUMIF($G496:$T496,"F",$G497:$T497)+SUMIF($W496:$AJ496,"F",$W497:$AJ497)</f>
        <v>0</v>
      </c>
      <c r="AQ497" s="73">
        <f>SUMIF($G496:$T496,"V",$G497:$T497)+SUMIF($W496:$AJ496,"V",$W497:$AJ497)</f>
        <v>0</v>
      </c>
      <c r="AR497" s="74">
        <f>SUMIF($G496:$T496,"O",$G497:$T497)+SUMIF($W496:$AJ496,"O",$W497:$AJ497)</f>
        <v>0</v>
      </c>
      <c r="AS497" s="75">
        <f>SUM(AM497:AR497)</f>
        <v>74.25</v>
      </c>
      <c r="AT497" s="72"/>
      <c r="AU497" s="73">
        <f>SUMIF($G496:$T496,"A",$G497:$T497)+SUMIF($W496:$AJ496,"A",$W497:$AJ497)</f>
        <v>0</v>
      </c>
      <c r="AV497" s="72"/>
      <c r="AW497" s="76">
        <f>IF(B497="",0,IF($U$9="",0,$U$9))</f>
        <v>80</v>
      </c>
      <c r="BA497" s="2"/>
      <c r="BB497" s="2"/>
      <c r="BC497" s="101"/>
      <c r="BD497" s="101"/>
    </row>
    <row r="498" spans="1:56" s="53" customFormat="1" ht="15" customHeight="1" x14ac:dyDescent="0.35">
      <c r="A498" s="84"/>
      <c r="B498" s="26"/>
      <c r="C498" s="27"/>
      <c r="D498" s="28" t="str">
        <f>IF(D424="","",D424)</f>
        <v/>
      </c>
      <c r="E498" s="29" t="str">
        <f t="shared" si="228"/>
        <v/>
      </c>
      <c r="F498" s="50">
        <f>B453</f>
        <v>16</v>
      </c>
      <c r="G498" s="59"/>
      <c r="H498" s="64"/>
      <c r="I498" s="106"/>
      <c r="J498" s="105"/>
      <c r="K498" s="106"/>
      <c r="L498" s="105"/>
      <c r="M498" s="106"/>
      <c r="N498" s="105"/>
      <c r="O498" s="106"/>
      <c r="P498" s="105"/>
      <c r="Q498" s="106"/>
      <c r="R498" s="105"/>
      <c r="S498" s="59"/>
      <c r="T498" s="64"/>
      <c r="U498" s="44"/>
      <c r="V498" s="84"/>
      <c r="W498" s="59"/>
      <c r="X498" s="64"/>
      <c r="Y498" s="106"/>
      <c r="Z498" s="105"/>
      <c r="AA498" s="106"/>
      <c r="AB498" s="105"/>
      <c r="AC498" s="106"/>
      <c r="AD498" s="105"/>
      <c r="AE498" s="106"/>
      <c r="AF498" s="105"/>
      <c r="AG498" s="106"/>
      <c r="AH498" s="105"/>
      <c r="AI498" s="59"/>
      <c r="AJ498" s="64"/>
      <c r="AK498" s="44"/>
      <c r="AL498" s="84"/>
      <c r="AM498" s="49"/>
      <c r="AN498" s="49"/>
      <c r="AO498" s="49"/>
      <c r="AP498" s="49"/>
      <c r="AQ498" s="49"/>
      <c r="AR498" s="40"/>
      <c r="AS498" s="51"/>
      <c r="AT498" s="84"/>
      <c r="AU498" s="49"/>
      <c r="AV498" s="84"/>
      <c r="AW498" s="52"/>
      <c r="AX498" s="84"/>
      <c r="BA498" s="2"/>
      <c r="BB498" s="2"/>
      <c r="BC498" s="101"/>
      <c r="BD498" s="101"/>
    </row>
    <row r="499" spans="1:56" s="57" customFormat="1" ht="15" customHeight="1" x14ac:dyDescent="0.35">
      <c r="A499" s="84"/>
      <c r="B499" s="30" t="str">
        <f>IF(B425="","",B425)</f>
        <v/>
      </c>
      <c r="C499" s="31"/>
      <c r="D499" s="32"/>
      <c r="E499" s="33" t="str">
        <f t="shared" si="228"/>
        <v/>
      </c>
      <c r="F499" s="50">
        <f>B453</f>
        <v>16</v>
      </c>
      <c r="G499" s="69"/>
      <c r="H499" s="70"/>
      <c r="I499" s="104"/>
      <c r="J499" s="103"/>
      <c r="K499" s="104"/>
      <c r="L499" s="103"/>
      <c r="M499" s="104"/>
      <c r="N499" s="103"/>
      <c r="O499" s="104"/>
      <c r="P499" s="103"/>
      <c r="Q499" s="104"/>
      <c r="R499" s="103"/>
      <c r="S499" s="69"/>
      <c r="T499" s="70"/>
      <c r="U499" s="71">
        <f t="shared" ref="U499" si="233">SUM(G499:T499)</f>
        <v>0</v>
      </c>
      <c r="V499" s="72"/>
      <c r="W499" s="69"/>
      <c r="X499" s="70"/>
      <c r="Y499" s="104"/>
      <c r="Z499" s="103"/>
      <c r="AA499" s="104"/>
      <c r="AB499" s="103"/>
      <c r="AC499" s="104"/>
      <c r="AD499" s="103"/>
      <c r="AE499" s="104"/>
      <c r="AF499" s="103"/>
      <c r="AG499" s="104"/>
      <c r="AH499" s="103"/>
      <c r="AI499" s="69"/>
      <c r="AJ499" s="70"/>
      <c r="AK499" s="71">
        <f>SUM(W499:AJ499)</f>
        <v>0</v>
      </c>
      <c r="AL499" s="72"/>
      <c r="AM499" s="73">
        <f>SUMIF($G498:$T498,"",$G499:$T499)+SUMIF($W498:$AJ498,"",$W499:$AJ499)-AN499</f>
        <v>0</v>
      </c>
      <c r="AN499" s="88">
        <f>IF(SUMIF($G498:$T498,"",$G499:$T499)+SUMIF($G498:$T498,"F",$G499:$T499)+SUMIF($G498:$T498,"V",$G499:$T499)-40&lt;0,0,SUMIF($G498:$T498,"",$G499:$T499)+SUMIF($G498:$T498,"F",$G499:$T499)+SUMIF($G498:$T498,"V",$G499:$T499)-($U$9/2))+IF(SUMIF($W498:$AJ498,"",$W499:$AJ499)+SUMIF($W498:$AJ498,"F",$W499:$AJ499)+SUMIF($W498:$AJ498,"V",$W499:$AJ499)-40&lt;0,0,SUMIF($W498:$AJ498,"",$W499:$AJ499)+SUMIF($W498:$AJ498,"F",$W499:$AJ499)+SUMIF($W498:$AJ498,"V",$W499:$AJ499)-($U$9/2))</f>
        <v>0</v>
      </c>
      <c r="AO499" s="73">
        <f>SUMIF($G498:$T498,"M",$G499:$T499)+SUMIF($W498:$AJ498,"M",$W499:$AJ499)</f>
        <v>0</v>
      </c>
      <c r="AP499" s="73">
        <f>SUMIF($G498:$T498,"F",$G499:$T499)+SUMIF($W498:$AJ498,"F",$W499:$AJ499)</f>
        <v>0</v>
      </c>
      <c r="AQ499" s="73">
        <f>SUMIF($G498:$T498,"V",$G499:$T499)+SUMIF($W498:$AJ498,"V",$W499:$AJ499)</f>
        <v>0</v>
      </c>
      <c r="AR499" s="74">
        <f>SUMIF($G498:$T498,"O",$G499:$T499)+SUMIF($W498:$AJ498,"O",$W499:$AJ499)</f>
        <v>0</v>
      </c>
      <c r="AS499" s="75">
        <f>SUM(AM499:AR499)</f>
        <v>0</v>
      </c>
      <c r="AT499" s="72"/>
      <c r="AU499" s="73">
        <f>SUMIF($G498:$T498,"A",$G499:$T499)+SUMIF($W498:$AJ498,"A",$W499:$AJ499)</f>
        <v>0</v>
      </c>
      <c r="AV499" s="72"/>
      <c r="AW499" s="76">
        <f>IF(B499="",0,IF($U$9="",0,$U$9))</f>
        <v>0</v>
      </c>
      <c r="AX499" s="84"/>
      <c r="BA499" s="2"/>
      <c r="BB499" s="2"/>
      <c r="BC499" s="101"/>
      <c r="BD499" s="101"/>
    </row>
    <row r="500" spans="1:56" s="53" customFormat="1" ht="15" customHeight="1" x14ac:dyDescent="0.35">
      <c r="A500" s="84"/>
      <c r="B500" s="26"/>
      <c r="C500" s="27"/>
      <c r="D500" s="28" t="str">
        <f>IF(D426="","",D426)</f>
        <v/>
      </c>
      <c r="E500" s="29" t="str">
        <f t="shared" si="228"/>
        <v/>
      </c>
      <c r="F500" s="50">
        <f>B453</f>
        <v>16</v>
      </c>
      <c r="G500" s="59"/>
      <c r="H500" s="64"/>
      <c r="I500" s="106"/>
      <c r="J500" s="105"/>
      <c r="K500" s="106"/>
      <c r="L500" s="105"/>
      <c r="M500" s="106"/>
      <c r="N500" s="105"/>
      <c r="O500" s="106"/>
      <c r="P500" s="105"/>
      <c r="Q500" s="106"/>
      <c r="R500" s="105"/>
      <c r="S500" s="59"/>
      <c r="T500" s="64"/>
      <c r="U500" s="44"/>
      <c r="V500" s="84"/>
      <c r="W500" s="59"/>
      <c r="X500" s="64"/>
      <c r="Y500" s="106"/>
      <c r="Z500" s="105"/>
      <c r="AA500" s="106"/>
      <c r="AB500" s="105"/>
      <c r="AC500" s="106"/>
      <c r="AD500" s="105"/>
      <c r="AE500" s="106"/>
      <c r="AF500" s="105"/>
      <c r="AG500" s="106"/>
      <c r="AH500" s="105"/>
      <c r="AI500" s="59"/>
      <c r="AJ500" s="64"/>
      <c r="AK500" s="44"/>
      <c r="AL500" s="84"/>
      <c r="AM500" s="49"/>
      <c r="AN500" s="49"/>
      <c r="AO500" s="49"/>
      <c r="AP500" s="49"/>
      <c r="AQ500" s="49"/>
      <c r="AR500" s="40"/>
      <c r="AS500" s="51"/>
      <c r="AT500" s="84"/>
      <c r="AU500" s="49"/>
      <c r="AV500" s="84"/>
      <c r="AW500" s="52"/>
      <c r="AX500" s="84"/>
      <c r="BA500" s="2"/>
      <c r="BB500" s="2"/>
      <c r="BC500" s="101"/>
      <c r="BD500" s="101"/>
    </row>
    <row r="501" spans="1:56" s="53" customFormat="1" x14ac:dyDescent="0.35">
      <c r="A501" s="84"/>
      <c r="B501" s="30" t="str">
        <f>IF(B427="","",B427)</f>
        <v/>
      </c>
      <c r="C501" s="31"/>
      <c r="D501" s="32"/>
      <c r="E501" s="33" t="str">
        <f t="shared" si="228"/>
        <v/>
      </c>
      <c r="F501" s="50">
        <f>B453</f>
        <v>16</v>
      </c>
      <c r="G501" s="69"/>
      <c r="H501" s="70"/>
      <c r="I501" s="104"/>
      <c r="J501" s="103"/>
      <c r="K501" s="104"/>
      <c r="L501" s="103"/>
      <c r="M501" s="104"/>
      <c r="N501" s="103"/>
      <c r="O501" s="104"/>
      <c r="P501" s="103"/>
      <c r="Q501" s="104"/>
      <c r="R501" s="103"/>
      <c r="S501" s="69"/>
      <c r="T501" s="70"/>
      <c r="U501" s="71">
        <f t="shared" ref="U501" si="234">SUM(G501:T501)</f>
        <v>0</v>
      </c>
      <c r="V501" s="72"/>
      <c r="W501" s="69"/>
      <c r="X501" s="70"/>
      <c r="Y501" s="104"/>
      <c r="Z501" s="103"/>
      <c r="AA501" s="104"/>
      <c r="AB501" s="103"/>
      <c r="AC501" s="104"/>
      <c r="AD501" s="103"/>
      <c r="AE501" s="104"/>
      <c r="AF501" s="103"/>
      <c r="AG501" s="104"/>
      <c r="AH501" s="103"/>
      <c r="AI501" s="69"/>
      <c r="AJ501" s="70"/>
      <c r="AK501" s="71">
        <f>SUM(W501:AJ501)</f>
        <v>0</v>
      </c>
      <c r="AL501" s="72"/>
      <c r="AM501" s="73">
        <f>SUMIF($G500:$T500,"",$G501:$T501)+SUMIF($W500:$AJ500,"",$W501:$AJ501)-AN501</f>
        <v>0</v>
      </c>
      <c r="AN501" s="88">
        <f>IF(SUMIF($G500:$T500,"",$G501:$T501)+SUMIF($G500:$T500,"F",$G501:$T501)+SUMIF($G500:$T500,"V",$G501:$T501)-40&lt;0,0,SUMIF($G500:$T500,"",$G501:$T501)+SUMIF($G500:$T500,"F",$G501:$T501)+SUMIF($G500:$T500,"V",$G501:$T501)-($U$9/2))+IF(SUMIF($W500:$AJ500,"",$W501:$AJ501)+SUMIF($W500:$AJ500,"F",$W501:$AJ501)+SUMIF($W500:$AJ500,"V",$W501:$AJ501)-40&lt;0,0,SUMIF($W500:$AJ500,"",$W501:$AJ501)+SUMIF($W500:$AJ500,"F",$W501:$AJ501)+SUMIF($W500:$AJ500,"V",$W501:$AJ501)-($U$9/2))</f>
        <v>0</v>
      </c>
      <c r="AO501" s="73">
        <f>SUMIF($G500:$T500,"M",$G501:$T501)+SUMIF($W500:$AJ500,"M",$W501:$AJ501)</f>
        <v>0</v>
      </c>
      <c r="AP501" s="73">
        <f>SUMIF($G500:$T500,"F",$G501:$T501)+SUMIF($W500:$AJ500,"F",$W501:$AJ501)</f>
        <v>0</v>
      </c>
      <c r="AQ501" s="73">
        <f>SUMIF($G500:$T500,"V",$G501:$T501)+SUMIF($W500:$AJ500,"V",$W501:$AJ501)</f>
        <v>0</v>
      </c>
      <c r="AR501" s="74">
        <f>SUMIF($G500:$T500,"O",$G501:$T501)+SUMIF($W500:$AJ500,"O",$W501:$AJ501)</f>
        <v>0</v>
      </c>
      <c r="AS501" s="75">
        <f>SUM(AM501:AR501)</f>
        <v>0</v>
      </c>
      <c r="AT501" s="72"/>
      <c r="AU501" s="73">
        <f>SUMIF($G500:$T500,"A",$G501:$T501)+SUMIF($W500:$AJ500,"A",$W501:$AJ501)</f>
        <v>0</v>
      </c>
      <c r="AV501" s="72"/>
      <c r="AW501" s="76">
        <f>IF(B501="",0,IF($U$9="",0,$U$9))</f>
        <v>0</v>
      </c>
      <c r="AX501" s="84"/>
      <c r="BA501" s="2"/>
      <c r="BB501" s="2"/>
      <c r="BC501" s="101"/>
      <c r="BD501" s="101"/>
    </row>
    <row r="502" spans="1:56" s="53" customFormat="1" x14ac:dyDescent="0.35">
      <c r="A502" s="84"/>
      <c r="B502" s="26"/>
      <c r="C502" s="27"/>
      <c r="D502" s="28" t="str">
        <f>IF(D428="","",D428)</f>
        <v/>
      </c>
      <c r="E502" s="29" t="str">
        <f t="shared" si="228"/>
        <v/>
      </c>
      <c r="F502" s="50">
        <f>B453</f>
        <v>16</v>
      </c>
      <c r="G502" s="59"/>
      <c r="H502" s="64"/>
      <c r="I502" s="58"/>
      <c r="J502" s="65"/>
      <c r="K502" s="58"/>
      <c r="L502" s="65"/>
      <c r="M502" s="58"/>
      <c r="N502" s="65"/>
      <c r="O502" s="58"/>
      <c r="P502" s="65"/>
      <c r="Q502" s="58"/>
      <c r="R502" s="65"/>
      <c r="S502" s="59"/>
      <c r="T502" s="64"/>
      <c r="U502" s="44"/>
      <c r="V502" s="84"/>
      <c r="W502" s="59"/>
      <c r="X502" s="64"/>
      <c r="Y502" s="58"/>
      <c r="Z502" s="65"/>
      <c r="AA502" s="58"/>
      <c r="AB502" s="65"/>
      <c r="AC502" s="58"/>
      <c r="AD502" s="65"/>
      <c r="AE502" s="58"/>
      <c r="AF502" s="65"/>
      <c r="AG502" s="58"/>
      <c r="AH502" s="65"/>
      <c r="AI502" s="59"/>
      <c r="AJ502" s="64"/>
      <c r="AK502" s="44"/>
      <c r="AL502" s="84"/>
      <c r="AM502" s="49"/>
      <c r="AN502" s="49"/>
      <c r="AO502" s="49"/>
      <c r="AP502" s="49"/>
      <c r="AQ502" s="49"/>
      <c r="AR502" s="40"/>
      <c r="AS502" s="51"/>
      <c r="AT502" s="84"/>
      <c r="AU502" s="49"/>
      <c r="AV502" s="84"/>
      <c r="AW502" s="52"/>
      <c r="AX502" s="84"/>
      <c r="BA502" s="2"/>
      <c r="BB502" s="2"/>
      <c r="BC502" s="101"/>
      <c r="BD502" s="101"/>
    </row>
    <row r="503" spans="1:56" s="53" customFormat="1" x14ac:dyDescent="0.35">
      <c r="A503" s="84"/>
      <c r="B503" s="30" t="str">
        <f>IF(B429="","",B429)</f>
        <v/>
      </c>
      <c r="C503" s="31"/>
      <c r="D503" s="32"/>
      <c r="E503" s="33" t="str">
        <f t="shared" si="228"/>
        <v/>
      </c>
      <c r="F503" s="50">
        <f>B453</f>
        <v>16</v>
      </c>
      <c r="G503" s="69"/>
      <c r="H503" s="70"/>
      <c r="I503" s="67"/>
      <c r="J503" s="68"/>
      <c r="K503" s="67"/>
      <c r="L503" s="68"/>
      <c r="M503" s="67"/>
      <c r="N503" s="68"/>
      <c r="O503" s="67"/>
      <c r="P503" s="68"/>
      <c r="Q503" s="67"/>
      <c r="R503" s="68"/>
      <c r="S503" s="69"/>
      <c r="T503" s="70"/>
      <c r="U503" s="71">
        <f t="shared" ref="U503" si="235">SUM(G503:T503)</f>
        <v>0</v>
      </c>
      <c r="V503" s="72"/>
      <c r="W503" s="69"/>
      <c r="X503" s="70"/>
      <c r="Y503" s="67"/>
      <c r="Z503" s="68"/>
      <c r="AA503" s="67"/>
      <c r="AB503" s="68"/>
      <c r="AC503" s="67"/>
      <c r="AD503" s="68"/>
      <c r="AE503" s="67"/>
      <c r="AF503" s="68"/>
      <c r="AG503" s="67"/>
      <c r="AH503" s="68"/>
      <c r="AI503" s="69"/>
      <c r="AJ503" s="70"/>
      <c r="AK503" s="71">
        <v>0</v>
      </c>
      <c r="AL503" s="72"/>
      <c r="AM503" s="73">
        <f>SUMIF($G502:$T502,"",$G503:$T503)+SUMIF($W502:$AJ502,"",$W503:$AJ503)-AN503</f>
        <v>0</v>
      </c>
      <c r="AN503" s="88">
        <f>IF(SUMIF($G502:$T502,"",$G503:$T503)+SUMIF($G502:$T502,"F",$G503:$T503)+SUMIF($G502:$T502,"V",$G503:$T503)-40&lt;0,0,SUMIF($G502:$T502,"",$G503:$T503)+SUMIF($G502:$T502,"F",$G503:$T503)+SUMIF($G502:$T502,"V",$G503:$T503)-($U$9/2))+IF(SUMIF($W502:$AJ502,"",$W503:$AJ503)+SUMIF($W502:$AJ502,"F",$W503:$AJ503)+SUMIF($W502:$AJ502,"V",$W503:$AJ503)-40&lt;0,0,SUMIF($W502:$AJ502,"",$W503:$AJ503)+SUMIF($W502:$AJ502,"F",$W503:$AJ503)+SUMIF($W502:$AJ502,"V",$W503:$AJ503)-($U$9/2))</f>
        <v>0</v>
      </c>
      <c r="AO503" s="73">
        <f>SUMIF($G502:$T502,"M",$G503:$T503)+SUMIF($W502:$AJ502,"M",$W503:$AJ503)</f>
        <v>0</v>
      </c>
      <c r="AP503" s="73">
        <f>SUMIF($G502:$T502,"F",$G503:$T503)+SUMIF($W502:$AJ502,"F",$W503:$AJ503)</f>
        <v>0</v>
      </c>
      <c r="AQ503" s="73">
        <f>SUMIF($G502:$T502,"V",$G503:$T503)+SUMIF($W502:$AJ502,"V",$W503:$AJ503)</f>
        <v>0</v>
      </c>
      <c r="AR503" s="74">
        <f>SUMIF($G502:$T502,"O",$G503:$T503)+SUMIF($W502:$AJ502,"O",$W503:$AJ503)</f>
        <v>0</v>
      </c>
      <c r="AS503" s="75">
        <f>SUM(AM503:AR503)</f>
        <v>0</v>
      </c>
      <c r="AT503" s="72"/>
      <c r="AU503" s="73">
        <f>SUMIF($G502:$T502,"A",$G503:$T503)+SUMIF($W502:$AJ502,"A",$W503:$AJ503)</f>
        <v>0</v>
      </c>
      <c r="AV503" s="72"/>
      <c r="AW503" s="76">
        <f>IF(B503="",0,IF($U$9="",0,$U$9))</f>
        <v>0</v>
      </c>
      <c r="AX503" s="84"/>
      <c r="BA503" s="2"/>
      <c r="BB503" s="2"/>
      <c r="BC503" s="101"/>
      <c r="BD503" s="101"/>
    </row>
    <row r="504" spans="1:56" s="53" customFormat="1" x14ac:dyDescent="0.35">
      <c r="A504" s="84"/>
      <c r="B504" s="26"/>
      <c r="C504" s="27"/>
      <c r="D504" s="28" t="str">
        <f>IF(D430="","",D430)</f>
        <v/>
      </c>
      <c r="E504" s="29" t="str">
        <f t="shared" si="228"/>
        <v/>
      </c>
      <c r="F504" s="50">
        <f>B453</f>
        <v>16</v>
      </c>
      <c r="G504" s="59"/>
      <c r="H504" s="64"/>
      <c r="I504" s="58"/>
      <c r="J504" s="65"/>
      <c r="K504" s="58"/>
      <c r="L504" s="65"/>
      <c r="M504" s="58"/>
      <c r="N504" s="65"/>
      <c r="O504" s="58"/>
      <c r="P504" s="65"/>
      <c r="Q504" s="58"/>
      <c r="R504" s="65"/>
      <c r="S504" s="59"/>
      <c r="T504" s="64"/>
      <c r="U504" s="44"/>
      <c r="V504" s="84"/>
      <c r="W504" s="59"/>
      <c r="X504" s="64"/>
      <c r="Y504" s="58"/>
      <c r="Z504" s="65"/>
      <c r="AA504" s="58"/>
      <c r="AB504" s="65"/>
      <c r="AC504" s="58"/>
      <c r="AD504" s="65"/>
      <c r="AE504" s="58"/>
      <c r="AF504" s="65"/>
      <c r="AG504" s="58"/>
      <c r="AH504" s="65"/>
      <c r="AI504" s="59"/>
      <c r="AJ504" s="64"/>
      <c r="AK504" s="44"/>
      <c r="AL504" s="84"/>
      <c r="AM504" s="49"/>
      <c r="AN504" s="49"/>
      <c r="AO504" s="49"/>
      <c r="AP504" s="49"/>
      <c r="AQ504" s="49"/>
      <c r="AR504" s="40"/>
      <c r="AS504" s="51"/>
      <c r="AT504" s="84"/>
      <c r="AU504" s="49"/>
      <c r="AV504" s="84"/>
      <c r="AW504" s="52"/>
      <c r="AX504" s="84"/>
      <c r="BA504" s="2"/>
      <c r="BB504" s="2"/>
      <c r="BC504" s="101"/>
      <c r="BD504" s="101"/>
    </row>
    <row r="505" spans="1:56" s="53" customFormat="1" x14ac:dyDescent="0.35">
      <c r="A505" s="84"/>
      <c r="B505" s="30" t="str">
        <f>IF(B431="","",B431)</f>
        <v/>
      </c>
      <c r="C505" s="31"/>
      <c r="D505" s="32"/>
      <c r="E505" s="33" t="str">
        <f t="shared" si="228"/>
        <v/>
      </c>
      <c r="F505" s="50">
        <f>B453</f>
        <v>16</v>
      </c>
      <c r="G505" s="69"/>
      <c r="H505" s="70"/>
      <c r="I505" s="67"/>
      <c r="J505" s="68"/>
      <c r="K505" s="67"/>
      <c r="L505" s="68"/>
      <c r="M505" s="67"/>
      <c r="N505" s="68"/>
      <c r="O505" s="67"/>
      <c r="P505" s="68"/>
      <c r="Q505" s="67"/>
      <c r="R505" s="68"/>
      <c r="S505" s="69"/>
      <c r="T505" s="70"/>
      <c r="U505" s="71">
        <f t="shared" ref="U505" si="236">SUM(G505:T505)</f>
        <v>0</v>
      </c>
      <c r="V505" s="72"/>
      <c r="W505" s="69"/>
      <c r="X505" s="70"/>
      <c r="Y505" s="67"/>
      <c r="Z505" s="68"/>
      <c r="AA505" s="67"/>
      <c r="AB505" s="68"/>
      <c r="AC505" s="67"/>
      <c r="AD505" s="68"/>
      <c r="AE505" s="67"/>
      <c r="AF505" s="68"/>
      <c r="AG505" s="67"/>
      <c r="AH505" s="68"/>
      <c r="AI505" s="69"/>
      <c r="AJ505" s="70"/>
      <c r="AK505" s="71">
        <v>0</v>
      </c>
      <c r="AL505" s="72"/>
      <c r="AM505" s="73">
        <v>0</v>
      </c>
      <c r="AN505" s="88">
        <v>0</v>
      </c>
      <c r="AO505" s="73">
        <v>0</v>
      </c>
      <c r="AP505" s="73">
        <v>0</v>
      </c>
      <c r="AQ505" s="73">
        <v>0</v>
      </c>
      <c r="AR505" s="74">
        <v>0</v>
      </c>
      <c r="AS505" s="75">
        <v>0</v>
      </c>
      <c r="AT505" s="72"/>
      <c r="AU505" s="73">
        <f>SUMIF($G504:$T504,"A",$G505:$T505)+SUMIF($W504:$AJ504,"A",$W505:$AJ505)</f>
        <v>0</v>
      </c>
      <c r="AV505" s="72"/>
      <c r="AW505" s="76">
        <f>IF(B505="",0,IF($U$9="",0,$U$9))</f>
        <v>0</v>
      </c>
      <c r="AX505" s="84"/>
      <c r="BA505" s="2"/>
      <c r="BB505" s="2"/>
      <c r="BC505" s="101"/>
      <c r="BD505" s="101"/>
    </row>
    <row r="506" spans="1:56" s="53" customFormat="1" x14ac:dyDescent="0.35">
      <c r="A506" s="84"/>
      <c r="B506" s="26"/>
      <c r="C506" s="27"/>
      <c r="D506" s="28" t="str">
        <f>IF(D432="","",D432)</f>
        <v/>
      </c>
      <c r="E506" s="29" t="str">
        <f t="shared" si="228"/>
        <v/>
      </c>
      <c r="F506" s="50">
        <f>B453</f>
        <v>16</v>
      </c>
      <c r="G506" s="59"/>
      <c r="H506" s="64"/>
      <c r="I506" s="58"/>
      <c r="J506" s="65"/>
      <c r="K506" s="58"/>
      <c r="L506" s="65"/>
      <c r="M506" s="58"/>
      <c r="N506" s="65"/>
      <c r="O506" s="58"/>
      <c r="P506" s="65"/>
      <c r="Q506" s="58"/>
      <c r="R506" s="65"/>
      <c r="S506" s="59"/>
      <c r="T506" s="64"/>
      <c r="U506" s="44"/>
      <c r="V506" s="84"/>
      <c r="W506" s="59"/>
      <c r="X506" s="64"/>
      <c r="Y506" s="58"/>
      <c r="Z506" s="65"/>
      <c r="AA506" s="58"/>
      <c r="AB506" s="65"/>
      <c r="AC506" s="58"/>
      <c r="AD506" s="65"/>
      <c r="AE506" s="58"/>
      <c r="AF506" s="65"/>
      <c r="AG506" s="58"/>
      <c r="AH506" s="65"/>
      <c r="AI506" s="59"/>
      <c r="AJ506" s="64"/>
      <c r="AK506" s="44"/>
      <c r="AL506" s="84"/>
      <c r="AM506" s="49"/>
      <c r="AN506" s="49"/>
      <c r="AO506" s="49"/>
      <c r="AP506" s="49"/>
      <c r="AQ506" s="49"/>
      <c r="AR506" s="40"/>
      <c r="AS506" s="51"/>
      <c r="AT506" s="84"/>
      <c r="AU506" s="49"/>
      <c r="AV506" s="84"/>
      <c r="AW506" s="52"/>
      <c r="AX506" s="84"/>
      <c r="BA506" s="2"/>
      <c r="BB506" s="2"/>
      <c r="BC506" s="101"/>
      <c r="BD506" s="101"/>
    </row>
    <row r="507" spans="1:56" s="53" customFormat="1" ht="15" thickBot="1" x14ac:dyDescent="0.4">
      <c r="A507" s="84"/>
      <c r="B507" s="30" t="str">
        <f>IF(B433="","",B433)</f>
        <v/>
      </c>
      <c r="C507" s="31"/>
      <c r="D507" s="32"/>
      <c r="E507" s="33" t="str">
        <f t="shared" si="228"/>
        <v/>
      </c>
      <c r="F507" s="50">
        <f>B453</f>
        <v>16</v>
      </c>
      <c r="G507" s="69"/>
      <c r="H507" s="70"/>
      <c r="I507" s="67"/>
      <c r="J507" s="68"/>
      <c r="K507" s="67"/>
      <c r="L507" s="68"/>
      <c r="M507" s="67"/>
      <c r="N507" s="68"/>
      <c r="O507" s="67"/>
      <c r="P507" s="68"/>
      <c r="Q507" s="67"/>
      <c r="R507" s="68"/>
      <c r="S507" s="69"/>
      <c r="T507" s="70"/>
      <c r="U507" s="71">
        <f t="shared" ref="U507" si="237">SUM(G507:T507)</f>
        <v>0</v>
      </c>
      <c r="V507" s="72"/>
      <c r="W507" s="69"/>
      <c r="X507" s="70"/>
      <c r="Y507" s="67"/>
      <c r="Z507" s="68"/>
      <c r="AA507" s="67"/>
      <c r="AB507" s="68"/>
      <c r="AC507" s="67"/>
      <c r="AD507" s="68"/>
      <c r="AE507" s="67"/>
      <c r="AF507" s="68"/>
      <c r="AG507" s="67"/>
      <c r="AH507" s="68"/>
      <c r="AI507" s="69"/>
      <c r="AJ507" s="70"/>
      <c r="AK507" s="71">
        <v>0</v>
      </c>
      <c r="AL507" s="72"/>
      <c r="AM507" s="73">
        <v>0</v>
      </c>
      <c r="AN507" s="88">
        <v>0</v>
      </c>
      <c r="AO507" s="73">
        <v>0</v>
      </c>
      <c r="AP507" s="73">
        <v>0</v>
      </c>
      <c r="AQ507" s="73">
        <v>0</v>
      </c>
      <c r="AR507" s="74">
        <v>0</v>
      </c>
      <c r="AS507" s="75">
        <v>0</v>
      </c>
      <c r="AT507" s="72"/>
      <c r="AU507" s="73">
        <f>SUMIF($G506:$T506,"A",$G507:$T507)+SUMIF($W506:$AJ506,"A",$W507:$AJ507)</f>
        <v>0</v>
      </c>
      <c r="AV507" s="72"/>
      <c r="AW507" s="76">
        <f>IF(B507="",0,IF($U$9="",0,$U$9))</f>
        <v>0</v>
      </c>
      <c r="AX507" s="84"/>
      <c r="BA507" s="2"/>
      <c r="BB507" s="2"/>
      <c r="BC507" s="101"/>
      <c r="BD507" s="101"/>
    </row>
    <row r="508" spans="1:56" s="53" customFormat="1" ht="27.75" customHeight="1" thickBot="1" x14ac:dyDescent="0.4">
      <c r="A508" s="84"/>
      <c r="B508" s="149" t="s">
        <v>7</v>
      </c>
      <c r="C508" s="150"/>
      <c r="D508" s="150"/>
      <c r="E508" s="151"/>
      <c r="F508" s="97"/>
      <c r="G508" s="152">
        <f>SUM(G458:H507)</f>
        <v>0</v>
      </c>
      <c r="H508" s="152"/>
      <c r="I508" s="152">
        <f>SUM(I458:J507)</f>
        <v>112</v>
      </c>
      <c r="J508" s="152"/>
      <c r="K508" s="152">
        <f>SUM(K458:L507)</f>
        <v>112</v>
      </c>
      <c r="L508" s="152"/>
      <c r="M508" s="152">
        <f>SUM(M458:N507)</f>
        <v>112</v>
      </c>
      <c r="N508" s="152"/>
      <c r="O508" s="152">
        <f>SUM(O458:P507)</f>
        <v>112</v>
      </c>
      <c r="P508" s="152"/>
      <c r="Q508" s="152">
        <f>SUM(Q458:R507)</f>
        <v>106.25</v>
      </c>
      <c r="R508" s="152"/>
      <c r="S508" s="152">
        <f>SUM(S458:T507)</f>
        <v>0</v>
      </c>
      <c r="T508" s="153"/>
      <c r="U508" s="77">
        <f>SUM(U458:U507)</f>
        <v>554.25</v>
      </c>
      <c r="V508" s="78"/>
      <c r="W508" s="152">
        <f>SUM(W458:X507)</f>
        <v>0</v>
      </c>
      <c r="X508" s="152"/>
      <c r="Y508" s="152">
        <f>SUM(Y458:Z507)</f>
        <v>119.75</v>
      </c>
      <c r="Z508" s="152"/>
      <c r="AA508" s="152">
        <f>SUM(AA458:AB507)</f>
        <v>120</v>
      </c>
      <c r="AB508" s="152"/>
      <c r="AC508" s="152">
        <f>SUM(AC458:AD507)</f>
        <v>120</v>
      </c>
      <c r="AD508" s="152"/>
      <c r="AE508" s="152">
        <f>SUM(AE458:AF507)</f>
        <v>119.75</v>
      </c>
      <c r="AF508" s="152"/>
      <c r="AG508" s="152">
        <f>SUM(AG458:AH507)</f>
        <v>114.5</v>
      </c>
      <c r="AH508" s="152"/>
      <c r="AI508" s="152">
        <f>SUM(AI458:AJ507)</f>
        <v>0</v>
      </c>
      <c r="AJ508" s="152"/>
      <c r="AK508" s="77">
        <f>SUM(AK458:AK507)</f>
        <v>594</v>
      </c>
      <c r="AL508" s="78"/>
      <c r="AM508" s="79">
        <f t="shared" ref="AM508:AS508" si="238">SUM(AM458:AM507)</f>
        <v>244.25</v>
      </c>
      <c r="AN508" s="79">
        <f t="shared" si="238"/>
        <v>0</v>
      </c>
      <c r="AO508" s="79">
        <f t="shared" si="238"/>
        <v>0</v>
      </c>
      <c r="AP508" s="79">
        <f t="shared" si="238"/>
        <v>0</v>
      </c>
      <c r="AQ508" s="79">
        <f t="shared" si="238"/>
        <v>904</v>
      </c>
      <c r="AR508" s="80">
        <f t="shared" si="238"/>
        <v>0</v>
      </c>
      <c r="AS508" s="81">
        <f t="shared" si="238"/>
        <v>1148.25</v>
      </c>
      <c r="AT508" s="78"/>
      <c r="AU508" s="82">
        <f>SUM(AU458:AU507)</f>
        <v>0</v>
      </c>
      <c r="AV508" s="78"/>
      <c r="AW508" s="83">
        <f>SUM(AW458:AW507)</f>
        <v>1520</v>
      </c>
      <c r="AX508" s="84"/>
      <c r="BA508" s="2"/>
      <c r="BB508" s="2"/>
      <c r="BC508" s="101"/>
      <c r="BD508" s="101"/>
    </row>
    <row r="509" spans="1:56" s="53" customFormat="1" ht="15" thickTop="1" x14ac:dyDescent="0.35">
      <c r="B509" s="54"/>
      <c r="F509" s="98"/>
      <c r="G509" s="55"/>
      <c r="H509" s="55"/>
      <c r="I509" s="55"/>
      <c r="J509" s="55"/>
      <c r="K509" s="55"/>
      <c r="L509" s="55"/>
      <c r="M509" s="55"/>
      <c r="N509" s="55"/>
      <c r="O509" s="55"/>
      <c r="P509" s="55"/>
      <c r="Q509" s="55"/>
      <c r="R509" s="55"/>
      <c r="S509" s="55"/>
      <c r="T509" s="55"/>
      <c r="U509" s="56"/>
      <c r="V509" s="55"/>
      <c r="W509" s="55"/>
      <c r="X509" s="55"/>
      <c r="Y509" s="55"/>
      <c r="Z509" s="55"/>
      <c r="AA509" s="55"/>
      <c r="AB509" s="55"/>
      <c r="AC509" s="55"/>
      <c r="AD509" s="55"/>
      <c r="AE509" s="55"/>
      <c r="AF509" s="55"/>
      <c r="AG509" s="55"/>
      <c r="AH509" s="55"/>
      <c r="AI509" s="55"/>
      <c r="AJ509" s="55"/>
      <c r="AK509" s="56"/>
      <c r="AL509" s="55"/>
      <c r="AM509" s="55"/>
      <c r="AN509" s="55"/>
      <c r="AO509" s="55"/>
      <c r="AP509" s="55"/>
      <c r="AQ509" s="55"/>
      <c r="AR509" s="55"/>
      <c r="AS509" s="55"/>
      <c r="AT509" s="55"/>
      <c r="AU509" s="55"/>
      <c r="AV509" s="55"/>
      <c r="AW509" s="55"/>
      <c r="BA509" s="2"/>
      <c r="BB509" s="2"/>
      <c r="BC509" s="101"/>
      <c r="BD509" s="101"/>
    </row>
    <row r="510" spans="1:56" s="53" customFormat="1" x14ac:dyDescent="0.35">
      <c r="B510" s="54" t="s">
        <v>52</v>
      </c>
      <c r="D510" s="141" t="s">
        <v>87</v>
      </c>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c r="AH510" s="141"/>
      <c r="AI510" s="141"/>
      <c r="AJ510" s="141"/>
      <c r="AK510" s="56"/>
      <c r="AL510" s="55"/>
      <c r="AM510" s="55"/>
      <c r="AN510" s="55"/>
      <c r="AO510" s="55"/>
      <c r="AP510" s="55"/>
      <c r="AQ510" s="55"/>
      <c r="AR510" s="55"/>
      <c r="AS510" s="55"/>
      <c r="AT510" s="55"/>
      <c r="AU510" s="55"/>
      <c r="AV510" s="55"/>
      <c r="AW510" s="55"/>
      <c r="BA510" s="2"/>
      <c r="BB510" s="2"/>
      <c r="BC510" s="101"/>
      <c r="BD510" s="101"/>
    </row>
    <row r="511" spans="1:56" s="84" customFormat="1" x14ac:dyDescent="0.35">
      <c r="A511" s="53"/>
      <c r="B511" s="54"/>
      <c r="C511" s="53"/>
      <c r="D511" s="141" t="s">
        <v>88</v>
      </c>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c r="AH511" s="141"/>
      <c r="AI511" s="141"/>
      <c r="AJ511" s="141"/>
      <c r="AK511" s="56"/>
      <c r="AL511" s="55"/>
      <c r="AM511" s="55"/>
      <c r="AN511" s="55"/>
      <c r="AO511" s="55"/>
      <c r="AP511" s="55"/>
      <c r="AQ511" s="55"/>
      <c r="AR511" s="55"/>
      <c r="AS511" s="55"/>
      <c r="AT511" s="55"/>
      <c r="AU511" s="55"/>
      <c r="AV511" s="55"/>
      <c r="AW511" s="55"/>
      <c r="AX511" s="53"/>
      <c r="BA511" s="2"/>
      <c r="BB511" s="2"/>
      <c r="BC511" s="101"/>
      <c r="BD511" s="101"/>
    </row>
    <row r="512" spans="1:56" s="84" customFormat="1" x14ac:dyDescent="0.35">
      <c r="A512" s="53"/>
      <c r="B512" s="54"/>
      <c r="C512" s="53"/>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56"/>
      <c r="AL512" s="55"/>
      <c r="AM512" s="55"/>
      <c r="AN512" s="55"/>
      <c r="AO512" s="55"/>
      <c r="AP512" s="55"/>
      <c r="AQ512" s="55"/>
      <c r="AR512" s="55"/>
      <c r="AS512" s="55"/>
      <c r="AT512" s="55"/>
      <c r="AU512" s="55"/>
      <c r="AV512" s="55"/>
      <c r="AW512" s="55"/>
      <c r="AX512" s="53"/>
      <c r="BA512" s="2"/>
      <c r="BB512" s="2"/>
      <c r="BC512" s="101"/>
      <c r="BD512" s="101"/>
    </row>
    <row r="513" spans="1:56" s="84" customFormat="1" ht="15" customHeight="1" x14ac:dyDescent="0.35">
      <c r="A513" s="53"/>
      <c r="B513" s="54"/>
      <c r="C513" s="53"/>
      <c r="D513" s="53"/>
      <c r="E513" s="53"/>
      <c r="F513" s="98"/>
      <c r="G513" s="55"/>
      <c r="H513" s="55"/>
      <c r="I513" s="55"/>
      <c r="J513" s="55"/>
      <c r="K513" s="55"/>
      <c r="L513" s="55"/>
      <c r="M513" s="55"/>
      <c r="N513" s="55"/>
      <c r="O513" s="55"/>
      <c r="P513" s="55"/>
      <c r="Q513" s="55"/>
      <c r="R513" s="55"/>
      <c r="S513" s="55"/>
      <c r="T513" s="55"/>
      <c r="U513" s="56"/>
      <c r="V513" s="55"/>
      <c r="W513" s="55"/>
      <c r="X513" s="55"/>
      <c r="Y513" s="55"/>
      <c r="Z513" s="55"/>
      <c r="AA513" s="55"/>
      <c r="AB513" s="55"/>
      <c r="AC513" s="55"/>
      <c r="AD513" s="55"/>
      <c r="AE513" s="55"/>
      <c r="AF513" s="55"/>
      <c r="AG513" s="55"/>
      <c r="AH513" s="55"/>
      <c r="AI513" s="55"/>
      <c r="AJ513" s="55"/>
      <c r="AK513" s="56"/>
      <c r="AL513" s="55"/>
      <c r="AM513" s="55"/>
      <c r="AN513" s="55"/>
      <c r="AO513" s="55"/>
      <c r="AP513" s="55"/>
      <c r="AQ513" s="55"/>
      <c r="AR513" s="55"/>
      <c r="AS513" s="55"/>
      <c r="AT513" s="55"/>
      <c r="AU513" s="55"/>
      <c r="AV513" s="55"/>
      <c r="AW513" s="55"/>
      <c r="AX513" s="53"/>
      <c r="BA513" s="2"/>
      <c r="BB513" s="2"/>
      <c r="BC513" s="101"/>
      <c r="BD513" s="101"/>
    </row>
    <row r="514" spans="1:56" s="84" customFormat="1" ht="15" customHeight="1" x14ac:dyDescent="0.35">
      <c r="A514" s="53"/>
      <c r="B514" s="54" t="s">
        <v>53</v>
      </c>
      <c r="C514" s="53"/>
      <c r="D514" s="31" t="s">
        <v>86</v>
      </c>
      <c r="E514" s="34"/>
      <c r="F514" s="99"/>
      <c r="G514" s="34"/>
      <c r="H514" s="34"/>
      <c r="I514" s="34"/>
      <c r="J514" s="34"/>
      <c r="K514" s="53"/>
      <c r="L514" s="55" t="s">
        <v>8</v>
      </c>
      <c r="M514" s="53"/>
      <c r="N514" s="142">
        <f ca="1">NOW()</f>
        <v>44720.650928935182</v>
      </c>
      <c r="O514" s="142"/>
      <c r="P514" s="142"/>
      <c r="Q514" s="53"/>
      <c r="R514" s="53"/>
      <c r="S514" s="53"/>
      <c r="T514" s="53"/>
      <c r="U514" s="53"/>
      <c r="V514" s="55"/>
      <c r="W514" s="55"/>
      <c r="X514" s="55"/>
      <c r="Y514" s="55"/>
      <c r="Z514" s="55"/>
      <c r="AA514" s="55"/>
      <c r="AB514" s="55"/>
      <c r="AC514" s="55"/>
      <c r="AD514" s="55"/>
      <c r="AE514" s="55"/>
      <c r="AF514" s="55"/>
      <c r="AG514" s="55"/>
      <c r="AH514" s="55"/>
      <c r="AI514" s="55"/>
      <c r="AJ514" s="55"/>
      <c r="AK514" s="56"/>
      <c r="AL514" s="55"/>
      <c r="AM514" s="55"/>
      <c r="AN514" s="55"/>
      <c r="AO514" s="55"/>
      <c r="AP514" s="55"/>
      <c r="AQ514" s="55"/>
      <c r="AR514" s="55"/>
      <c r="AS514" s="55"/>
      <c r="AT514" s="55"/>
      <c r="AU514" s="55"/>
      <c r="AV514" s="55"/>
      <c r="AW514" s="55"/>
      <c r="AX514" s="53"/>
      <c r="BA514" s="2"/>
      <c r="BB514" s="2"/>
      <c r="BC514" s="101"/>
      <c r="BD514" s="101"/>
    </row>
    <row r="515" spans="1:56" s="84" customFormat="1" x14ac:dyDescent="0.35">
      <c r="A515" s="53"/>
      <c r="B515" s="54"/>
      <c r="C515" s="53"/>
      <c r="D515" s="53"/>
      <c r="E515" s="53"/>
      <c r="F515" s="98"/>
      <c r="G515" s="55"/>
      <c r="H515" s="55"/>
      <c r="I515" s="55"/>
      <c r="J515" s="55"/>
      <c r="K515" s="53"/>
      <c r="L515" s="55"/>
      <c r="M515" s="53"/>
      <c r="N515" s="55"/>
      <c r="O515" s="56"/>
      <c r="P515" s="53"/>
      <c r="Q515" s="53"/>
      <c r="R515" s="53"/>
      <c r="S515" s="53"/>
      <c r="T515" s="53"/>
      <c r="U515" s="53"/>
      <c r="V515" s="55"/>
      <c r="W515" s="55"/>
      <c r="X515" s="55"/>
      <c r="Y515" s="55"/>
      <c r="Z515" s="55"/>
      <c r="AA515" s="55"/>
      <c r="AB515" s="55"/>
      <c r="AC515" s="55"/>
      <c r="AD515" s="55"/>
      <c r="AE515" s="55"/>
      <c r="AF515" s="55"/>
      <c r="AG515" s="55"/>
      <c r="AH515" s="55"/>
      <c r="AI515" s="55"/>
      <c r="AJ515" s="55"/>
      <c r="AK515" s="56"/>
      <c r="AL515" s="55"/>
      <c r="AM515" s="55"/>
      <c r="AN515" s="55"/>
      <c r="AO515" s="55"/>
      <c r="AP515" s="55"/>
      <c r="AQ515" s="55"/>
      <c r="AR515" s="55"/>
      <c r="AS515" s="55"/>
      <c r="AT515" s="55"/>
      <c r="AU515" s="55"/>
      <c r="AV515" s="55"/>
      <c r="AW515" s="55"/>
      <c r="AX515" s="53"/>
      <c r="BA515" s="2"/>
      <c r="BB515" s="2"/>
      <c r="BC515" s="101"/>
      <c r="BD515" s="101"/>
    </row>
    <row r="516" spans="1:56" s="84" customFormat="1" x14ac:dyDescent="0.35">
      <c r="A516" s="53"/>
      <c r="B516" s="54" t="s">
        <v>54</v>
      </c>
      <c r="C516" s="53"/>
      <c r="D516" s="31"/>
      <c r="E516" s="34"/>
      <c r="F516" s="99"/>
      <c r="G516" s="34"/>
      <c r="H516" s="34"/>
      <c r="I516" s="34"/>
      <c r="J516" s="34"/>
      <c r="K516" s="53"/>
      <c r="L516" s="55" t="s">
        <v>8</v>
      </c>
      <c r="M516" s="53"/>
      <c r="N516" s="142">
        <f ca="1">NOW()</f>
        <v>44720.650928935182</v>
      </c>
      <c r="O516" s="142"/>
      <c r="P516" s="142"/>
      <c r="Q516" s="53"/>
      <c r="R516" s="53"/>
      <c r="S516" s="53"/>
      <c r="T516" s="53"/>
      <c r="U516" s="53"/>
      <c r="V516" s="55"/>
      <c r="W516" s="55"/>
      <c r="X516" s="55"/>
      <c r="Y516" s="55"/>
      <c r="Z516" s="55"/>
      <c r="AA516" s="55"/>
      <c r="AB516" s="55"/>
      <c r="AC516" s="55"/>
      <c r="AD516" s="55"/>
      <c r="AE516" s="55"/>
      <c r="AF516" s="55"/>
      <c r="AG516" s="55"/>
      <c r="AH516" s="55"/>
      <c r="AI516" s="55"/>
      <c r="AJ516" s="55"/>
      <c r="AK516" s="56"/>
      <c r="AL516" s="55"/>
      <c r="AM516" s="55"/>
      <c r="AN516" s="55"/>
      <c r="AO516" s="55"/>
      <c r="AP516" s="55"/>
      <c r="AQ516" s="55"/>
      <c r="AR516" s="55"/>
      <c r="AS516" s="55"/>
      <c r="AT516" s="55"/>
      <c r="AU516" s="55"/>
      <c r="AV516" s="55"/>
      <c r="AW516" s="55"/>
      <c r="AX516" s="53"/>
      <c r="BA516" s="2"/>
      <c r="BB516" s="2"/>
      <c r="BC516" s="101"/>
      <c r="BD516" s="101"/>
    </row>
    <row r="517" spans="1:56" s="84" customFormat="1" x14ac:dyDescent="0.35">
      <c r="A517" s="53"/>
      <c r="B517" s="54"/>
      <c r="C517" s="53"/>
      <c r="D517" s="53"/>
      <c r="E517" s="53"/>
      <c r="F517" s="98"/>
      <c r="G517" s="55"/>
      <c r="H517" s="55"/>
      <c r="I517" s="55"/>
      <c r="J517" s="55"/>
      <c r="K517" s="55"/>
      <c r="L517" s="55"/>
      <c r="M517" s="55"/>
      <c r="N517" s="55"/>
      <c r="O517" s="55"/>
      <c r="P517" s="55"/>
      <c r="Q517" s="55"/>
      <c r="R517" s="55"/>
      <c r="S517" s="55"/>
      <c r="T517" s="55"/>
      <c r="U517" s="56"/>
      <c r="V517" s="55"/>
      <c r="W517" s="55"/>
      <c r="X517" s="55"/>
      <c r="Y517" s="55"/>
      <c r="Z517" s="55"/>
      <c r="AA517" s="55"/>
      <c r="AB517" s="55"/>
      <c r="AC517" s="55"/>
      <c r="AD517" s="55"/>
      <c r="AE517" s="55"/>
      <c r="AF517" s="55"/>
      <c r="AG517" s="55"/>
      <c r="AH517" s="55"/>
      <c r="AI517" s="55"/>
      <c r="AJ517" s="55"/>
      <c r="AK517" s="56"/>
      <c r="AL517" s="55"/>
      <c r="AM517" s="55"/>
      <c r="AN517" s="55"/>
      <c r="AO517" s="55"/>
      <c r="AP517" s="55"/>
      <c r="AQ517" s="55"/>
      <c r="AR517" s="55"/>
      <c r="AS517" s="55"/>
      <c r="AT517" s="55"/>
      <c r="AU517" s="55"/>
      <c r="AV517" s="55"/>
      <c r="AW517" s="55"/>
      <c r="AX517" s="53"/>
      <c r="BA517" s="2"/>
      <c r="BB517" s="2"/>
      <c r="BC517" s="101"/>
      <c r="BD517" s="101"/>
    </row>
    <row r="518" spans="1:56" s="84" customFormat="1" x14ac:dyDescent="0.35">
      <c r="A518" s="53"/>
      <c r="B518" s="54" t="s">
        <v>9</v>
      </c>
      <c r="C518" s="53"/>
      <c r="D518" s="53"/>
      <c r="E518" s="53"/>
      <c r="F518" s="98"/>
      <c r="G518" s="55"/>
      <c r="H518" s="55"/>
      <c r="I518" s="55"/>
      <c r="J518" s="55"/>
      <c r="K518" s="55"/>
      <c r="L518" s="55"/>
      <c r="M518" s="55"/>
      <c r="N518" s="55"/>
      <c r="O518" s="55"/>
      <c r="P518" s="55"/>
      <c r="Q518" s="55"/>
      <c r="R518" s="55"/>
      <c r="S518" s="55"/>
      <c r="T518" s="55"/>
      <c r="U518" s="56"/>
      <c r="V518" s="55"/>
      <c r="W518" s="55"/>
      <c r="X518" s="55"/>
      <c r="Y518" s="55"/>
      <c r="Z518" s="55"/>
      <c r="AA518" s="55"/>
      <c r="AB518" s="55"/>
      <c r="AC518" s="55"/>
      <c r="AD518" s="55"/>
      <c r="AE518" s="55"/>
      <c r="AF518" s="55"/>
      <c r="AG518" s="55"/>
      <c r="AH518" s="55"/>
      <c r="AI518" s="55"/>
      <c r="AJ518" s="55"/>
      <c r="AK518" s="56"/>
      <c r="AL518" s="55"/>
      <c r="AM518" s="55"/>
      <c r="AN518" s="55"/>
      <c r="AO518" s="55"/>
      <c r="AP518" s="55"/>
      <c r="AQ518" s="55"/>
      <c r="AR518" s="55"/>
      <c r="AS518" s="55"/>
      <c r="AT518" s="55"/>
      <c r="AU518" s="55"/>
      <c r="AV518" s="55"/>
      <c r="AW518" s="55"/>
      <c r="AX518" s="53"/>
      <c r="BA518" s="2"/>
      <c r="BB518" s="2"/>
      <c r="BC518" s="101"/>
      <c r="BD518" s="101"/>
    </row>
    <row r="519" spans="1:56" x14ac:dyDescent="0.35">
      <c r="BA519" s="2"/>
      <c r="BB519" s="2"/>
      <c r="BC519" s="101"/>
      <c r="BD519" s="101"/>
    </row>
    <row r="520" spans="1:56" x14ac:dyDescent="0.35">
      <c r="BA520" s="2"/>
      <c r="BB520" s="2"/>
      <c r="BC520" s="101"/>
      <c r="BD520" s="101"/>
    </row>
    <row r="521" spans="1:56" s="84" customFormat="1" ht="28.5" x14ac:dyDescent="0.65">
      <c r="F521" s="50"/>
      <c r="G521" s="143" t="s">
        <v>10</v>
      </c>
      <c r="H521" s="143"/>
      <c r="I521" s="143"/>
      <c r="J521" s="143"/>
      <c r="K521" s="143"/>
      <c r="L521" s="143"/>
      <c r="M521" s="143"/>
      <c r="N521" s="143"/>
      <c r="O521" s="143"/>
      <c r="P521" s="143"/>
      <c r="Q521" s="143"/>
      <c r="R521" s="143"/>
      <c r="S521" s="143"/>
      <c r="T521" s="143"/>
      <c r="U521" s="143"/>
      <c r="W521" s="37" t="s">
        <v>12</v>
      </c>
      <c r="X521" s="86" t="s">
        <v>11</v>
      </c>
      <c r="BA521" s="2"/>
      <c r="BB521" s="2"/>
      <c r="BC521" s="101"/>
      <c r="BD521" s="101"/>
    </row>
    <row r="522" spans="1:56" s="84" customFormat="1" x14ac:dyDescent="0.35">
      <c r="F522" s="50"/>
      <c r="G522" s="84" t="s">
        <v>0</v>
      </c>
      <c r="W522" s="37" t="s">
        <v>13</v>
      </c>
      <c r="X522" s="86" t="s">
        <v>14</v>
      </c>
      <c r="BA522" s="2"/>
      <c r="BB522" s="2"/>
      <c r="BC522" s="101"/>
      <c r="BD522" s="101"/>
    </row>
    <row r="523" spans="1:56" s="84" customFormat="1" x14ac:dyDescent="0.35">
      <c r="F523" s="50"/>
      <c r="W523" s="37" t="s">
        <v>1</v>
      </c>
      <c r="X523" s="86" t="s">
        <v>15</v>
      </c>
      <c r="BA523" s="2"/>
      <c r="BB523" s="2"/>
      <c r="BC523" s="101"/>
      <c r="BD523" s="101"/>
    </row>
    <row r="524" spans="1:56" s="84" customFormat="1" x14ac:dyDescent="0.35">
      <c r="F524" s="50"/>
      <c r="W524" s="37" t="s">
        <v>2</v>
      </c>
      <c r="X524" s="86" t="s">
        <v>16</v>
      </c>
      <c r="BA524" s="2"/>
      <c r="BB524" s="2"/>
      <c r="BC524" s="101"/>
      <c r="BD524" s="101"/>
    </row>
    <row r="525" spans="1:56" s="84" customFormat="1" ht="15" customHeight="1" x14ac:dyDescent="0.35">
      <c r="B525" s="154" t="s">
        <v>35</v>
      </c>
      <c r="F525" s="50"/>
      <c r="G525" s="154" t="s">
        <v>36</v>
      </c>
      <c r="H525" s="154"/>
      <c r="I525" s="154"/>
      <c r="K525" s="154" t="s">
        <v>36</v>
      </c>
      <c r="L525" s="154"/>
      <c r="M525" s="154"/>
      <c r="W525" s="37" t="s">
        <v>3</v>
      </c>
      <c r="X525" s="86" t="s">
        <v>17</v>
      </c>
      <c r="BA525" s="2"/>
      <c r="BB525" s="2"/>
      <c r="BC525" s="101"/>
      <c r="BD525" s="101"/>
    </row>
    <row r="526" spans="1:56" s="84" customFormat="1" x14ac:dyDescent="0.35">
      <c r="B526" s="155"/>
      <c r="D526" s="37" t="s">
        <v>34</v>
      </c>
      <c r="F526" s="50"/>
      <c r="G526" s="154"/>
      <c r="H526" s="154"/>
      <c r="I526" s="154"/>
      <c r="K526" s="154"/>
      <c r="L526" s="154"/>
      <c r="M526" s="154"/>
      <c r="W526" s="38"/>
      <c r="BA526" s="2"/>
      <c r="BB526" s="2"/>
      <c r="BC526" s="101"/>
      <c r="BD526" s="101"/>
    </row>
    <row r="527" spans="1:56" s="84" customFormat="1" x14ac:dyDescent="0.35">
      <c r="B527" s="100">
        <f>B453+1</f>
        <v>17</v>
      </c>
      <c r="D527" s="100">
        <f>D453</f>
        <v>2021</v>
      </c>
      <c r="E527" s="87" t="s">
        <v>38</v>
      </c>
      <c r="F527" s="50"/>
      <c r="G527" s="156">
        <f>K453+1</f>
        <v>44409</v>
      </c>
      <c r="H527" s="157"/>
      <c r="I527" s="158"/>
      <c r="J527" s="37" t="s">
        <v>37</v>
      </c>
      <c r="K527" s="156">
        <f>IF(G527="","",G527+13)</f>
        <v>44422</v>
      </c>
      <c r="L527" s="157"/>
      <c r="M527" s="158"/>
      <c r="P527" s="159" t="s">
        <v>39</v>
      </c>
      <c r="Q527" s="160"/>
      <c r="R527" s="160"/>
      <c r="S527" s="160"/>
      <c r="T527" s="161"/>
      <c r="U527" s="24">
        <v>80</v>
      </c>
      <c r="BA527" s="2"/>
      <c r="BB527" s="2"/>
      <c r="BC527" s="101"/>
      <c r="BD527" s="101"/>
    </row>
    <row r="528" spans="1:56" s="84" customFormat="1" x14ac:dyDescent="0.35">
      <c r="F528" s="50"/>
      <c r="AM528" s="144" t="s">
        <v>4</v>
      </c>
      <c r="AN528" s="144"/>
      <c r="AO528" s="144"/>
      <c r="AP528" s="144"/>
      <c r="AQ528" s="144"/>
      <c r="AR528" s="144"/>
      <c r="AS528" s="144"/>
      <c r="AU528" s="100" t="s">
        <v>4</v>
      </c>
      <c r="BA528" s="2"/>
      <c r="BB528" s="2"/>
      <c r="BC528" s="101"/>
      <c r="BD528" s="101"/>
    </row>
    <row r="529" spans="2:56" s="84" customFormat="1" ht="15" customHeight="1" x14ac:dyDescent="0.35">
      <c r="B529" s="40"/>
      <c r="C529" s="41"/>
      <c r="D529" s="42" t="s">
        <v>32</v>
      </c>
      <c r="E529" s="43" t="s">
        <v>5</v>
      </c>
      <c r="F529" s="50"/>
      <c r="G529" s="162">
        <f>G527</f>
        <v>44409</v>
      </c>
      <c r="H529" s="163"/>
      <c r="I529" s="162">
        <f>IF(G529="","",G529+1)</f>
        <v>44410</v>
      </c>
      <c r="J529" s="163"/>
      <c r="K529" s="162">
        <f>IF(I529="","",I529+1)</f>
        <v>44411</v>
      </c>
      <c r="L529" s="163"/>
      <c r="M529" s="162">
        <f>IF(K529="","",K529+1)</f>
        <v>44412</v>
      </c>
      <c r="N529" s="163"/>
      <c r="O529" s="162">
        <f>IF(M529="","",M529+1)</f>
        <v>44413</v>
      </c>
      <c r="P529" s="163"/>
      <c r="Q529" s="162">
        <f>IF(O529="","",O529+1)</f>
        <v>44414</v>
      </c>
      <c r="R529" s="163"/>
      <c r="S529" s="162">
        <f>IF(Q529="","",Q529+1)</f>
        <v>44415</v>
      </c>
      <c r="T529" s="164"/>
      <c r="U529" s="44"/>
      <c r="W529" s="162">
        <f>IF(S529="","",S529+1)</f>
        <v>44416</v>
      </c>
      <c r="X529" s="163"/>
      <c r="Y529" s="162">
        <f>IF(W529="","",W529+1)</f>
        <v>44417</v>
      </c>
      <c r="Z529" s="163"/>
      <c r="AA529" s="162">
        <f>IF(Y529="","",Y529+1)</f>
        <v>44418</v>
      </c>
      <c r="AB529" s="163"/>
      <c r="AC529" s="162">
        <f>IF(AA529="","",AA529+1)</f>
        <v>44419</v>
      </c>
      <c r="AD529" s="163"/>
      <c r="AE529" s="162">
        <f>IF(AC529="","",AC529+1)</f>
        <v>44420</v>
      </c>
      <c r="AF529" s="163"/>
      <c r="AG529" s="162">
        <f>IF(AE529="","",AE529+1)</f>
        <v>44421</v>
      </c>
      <c r="AH529" s="163"/>
      <c r="AI529" s="162">
        <f>IF(AG529="","",AG529+1)</f>
        <v>44422</v>
      </c>
      <c r="AJ529" s="164"/>
      <c r="AK529" s="44"/>
      <c r="AM529" s="145" t="s">
        <v>18</v>
      </c>
      <c r="AN529" s="165" t="s">
        <v>55</v>
      </c>
      <c r="AO529" s="145" t="s">
        <v>19</v>
      </c>
      <c r="AP529" s="145" t="s">
        <v>20</v>
      </c>
      <c r="AQ529" s="145" t="s">
        <v>21</v>
      </c>
      <c r="AR529" s="166" t="s">
        <v>22</v>
      </c>
      <c r="AS529" s="167" t="s">
        <v>23</v>
      </c>
      <c r="AU529" s="144" t="s">
        <v>6</v>
      </c>
      <c r="AW529" s="145" t="s">
        <v>24</v>
      </c>
      <c r="BA529" s="2"/>
      <c r="BB529" s="2"/>
      <c r="BC529" s="101"/>
      <c r="BD529" s="101"/>
    </row>
    <row r="530" spans="2:56" s="84" customFormat="1" x14ac:dyDescent="0.35">
      <c r="B530" s="45" t="s">
        <v>33</v>
      </c>
      <c r="C530" s="46"/>
      <c r="D530" s="47"/>
      <c r="E530" s="47"/>
      <c r="F530" s="50"/>
      <c r="G530" s="146" t="s">
        <v>25</v>
      </c>
      <c r="H530" s="147"/>
      <c r="I530" s="146" t="s">
        <v>26</v>
      </c>
      <c r="J530" s="147"/>
      <c r="K530" s="146" t="s">
        <v>27</v>
      </c>
      <c r="L530" s="147"/>
      <c r="M530" s="146" t="s">
        <v>28</v>
      </c>
      <c r="N530" s="147"/>
      <c r="O530" s="146" t="s">
        <v>29</v>
      </c>
      <c r="P530" s="147"/>
      <c r="Q530" s="146" t="s">
        <v>30</v>
      </c>
      <c r="R530" s="147"/>
      <c r="S530" s="146" t="s">
        <v>31</v>
      </c>
      <c r="T530" s="148"/>
      <c r="U530" s="48" t="s">
        <v>7</v>
      </c>
      <c r="W530" s="146" t="s">
        <v>25</v>
      </c>
      <c r="X530" s="147"/>
      <c r="Y530" s="146" t="s">
        <v>26</v>
      </c>
      <c r="Z530" s="147"/>
      <c r="AA530" s="146" t="s">
        <v>27</v>
      </c>
      <c r="AB530" s="147"/>
      <c r="AC530" s="146" t="s">
        <v>28</v>
      </c>
      <c r="AD530" s="147"/>
      <c r="AE530" s="146" t="s">
        <v>29</v>
      </c>
      <c r="AF530" s="147"/>
      <c r="AG530" s="146" t="s">
        <v>30</v>
      </c>
      <c r="AH530" s="147"/>
      <c r="AI530" s="146" t="s">
        <v>31</v>
      </c>
      <c r="AJ530" s="148"/>
      <c r="AK530" s="48" t="s">
        <v>7</v>
      </c>
      <c r="AM530" s="145"/>
      <c r="AN530" s="165"/>
      <c r="AO530" s="145"/>
      <c r="AP530" s="145"/>
      <c r="AQ530" s="145"/>
      <c r="AR530" s="166"/>
      <c r="AS530" s="167"/>
      <c r="AU530" s="144"/>
      <c r="AW530" s="145"/>
      <c r="BA530" s="2"/>
      <c r="BB530" s="2"/>
      <c r="BC530" s="101"/>
      <c r="BD530" s="101"/>
    </row>
    <row r="531" spans="2:56" s="84" customFormat="1" x14ac:dyDescent="0.35">
      <c r="B531" s="63"/>
      <c r="C531" s="25"/>
      <c r="D531" s="25"/>
      <c r="E531" s="25"/>
      <c r="F531" s="50"/>
      <c r="BA531" s="2"/>
      <c r="BB531" s="2"/>
      <c r="BC531" s="101"/>
      <c r="BD531" s="101"/>
    </row>
    <row r="532" spans="2:56" s="84" customFormat="1" x14ac:dyDescent="0.35">
      <c r="B532" s="26"/>
      <c r="C532" s="27"/>
      <c r="D532" s="28">
        <f>IF(D458="","",D458)</f>
        <v>31428</v>
      </c>
      <c r="E532" s="29" t="str">
        <f>IF(E458="","",E458)</f>
        <v/>
      </c>
      <c r="F532" s="50">
        <f>B527</f>
        <v>17</v>
      </c>
      <c r="G532" s="59"/>
      <c r="H532" s="64"/>
      <c r="I532" s="106"/>
      <c r="J532" s="105"/>
      <c r="K532" s="106"/>
      <c r="L532" s="105"/>
      <c r="M532" s="106"/>
      <c r="N532" s="105"/>
      <c r="O532" s="106"/>
      <c r="P532" s="105"/>
      <c r="Q532" s="106"/>
      <c r="R532" s="105"/>
      <c r="S532" s="59"/>
      <c r="T532" s="64"/>
      <c r="U532" s="44"/>
      <c r="W532" s="59"/>
      <c r="X532" s="64"/>
      <c r="Y532" s="106"/>
      <c r="Z532" s="105"/>
      <c r="AA532" s="106"/>
      <c r="AB532" s="105"/>
      <c r="AC532" s="106"/>
      <c r="AD532" s="105"/>
      <c r="AE532" s="106"/>
      <c r="AF532" s="105"/>
      <c r="AG532" s="106"/>
      <c r="AH532" s="105"/>
      <c r="AI532" s="59"/>
      <c r="AJ532" s="64"/>
      <c r="AK532" s="44"/>
      <c r="AM532" s="49"/>
      <c r="AN532" s="49"/>
      <c r="AO532" s="49"/>
      <c r="AP532" s="49"/>
      <c r="AQ532" s="49"/>
      <c r="AR532" s="40"/>
      <c r="AS532" s="51"/>
      <c r="AU532" s="49"/>
      <c r="AW532" s="52"/>
      <c r="BA532" s="2"/>
      <c r="BB532" s="2"/>
      <c r="BC532" s="101"/>
      <c r="BD532" s="101"/>
    </row>
    <row r="533" spans="2:56" s="84" customFormat="1" x14ac:dyDescent="0.35">
      <c r="B533" s="30" t="str">
        <f>IF(B459="","",B459)</f>
        <v>Gaulin, Francis</v>
      </c>
      <c r="C533" s="31"/>
      <c r="D533" s="32"/>
      <c r="E533" s="33">
        <f t="shared" ref="E533:E564" si="239">IF(E459="","",E459)</f>
        <v>93542</v>
      </c>
      <c r="F533" s="50">
        <f>B527</f>
        <v>17</v>
      </c>
      <c r="G533" s="95"/>
      <c r="H533" s="70"/>
      <c r="I533" s="104"/>
      <c r="J533" s="103">
        <v>8</v>
      </c>
      <c r="K533" s="104"/>
      <c r="L533" s="103">
        <v>8.5</v>
      </c>
      <c r="M533" s="104"/>
      <c r="N533" s="103">
        <v>8.5</v>
      </c>
      <c r="O533" s="104"/>
      <c r="P533" s="103">
        <v>8.5</v>
      </c>
      <c r="Q533" s="104"/>
      <c r="R533" s="103">
        <v>6.5</v>
      </c>
      <c r="S533" s="69"/>
      <c r="T533" s="70"/>
      <c r="U533" s="71">
        <f>SUM(G533:T533)</f>
        <v>40</v>
      </c>
      <c r="V533" s="72"/>
      <c r="W533" s="69"/>
      <c r="X533" s="70"/>
      <c r="Y533" s="104"/>
      <c r="Z533" s="103">
        <v>8</v>
      </c>
      <c r="AA533" s="104"/>
      <c r="AB533" s="103">
        <v>8</v>
      </c>
      <c r="AC533" s="104"/>
      <c r="AD533" s="103">
        <v>8</v>
      </c>
      <c r="AE533" s="104"/>
      <c r="AF533" s="103">
        <v>8</v>
      </c>
      <c r="AG533" s="104"/>
      <c r="AH533" s="103">
        <v>8</v>
      </c>
      <c r="AI533" s="69"/>
      <c r="AJ533" s="70"/>
      <c r="AK533" s="71">
        <f>SUM(W533:AJ533)</f>
        <v>40</v>
      </c>
      <c r="AL533" s="72"/>
      <c r="AM533" s="73">
        <f>SUMIF($G532:$T532,"",$G533:$T533)+SUMIF($W532:$AJ532,"",$W533:$AJ533)-AN533</f>
        <v>80</v>
      </c>
      <c r="AN533" s="88">
        <f>IF(SUMIF($G532:$T532,"",$G533:$T533)+SUMIF($G532:$T532,"F",$G533:$T533)+SUMIF($G532:$T532,"V",$G533:$T533)-40&lt;0,0,SUMIF($G532:$T532,"",$G533:$T533)+SUMIF($G532:$T532,"F",$G533:$T533)+SUMIF($G532:$T532,"V",$G533:$T533)-($U$9/2))+IF(SUMIF($W532:$AJ532,"",$W533:$AJ533)+SUMIF($W532:$AJ532,"F",$W533:$AJ533)+SUMIF($W532:$AJ532,"V",$W533:$AJ533)-40&lt;0,0,SUMIF($W532:$AJ532,"",$W533:$AJ533)+SUMIF($W532:$AJ532,"F",$W533:$AJ533)+SUMIF($W532:$AJ532,"V",$W533:$AJ533)-($U$9/2))</f>
        <v>0</v>
      </c>
      <c r="AO533" s="73">
        <f>SUMIF($G532:$T532,"M",$G533:$T533)+SUMIF($W532:$AJ532,"M",$W533:$AJ533)</f>
        <v>0</v>
      </c>
      <c r="AP533" s="73">
        <f>SUMIF($G532:$T532,"F",$G533:$T533)+SUMIF($W532:$AJ532,"F",$W533:$AJ533)</f>
        <v>0</v>
      </c>
      <c r="AQ533" s="73">
        <f>SUMIF($G532:$T532,"V",$G533:$T533)+SUMIF($W532:$AJ532,"V",$W533:$AJ533)</f>
        <v>0</v>
      </c>
      <c r="AR533" s="74">
        <f>SUMIF($G532:$T532,"O",$G533:$T533)+SUMIF($W532:$AJ532,"O",$W533:$AJ533)</f>
        <v>0</v>
      </c>
      <c r="AS533" s="75">
        <f>SUM(AM533:AR533)</f>
        <v>80</v>
      </c>
      <c r="AT533" s="72"/>
      <c r="AU533" s="73">
        <f>SUMIF($G532:$T532,"A",$G533:$T533)+SUMIF($W532:$AJ532,"A",$W533:$AJ533)</f>
        <v>0</v>
      </c>
      <c r="AV533" s="72"/>
      <c r="AW533" s="76">
        <f>IF(B533="",0,IF($U$9="",0,$U$9))</f>
        <v>80</v>
      </c>
      <c r="BA533" s="2"/>
      <c r="BB533" s="2"/>
      <c r="BC533" s="101"/>
      <c r="BD533" s="101"/>
    </row>
    <row r="534" spans="2:56" s="84" customFormat="1" x14ac:dyDescent="0.35">
      <c r="B534" s="26"/>
      <c r="C534" s="27"/>
      <c r="D534" s="28">
        <f>IF(D460="","",D460)</f>
        <v>24287</v>
      </c>
      <c r="E534" s="29" t="str">
        <f t="shared" si="239"/>
        <v/>
      </c>
      <c r="F534" s="50">
        <f>B527</f>
        <v>17</v>
      </c>
      <c r="G534" s="59"/>
      <c r="H534" s="64"/>
      <c r="I534" s="106"/>
      <c r="J534" s="105"/>
      <c r="K534" s="106"/>
      <c r="L534" s="105"/>
      <c r="M534" s="106"/>
      <c r="N534" s="105"/>
      <c r="O534" s="106"/>
      <c r="P534" s="105"/>
      <c r="Q534" s="106"/>
      <c r="R534" s="105"/>
      <c r="S534" s="59"/>
      <c r="T534" s="64"/>
      <c r="U534" s="44"/>
      <c r="W534" s="59"/>
      <c r="X534" s="64"/>
      <c r="Y534" s="106"/>
      <c r="Z534" s="105"/>
      <c r="AA534" s="106"/>
      <c r="AB534" s="105"/>
      <c r="AC534" s="106"/>
      <c r="AD534" s="105"/>
      <c r="AE534" s="106"/>
      <c r="AF534" s="105"/>
      <c r="AG534" s="106"/>
      <c r="AH534" s="105"/>
      <c r="AI534" s="59"/>
      <c r="AJ534" s="64"/>
      <c r="AK534" s="44"/>
      <c r="AM534" s="49"/>
      <c r="AN534" s="49"/>
      <c r="AO534" s="49"/>
      <c r="AP534" s="49"/>
      <c r="AQ534" s="49"/>
      <c r="AR534" s="40"/>
      <c r="AS534" s="51"/>
      <c r="AU534" s="49"/>
      <c r="AW534" s="52"/>
      <c r="BA534" s="2"/>
      <c r="BB534" s="2"/>
      <c r="BC534" s="101"/>
      <c r="BD534" s="101"/>
    </row>
    <row r="535" spans="2:56" s="84" customFormat="1" x14ac:dyDescent="0.35">
      <c r="B535" s="30" t="str">
        <f>IF(B461="","",B461)</f>
        <v>Barrata, Dominic(Avance $500.00)</v>
      </c>
      <c r="C535" s="31"/>
      <c r="D535" s="32"/>
      <c r="E535" s="33">
        <f t="shared" si="239"/>
        <v>93595935</v>
      </c>
      <c r="F535" s="50">
        <f>B527</f>
        <v>17</v>
      </c>
      <c r="G535" s="69"/>
      <c r="H535" s="70"/>
      <c r="I535" s="104"/>
      <c r="J535" s="103" t="s">
        <v>69</v>
      </c>
      <c r="K535" s="104"/>
      <c r="L535" s="103" t="s">
        <v>69</v>
      </c>
      <c r="M535" s="104"/>
      <c r="N535" s="103" t="s">
        <v>69</v>
      </c>
      <c r="O535" s="104"/>
      <c r="P535" s="103" t="s">
        <v>69</v>
      </c>
      <c r="Q535" s="104"/>
      <c r="R535" s="103" t="s">
        <v>69</v>
      </c>
      <c r="S535" s="69"/>
      <c r="T535" s="70"/>
      <c r="U535" s="71">
        <f t="shared" ref="U535" si="240">SUM(G535:T535)</f>
        <v>0</v>
      </c>
      <c r="V535" s="72"/>
      <c r="W535" s="69"/>
      <c r="X535" s="70"/>
      <c r="Y535" s="104"/>
      <c r="Z535" s="103" t="s">
        <v>69</v>
      </c>
      <c r="AA535" s="104"/>
      <c r="AB535" s="103" t="s">
        <v>69</v>
      </c>
      <c r="AC535" s="104"/>
      <c r="AD535" s="103" t="s">
        <v>69</v>
      </c>
      <c r="AE535" s="104"/>
      <c r="AF535" s="103" t="s">
        <v>69</v>
      </c>
      <c r="AG535" s="104"/>
      <c r="AH535" s="103" t="s">
        <v>69</v>
      </c>
      <c r="AI535" s="69"/>
      <c r="AJ535" s="70"/>
      <c r="AK535" s="71">
        <f>SUM(W535:AJ535)</f>
        <v>0</v>
      </c>
      <c r="AL535" s="72"/>
      <c r="AM535" s="73">
        <f>SUMIF($G534:$T534,"",$G535:$T535)+SUMIF($W534:$AJ534,"",$W535:$AJ535)-AN535</f>
        <v>0</v>
      </c>
      <c r="AN535" s="88">
        <f>IF(SUMIF($G534:$T534,"",$G535:$T535)+SUMIF($G534:$T534,"F",$G535:$T535)+SUMIF($G534:$T534,"V",$G535:$T535)-40&lt;0,0,SUMIF($G534:$T534,"",$G535:$T535)+SUMIF($G534:$T534,"F",$G535:$T535)+SUMIF($G534:$T534,"V",$G535:$T535)-($U$9/2))+IF(SUMIF($W534:$AJ534,"",$W535:$AJ535)+SUMIF($W534:$AJ534,"F",$W535:$AJ535)+SUMIF($W534:$AJ534,"V",$W535:$AJ535)-40&lt;0,0,SUMIF($W534:$AJ534,"",$W535:$AJ535)+SUMIF($W534:$AJ534,"F",$W535:$AJ535)+SUMIF($W534:$AJ534,"V",$W535:$AJ535)-($U$9/2))</f>
        <v>0</v>
      </c>
      <c r="AO535" s="73">
        <f>SUMIF($G534:$T534,"M",$G535:$T535)+SUMIF($W534:$AJ534,"M",$W535:$AJ535)</f>
        <v>0</v>
      </c>
      <c r="AP535" s="73">
        <f>SUMIF($G534:$T534,"F",$G535:$T535)+SUMIF($W534:$AJ534,"F",$W535:$AJ535)</f>
        <v>0</v>
      </c>
      <c r="AQ535" s="73">
        <f>SUMIF($G534:$T534,"V",$G535:$T535)+SUMIF($W534:$AJ534,"V",$W535:$AJ535)</f>
        <v>0</v>
      </c>
      <c r="AR535" s="74">
        <f>SUMIF($G534:$T534,"O",$G535:$T535)+SUMIF($W534:$AJ534,"O",$W535:$AJ535)</f>
        <v>0</v>
      </c>
      <c r="AS535" s="75">
        <f>SUM(AM535:AR535)</f>
        <v>0</v>
      </c>
      <c r="AT535" s="72"/>
      <c r="AU535" s="73">
        <f>SUMIF($G534:$T534,"A",$G535:$T535)+SUMIF($W534:$AJ534,"A",$W535:$AJ535)</f>
        <v>0</v>
      </c>
      <c r="AV535" s="72"/>
      <c r="AW535" s="76">
        <f>IF(B535="",0,IF($U$9="",0,$U$9))</f>
        <v>80</v>
      </c>
      <c r="BA535" s="2"/>
      <c r="BB535" s="2"/>
      <c r="BC535" s="101"/>
      <c r="BD535" s="101"/>
    </row>
    <row r="536" spans="2:56" s="84" customFormat="1" x14ac:dyDescent="0.35">
      <c r="B536" s="26"/>
      <c r="C536" s="27"/>
      <c r="D536" s="28">
        <f>IF(D462="","",D462)</f>
        <v>92032</v>
      </c>
      <c r="E536" s="29" t="str">
        <f t="shared" si="239"/>
        <v/>
      </c>
      <c r="F536" s="50">
        <f>B527</f>
        <v>17</v>
      </c>
      <c r="G536" s="59"/>
      <c r="H536" s="64"/>
      <c r="I536" s="106"/>
      <c r="J536" s="105"/>
      <c r="K536" s="106"/>
      <c r="L536" s="105"/>
      <c r="M536" s="106"/>
      <c r="N536" s="105"/>
      <c r="O536" s="106"/>
      <c r="P536" s="105"/>
      <c r="Q536" s="106"/>
      <c r="R536" s="105"/>
      <c r="S536" s="59"/>
      <c r="T536" s="64"/>
      <c r="U536" s="44"/>
      <c r="W536" s="59"/>
      <c r="X536" s="64"/>
      <c r="Y536" s="106"/>
      <c r="Z536" s="105"/>
      <c r="AA536" s="106"/>
      <c r="AB536" s="105"/>
      <c r="AC536" s="106"/>
      <c r="AD536" s="105"/>
      <c r="AE536" s="106"/>
      <c r="AF536" s="105"/>
      <c r="AG536" s="106"/>
      <c r="AH536" s="105"/>
      <c r="AI536" s="59"/>
      <c r="AJ536" s="64"/>
      <c r="AK536" s="44"/>
      <c r="AM536" s="49"/>
      <c r="AN536" s="49"/>
      <c r="AO536" s="49"/>
      <c r="AP536" s="49"/>
      <c r="AQ536" s="49"/>
      <c r="AR536" s="40"/>
      <c r="AS536" s="51"/>
      <c r="AU536" s="49"/>
      <c r="AW536" s="52"/>
      <c r="BA536" s="2"/>
      <c r="BB536" s="2"/>
      <c r="BC536" s="101"/>
      <c r="BD536" s="101"/>
    </row>
    <row r="537" spans="2:56" s="84" customFormat="1" x14ac:dyDescent="0.35">
      <c r="B537" s="30" t="str">
        <f>IF(B463="","",B463)</f>
        <v>Benoit, Jean-Paul(Avance $1,600.00)</v>
      </c>
      <c r="C537" s="31"/>
      <c r="D537" s="32"/>
      <c r="E537" s="33">
        <f t="shared" si="239"/>
        <v>93595935</v>
      </c>
      <c r="F537" s="50">
        <f>B527</f>
        <v>17</v>
      </c>
      <c r="G537" s="69"/>
      <c r="H537" s="70"/>
      <c r="I537" s="104"/>
      <c r="J537" s="103" t="s">
        <v>69</v>
      </c>
      <c r="K537" s="104"/>
      <c r="L537" s="103" t="s">
        <v>69</v>
      </c>
      <c r="M537" s="104"/>
      <c r="N537" s="103" t="s">
        <v>69</v>
      </c>
      <c r="O537" s="104"/>
      <c r="P537" s="103" t="s">
        <v>69</v>
      </c>
      <c r="Q537" s="104"/>
      <c r="R537" s="103" t="s">
        <v>69</v>
      </c>
      <c r="S537" s="69"/>
      <c r="T537" s="70"/>
      <c r="U537" s="71">
        <f t="shared" ref="U537" si="241">SUM(G537:T537)</f>
        <v>0</v>
      </c>
      <c r="V537" s="72"/>
      <c r="W537" s="69"/>
      <c r="X537" s="70"/>
      <c r="Y537" s="104"/>
      <c r="Z537" s="103" t="s">
        <v>69</v>
      </c>
      <c r="AA537" s="104"/>
      <c r="AB537" s="103" t="s">
        <v>69</v>
      </c>
      <c r="AC537" s="104"/>
      <c r="AD537" s="103" t="s">
        <v>69</v>
      </c>
      <c r="AE537" s="104"/>
      <c r="AF537" s="103" t="s">
        <v>69</v>
      </c>
      <c r="AG537" s="104"/>
      <c r="AH537" s="103" t="s">
        <v>69</v>
      </c>
      <c r="AI537" s="69"/>
      <c r="AJ537" s="70"/>
      <c r="AK537" s="71">
        <f>SUM(W537:AJ537)</f>
        <v>0</v>
      </c>
      <c r="AL537" s="72"/>
      <c r="AM537" s="73">
        <f>SUMIF($G536:$T536,"",$G537:$T537)+SUMIF($W536:$AJ536,"",$W537:$AJ537)-AN537</f>
        <v>0</v>
      </c>
      <c r="AN537" s="88">
        <f>IF(SUMIF($G536:$T536,"",$G537:$T537)+SUMIF($G536:$T536,"F",$G537:$T537)+SUMIF($G536:$T536,"V",$G537:$T537)-40&lt;0,0,SUMIF($G536:$T536,"",$G537:$T537)+SUMIF($G536:$T536,"F",$G537:$T537)+SUMIF($G536:$T536,"V",$G537:$T537)-($U$9/2))+IF(SUMIF($W536:$AJ536,"",$W537:$AJ537)+SUMIF($W536:$AJ536,"F",$W537:$AJ537)+SUMIF($W536:$AJ536,"V",$W537:$AJ537)-40&lt;0,0,SUMIF($W536:$AJ536,"",$W537:$AJ537)+SUMIF($W536:$AJ536,"F",$W537:$AJ537)+SUMIF($W536:$AJ536,"V",$W537:$AJ537)-($U$9/2))</f>
        <v>0</v>
      </c>
      <c r="AO537" s="73">
        <f>SUMIF($G536:$T536,"M",$G537:$T537)+SUMIF($W536:$AJ536,"M",$W537:$AJ537)</f>
        <v>0</v>
      </c>
      <c r="AP537" s="73">
        <f>SUMIF($G536:$T536,"F",$G537:$T537)+SUMIF($W536:$AJ536,"F",$W537:$AJ537)</f>
        <v>0</v>
      </c>
      <c r="AQ537" s="73">
        <f>SUMIF($G536:$T536,"V",$G537:$T537)+SUMIF($W536:$AJ536,"V",$W537:$AJ537)</f>
        <v>0</v>
      </c>
      <c r="AR537" s="74">
        <f>SUMIF($G536:$T536,"O",$G537:$T537)+SUMIF($W536:$AJ536,"O",$W537:$AJ537)</f>
        <v>0</v>
      </c>
      <c r="AS537" s="75">
        <f>SUM(AM537:AR537)</f>
        <v>0</v>
      </c>
      <c r="AT537" s="72"/>
      <c r="AU537" s="73">
        <f>SUMIF($G536:$T536,"A",$G537:$T537)+SUMIF($W536:$AJ536,"A",$W537:$AJ537)</f>
        <v>0</v>
      </c>
      <c r="AV537" s="72"/>
      <c r="AW537" s="76">
        <f>IF(B537="",0,IF($U$9="",0,$U$9))</f>
        <v>80</v>
      </c>
      <c r="BA537" s="2"/>
      <c r="BB537" s="2"/>
      <c r="BC537" s="101"/>
      <c r="BD537" s="101"/>
    </row>
    <row r="538" spans="2:56" s="84" customFormat="1" x14ac:dyDescent="0.35">
      <c r="B538" s="26"/>
      <c r="C538" s="27"/>
      <c r="D538" s="28">
        <f>IF(D464="","",D464)</f>
        <v>81077</v>
      </c>
      <c r="E538" s="29" t="str">
        <f t="shared" si="239"/>
        <v/>
      </c>
      <c r="F538" s="50">
        <f>B527</f>
        <v>17</v>
      </c>
      <c r="G538" s="93"/>
      <c r="H538" s="94"/>
      <c r="I538" s="106"/>
      <c r="J538" s="105"/>
      <c r="K538" s="106"/>
      <c r="L538" s="105"/>
      <c r="M538" s="106"/>
      <c r="N538" s="105"/>
      <c r="O538" s="106"/>
      <c r="P538" s="105"/>
      <c r="Q538" s="106"/>
      <c r="R538" s="105"/>
      <c r="S538" s="59"/>
      <c r="T538" s="64"/>
      <c r="U538" s="44"/>
      <c r="W538" s="59"/>
      <c r="X538" s="64"/>
      <c r="Y538" s="106"/>
      <c r="Z538" s="105"/>
      <c r="AA538" s="106"/>
      <c r="AB538" s="105"/>
      <c r="AC538" s="106"/>
      <c r="AD538" s="105"/>
      <c r="AE538" s="106"/>
      <c r="AF538" s="105"/>
      <c r="AG538" s="106"/>
      <c r="AH538" s="105"/>
      <c r="AI538" s="59"/>
      <c r="AJ538" s="64"/>
      <c r="AK538" s="44"/>
      <c r="AM538" s="49"/>
      <c r="AN538" s="49"/>
      <c r="AO538" s="49"/>
      <c r="AP538" s="49"/>
      <c r="AQ538" s="49"/>
      <c r="AR538" s="40"/>
      <c r="AS538" s="51"/>
      <c r="AU538" s="49"/>
      <c r="AW538" s="52"/>
      <c r="BA538" s="2"/>
      <c r="BB538" s="2"/>
      <c r="BC538" s="101"/>
      <c r="BD538" s="101"/>
    </row>
    <row r="539" spans="2:56" s="84" customFormat="1" x14ac:dyDescent="0.35">
      <c r="B539" s="30" t="str">
        <f>IF(B465="","",B465)</f>
        <v>Bourassa, Julie</v>
      </c>
      <c r="C539" s="31"/>
      <c r="D539" s="32"/>
      <c r="E539" s="33">
        <f t="shared" si="239"/>
        <v>93540</v>
      </c>
      <c r="F539" s="50">
        <f>B527</f>
        <v>17</v>
      </c>
      <c r="G539" s="93"/>
      <c r="H539" s="94"/>
      <c r="I539" s="104"/>
      <c r="J539" s="103">
        <v>8</v>
      </c>
      <c r="K539" s="104"/>
      <c r="L539" s="103">
        <v>8.5</v>
      </c>
      <c r="M539" s="104"/>
      <c r="N539" s="103">
        <v>8</v>
      </c>
      <c r="O539" s="104"/>
      <c r="P539" s="103">
        <v>8.5</v>
      </c>
      <c r="Q539" s="104"/>
      <c r="R539" s="103">
        <v>7.5</v>
      </c>
      <c r="S539" s="69"/>
      <c r="T539" s="70"/>
      <c r="U539" s="71">
        <f t="shared" ref="U539" si="242">SUM(G539:T539)</f>
        <v>40.5</v>
      </c>
      <c r="V539" s="72"/>
      <c r="W539" s="69"/>
      <c r="X539" s="70"/>
      <c r="Y539" s="104"/>
      <c r="Z539" s="103">
        <v>8</v>
      </c>
      <c r="AA539" s="104"/>
      <c r="AB539" s="103">
        <v>8.5</v>
      </c>
      <c r="AC539" s="104"/>
      <c r="AD539" s="103">
        <v>8</v>
      </c>
      <c r="AE539" s="104"/>
      <c r="AF539" s="103">
        <v>8.5</v>
      </c>
      <c r="AG539" s="104"/>
      <c r="AH539" s="103">
        <v>7.5</v>
      </c>
      <c r="AI539" s="69"/>
      <c r="AJ539" s="70"/>
      <c r="AK539" s="71">
        <f>SUM(W539:AJ539)</f>
        <v>40.5</v>
      </c>
      <c r="AL539" s="72"/>
      <c r="AM539" s="73">
        <f>SUMIF($G538:$T538,"",$G539:$T539)+SUMIF($W538:$AJ538,"",$W539:$AJ539)-AN539</f>
        <v>80</v>
      </c>
      <c r="AN539" s="88">
        <f>IF(SUMIF($G538:$T538,"",$G539:$T539)+SUMIF($G538:$T538,"F",$G539:$T539)+SUMIF($G538:$T538,"V",$G539:$T539)-40&lt;0,0,SUMIF($G538:$T538,"",$G539:$T539)+SUMIF($G538:$T538,"F",$G539:$T539)+SUMIF($G538:$T538,"V",$G539:$T539)-($U$9/2))+IF(SUMIF($W538:$AJ538,"",$W539:$AJ539)+SUMIF($W538:$AJ538,"F",$W539:$AJ539)+SUMIF($W538:$AJ538,"V",$W539:$AJ539)-40&lt;0,0,SUMIF($W538:$AJ538,"",$W539:$AJ539)+SUMIF($W538:$AJ538,"F",$W539:$AJ539)+SUMIF($W538:$AJ538,"V",$W539:$AJ539)-($U$9/2))</f>
        <v>1</v>
      </c>
      <c r="AO539" s="73">
        <f>SUMIF($G538:$T538,"M",$G539:$T539)+SUMIF($W538:$AJ538,"M",$W539:$AJ539)</f>
        <v>0</v>
      </c>
      <c r="AP539" s="73">
        <f>SUMIF($G538:$T538,"F",$G539:$T539)+SUMIF($W538:$AJ538,"F",$W539:$AJ539)</f>
        <v>0</v>
      </c>
      <c r="AQ539" s="73">
        <f>SUMIF($G538:$T538,"V",$G539:$T539)+SUMIF($W538:$AJ538,"V",$W539:$AJ539)</f>
        <v>0</v>
      </c>
      <c r="AR539" s="74">
        <f>SUMIF($G538:$T538,"O",$G539:$T539)+SUMIF($W538:$AJ538,"O",$W539:$AJ539)</f>
        <v>0</v>
      </c>
      <c r="AS539" s="75">
        <f>SUM(AM539:AR539)</f>
        <v>81</v>
      </c>
      <c r="AT539" s="72"/>
      <c r="AU539" s="73">
        <f>SUMIF($G538:$T538,"A",$G539:$T539)+SUMIF($W538:$AJ538,"A",$W539:$AJ539)</f>
        <v>0</v>
      </c>
      <c r="AV539" s="72"/>
      <c r="AW539" s="76">
        <f>IF(B539="",0,IF($U$9="",0,$U$9))</f>
        <v>80</v>
      </c>
      <c r="BA539" s="2"/>
      <c r="BB539" s="2"/>
      <c r="BC539" s="101"/>
      <c r="BD539" s="101"/>
    </row>
    <row r="540" spans="2:56" s="84" customFormat="1" x14ac:dyDescent="0.35">
      <c r="B540" s="26"/>
      <c r="C540" s="27"/>
      <c r="D540" s="28">
        <f>IF(D466="","",D466)</f>
        <v>78475</v>
      </c>
      <c r="E540" s="29" t="str">
        <f t="shared" si="239"/>
        <v/>
      </c>
      <c r="F540" s="50">
        <f>B527</f>
        <v>17</v>
      </c>
      <c r="G540" s="59"/>
      <c r="H540" s="64"/>
      <c r="I540" s="106"/>
      <c r="J540" s="105"/>
      <c r="K540" s="106"/>
      <c r="L540" s="105"/>
      <c r="M540" s="106"/>
      <c r="N540" s="105"/>
      <c r="O540" s="106"/>
      <c r="P540" s="105"/>
      <c r="Q540" s="106"/>
      <c r="R540" s="105"/>
      <c r="S540" s="59"/>
      <c r="T540" s="64"/>
      <c r="U540" s="44"/>
      <c r="W540" s="59"/>
      <c r="X540" s="64"/>
      <c r="Y540" s="106"/>
      <c r="Z540" s="105"/>
      <c r="AA540" s="106"/>
      <c r="AB540" s="130" t="s">
        <v>12</v>
      </c>
      <c r="AC540" s="106"/>
      <c r="AD540" s="105"/>
      <c r="AE540" s="106"/>
      <c r="AF540" s="105"/>
      <c r="AG540" s="106"/>
      <c r="AH540" s="105"/>
      <c r="AI540" s="59"/>
      <c r="AJ540" s="64"/>
      <c r="AK540" s="44"/>
      <c r="AM540" s="49"/>
      <c r="AN540" s="49"/>
      <c r="AO540" s="49"/>
      <c r="AP540" s="49"/>
      <c r="AQ540" s="49"/>
      <c r="AR540" s="40"/>
      <c r="AS540" s="51"/>
      <c r="AU540" s="49"/>
      <c r="AW540" s="52"/>
      <c r="BA540" s="2"/>
      <c r="BB540" s="2"/>
      <c r="BC540" s="101"/>
      <c r="BD540" s="101"/>
    </row>
    <row r="541" spans="2:56" s="84" customFormat="1" x14ac:dyDescent="0.35">
      <c r="B541" s="30" t="str">
        <f>IF(B467="","",B467)</f>
        <v>Charbonneau, Samuel</v>
      </c>
      <c r="C541" s="31"/>
      <c r="D541" s="32"/>
      <c r="E541" s="33">
        <f t="shared" si="239"/>
        <v>93540</v>
      </c>
      <c r="F541" s="50">
        <f>B527</f>
        <v>17</v>
      </c>
      <c r="G541" s="69"/>
      <c r="H541" s="70"/>
      <c r="I541" s="104"/>
      <c r="J541" s="103">
        <v>8.5</v>
      </c>
      <c r="K541" s="104"/>
      <c r="L541" s="103">
        <v>8</v>
      </c>
      <c r="M541" s="104"/>
      <c r="N541" s="103">
        <v>8.5</v>
      </c>
      <c r="O541" s="104"/>
      <c r="P541" s="103">
        <v>8</v>
      </c>
      <c r="Q541" s="104"/>
      <c r="R541" s="103">
        <v>8</v>
      </c>
      <c r="S541" s="69"/>
      <c r="T541" s="70"/>
      <c r="U541" s="71">
        <f t="shared" ref="U541" si="243">SUM(G541:T541)</f>
        <v>41</v>
      </c>
      <c r="V541" s="72"/>
      <c r="W541" s="69"/>
      <c r="X541" s="70"/>
      <c r="Y541" s="104"/>
      <c r="Z541" s="103">
        <v>8.5</v>
      </c>
      <c r="AA541" s="104"/>
      <c r="AB541" s="103">
        <v>8</v>
      </c>
      <c r="AC541" s="104"/>
      <c r="AD541" s="103">
        <v>8.5</v>
      </c>
      <c r="AE541" s="104"/>
      <c r="AF541" s="103">
        <v>8</v>
      </c>
      <c r="AG541" s="104"/>
      <c r="AH541" s="103">
        <v>8</v>
      </c>
      <c r="AI541" s="69"/>
      <c r="AJ541" s="70"/>
      <c r="AK541" s="71">
        <f>SUM(W541:AJ541)</f>
        <v>41</v>
      </c>
      <c r="AL541" s="72"/>
      <c r="AM541" s="73">
        <f>SUMIF($G540:$T540,"",$G541:$T541)+SUMIF($W540:$AJ540,"",$W541:$AJ541)-AN541</f>
        <v>73</v>
      </c>
      <c r="AN541" s="88">
        <f>IF(SUMIF($G540:$T540,"",$G541:$T541)+SUMIF($G540:$T540,"F",$G541:$T541)+SUMIF($G540:$T540,"V",$G541:$T541)-40&lt;0,0,SUMIF($G540:$T540,"",$G541:$T541)+SUMIF($G540:$T540,"F",$G541:$T541)+SUMIF($G540:$T540,"V",$G541:$T541)-($U$9/2))+IF(SUMIF($W540:$AJ540,"",$W541:$AJ541)+SUMIF($W540:$AJ540,"F",$W541:$AJ541)+SUMIF($W540:$AJ540,"V",$W541:$AJ541)-40&lt;0,0,SUMIF($W540:$AJ540,"",$W541:$AJ541)+SUMIF($W540:$AJ540,"F",$W541:$AJ541)+SUMIF($W540:$AJ540,"V",$W541:$AJ541)-($U$9/2))</f>
        <v>1</v>
      </c>
      <c r="AO541" s="73">
        <f>SUMIF($G540:$T540,"M",$G541:$T541)+SUMIF($W540:$AJ540,"M",$W541:$AJ541)</f>
        <v>8</v>
      </c>
      <c r="AP541" s="73">
        <f>SUMIF($G540:$T540,"F",$G541:$T541)+SUMIF($W540:$AJ540,"F",$W541:$AJ541)</f>
        <v>0</v>
      </c>
      <c r="AQ541" s="73">
        <f>SUMIF($G540:$T540,"V",$G541:$T541)+SUMIF($W540:$AJ540,"V",$W541:$AJ541)</f>
        <v>0</v>
      </c>
      <c r="AR541" s="74">
        <f>SUMIF($G540:$T540,"O",$G541:$T541)+SUMIF($W540:$AJ540,"O",$W541:$AJ541)</f>
        <v>0</v>
      </c>
      <c r="AS541" s="75">
        <f>SUM(AM541:AR541)</f>
        <v>82</v>
      </c>
      <c r="AT541" s="72"/>
      <c r="AU541" s="73">
        <f>SUMIF($G540:$T540,"A",$G541:$T541)+SUMIF($W540:$AJ540,"A",$W541:$AJ541)</f>
        <v>0</v>
      </c>
      <c r="AV541" s="72"/>
      <c r="AW541" s="76">
        <f>IF(B541="",0,IF($U$9="",0,$U$9))</f>
        <v>80</v>
      </c>
      <c r="BA541" s="2"/>
      <c r="BB541" s="2"/>
      <c r="BC541" s="101"/>
      <c r="BD541" s="101"/>
    </row>
    <row r="542" spans="2:56" s="84" customFormat="1" x14ac:dyDescent="0.35">
      <c r="B542" s="26"/>
      <c r="C542" s="27"/>
      <c r="D542" s="28">
        <f>IF(D468="","",D468)</f>
        <v>24238</v>
      </c>
      <c r="E542" s="29" t="str">
        <f t="shared" si="239"/>
        <v/>
      </c>
      <c r="F542" s="50">
        <f>B527</f>
        <v>17</v>
      </c>
      <c r="G542" s="59"/>
      <c r="H542" s="64"/>
      <c r="I542" s="106"/>
      <c r="J542" s="105"/>
      <c r="K542" s="106"/>
      <c r="L542" s="105"/>
      <c r="M542" s="106"/>
      <c r="N542" s="105"/>
      <c r="O542" s="106"/>
      <c r="P542" s="105"/>
      <c r="Q542" s="106"/>
      <c r="R542" s="105"/>
      <c r="S542" s="59"/>
      <c r="T542" s="64"/>
      <c r="U542" s="44"/>
      <c r="W542" s="59"/>
      <c r="X542" s="64"/>
      <c r="Y542" s="106"/>
      <c r="Z542" s="105"/>
      <c r="AA542" s="106"/>
      <c r="AB542" s="105"/>
      <c r="AC542" s="106"/>
      <c r="AD542" s="105"/>
      <c r="AE542" s="106"/>
      <c r="AF542" s="105"/>
      <c r="AG542" s="106"/>
      <c r="AH542" s="105"/>
      <c r="AI542" s="59"/>
      <c r="AJ542" s="64"/>
      <c r="AK542" s="44"/>
      <c r="AM542" s="49"/>
      <c r="AN542" s="49"/>
      <c r="AO542" s="49"/>
      <c r="AP542" s="49"/>
      <c r="AQ542" s="49"/>
      <c r="AR542" s="40"/>
      <c r="AS542" s="51"/>
      <c r="AU542" s="49"/>
      <c r="AW542" s="52"/>
      <c r="BA542" s="2"/>
      <c r="BB542" s="2"/>
      <c r="BC542" s="101"/>
      <c r="BD542" s="101"/>
    </row>
    <row r="543" spans="2:56" s="84" customFormat="1" x14ac:dyDescent="0.35">
      <c r="B543" s="30" t="str">
        <f>IF(B469="","",B469)</f>
        <v>Curtis, Jason</v>
      </c>
      <c r="C543" s="31"/>
      <c r="D543" s="32"/>
      <c r="E543" s="33">
        <f t="shared" si="239"/>
        <v>93595935</v>
      </c>
      <c r="F543" s="50">
        <f>B527</f>
        <v>17</v>
      </c>
      <c r="G543" s="69"/>
      <c r="H543" s="70"/>
      <c r="I543" s="104"/>
      <c r="J543" s="103">
        <v>8</v>
      </c>
      <c r="K543" s="104"/>
      <c r="L543" s="103">
        <v>8</v>
      </c>
      <c r="M543" s="104"/>
      <c r="N543" s="103">
        <v>8</v>
      </c>
      <c r="O543" s="104"/>
      <c r="P543" s="103">
        <v>8</v>
      </c>
      <c r="Q543" s="104"/>
      <c r="R543" s="103">
        <v>8</v>
      </c>
      <c r="S543" s="69"/>
      <c r="T543" s="70"/>
      <c r="U543" s="71">
        <f t="shared" ref="U543" si="244">SUM(G543:T543)</f>
        <v>40</v>
      </c>
      <c r="V543" s="72"/>
      <c r="W543" s="69"/>
      <c r="X543" s="70"/>
      <c r="Y543" s="104"/>
      <c r="Z543" s="103">
        <v>8</v>
      </c>
      <c r="AA543" s="104"/>
      <c r="AB543" s="103">
        <v>8</v>
      </c>
      <c r="AC543" s="104"/>
      <c r="AD543" s="103">
        <v>8</v>
      </c>
      <c r="AE543" s="104"/>
      <c r="AF543" s="103">
        <v>8</v>
      </c>
      <c r="AG543" s="104"/>
      <c r="AH543" s="103">
        <v>8</v>
      </c>
      <c r="AI543" s="69"/>
      <c r="AJ543" s="70"/>
      <c r="AK543" s="71">
        <f>SUM(W543:AJ543)</f>
        <v>40</v>
      </c>
      <c r="AL543" s="72"/>
      <c r="AM543" s="73">
        <f>SUMIF($G542:$T542,"",$G543:$T543)+SUMIF($W542:$AJ542,"",$W543:$AJ543)-AN543</f>
        <v>80</v>
      </c>
      <c r="AN543" s="88">
        <f>IF(SUMIF($G542:$T542,"",$G543:$T543)+SUMIF($G542:$T542,"F",$G543:$T543)+SUMIF($G542:$T542,"V",$G543:$T543)-40&lt;0,0,SUMIF($G542:$T542,"",$G543:$T543)+SUMIF($G542:$T542,"F",$G543:$T543)+SUMIF($G542:$T542,"V",$G543:$T543)-($U$9/2))+IF(SUMIF($W542:$AJ542,"",$W543:$AJ543)+SUMIF($W542:$AJ542,"F",$W543:$AJ543)+SUMIF($W542:$AJ542,"V",$W543:$AJ543)-40&lt;0,0,SUMIF($W542:$AJ542,"",$W543:$AJ543)+SUMIF($W542:$AJ542,"F",$W543:$AJ543)+SUMIF($W542:$AJ542,"V",$W543:$AJ543)-($U$9/2))</f>
        <v>0</v>
      </c>
      <c r="AO543" s="73">
        <f>SUMIF($G542:$T542,"M",$G543:$T543)+SUMIF($W542:$AJ542,"M",$W543:$AJ543)</f>
        <v>0</v>
      </c>
      <c r="AP543" s="73">
        <f>SUMIF($G542:$T542,"F",$G543:$T543)+SUMIF($W542:$AJ542,"F",$W543:$AJ543)</f>
        <v>0</v>
      </c>
      <c r="AQ543" s="73">
        <f>SUMIF($G542:$T542,"V",$G543:$T543)+SUMIF($W542:$AJ542,"V",$W543:$AJ543)</f>
        <v>0</v>
      </c>
      <c r="AR543" s="74">
        <f>SUMIF($G542:$T542,"O",$G543:$T543)+SUMIF($W542:$AJ542,"O",$W543:$AJ543)</f>
        <v>0</v>
      </c>
      <c r="AS543" s="75">
        <f>SUM(AM543:AR543)</f>
        <v>80</v>
      </c>
      <c r="AT543" s="72"/>
      <c r="AU543" s="73">
        <f>SUMIF($G542:$T542,"A",$G543:$T543)+SUMIF($W542:$AJ542,"A",$W543:$AJ543)</f>
        <v>0</v>
      </c>
      <c r="AV543" s="72"/>
      <c r="AW543" s="76">
        <f>IF(B543="",0,IF($U$9="",0,$U$9))</f>
        <v>80</v>
      </c>
      <c r="BA543" s="2"/>
      <c r="BB543" s="2"/>
      <c r="BC543" s="101"/>
      <c r="BD543" s="101"/>
    </row>
    <row r="544" spans="2:56" s="84" customFormat="1" x14ac:dyDescent="0.35">
      <c r="B544" s="26"/>
      <c r="C544" s="27"/>
      <c r="D544" s="28">
        <f>IF(D470="","",D470)</f>
        <v>79709</v>
      </c>
      <c r="E544" s="29" t="str">
        <f t="shared" si="239"/>
        <v/>
      </c>
      <c r="F544" s="50">
        <f>B527</f>
        <v>17</v>
      </c>
      <c r="G544" s="59"/>
      <c r="H544" s="64"/>
      <c r="I544" s="106"/>
      <c r="J544" s="105"/>
      <c r="K544" s="106"/>
      <c r="L544" s="105"/>
      <c r="M544" s="106"/>
      <c r="N544" s="105"/>
      <c r="O544" s="106"/>
      <c r="P544" s="105"/>
      <c r="Q544" s="106"/>
      <c r="R544" s="105"/>
      <c r="S544" s="59"/>
      <c r="T544" s="64"/>
      <c r="U544" s="44"/>
      <c r="W544" s="59"/>
      <c r="X544" s="64"/>
      <c r="Y544" s="106"/>
      <c r="Z544" s="105"/>
      <c r="AA544" s="106"/>
      <c r="AB544" s="105"/>
      <c r="AC544" s="106"/>
      <c r="AD544" s="105"/>
      <c r="AE544" s="106"/>
      <c r="AF544" s="105"/>
      <c r="AG544" s="106"/>
      <c r="AH544" s="105"/>
      <c r="AI544" s="59"/>
      <c r="AJ544" s="64"/>
      <c r="AK544" s="44"/>
      <c r="AM544" s="49"/>
      <c r="AN544" s="49"/>
      <c r="AO544" s="49"/>
      <c r="AP544" s="49"/>
      <c r="AQ544" s="49"/>
      <c r="AR544" s="40"/>
      <c r="AS544" s="51"/>
      <c r="AU544" s="49"/>
      <c r="AW544" s="52"/>
      <c r="BA544" s="2"/>
      <c r="BB544" s="2"/>
      <c r="BC544" s="101"/>
      <c r="BD544" s="101"/>
    </row>
    <row r="545" spans="2:56" s="84" customFormat="1" x14ac:dyDescent="0.35">
      <c r="B545" s="30" t="str">
        <f>IF(B471="","",B471)</f>
        <v>De Rose, Natale</v>
      </c>
      <c r="C545" s="31"/>
      <c r="D545" s="32"/>
      <c r="E545" s="33">
        <f t="shared" si="239"/>
        <v>93595935</v>
      </c>
      <c r="F545" s="50">
        <f>B527</f>
        <v>17</v>
      </c>
      <c r="G545" s="69"/>
      <c r="H545" s="70"/>
      <c r="I545" s="104"/>
      <c r="J545" s="103">
        <v>8</v>
      </c>
      <c r="K545" s="104"/>
      <c r="L545" s="103">
        <v>8</v>
      </c>
      <c r="M545" s="104"/>
      <c r="N545" s="103">
        <v>8</v>
      </c>
      <c r="O545" s="104"/>
      <c r="P545" s="103">
        <v>8</v>
      </c>
      <c r="Q545" s="104"/>
      <c r="R545" s="103">
        <v>8</v>
      </c>
      <c r="S545" s="69"/>
      <c r="T545" s="70"/>
      <c r="U545" s="71">
        <f t="shared" ref="U545" si="245">SUM(G545:T545)</f>
        <v>40</v>
      </c>
      <c r="V545" s="72"/>
      <c r="W545" s="69"/>
      <c r="X545" s="70"/>
      <c r="Y545" s="104"/>
      <c r="Z545" s="103">
        <v>8</v>
      </c>
      <c r="AA545" s="104"/>
      <c r="AB545" s="103">
        <v>8</v>
      </c>
      <c r="AC545" s="104"/>
      <c r="AD545" s="103">
        <v>8</v>
      </c>
      <c r="AE545" s="104"/>
      <c r="AF545" s="103">
        <v>8</v>
      </c>
      <c r="AG545" s="104"/>
      <c r="AH545" s="103">
        <v>8</v>
      </c>
      <c r="AI545" s="69"/>
      <c r="AJ545" s="70"/>
      <c r="AK545" s="71">
        <f>SUM(W545:AJ545)</f>
        <v>40</v>
      </c>
      <c r="AL545" s="72"/>
      <c r="AM545" s="73">
        <f>SUMIF($G544:$T544,"",$G545:$T545)+SUMIF($W544:$AJ544,"",$W545:$AJ545)-AN545</f>
        <v>80</v>
      </c>
      <c r="AN545" s="88">
        <f>IF(SUMIF($G544:$T544,"",$G545:$T545)+SUMIF($G544:$T544,"F",$G545:$T545)+SUMIF($G544:$T544,"V",$G545:$T545)-40&lt;0,0,SUMIF($G544:$T544,"",$G545:$T545)+SUMIF($G544:$T544,"F",$G545:$T545)+SUMIF($G544:$T544,"V",$G545:$T545)-($U$9/2))+IF(SUMIF($W544:$AJ544,"",$W545:$AJ545)+SUMIF($W544:$AJ544,"F",$W545:$AJ545)+SUMIF($W544:$AJ544,"V",$W545:$AJ545)-40&lt;0,0,SUMIF($W544:$AJ544,"",$W545:$AJ545)+SUMIF($W544:$AJ544,"F",$W545:$AJ545)+SUMIF($W544:$AJ544,"V",$W545:$AJ545)-($U$9/2))</f>
        <v>0</v>
      </c>
      <c r="AO545" s="73">
        <f>SUMIF($G544:$T544,"M",$G545:$T545)+SUMIF($W544:$AJ544,"M",$W545:$AJ545)</f>
        <v>0</v>
      </c>
      <c r="AP545" s="73">
        <f>SUMIF($G544:$T544,"F",$G545:$T545)+SUMIF($W544:$AJ544,"F",$W545:$AJ545)</f>
        <v>0</v>
      </c>
      <c r="AQ545" s="73">
        <f>SUMIF($G544:$T544,"V",$G545:$T545)+SUMIF($W544:$AJ544,"V",$W545:$AJ545)</f>
        <v>0</v>
      </c>
      <c r="AR545" s="74">
        <f>SUMIF($G544:$T544,"O",$G545:$T545)+SUMIF($W544:$AJ544,"O",$W545:$AJ545)</f>
        <v>0</v>
      </c>
      <c r="AS545" s="75">
        <f>SUM(AM545:AR545)</f>
        <v>80</v>
      </c>
      <c r="AT545" s="72"/>
      <c r="AU545" s="73">
        <f>SUMIF($G544:$T544,"A",$G545:$T545)+SUMIF($W544:$AJ544,"A",$W545:$AJ545)</f>
        <v>0</v>
      </c>
      <c r="AV545" s="72"/>
      <c r="AW545" s="76">
        <f>IF(B545="",0,IF($U$9="",0,$U$9))</f>
        <v>80</v>
      </c>
      <c r="BA545" s="2"/>
      <c r="BB545" s="2"/>
      <c r="BC545" s="101"/>
      <c r="BD545" s="101"/>
    </row>
    <row r="546" spans="2:56" s="84" customFormat="1" x14ac:dyDescent="0.35">
      <c r="B546" s="26"/>
      <c r="C546" s="27"/>
      <c r="D546" s="28">
        <f>IF(D472="","",D472)</f>
        <v>92027</v>
      </c>
      <c r="E546" s="29" t="str">
        <f t="shared" si="239"/>
        <v/>
      </c>
      <c r="F546" s="50">
        <f>B527</f>
        <v>17</v>
      </c>
      <c r="G546" s="59"/>
      <c r="H546" s="64"/>
      <c r="I546" s="106"/>
      <c r="J546" s="105"/>
      <c r="K546" s="106"/>
      <c r="L546" s="105"/>
      <c r="M546" s="106"/>
      <c r="N546" s="105"/>
      <c r="O546" s="106"/>
      <c r="P546" s="105"/>
      <c r="Q546" s="106"/>
      <c r="R546" s="105"/>
      <c r="S546" s="59"/>
      <c r="T546" s="64"/>
      <c r="U546" s="44"/>
      <c r="W546" s="59"/>
      <c r="X546" s="64"/>
      <c r="Y546" s="106"/>
      <c r="Z546" s="105"/>
      <c r="AA546" s="106"/>
      <c r="AB546" s="105"/>
      <c r="AC546" s="106"/>
      <c r="AD546" s="105"/>
      <c r="AE546" s="106"/>
      <c r="AF546" s="105"/>
      <c r="AG546" s="106"/>
      <c r="AH546" s="105"/>
      <c r="AI546" s="59"/>
      <c r="AJ546" s="64"/>
      <c r="AK546" s="44"/>
      <c r="AM546" s="49"/>
      <c r="AN546" s="49"/>
      <c r="AO546" s="49"/>
      <c r="AP546" s="49"/>
      <c r="AQ546" s="49"/>
      <c r="AR546" s="40"/>
      <c r="AS546" s="51"/>
      <c r="AU546" s="49"/>
      <c r="AW546" s="52"/>
      <c r="BA546" s="2"/>
      <c r="BB546" s="2"/>
      <c r="BC546" s="101"/>
      <c r="BD546" s="101"/>
    </row>
    <row r="547" spans="2:56" s="84" customFormat="1" x14ac:dyDescent="0.35">
      <c r="B547" s="30" t="str">
        <f>IF(B473="","",B473)</f>
        <v>Descoteaux, Gerald</v>
      </c>
      <c r="C547" s="31"/>
      <c r="D547" s="32"/>
      <c r="E547" s="33">
        <f t="shared" si="239"/>
        <v>93595935</v>
      </c>
      <c r="F547" s="50">
        <f>B527</f>
        <v>17</v>
      </c>
      <c r="G547" s="69"/>
      <c r="H547" s="70"/>
      <c r="I547" s="104"/>
      <c r="J547" s="103">
        <v>8</v>
      </c>
      <c r="K547" s="104"/>
      <c r="L547" s="103">
        <v>8</v>
      </c>
      <c r="M547" s="104"/>
      <c r="N547" s="103">
        <v>8</v>
      </c>
      <c r="O547" s="104"/>
      <c r="P547" s="103">
        <v>8</v>
      </c>
      <c r="Q547" s="104"/>
      <c r="R547" s="103">
        <v>8</v>
      </c>
      <c r="S547" s="69"/>
      <c r="T547" s="70"/>
      <c r="U547" s="71">
        <f t="shared" ref="U547" si="246">SUM(G547:T547)</f>
        <v>40</v>
      </c>
      <c r="V547" s="72"/>
      <c r="W547" s="69"/>
      <c r="X547" s="70"/>
      <c r="Y547" s="104"/>
      <c r="Z547" s="103">
        <v>8</v>
      </c>
      <c r="AA547" s="104"/>
      <c r="AB547" s="103">
        <v>8</v>
      </c>
      <c r="AC547" s="104"/>
      <c r="AD547" s="103">
        <v>8</v>
      </c>
      <c r="AE547" s="104"/>
      <c r="AF547" s="103">
        <v>8</v>
      </c>
      <c r="AG547" s="104"/>
      <c r="AH547" s="103">
        <v>8</v>
      </c>
      <c r="AI547" s="69"/>
      <c r="AJ547" s="70"/>
      <c r="AK547" s="71">
        <f>SUM(W547:AJ547)</f>
        <v>40</v>
      </c>
      <c r="AL547" s="72"/>
      <c r="AM547" s="73">
        <f>SUMIF($G546:$T546,"",$G547:$T547)+SUMIF($W546:$AJ546,"",$W547:$AJ547)-AN547</f>
        <v>80</v>
      </c>
      <c r="AN547" s="88">
        <f>IF(SUMIF($G546:$T546,"",$G547:$T547)+SUMIF($G546:$T546,"F",$G547:$T547)+SUMIF($G546:$T546,"V",$G547:$T547)-40&lt;0,0,SUMIF($G546:$T546,"",$G547:$T547)+SUMIF($G546:$T546,"F",$G547:$T547)+SUMIF($G546:$T546,"V",$G547:$T547)-($U$9/2))+IF(SUMIF($W546:$AJ546,"",$W547:$AJ547)+SUMIF($W546:$AJ546,"F",$W547:$AJ547)+SUMIF($W546:$AJ546,"V",$W547:$AJ547)-40&lt;0,0,SUMIF($W546:$AJ546,"",$W547:$AJ547)+SUMIF($W546:$AJ546,"F",$W547:$AJ547)+SUMIF($W546:$AJ546,"V",$W547:$AJ547)-($U$9/2))</f>
        <v>0</v>
      </c>
      <c r="AO547" s="73">
        <f>SUMIF($G546:$T546,"M",$G547:$T547)+SUMIF($W546:$AJ546,"M",$W547:$AJ547)</f>
        <v>0</v>
      </c>
      <c r="AP547" s="73">
        <f>SUMIF($G546:$T546,"F",$G547:$T547)+SUMIF($W546:$AJ546,"F",$W547:$AJ547)</f>
        <v>0</v>
      </c>
      <c r="AQ547" s="73">
        <f>SUMIF($G546:$T546,"V",$G547:$T547)+SUMIF($W546:$AJ546,"V",$W547:$AJ547)</f>
        <v>0</v>
      </c>
      <c r="AR547" s="74">
        <f>SUMIF($G546:$T546,"O",$G547:$T547)+SUMIF($W546:$AJ546,"O",$W547:$AJ547)</f>
        <v>0</v>
      </c>
      <c r="AS547" s="75">
        <f>SUM(AM547:AR547)</f>
        <v>80</v>
      </c>
      <c r="AT547" s="72"/>
      <c r="AU547" s="73">
        <f>SUMIF($G546:$T546,"A",$G547:$T547)+SUMIF($W546:$AJ546,"A",$W547:$AJ547)</f>
        <v>0</v>
      </c>
      <c r="AV547" s="72"/>
      <c r="AW547" s="76">
        <f>IF(B547="",0,IF($U$9="",0,$U$9))</f>
        <v>80</v>
      </c>
      <c r="BA547" s="2"/>
      <c r="BB547" s="2"/>
      <c r="BC547" s="101"/>
      <c r="BD547" s="101"/>
    </row>
    <row r="548" spans="2:56" s="84" customFormat="1" x14ac:dyDescent="0.35">
      <c r="B548" s="26"/>
      <c r="C548" s="27"/>
      <c r="D548" s="28">
        <f>IF(D474="","",D474)</f>
        <v>73795</v>
      </c>
      <c r="E548" s="29" t="str">
        <f t="shared" si="239"/>
        <v/>
      </c>
      <c r="F548" s="50">
        <f>B527</f>
        <v>17</v>
      </c>
      <c r="G548" s="59"/>
      <c r="H548" s="64"/>
      <c r="I548" s="106"/>
      <c r="J548" s="105"/>
      <c r="K548" s="106"/>
      <c r="L548" s="105"/>
      <c r="M548" s="106"/>
      <c r="N548" s="105"/>
      <c r="O548" s="106"/>
      <c r="P548" s="105"/>
      <c r="Q548" s="106"/>
      <c r="R548" s="105"/>
      <c r="S548" s="59"/>
      <c r="T548" s="64"/>
      <c r="U548" s="44"/>
      <c r="W548" s="59"/>
      <c r="X548" s="64"/>
      <c r="Y548" s="106"/>
      <c r="Z548" s="105"/>
      <c r="AA548" s="106"/>
      <c r="AB548" s="105"/>
      <c r="AC548" s="106"/>
      <c r="AD548" s="105"/>
      <c r="AE548" s="106"/>
      <c r="AF548" s="105"/>
      <c r="AG548" s="106"/>
      <c r="AH548" s="105"/>
      <c r="AI548" s="59"/>
      <c r="AJ548" s="64"/>
      <c r="AK548" s="44"/>
      <c r="AM548" s="49"/>
      <c r="AN548" s="49"/>
      <c r="AO548" s="49"/>
      <c r="AP548" s="49"/>
      <c r="AQ548" s="49"/>
      <c r="AR548" s="40"/>
      <c r="AS548" s="51"/>
      <c r="AU548" s="49"/>
      <c r="AW548" s="52"/>
      <c r="BA548" s="2"/>
      <c r="BB548" s="2"/>
      <c r="BC548" s="101"/>
      <c r="BD548" s="101"/>
    </row>
    <row r="549" spans="2:56" s="84" customFormat="1" x14ac:dyDescent="0.35">
      <c r="B549" s="30" t="str">
        <f>IF(B475="","",B475)</f>
        <v>Fortin, Veronique</v>
      </c>
      <c r="C549" s="31"/>
      <c r="D549" s="32"/>
      <c r="E549" s="33">
        <f t="shared" si="239"/>
        <v>93540</v>
      </c>
      <c r="F549" s="50">
        <f>B527</f>
        <v>17</v>
      </c>
      <c r="G549" s="69"/>
      <c r="H549" s="70"/>
      <c r="I549" s="104"/>
      <c r="J549" s="103">
        <v>8</v>
      </c>
      <c r="K549" s="104"/>
      <c r="L549" s="103">
        <v>8</v>
      </c>
      <c r="M549" s="104"/>
      <c r="N549" s="103">
        <v>8</v>
      </c>
      <c r="O549" s="104"/>
      <c r="P549" s="103">
        <v>8</v>
      </c>
      <c r="Q549" s="104"/>
      <c r="R549" s="103">
        <v>8</v>
      </c>
      <c r="S549" s="69"/>
      <c r="T549" s="70"/>
      <c r="U549" s="71">
        <f t="shared" ref="U549" si="247">SUM(G549:T549)</f>
        <v>40</v>
      </c>
      <c r="V549" s="72"/>
      <c r="W549" s="69"/>
      <c r="X549" s="70"/>
      <c r="Y549" s="104"/>
      <c r="Z549" s="103">
        <v>8</v>
      </c>
      <c r="AA549" s="104"/>
      <c r="AB549" s="103">
        <v>8</v>
      </c>
      <c r="AC549" s="104"/>
      <c r="AD549" s="103">
        <v>8</v>
      </c>
      <c r="AE549" s="104"/>
      <c r="AF549" s="103">
        <v>8</v>
      </c>
      <c r="AG549" s="104"/>
      <c r="AH549" s="103">
        <v>8</v>
      </c>
      <c r="AI549" s="69"/>
      <c r="AJ549" s="70"/>
      <c r="AK549" s="71">
        <f>SUM(W549:AJ549)</f>
        <v>40</v>
      </c>
      <c r="AL549" s="72"/>
      <c r="AM549" s="73">
        <f>SUMIF($G548:$T548,"",$G549:$T549)+SUMIF($W548:$AJ548,"",$W549:$AJ549)-AN549</f>
        <v>80</v>
      </c>
      <c r="AN549" s="88">
        <f>IF(SUMIF($G548:$T548,"",$G549:$T549)+SUMIF($G548:$T548,"F",$G549:$T549)+SUMIF($G548:$T548,"V",$G549:$T549)-40&lt;0,0,SUMIF($G548:$T548,"",$G549:$T549)+SUMIF($G548:$T548,"F",$G549:$T549)+SUMIF($G548:$T548,"V",$G549:$T549)-($U$9/2))+IF(SUMIF($W548:$AJ548,"",$W549:$AJ549)+SUMIF($W548:$AJ548,"F",$W549:$AJ549)+SUMIF($W548:$AJ548,"V",$W549:$AJ549)-40&lt;0,0,SUMIF($W548:$AJ548,"",$W549:$AJ549)+SUMIF($W548:$AJ548,"F",$W549:$AJ549)+SUMIF($W548:$AJ548,"V",$W549:$AJ549)-($U$9/2))</f>
        <v>0</v>
      </c>
      <c r="AO549" s="73">
        <f>SUMIF($G548:$T548,"M",$G549:$T549)+SUMIF($W548:$AJ548,"M",$W549:$AJ549)</f>
        <v>0</v>
      </c>
      <c r="AP549" s="73">
        <f>SUMIF($G548:$T548,"F",$G549:$T549)+SUMIF($W548:$AJ548,"F",$W549:$AJ549)</f>
        <v>0</v>
      </c>
      <c r="AQ549" s="73">
        <f>SUMIF($G548:$T548,"V",$G549:$T549)+SUMIF($W548:$AJ548,"V",$W549:$AJ549)</f>
        <v>0</v>
      </c>
      <c r="AR549" s="74">
        <f>SUMIF($G548:$T548,"O",$G549:$T549)+SUMIF($W548:$AJ548,"O",$W549:$AJ549)</f>
        <v>0</v>
      </c>
      <c r="AS549" s="75">
        <f>SUM(AM549:AR549)</f>
        <v>80</v>
      </c>
      <c r="AT549" s="72"/>
      <c r="AU549" s="73">
        <f>SUMIF($G548:$T548,"A",$G549:$T549)+SUMIF($W548:$AJ548,"A",$W549:$AJ549)</f>
        <v>0</v>
      </c>
      <c r="AV549" s="72"/>
      <c r="AW549" s="76">
        <f>IF(B549="",0,IF($U$9="",0,$U$9))</f>
        <v>80</v>
      </c>
      <c r="BA549" s="2"/>
      <c r="BB549" s="2"/>
      <c r="BC549" s="101"/>
      <c r="BD549" s="101"/>
    </row>
    <row r="550" spans="2:56" s="84" customFormat="1" x14ac:dyDescent="0.35">
      <c r="B550" s="26"/>
      <c r="C550" s="27"/>
      <c r="D550" s="28">
        <f>IF(D476="","",D476)</f>
        <v>23206</v>
      </c>
      <c r="E550" s="29" t="str">
        <f t="shared" si="239"/>
        <v/>
      </c>
      <c r="F550" s="50">
        <f>B527</f>
        <v>17</v>
      </c>
      <c r="G550" s="59"/>
      <c r="H550" s="64"/>
      <c r="I550" s="106"/>
      <c r="J550" s="105"/>
      <c r="K550" s="106"/>
      <c r="L550" s="105"/>
      <c r="M550" s="106"/>
      <c r="N550" s="105"/>
      <c r="O550" s="106"/>
      <c r="P550" s="130" t="s">
        <v>12</v>
      </c>
      <c r="Q550" s="106"/>
      <c r="R550" s="130" t="s">
        <v>12</v>
      </c>
      <c r="S550" s="59"/>
      <c r="T550" s="64"/>
      <c r="U550" s="44"/>
      <c r="W550" s="59"/>
      <c r="X550" s="64"/>
      <c r="Y550" s="106"/>
      <c r="Z550" s="105"/>
      <c r="AA550" s="106"/>
      <c r="AB550" s="105"/>
      <c r="AC550" s="106"/>
      <c r="AD550" s="105"/>
      <c r="AE550" s="106"/>
      <c r="AF550" s="105"/>
      <c r="AG550" s="106"/>
      <c r="AH550" s="105"/>
      <c r="AI550" s="59"/>
      <c r="AJ550" s="64"/>
      <c r="AK550" s="44"/>
      <c r="AM550" s="49"/>
      <c r="AN550" s="49"/>
      <c r="AO550" s="49"/>
      <c r="AP550" s="49"/>
      <c r="AQ550" s="49"/>
      <c r="AR550" s="40"/>
      <c r="AS550" s="51"/>
      <c r="AU550" s="49"/>
      <c r="AW550" s="52"/>
      <c r="BA550" s="2"/>
      <c r="BB550" s="2"/>
      <c r="BC550" s="101"/>
      <c r="BD550" s="101"/>
    </row>
    <row r="551" spans="2:56" s="84" customFormat="1" x14ac:dyDescent="0.35">
      <c r="B551" s="30" t="str">
        <f>IF(B477="","",B477)</f>
        <v>Gadbois, Dominic</v>
      </c>
      <c r="C551" s="31"/>
      <c r="D551" s="32"/>
      <c r="E551" s="33">
        <f t="shared" si="239"/>
        <v>93545</v>
      </c>
      <c r="F551" s="50">
        <f>B527</f>
        <v>17</v>
      </c>
      <c r="G551" s="69"/>
      <c r="H551" s="70"/>
      <c r="I551" s="104"/>
      <c r="J551" s="103">
        <v>7.75</v>
      </c>
      <c r="K551" s="104"/>
      <c r="L551" s="103">
        <v>9.25</v>
      </c>
      <c r="M551" s="104"/>
      <c r="N551" s="103">
        <v>7.5</v>
      </c>
      <c r="O551" s="104"/>
      <c r="P551" s="103">
        <v>8</v>
      </c>
      <c r="Q551" s="104"/>
      <c r="R551" s="136">
        <v>0</v>
      </c>
      <c r="S551" s="69"/>
      <c r="T551" s="70"/>
      <c r="U551" s="71">
        <f t="shared" ref="U551" si="248">SUM(G551:T551)</f>
        <v>32.5</v>
      </c>
      <c r="V551" s="72"/>
      <c r="W551" s="69"/>
      <c r="X551" s="70"/>
      <c r="Y551" s="104"/>
      <c r="Z551" s="103">
        <v>7.5</v>
      </c>
      <c r="AA551" s="104"/>
      <c r="AB551" s="103">
        <v>7.75</v>
      </c>
      <c r="AC551" s="104"/>
      <c r="AD551" s="103">
        <v>8</v>
      </c>
      <c r="AE551" s="104"/>
      <c r="AF551" s="103">
        <v>7.75</v>
      </c>
      <c r="AG551" s="104"/>
      <c r="AH551" s="103">
        <v>7.5</v>
      </c>
      <c r="AI551" s="69"/>
      <c r="AJ551" s="70"/>
      <c r="AK551" s="71">
        <f>SUM(W551:AJ551)</f>
        <v>38.5</v>
      </c>
      <c r="AL551" s="72"/>
      <c r="AM551" s="73">
        <f>SUMIF($G550:$T550,"",$G551:$T551)+SUMIF($W550:$AJ550,"",$W551:$AJ551)-AN551</f>
        <v>63</v>
      </c>
      <c r="AN551" s="88">
        <f>IF(SUMIF($G550:$T550,"",$G551:$T551)+SUMIF($G550:$T550,"F",$G551:$T551)+SUMIF($G550:$T550,"V",$G551:$T551)-40&lt;0,0,SUMIF($G550:$T550,"",$G551:$T551)+SUMIF($G550:$T550,"F",$G551:$T551)+SUMIF($G550:$T550,"V",$G551:$T551)-($U$9/2))+IF(SUMIF($W550:$AJ550,"",$W551:$AJ551)+SUMIF($W550:$AJ550,"F",$W551:$AJ551)+SUMIF($W550:$AJ550,"V",$W551:$AJ551)-40&lt;0,0,SUMIF($W550:$AJ550,"",$W551:$AJ551)+SUMIF($W550:$AJ550,"F",$W551:$AJ551)+SUMIF($W550:$AJ550,"V",$W551:$AJ551)-($U$9/2))</f>
        <v>0</v>
      </c>
      <c r="AO551" s="73">
        <f>SUMIF($G550:$T550,"M",$G551:$T551)+SUMIF($W550:$AJ550,"M",$W551:$AJ551)</f>
        <v>8</v>
      </c>
      <c r="AP551" s="73">
        <f>SUMIF($G550:$T550,"F",$G551:$T551)+SUMIF($W550:$AJ550,"F",$W551:$AJ551)</f>
        <v>0</v>
      </c>
      <c r="AQ551" s="73">
        <f>SUMIF($G550:$T550,"V",$G551:$T551)+SUMIF($W550:$AJ550,"V",$W551:$AJ551)</f>
        <v>0</v>
      </c>
      <c r="AR551" s="74">
        <f>SUMIF($G550:$T550,"O",$G551:$T551)+SUMIF($W550:$AJ550,"O",$W551:$AJ551)</f>
        <v>0</v>
      </c>
      <c r="AS551" s="75">
        <f>SUM(AM551:AR551)</f>
        <v>71</v>
      </c>
      <c r="AT551" s="72"/>
      <c r="AU551" s="73">
        <f>SUMIF($G550:$T550,"A",$G551:$T551)+SUMIF($W550:$AJ550,"A",$W551:$AJ551)</f>
        <v>0</v>
      </c>
      <c r="AV551" s="72"/>
      <c r="AW551" s="76">
        <f>IF(B551="",0,IF($U$9="",0,$U$9))</f>
        <v>80</v>
      </c>
      <c r="BA551" s="2"/>
      <c r="BB551" s="2"/>
      <c r="BC551" s="101"/>
      <c r="BD551" s="101"/>
    </row>
    <row r="552" spans="2:56" s="84" customFormat="1" x14ac:dyDescent="0.35">
      <c r="B552" s="26"/>
      <c r="C552" s="27"/>
      <c r="D552" s="28">
        <f>IF(D478="","",D478)</f>
        <v>33664</v>
      </c>
      <c r="E552" s="29" t="str">
        <f t="shared" si="239"/>
        <v/>
      </c>
      <c r="F552" s="50">
        <f>B527</f>
        <v>17</v>
      </c>
      <c r="G552" s="59"/>
      <c r="H552" s="64"/>
      <c r="I552" s="106"/>
      <c r="J552" s="105" t="s">
        <v>1</v>
      </c>
      <c r="K552" s="106"/>
      <c r="L552" s="105" t="s">
        <v>1</v>
      </c>
      <c r="M552" s="106"/>
      <c r="N552" s="105"/>
      <c r="O552" s="106"/>
      <c r="P552" s="105"/>
      <c r="Q552" s="106"/>
      <c r="R552" s="105"/>
      <c r="S552" s="59"/>
      <c r="T552" s="64"/>
      <c r="U552" s="44"/>
      <c r="W552" s="59"/>
      <c r="X552" s="64"/>
      <c r="Y552" s="106"/>
      <c r="Z552" s="105"/>
      <c r="AA552" s="106"/>
      <c r="AB552" s="105"/>
      <c r="AC552" s="106"/>
      <c r="AD552" s="105"/>
      <c r="AE552" s="106"/>
      <c r="AF552" s="105"/>
      <c r="AG552" s="106"/>
      <c r="AH552" s="105"/>
      <c r="AI552" s="59"/>
      <c r="AJ552" s="64"/>
      <c r="AK552" s="44"/>
      <c r="AM552" s="49"/>
      <c r="AN552" s="49"/>
      <c r="AO552" s="49"/>
      <c r="AP552" s="49"/>
      <c r="AQ552" s="49"/>
      <c r="AR552" s="40"/>
      <c r="AS552" s="51"/>
      <c r="AU552" s="49"/>
      <c r="AW552" s="52"/>
      <c r="BA552" s="2"/>
      <c r="BB552" s="2"/>
      <c r="BC552" s="101"/>
      <c r="BD552" s="101"/>
    </row>
    <row r="553" spans="2:56" s="84" customFormat="1" x14ac:dyDescent="0.35">
      <c r="B553" s="30" t="str">
        <f>IF(B479="","",B479)</f>
        <v>Knox Michaud, Jessy</v>
      </c>
      <c r="C553" s="31"/>
      <c r="D553" s="32"/>
      <c r="E553" s="33">
        <f t="shared" si="239"/>
        <v>93542</v>
      </c>
      <c r="F553" s="50">
        <f>B527</f>
        <v>17</v>
      </c>
      <c r="G553" s="69"/>
      <c r="H553" s="70"/>
      <c r="I553" s="104"/>
      <c r="J553" s="103">
        <v>8</v>
      </c>
      <c r="K553" s="104"/>
      <c r="L553" s="103">
        <v>8</v>
      </c>
      <c r="M553" s="104"/>
      <c r="N553" s="103">
        <v>8</v>
      </c>
      <c r="O553" s="104"/>
      <c r="P553" s="103">
        <v>7</v>
      </c>
      <c r="Q553" s="104"/>
      <c r="R553" s="103">
        <v>8</v>
      </c>
      <c r="S553" s="69"/>
      <c r="T553" s="70"/>
      <c r="U553" s="71">
        <f t="shared" ref="U553" si="249">SUM(G553:T553)</f>
        <v>39</v>
      </c>
      <c r="V553" s="72"/>
      <c r="W553" s="69"/>
      <c r="X553" s="70"/>
      <c r="Y553" s="104"/>
      <c r="Z553" s="103">
        <v>8</v>
      </c>
      <c r="AA553" s="104"/>
      <c r="AB553" s="103">
        <v>8</v>
      </c>
      <c r="AC553" s="104"/>
      <c r="AD553" s="103">
        <v>8</v>
      </c>
      <c r="AE553" s="104"/>
      <c r="AF553" s="103">
        <v>8</v>
      </c>
      <c r="AG553" s="104"/>
      <c r="AH553" s="103">
        <v>8</v>
      </c>
      <c r="AI553" s="69"/>
      <c r="AJ553" s="70"/>
      <c r="AK553" s="71">
        <f>SUM(W553:AJ553)</f>
        <v>40</v>
      </c>
      <c r="AL553" s="72"/>
      <c r="AM553" s="73">
        <f>SUMIF($G552:$T552,"",$G553:$T553)+SUMIF($W552:$AJ552,"",$W553:$AJ553)-AN553</f>
        <v>63</v>
      </c>
      <c r="AN553" s="88">
        <f>IF(SUMIF($G552:$T552,"",$G553:$T553)+SUMIF($G552:$T552,"F",$G553:$T553)+SUMIF($G552:$T552,"V",$G553:$T553)-40&lt;0,0,SUMIF($G552:$T552,"",$G553:$T553)+SUMIF($G552:$T552,"F",$G553:$T553)+SUMIF($G552:$T552,"V",$G553:$T553)-($U$9/2))+IF(SUMIF($W552:$AJ552,"",$W553:$AJ553)+SUMIF($W552:$AJ552,"F",$W553:$AJ553)+SUMIF($W552:$AJ552,"V",$W553:$AJ553)-40&lt;0,0,SUMIF($W552:$AJ552,"",$W553:$AJ553)+SUMIF($W552:$AJ552,"F",$W553:$AJ553)+SUMIF($W552:$AJ552,"V",$W553:$AJ553)-($U$9/2))</f>
        <v>0</v>
      </c>
      <c r="AO553" s="73">
        <f>SUMIF($G552:$T552,"M",$G553:$T553)+SUMIF($W552:$AJ552,"M",$W553:$AJ553)</f>
        <v>0</v>
      </c>
      <c r="AP553" s="73">
        <f>SUMIF($G552:$T552,"F",$G553:$T553)+SUMIF($W552:$AJ552,"F",$W553:$AJ553)</f>
        <v>0</v>
      </c>
      <c r="AQ553" s="73">
        <f>SUMIF($G552:$T552,"V",$G553:$T553)+SUMIF($W552:$AJ552,"V",$W553:$AJ553)</f>
        <v>16</v>
      </c>
      <c r="AR553" s="74">
        <f>SUMIF($G552:$T552,"O",$G553:$T553)+SUMIF($W552:$AJ552,"O",$W553:$AJ553)</f>
        <v>0</v>
      </c>
      <c r="AS553" s="75">
        <f>SUM(AM553:AR553)</f>
        <v>79</v>
      </c>
      <c r="AT553" s="72"/>
      <c r="AU553" s="73">
        <f>SUMIF($G552:$T552,"A",$G553:$T553)+SUMIF($W552:$AJ552,"A",$W553:$AJ553)</f>
        <v>0</v>
      </c>
      <c r="AV553" s="72"/>
      <c r="AW553" s="76">
        <f>IF(B553="",0,IF($U$9="",0,$U$9))</f>
        <v>80</v>
      </c>
      <c r="BA553" s="2"/>
      <c r="BB553" s="2"/>
      <c r="BC553" s="101"/>
      <c r="BD553" s="101"/>
    </row>
    <row r="554" spans="2:56" s="84" customFormat="1" x14ac:dyDescent="0.35">
      <c r="B554" s="26"/>
      <c r="C554" s="27"/>
      <c r="D554" s="28">
        <f>IF(D480="","",D480)</f>
        <v>14206</v>
      </c>
      <c r="E554" s="29" t="str">
        <f t="shared" si="239"/>
        <v/>
      </c>
      <c r="F554" s="50">
        <f>B527</f>
        <v>17</v>
      </c>
      <c r="G554" s="59"/>
      <c r="H554" s="64"/>
      <c r="I554" s="106"/>
      <c r="J554" s="105"/>
      <c r="K554" s="106"/>
      <c r="L554" s="105"/>
      <c r="M554" s="106"/>
      <c r="N554" s="105"/>
      <c r="O554" s="106"/>
      <c r="P554" s="105"/>
      <c r="Q554" s="106"/>
      <c r="R554" s="105"/>
      <c r="S554" s="59"/>
      <c r="T554" s="64"/>
      <c r="U554" s="44"/>
      <c r="W554" s="59"/>
      <c r="X554" s="64"/>
      <c r="Y554" s="106"/>
      <c r="Z554" s="105"/>
      <c r="AA554" s="106"/>
      <c r="AB554" s="105"/>
      <c r="AC554" s="106"/>
      <c r="AD554" s="105"/>
      <c r="AE554" s="106"/>
      <c r="AF554" s="105"/>
      <c r="AG554" s="106"/>
      <c r="AH554" s="105"/>
      <c r="AI554" s="59"/>
      <c r="AJ554" s="64"/>
      <c r="AK554" s="44"/>
      <c r="AM554" s="49"/>
      <c r="AN554" s="49"/>
      <c r="AO554" s="49"/>
      <c r="AP554" s="49"/>
      <c r="AQ554" s="49"/>
      <c r="AR554" s="40"/>
      <c r="AS554" s="51"/>
      <c r="AU554" s="49"/>
      <c r="AW554" s="52"/>
      <c r="BA554" s="2"/>
      <c r="BB554" s="2"/>
      <c r="BC554" s="101"/>
      <c r="BD554" s="101"/>
    </row>
    <row r="555" spans="2:56" s="84" customFormat="1" x14ac:dyDescent="0.35">
      <c r="B555" s="30" t="str">
        <f>IF(B481="","",B481)</f>
        <v>Landry, Bernard</v>
      </c>
      <c r="C555" s="31"/>
      <c r="D555" s="32"/>
      <c r="E555" s="33">
        <f t="shared" si="239"/>
        <v>93545</v>
      </c>
      <c r="F555" s="50">
        <f>B527</f>
        <v>17</v>
      </c>
      <c r="G555" s="69"/>
      <c r="H555" s="70"/>
      <c r="I555" s="134"/>
      <c r="J555" s="135">
        <v>8</v>
      </c>
      <c r="K555" s="134"/>
      <c r="L555" s="135">
        <v>8</v>
      </c>
      <c r="M555" s="134"/>
      <c r="N555" s="135">
        <v>8</v>
      </c>
      <c r="O555" s="134"/>
      <c r="P555" s="135">
        <v>8</v>
      </c>
      <c r="Q555" s="134"/>
      <c r="R555" s="135">
        <v>8</v>
      </c>
      <c r="S555" s="69"/>
      <c r="T555" s="70"/>
      <c r="U555" s="71">
        <f t="shared" ref="U555" si="250">SUM(G555:T555)</f>
        <v>40</v>
      </c>
      <c r="V555" s="72"/>
      <c r="W555" s="69"/>
      <c r="X555" s="70"/>
      <c r="Y555" s="104"/>
      <c r="Z555" s="103">
        <v>8</v>
      </c>
      <c r="AA555" s="104"/>
      <c r="AB555" s="103">
        <v>8</v>
      </c>
      <c r="AC555" s="104"/>
      <c r="AD555" s="103">
        <v>8</v>
      </c>
      <c r="AE555" s="104"/>
      <c r="AF555" s="103">
        <v>8</v>
      </c>
      <c r="AG555" s="104"/>
      <c r="AH555" s="103">
        <v>8</v>
      </c>
      <c r="AI555" s="69"/>
      <c r="AJ555" s="70"/>
      <c r="AK555" s="71">
        <f>SUM(W555:AJ555)</f>
        <v>40</v>
      </c>
      <c r="AL555" s="72"/>
      <c r="AM555" s="73">
        <f>SUMIF($G554:$T554,"",$G555:$T555)+SUMIF($W554:$AJ554,"",$W555:$AJ555)-AN555</f>
        <v>80</v>
      </c>
      <c r="AN555" s="88">
        <f>IF(SUMIF($G554:$T554,"",$G555:$T555)+SUMIF($G554:$T554,"F",$G555:$T555)+SUMIF($G554:$T554,"V",$G555:$T555)-40&lt;0,0,SUMIF($G554:$T554,"",$G555:$T555)+SUMIF($G554:$T554,"F",$G555:$T555)+SUMIF($G554:$T554,"V",$G555:$T555)-($U$9/2))+IF(SUMIF($W554:$AJ554,"",$W555:$AJ555)+SUMIF($W554:$AJ554,"F",$W555:$AJ555)+SUMIF($W554:$AJ554,"V",$W555:$AJ555)-40&lt;0,0,SUMIF($W554:$AJ554,"",$W555:$AJ555)+SUMIF($W554:$AJ554,"F",$W555:$AJ555)+SUMIF($W554:$AJ554,"V",$W555:$AJ555)-($U$9/2))</f>
        <v>0</v>
      </c>
      <c r="AO555" s="73">
        <f>SUMIF($G554:$T554,"M",$G555:$T555)+SUMIF($W554:$AJ554,"M",$W555:$AJ555)</f>
        <v>0</v>
      </c>
      <c r="AP555" s="73">
        <f>SUMIF($G554:$T554,"F",$G555:$T555)+SUMIF($W554:$AJ554,"F",$W555:$AJ555)</f>
        <v>0</v>
      </c>
      <c r="AQ555" s="73">
        <f>SUMIF($G554:$T554,"V",$G555:$T555)+SUMIF($W554:$AJ554,"V",$W555:$AJ555)</f>
        <v>0</v>
      </c>
      <c r="AR555" s="74">
        <f>SUMIF($G554:$T554,"O",$G555:$T555)+SUMIF($W554:$AJ554,"O",$W555:$AJ555)</f>
        <v>0</v>
      </c>
      <c r="AS555" s="75">
        <f>SUM(AM555:AR555)</f>
        <v>80</v>
      </c>
      <c r="AT555" s="72"/>
      <c r="AU555" s="73">
        <f>SUMIF($G554:$T554,"A",$G555:$T555)+SUMIF($W554:$AJ554,"A",$W555:$AJ555)</f>
        <v>0</v>
      </c>
      <c r="AV555" s="72"/>
      <c r="AW555" s="76">
        <f>IF(B555="",0,IF($U$9="",0,$U$9))</f>
        <v>80</v>
      </c>
      <c r="BA555" s="2"/>
      <c r="BB555" s="2"/>
      <c r="BC555" s="101"/>
      <c r="BD555" s="101"/>
    </row>
    <row r="556" spans="2:56" s="84" customFormat="1" x14ac:dyDescent="0.35">
      <c r="B556" s="26"/>
      <c r="C556" s="27"/>
      <c r="D556" s="28">
        <f>IF(D482="","",D482)</f>
        <v>92257</v>
      </c>
      <c r="E556" s="29" t="str">
        <f t="shared" si="239"/>
        <v/>
      </c>
      <c r="F556" s="50">
        <f>B527</f>
        <v>17</v>
      </c>
      <c r="G556" s="59"/>
      <c r="H556" s="64"/>
      <c r="I556" s="106"/>
      <c r="J556" s="105"/>
      <c r="K556" s="106"/>
      <c r="L556" s="105"/>
      <c r="M556" s="106"/>
      <c r="N556" s="105"/>
      <c r="O556" s="106"/>
      <c r="P556" s="105"/>
      <c r="Q556" s="106"/>
      <c r="R556" s="105"/>
      <c r="S556" s="59"/>
      <c r="T556" s="64"/>
      <c r="U556" s="44"/>
      <c r="W556" s="59"/>
      <c r="X556" s="64"/>
      <c r="Y556" s="106"/>
      <c r="Z556" s="105"/>
      <c r="AA556" s="106"/>
      <c r="AB556" s="105"/>
      <c r="AC556" s="106"/>
      <c r="AD556" s="105"/>
      <c r="AE556" s="106"/>
      <c r="AF556" s="105"/>
      <c r="AG556" s="106"/>
      <c r="AH556" s="105"/>
      <c r="AI556" s="59"/>
      <c r="AJ556" s="64"/>
      <c r="AK556" s="44"/>
      <c r="AM556" s="49"/>
      <c r="AN556" s="49"/>
      <c r="AO556" s="49"/>
      <c r="AP556" s="49"/>
      <c r="AQ556" s="49"/>
      <c r="AR556" s="40"/>
      <c r="AS556" s="51"/>
      <c r="AU556" s="49"/>
      <c r="AW556" s="52"/>
      <c r="BA556" s="2"/>
      <c r="BB556" s="2"/>
      <c r="BC556" s="101"/>
      <c r="BD556" s="101"/>
    </row>
    <row r="557" spans="2:56" s="84" customFormat="1" x14ac:dyDescent="0.35">
      <c r="B557" s="30" t="str">
        <f>IF(B483="","",B483)</f>
        <v>Lelievre, Anik</v>
      </c>
      <c r="C557" s="31"/>
      <c r="D557" s="32"/>
      <c r="E557" s="33">
        <f t="shared" si="239"/>
        <v>93513</v>
      </c>
      <c r="F557" s="50">
        <f>B527</f>
        <v>17</v>
      </c>
      <c r="G557" s="69"/>
      <c r="H557" s="70"/>
      <c r="I557" s="104"/>
      <c r="J557" s="103">
        <v>8</v>
      </c>
      <c r="K557" s="104"/>
      <c r="L557" s="103">
        <v>8</v>
      </c>
      <c r="M557" s="104"/>
      <c r="N557" s="103">
        <v>8</v>
      </c>
      <c r="O557" s="104"/>
      <c r="P557" s="103">
        <v>8</v>
      </c>
      <c r="Q557" s="104"/>
      <c r="R557" s="103">
        <v>8</v>
      </c>
      <c r="S557" s="69"/>
      <c r="T557" s="70"/>
      <c r="U557" s="71">
        <f t="shared" ref="U557" si="251">SUM(G557:T557)</f>
        <v>40</v>
      </c>
      <c r="V557" s="72"/>
      <c r="W557" s="69"/>
      <c r="X557" s="70"/>
      <c r="Y557" s="104"/>
      <c r="Z557" s="103">
        <v>8</v>
      </c>
      <c r="AA557" s="104"/>
      <c r="AB557" s="103">
        <v>8</v>
      </c>
      <c r="AC557" s="104"/>
      <c r="AD557" s="103">
        <v>8</v>
      </c>
      <c r="AE557" s="104"/>
      <c r="AF557" s="103">
        <v>8</v>
      </c>
      <c r="AG557" s="104"/>
      <c r="AH557" s="103">
        <v>8</v>
      </c>
      <c r="AI557" s="69"/>
      <c r="AJ557" s="70"/>
      <c r="AK557" s="71">
        <f>SUM(W557:AJ557)</f>
        <v>40</v>
      </c>
      <c r="AL557" s="72"/>
      <c r="AM557" s="73">
        <f>SUMIF($G556:$T556,"",$G557:$T557)+SUMIF($W556:$AJ556,"",$W557:$AJ557)-AN557</f>
        <v>80</v>
      </c>
      <c r="AN557" s="88">
        <f>IF(SUMIF($G556:$T556,"",$G557:$T557)+SUMIF($G556:$T556,"F",$G557:$T557)+SUMIF($G556:$T556,"V",$G557:$T557)-40&lt;0,0,SUMIF($G556:$T556,"",$G557:$T557)+SUMIF($G556:$T556,"F",$G557:$T557)+SUMIF($G556:$T556,"V",$G557:$T557)-($U$9/2))+IF(SUMIF($W556:$AJ556,"",$W557:$AJ557)+SUMIF($W556:$AJ556,"F",$W557:$AJ557)+SUMIF($W556:$AJ556,"V",$W557:$AJ557)-40&lt;0,0,SUMIF($W556:$AJ556,"",$W557:$AJ557)+SUMIF($W556:$AJ556,"F",$W557:$AJ557)+SUMIF($W556:$AJ556,"V",$W557:$AJ557)-($U$9/2))</f>
        <v>0</v>
      </c>
      <c r="AO557" s="73">
        <f>SUMIF($G556:$T556,"M",$G557:$T557)+SUMIF($W556:$AJ556,"M",$W557:$AJ557)</f>
        <v>0</v>
      </c>
      <c r="AP557" s="73">
        <f>SUMIF($G556:$T556,"F",$G557:$T557)+SUMIF($W556:$AJ556,"F",$W557:$AJ557)</f>
        <v>0</v>
      </c>
      <c r="AQ557" s="73">
        <f>SUMIF($G556:$T556,"V",$G557:$T557)+SUMIF($W556:$AJ556,"V",$W557:$AJ557)</f>
        <v>0</v>
      </c>
      <c r="AR557" s="74">
        <f>SUMIF($G556:$T556,"O",$G557:$T557)+SUMIF($W556:$AJ556,"O",$W557:$AJ557)</f>
        <v>0</v>
      </c>
      <c r="AS557" s="75">
        <f>SUM(AM557:AR557)</f>
        <v>80</v>
      </c>
      <c r="AT557" s="72"/>
      <c r="AU557" s="73">
        <f>SUMIF($G556:$T556,"A",$G557:$T557)+SUMIF($W556:$AJ556,"A",$W557:$AJ557)</f>
        <v>0</v>
      </c>
      <c r="AV557" s="72"/>
      <c r="AW557" s="76">
        <f>IF(B557="",0,IF($U$9="",0,$U$9))</f>
        <v>80</v>
      </c>
      <c r="BA557" s="2"/>
      <c r="BB557" s="2"/>
      <c r="BC557" s="101"/>
      <c r="BD557" s="101"/>
    </row>
    <row r="558" spans="2:56" s="84" customFormat="1" x14ac:dyDescent="0.35">
      <c r="B558" s="26"/>
      <c r="C558" s="27"/>
      <c r="D558" s="28">
        <f>IF(D484="","",D484)</f>
        <v>81042</v>
      </c>
      <c r="E558" s="29" t="str">
        <f t="shared" si="239"/>
        <v/>
      </c>
      <c r="F558" s="50">
        <f>B527</f>
        <v>17</v>
      </c>
      <c r="G558" s="59"/>
      <c r="H558" s="64"/>
      <c r="I558" s="106"/>
      <c r="J558" s="105"/>
      <c r="K558" s="106"/>
      <c r="L558" s="105"/>
      <c r="M558" s="106"/>
      <c r="N558" s="105"/>
      <c r="O558" s="106"/>
      <c r="P558" s="105"/>
      <c r="Q558" s="106"/>
      <c r="R558" s="105"/>
      <c r="S558" s="59"/>
      <c r="T558" s="64"/>
      <c r="U558" s="44"/>
      <c r="W558" s="59"/>
      <c r="X558" s="64"/>
      <c r="Y558" s="106"/>
      <c r="Z558" s="105" t="s">
        <v>1</v>
      </c>
      <c r="AA558" s="106"/>
      <c r="AB558" s="105" t="s">
        <v>1</v>
      </c>
      <c r="AC558" s="106"/>
      <c r="AD558" s="105" t="s">
        <v>1</v>
      </c>
      <c r="AE558" s="106"/>
      <c r="AF558" s="105" t="s">
        <v>1</v>
      </c>
      <c r="AG558" s="106"/>
      <c r="AH558" s="105" t="s">
        <v>1</v>
      </c>
      <c r="AI558" s="59"/>
      <c r="AJ558" s="64"/>
      <c r="AK558" s="44"/>
      <c r="AM558" s="49"/>
      <c r="AN558" s="49"/>
      <c r="AO558" s="49"/>
      <c r="AP558" s="49"/>
      <c r="AQ558" s="49"/>
      <c r="AR558" s="40"/>
      <c r="AS558" s="51"/>
      <c r="AU558" s="49"/>
      <c r="AW558" s="52"/>
      <c r="BA558" s="2"/>
      <c r="BB558" s="2"/>
      <c r="BC558" s="101"/>
      <c r="BD558" s="101"/>
    </row>
    <row r="559" spans="2:56" s="84" customFormat="1" x14ac:dyDescent="0.35">
      <c r="B559" s="30" t="str">
        <f>IF(B485="","",B485)</f>
        <v>Letarte, Martin</v>
      </c>
      <c r="C559" s="31"/>
      <c r="D559" s="32"/>
      <c r="E559" s="33">
        <f t="shared" si="239"/>
        <v>93545</v>
      </c>
      <c r="F559" s="50">
        <f>B527</f>
        <v>17</v>
      </c>
      <c r="G559" s="69"/>
      <c r="H559" s="70"/>
      <c r="I559" s="104"/>
      <c r="J559" s="103">
        <v>8</v>
      </c>
      <c r="K559" s="104"/>
      <c r="L559" s="103">
        <v>8</v>
      </c>
      <c r="M559" s="104"/>
      <c r="N559" s="103">
        <v>8</v>
      </c>
      <c r="O559" s="104"/>
      <c r="P559" s="103">
        <v>8</v>
      </c>
      <c r="Q559" s="104"/>
      <c r="R559" s="103">
        <v>8</v>
      </c>
      <c r="S559" s="69"/>
      <c r="T559" s="70"/>
      <c r="U559" s="71">
        <f t="shared" ref="U559" si="252">SUM(G559:T559)</f>
        <v>40</v>
      </c>
      <c r="V559" s="72"/>
      <c r="W559" s="69"/>
      <c r="X559" s="70"/>
      <c r="Y559" s="104"/>
      <c r="Z559" s="103">
        <v>8</v>
      </c>
      <c r="AA559" s="104"/>
      <c r="AB559" s="103">
        <v>8</v>
      </c>
      <c r="AC559" s="104"/>
      <c r="AD559" s="103">
        <v>8</v>
      </c>
      <c r="AE559" s="104"/>
      <c r="AF559" s="103">
        <v>8</v>
      </c>
      <c r="AG559" s="104"/>
      <c r="AH559" s="103">
        <v>8</v>
      </c>
      <c r="AI559" s="69"/>
      <c r="AJ559" s="70"/>
      <c r="AK559" s="71">
        <f>SUM(W559:AJ559)</f>
        <v>40</v>
      </c>
      <c r="AL559" s="72"/>
      <c r="AM559" s="73">
        <f>SUMIF($G558:$T558,"",$G559:$T559)+SUMIF($W558:$AJ558,"",$W559:$AJ559)-AN559</f>
        <v>40</v>
      </c>
      <c r="AN559" s="88">
        <f>IF(SUMIF($G558:$T558,"",$G559:$T559)+SUMIF($G558:$T558,"F",$G559:$T559)+SUMIF($G558:$T558,"V",$G559:$T559)-40&lt;0,0,SUMIF($G558:$T558,"",$G559:$T559)+SUMIF($G558:$T558,"F",$G559:$T559)+SUMIF($G558:$T558,"V",$G559:$T559)-($U$9/2))+IF(SUMIF($W558:$AJ558,"",$W559:$AJ559)+SUMIF($W558:$AJ558,"F",$W559:$AJ559)+SUMIF($W558:$AJ558,"V",$W559:$AJ559)-40&lt;0,0,SUMIF($W558:$AJ558,"",$W559:$AJ559)+SUMIF($W558:$AJ558,"F",$W559:$AJ559)+SUMIF($W558:$AJ558,"V",$W559:$AJ559)-($U$9/2))</f>
        <v>0</v>
      </c>
      <c r="AO559" s="73">
        <f>SUMIF($G558:$T558,"M",$G559:$T559)+SUMIF($W558:$AJ558,"M",$W559:$AJ559)</f>
        <v>0</v>
      </c>
      <c r="AP559" s="73">
        <f>SUMIF($G558:$T558,"F",$G559:$T559)+SUMIF($W558:$AJ558,"F",$W559:$AJ559)</f>
        <v>0</v>
      </c>
      <c r="AQ559" s="73">
        <f>SUMIF($G558:$T558,"V",$G559:$T559)+SUMIF($W558:$AJ558,"V",$W559:$AJ559)</f>
        <v>40</v>
      </c>
      <c r="AR559" s="74">
        <f>SUMIF($G558:$T558,"O",$G559:$T559)+SUMIF($W558:$AJ558,"O",$W559:$AJ559)</f>
        <v>0</v>
      </c>
      <c r="AS559" s="75">
        <f>SUM(AM559:AR559)</f>
        <v>80</v>
      </c>
      <c r="AT559" s="72"/>
      <c r="AU559" s="73">
        <f>SUMIF($G558:$T558,"A",$G559:$T559)+SUMIF($W558:$AJ558,"A",$W559:$AJ559)</f>
        <v>0</v>
      </c>
      <c r="AV559" s="72"/>
      <c r="AW559" s="76">
        <f>IF(B559="",0,IF($U$9="",0,$U$9))</f>
        <v>80</v>
      </c>
      <c r="BA559" s="2"/>
      <c r="BB559" s="2"/>
      <c r="BC559" s="101"/>
      <c r="BD559" s="101"/>
    </row>
    <row r="560" spans="2:56" s="84" customFormat="1" x14ac:dyDescent="0.35">
      <c r="B560" s="26"/>
      <c r="C560" s="27"/>
      <c r="D560" s="28">
        <f>IF(D486="","",D486)</f>
        <v>23930</v>
      </c>
      <c r="E560" s="29" t="str">
        <f t="shared" si="239"/>
        <v/>
      </c>
      <c r="F560" s="50">
        <f>B527</f>
        <v>17</v>
      </c>
      <c r="G560" s="59"/>
      <c r="H560" s="64"/>
      <c r="I560" s="106"/>
      <c r="J560" s="105"/>
      <c r="K560" s="106"/>
      <c r="L560" s="105"/>
      <c r="M560" s="106"/>
      <c r="N560" s="105"/>
      <c r="O560" s="106"/>
      <c r="P560" s="105"/>
      <c r="Q560" s="106"/>
      <c r="R560" s="105"/>
      <c r="S560" s="59"/>
      <c r="T560" s="64"/>
      <c r="U560" s="44"/>
      <c r="W560" s="59"/>
      <c r="X560" s="64"/>
      <c r="Y560" s="106"/>
      <c r="Z560" s="105"/>
      <c r="AA560" s="106"/>
      <c r="AB560" s="105"/>
      <c r="AC560" s="106"/>
      <c r="AD560" s="105"/>
      <c r="AE560" s="106"/>
      <c r="AF560" s="105"/>
      <c r="AG560" s="106"/>
      <c r="AH560" s="105"/>
      <c r="AI560" s="59"/>
      <c r="AJ560" s="64"/>
      <c r="AK560" s="44"/>
      <c r="AM560" s="49"/>
      <c r="AN560" s="49"/>
      <c r="AO560" s="49"/>
      <c r="AP560" s="49"/>
      <c r="AQ560" s="49"/>
      <c r="AR560" s="40"/>
      <c r="AS560" s="51"/>
      <c r="AU560" s="49"/>
      <c r="AW560" s="52"/>
      <c r="BA560" s="2"/>
      <c r="BB560" s="2"/>
      <c r="BC560" s="101"/>
      <c r="BD560" s="101"/>
    </row>
    <row r="561" spans="1:56" s="84" customFormat="1" x14ac:dyDescent="0.35">
      <c r="B561" s="30" t="str">
        <f>IF(B487="","",B487)</f>
        <v>Martinez Parada, José Francisco</v>
      </c>
      <c r="C561" s="31"/>
      <c r="D561" s="32"/>
      <c r="E561" s="33">
        <f t="shared" si="239"/>
        <v>93545</v>
      </c>
      <c r="F561" s="50">
        <f>B527</f>
        <v>17</v>
      </c>
      <c r="G561" s="69"/>
      <c r="H561" s="70"/>
      <c r="I561" s="104"/>
      <c r="J561" s="103">
        <v>8</v>
      </c>
      <c r="K561" s="104"/>
      <c r="L561" s="103">
        <v>8</v>
      </c>
      <c r="M561" s="104"/>
      <c r="N561" s="103">
        <v>8</v>
      </c>
      <c r="O561" s="104"/>
      <c r="P561" s="103">
        <v>8</v>
      </c>
      <c r="Q561" s="104"/>
      <c r="R561" s="103">
        <v>8</v>
      </c>
      <c r="S561" s="69"/>
      <c r="T561" s="70"/>
      <c r="U561" s="71">
        <f t="shared" ref="U561" si="253">SUM(G561:T561)</f>
        <v>40</v>
      </c>
      <c r="V561" s="72"/>
      <c r="W561" s="69"/>
      <c r="X561" s="70"/>
      <c r="Y561" s="104"/>
      <c r="Z561" s="103">
        <v>8</v>
      </c>
      <c r="AA561" s="104"/>
      <c r="AB561" s="103">
        <v>8</v>
      </c>
      <c r="AC561" s="104"/>
      <c r="AD561" s="103">
        <v>8</v>
      </c>
      <c r="AE561" s="104"/>
      <c r="AF561" s="103">
        <v>8</v>
      </c>
      <c r="AG561" s="104"/>
      <c r="AH561" s="103">
        <v>8</v>
      </c>
      <c r="AI561" s="69"/>
      <c r="AJ561" s="70"/>
      <c r="AK561" s="71">
        <f>SUM(W561:AJ561)</f>
        <v>40</v>
      </c>
      <c r="AL561" s="72"/>
      <c r="AM561" s="73">
        <f>SUMIF($G560:$T560,"",$G561:$T561)+SUMIF($W560:$AJ560,"",$W561:$AJ561)-AN561</f>
        <v>80</v>
      </c>
      <c r="AN561" s="88">
        <f>IF(SUMIF($G560:$T560,"",$G561:$T561)+SUMIF($G560:$T560,"F",$G561:$T561)+SUMIF($G560:$T560,"V",$G561:$T561)-40&lt;0,0,SUMIF($G560:$T560,"",$G561:$T561)+SUMIF($G560:$T560,"F",$G561:$T561)+SUMIF($G560:$T560,"V",$G561:$T561)-($U$9/2))+IF(SUMIF($W560:$AJ560,"",$W561:$AJ561)+SUMIF($W560:$AJ560,"F",$W561:$AJ561)+SUMIF($W560:$AJ560,"V",$W561:$AJ561)-40&lt;0,0,SUMIF($W560:$AJ560,"",$W561:$AJ561)+SUMIF($W560:$AJ560,"F",$W561:$AJ561)+SUMIF($W560:$AJ560,"V",$W561:$AJ561)-($U$9/2))</f>
        <v>0</v>
      </c>
      <c r="AO561" s="73">
        <f>SUMIF($G560:$T560,"M",$G561:$T561)+SUMIF($W560:$AJ560,"M",$W561:$AJ561)</f>
        <v>0</v>
      </c>
      <c r="AP561" s="73">
        <f>SUMIF($G560:$T560,"F",$G561:$T561)+SUMIF($W560:$AJ560,"F",$W561:$AJ561)</f>
        <v>0</v>
      </c>
      <c r="AQ561" s="73">
        <f>SUMIF($G560:$T560,"V",$G561:$T561)+SUMIF($W560:$AJ560,"V",$W561:$AJ561)</f>
        <v>0</v>
      </c>
      <c r="AR561" s="74">
        <f>SUMIF($G560:$T560,"O",$G561:$T561)+SUMIF($W560:$AJ560,"O",$W561:$AJ561)</f>
        <v>0</v>
      </c>
      <c r="AS561" s="75">
        <f>SUM(AM561:AR561)</f>
        <v>80</v>
      </c>
      <c r="AT561" s="72"/>
      <c r="AU561" s="73">
        <f>SUMIF($G560:$T560,"A",$G561:$T561)+SUMIF($W560:$AJ560,"A",$W561:$AJ561)</f>
        <v>0</v>
      </c>
      <c r="AV561" s="72"/>
      <c r="AW561" s="76">
        <f>IF(B561="",0,IF($U$9="",0,$U$9))</f>
        <v>80</v>
      </c>
      <c r="BA561" s="2"/>
      <c r="BB561" s="2"/>
      <c r="BC561" s="101"/>
      <c r="BD561" s="101"/>
    </row>
    <row r="562" spans="1:56" s="84" customFormat="1" x14ac:dyDescent="0.35">
      <c r="B562" s="26"/>
      <c r="C562" s="27"/>
      <c r="D562" s="28">
        <f>IF(D488="","",D488)</f>
        <v>11792</v>
      </c>
      <c r="E562" s="29" t="str">
        <f t="shared" si="239"/>
        <v/>
      </c>
      <c r="F562" s="50">
        <f>B527</f>
        <v>17</v>
      </c>
      <c r="G562" s="59"/>
      <c r="H562" s="64"/>
      <c r="I562" s="106"/>
      <c r="J562" s="105"/>
      <c r="K562" s="106"/>
      <c r="L562" s="105"/>
      <c r="M562" s="106"/>
      <c r="N562" s="105"/>
      <c r="O562" s="106"/>
      <c r="P562" s="105"/>
      <c r="Q562" s="106"/>
      <c r="R562" s="105"/>
      <c r="S562" s="59"/>
      <c r="T562" s="64"/>
      <c r="U562" s="44"/>
      <c r="W562" s="59"/>
      <c r="X562" s="64"/>
      <c r="Y562" s="106"/>
      <c r="Z562" s="105"/>
      <c r="AA562" s="106"/>
      <c r="AB562" s="105"/>
      <c r="AC562" s="106"/>
      <c r="AD562" s="105"/>
      <c r="AE562" s="106"/>
      <c r="AF562" s="105"/>
      <c r="AG562" s="106"/>
      <c r="AH562" s="105"/>
      <c r="AI562" s="59"/>
      <c r="AJ562" s="64"/>
      <c r="AK562" s="44"/>
      <c r="AM562" s="49"/>
      <c r="AN562" s="49"/>
      <c r="AO562" s="49"/>
      <c r="AP562" s="49"/>
      <c r="AQ562" s="49"/>
      <c r="AR562" s="40"/>
      <c r="AS562" s="51"/>
      <c r="AU562" s="49"/>
      <c r="AW562" s="52"/>
      <c r="BA562" s="2"/>
      <c r="BB562" s="2"/>
      <c r="BC562" s="101"/>
      <c r="BD562" s="101"/>
    </row>
    <row r="563" spans="1:56" s="84" customFormat="1" x14ac:dyDescent="0.35">
      <c r="B563" s="30" t="str">
        <f>IF(B489="","",B489)</f>
        <v>Pellerin, Pierre</v>
      </c>
      <c r="C563" s="31"/>
      <c r="D563" s="32"/>
      <c r="E563" s="33">
        <f t="shared" si="239"/>
        <v>93595935</v>
      </c>
      <c r="F563" s="50">
        <f>B527</f>
        <v>17</v>
      </c>
      <c r="G563" s="69"/>
      <c r="H563" s="70"/>
      <c r="I563" s="104"/>
      <c r="J563" s="103">
        <v>8</v>
      </c>
      <c r="K563" s="104"/>
      <c r="L563" s="103">
        <v>8</v>
      </c>
      <c r="M563" s="104"/>
      <c r="N563" s="103">
        <v>8</v>
      </c>
      <c r="O563" s="104"/>
      <c r="P563" s="103">
        <v>8</v>
      </c>
      <c r="Q563" s="104"/>
      <c r="R563" s="103">
        <v>8</v>
      </c>
      <c r="S563" s="69"/>
      <c r="T563" s="70"/>
      <c r="U563" s="71">
        <f t="shared" ref="U563" si="254">SUM(G563:T563)</f>
        <v>40</v>
      </c>
      <c r="V563" s="72"/>
      <c r="W563" s="69"/>
      <c r="X563" s="70"/>
      <c r="Y563" s="104"/>
      <c r="Z563" s="103">
        <v>8</v>
      </c>
      <c r="AA563" s="104"/>
      <c r="AB563" s="103">
        <v>8</v>
      </c>
      <c r="AC563" s="104"/>
      <c r="AD563" s="103">
        <v>8</v>
      </c>
      <c r="AE563" s="104"/>
      <c r="AF563" s="103">
        <v>8</v>
      </c>
      <c r="AG563" s="104"/>
      <c r="AH563" s="103">
        <v>8</v>
      </c>
      <c r="AI563" s="69"/>
      <c r="AJ563" s="70"/>
      <c r="AK563" s="71">
        <f>SUM(Z563:AH563)</f>
        <v>40</v>
      </c>
      <c r="AL563" s="72"/>
      <c r="AM563" s="73">
        <f>SUMIF($G562:$T562,"",$G563:$T563)+SUMIF($W562:$AJ562,"",$W563:$AJ563)-AN563</f>
        <v>80</v>
      </c>
      <c r="AN563" s="88">
        <f>IF(SUMIF($G562:$T562,"",$G563:$T563)+SUMIF($G562:$T562,"F",$G563:$T563)+SUMIF($G562:$T562,"V",$G563:$T563)-40&lt;0,0,SUMIF($G562:$T562,"",$G563:$T563)+SUMIF($G562:$T562,"F",$G563:$T563)+SUMIF($G562:$T562,"V",$G563:$T563)-($U$9/2))+IF(SUMIF($W562:$AJ562,"",$W563:$AJ563)+SUMIF($W562:$AJ562,"F",$W563:$AJ563)+SUMIF($W562:$AJ562,"V",$W563:$AJ563)-40&lt;0,0,SUMIF($W562:$AJ562,"",$W563:$AJ563)+SUMIF($W562:$AJ562,"F",$W563:$AJ563)+SUMIF($W562:$AJ562,"V",$W563:$AJ563)-($U$9/2))</f>
        <v>0</v>
      </c>
      <c r="AO563" s="73">
        <f>SUMIF($G562:$T562,"M",$G563:$T563)+SUMIF($W562:$AJ562,"M",$W563:$AJ563)</f>
        <v>0</v>
      </c>
      <c r="AP563" s="73">
        <f>SUMIF($G562:$T562,"F",$G563:$T563)+SUMIF($W562:$AJ562,"F",$W563:$AJ563)</f>
        <v>0</v>
      </c>
      <c r="AQ563" s="73">
        <f>SUMIF($G562:$T562,"V",$G563:$T563)+SUMIF($W562:$AJ562,"V",$W563:$AJ563)</f>
        <v>0</v>
      </c>
      <c r="AR563" s="74">
        <f>SUMIF($G562:$T562,"O",$G563:$T563)+SUMIF($W562:$AJ562,"O",$W563:$AJ563)</f>
        <v>0</v>
      </c>
      <c r="AS563" s="75">
        <f>SUM(AM563:AR563)</f>
        <v>80</v>
      </c>
      <c r="AT563" s="72"/>
      <c r="AU563" s="73">
        <f>SUMIF($G562:$T562,"A",$G563:$T563)+SUMIF($W562:$AJ562,"A",$W563:$AJ563)</f>
        <v>0</v>
      </c>
      <c r="AV563" s="72"/>
      <c r="AW563" s="76">
        <f>IF(B563="",0,IF($U$9="",0,$U$9))</f>
        <v>80</v>
      </c>
      <c r="BA563" s="2"/>
      <c r="BB563" s="2"/>
      <c r="BC563" s="101"/>
      <c r="BD563" s="101"/>
    </row>
    <row r="564" spans="1:56" s="84" customFormat="1" x14ac:dyDescent="0.35">
      <c r="B564" s="26"/>
      <c r="C564" s="27"/>
      <c r="D564" s="28">
        <f>IF(D490="","",D490)</f>
        <v>81043</v>
      </c>
      <c r="E564" s="29" t="str">
        <f t="shared" si="239"/>
        <v/>
      </c>
      <c r="F564" s="50">
        <f>B527</f>
        <v>17</v>
      </c>
      <c r="G564" s="59"/>
      <c r="H564" s="64"/>
      <c r="I564" s="106"/>
      <c r="J564" s="105"/>
      <c r="K564" s="106"/>
      <c r="L564" s="105"/>
      <c r="M564" s="106"/>
      <c r="N564" s="105"/>
      <c r="O564" s="106"/>
      <c r="P564" s="105"/>
      <c r="Q564" s="106"/>
      <c r="R564" s="105"/>
      <c r="S564" s="59"/>
      <c r="T564" s="64"/>
      <c r="U564" s="44"/>
      <c r="W564" s="59"/>
      <c r="X564" s="64"/>
      <c r="Y564" s="106"/>
      <c r="Z564" s="105"/>
      <c r="AA564" s="106"/>
      <c r="AB564" s="105"/>
      <c r="AC564" s="106"/>
      <c r="AD564" s="105"/>
      <c r="AE564" s="106"/>
      <c r="AF564" s="105"/>
      <c r="AG564" s="106"/>
      <c r="AH564" s="105" t="s">
        <v>1</v>
      </c>
      <c r="AI564" s="59"/>
      <c r="AJ564" s="64"/>
      <c r="AK564" s="44"/>
      <c r="AM564" s="49"/>
      <c r="AN564" s="49"/>
      <c r="AO564" s="49"/>
      <c r="AP564" s="49"/>
      <c r="AQ564" s="49"/>
      <c r="AR564" s="40"/>
      <c r="AS564" s="51"/>
      <c r="AU564" s="49"/>
      <c r="AW564" s="52"/>
      <c r="BA564" s="2"/>
      <c r="BB564" s="2"/>
      <c r="BC564" s="101"/>
      <c r="BD564" s="101"/>
    </row>
    <row r="565" spans="1:56" s="84" customFormat="1" x14ac:dyDescent="0.35">
      <c r="B565" s="30" t="str">
        <f>IF(B491="","",B491)</f>
        <v>Rodrigue, Frank</v>
      </c>
      <c r="C565" s="31"/>
      <c r="D565" s="32"/>
      <c r="E565" s="33">
        <f t="shared" ref="E565:E581" si="255">IF(E491="","",E491)</f>
        <v>93545</v>
      </c>
      <c r="F565" s="50">
        <f>B527</f>
        <v>17</v>
      </c>
      <c r="G565" s="69"/>
      <c r="H565" s="70"/>
      <c r="I565" s="104"/>
      <c r="J565" s="103">
        <v>8</v>
      </c>
      <c r="K565" s="104"/>
      <c r="L565" s="103">
        <v>8</v>
      </c>
      <c r="M565" s="104"/>
      <c r="N565" s="103">
        <v>8</v>
      </c>
      <c r="O565" s="104"/>
      <c r="P565" s="103">
        <v>8</v>
      </c>
      <c r="Q565" s="104"/>
      <c r="R565" s="103">
        <v>8</v>
      </c>
      <c r="S565" s="69"/>
      <c r="T565" s="70"/>
      <c r="U565" s="71">
        <f t="shared" ref="U565" si="256">SUM(G565:T565)</f>
        <v>40</v>
      </c>
      <c r="V565" s="72"/>
      <c r="W565" s="69"/>
      <c r="X565" s="70"/>
      <c r="Y565" s="104"/>
      <c r="Z565" s="103">
        <v>8</v>
      </c>
      <c r="AA565" s="104"/>
      <c r="AB565" s="103">
        <v>8</v>
      </c>
      <c r="AC565" s="104"/>
      <c r="AD565" s="103">
        <v>8</v>
      </c>
      <c r="AE565" s="104"/>
      <c r="AF565" s="103">
        <v>8</v>
      </c>
      <c r="AG565" s="104"/>
      <c r="AH565" s="103">
        <v>8</v>
      </c>
      <c r="AI565" s="69"/>
      <c r="AJ565" s="70"/>
      <c r="AK565" s="71">
        <f>SUM(W565:AJ565)</f>
        <v>40</v>
      </c>
      <c r="AL565" s="72"/>
      <c r="AM565" s="73">
        <f>SUMIF($G564:$T564,"",$G565:$T565)+SUMIF($W564:$AJ564,"",$W565:$AJ565)-AN565</f>
        <v>72</v>
      </c>
      <c r="AN565" s="88">
        <f>IF(SUMIF($G564:$T564,"",$G565:$T565)+SUMIF($G564:$T564,"F",$G565:$T565)+SUMIF($G564:$T564,"V",$G565:$T565)-40&lt;0,0,SUMIF($G564:$T564,"",$G565:$T565)+SUMIF($G564:$T564,"F",$G565:$T565)+SUMIF($G564:$T564,"V",$G565:$T565)-($U$9/2))+IF(SUMIF($W564:$AJ564,"",$W565:$AJ565)+SUMIF($W564:$AJ564,"F",$W565:$AJ565)+SUMIF($W564:$AJ564,"V",$W565:$AJ565)-40&lt;0,0,SUMIF($W564:$AJ564,"",$W565:$AJ565)+SUMIF($W564:$AJ564,"F",$W565:$AJ565)+SUMIF($W564:$AJ564,"V",$W565:$AJ565)-($U$9/2))</f>
        <v>0</v>
      </c>
      <c r="AO565" s="73">
        <f>SUMIF($G564:$T564,"M",$G565:$T565)+SUMIF($W564:$AJ564,"M",$W565:$AJ565)</f>
        <v>0</v>
      </c>
      <c r="AP565" s="73">
        <f>SUMIF($G564:$T564,"F",$G565:$T565)+SUMIF($W564:$AJ564,"F",$W565:$AJ565)</f>
        <v>0</v>
      </c>
      <c r="AQ565" s="73">
        <f>SUMIF($G564:$T564,"V",$G565:$T565)+SUMIF($W564:$AJ564,"V",$W565:$AJ565)</f>
        <v>8</v>
      </c>
      <c r="AR565" s="74">
        <f>SUMIF($G564:$T564,"O",$G565:$T565)+SUMIF($W564:$AJ564,"O",$W565:$AJ565)</f>
        <v>0</v>
      </c>
      <c r="AS565" s="75">
        <f>SUM(AM565:AR565)</f>
        <v>80</v>
      </c>
      <c r="AT565" s="72"/>
      <c r="AU565" s="73">
        <f>SUMIF($G564:$T564,"A",$G565:$T565)+SUMIF($W564:$AJ564,"A",$W565:$AJ565)</f>
        <v>0</v>
      </c>
      <c r="AV565" s="72"/>
      <c r="AW565" s="76">
        <f>IF(B565="",0,IF($U$9="",0,$U$9))</f>
        <v>80</v>
      </c>
      <c r="BA565" s="2"/>
      <c r="BB565" s="2"/>
      <c r="BC565" s="101"/>
      <c r="BD565" s="101"/>
    </row>
    <row r="566" spans="1:56" s="84" customFormat="1" x14ac:dyDescent="0.35">
      <c r="B566" s="26"/>
      <c r="C566" s="27"/>
      <c r="D566" s="28">
        <f>IF(D492="","",D492)</f>
        <v>72673</v>
      </c>
      <c r="E566" s="29" t="str">
        <f t="shared" si="255"/>
        <v/>
      </c>
      <c r="F566" s="50">
        <f>B527</f>
        <v>17</v>
      </c>
      <c r="G566" s="59"/>
      <c r="H566" s="64"/>
      <c r="I566" s="106"/>
      <c r="J566" s="105"/>
      <c r="K566" s="106"/>
      <c r="L566" s="105"/>
      <c r="M566" s="106"/>
      <c r="N566" s="105"/>
      <c r="O566" s="106"/>
      <c r="P566" s="105"/>
      <c r="Q566" s="106"/>
      <c r="R566" s="105"/>
      <c r="S566" s="59"/>
      <c r="T566" s="64"/>
      <c r="U566" s="44"/>
      <c r="W566" s="59"/>
      <c r="X566" s="64"/>
      <c r="Y566" s="106"/>
      <c r="Z566" s="105"/>
      <c r="AA566" s="106"/>
      <c r="AB566" s="105"/>
      <c r="AC566" s="106"/>
      <c r="AD566" s="105"/>
      <c r="AE566" s="106"/>
      <c r="AF566" s="105"/>
      <c r="AG566" s="106"/>
      <c r="AH566" s="105"/>
      <c r="AI566" s="59"/>
      <c r="AJ566" s="64"/>
      <c r="AK566" s="44"/>
      <c r="AM566" s="49"/>
      <c r="AN566" s="49"/>
      <c r="AO566" s="49"/>
      <c r="AP566" s="49"/>
      <c r="AQ566" s="49"/>
      <c r="AR566" s="40"/>
      <c r="AS566" s="51"/>
      <c r="AU566" s="49"/>
      <c r="AW566" s="52"/>
      <c r="BA566" s="2"/>
      <c r="BB566" s="2"/>
      <c r="BC566" s="101"/>
      <c r="BD566" s="101"/>
    </row>
    <row r="567" spans="1:56" s="84" customFormat="1" x14ac:dyDescent="0.35">
      <c r="B567" s="30" t="str">
        <f>IF(B493="","",B493)</f>
        <v>St-Georges, Manuel (avance $2,000)</v>
      </c>
      <c r="C567" s="31"/>
      <c r="D567" s="32"/>
      <c r="E567" s="33">
        <f t="shared" si="255"/>
        <v>93595935</v>
      </c>
      <c r="F567" s="50">
        <f>B527</f>
        <v>17</v>
      </c>
      <c r="G567" s="69"/>
      <c r="H567" s="70"/>
      <c r="I567" s="104"/>
      <c r="J567" s="103" t="s">
        <v>69</v>
      </c>
      <c r="K567" s="104"/>
      <c r="L567" s="103" t="s">
        <v>69</v>
      </c>
      <c r="M567" s="104"/>
      <c r="N567" s="103" t="s">
        <v>69</v>
      </c>
      <c r="O567" s="104"/>
      <c r="P567" s="103" t="s">
        <v>69</v>
      </c>
      <c r="Q567" s="104"/>
      <c r="R567" s="103" t="s">
        <v>69</v>
      </c>
      <c r="S567" s="69"/>
      <c r="T567" s="70"/>
      <c r="U567" s="71">
        <f t="shared" ref="U567" si="257">SUM(G567:T567)</f>
        <v>0</v>
      </c>
      <c r="V567" s="72"/>
      <c r="W567" s="69"/>
      <c r="X567" s="70"/>
      <c r="Y567" s="104"/>
      <c r="Z567" s="103" t="s">
        <v>69</v>
      </c>
      <c r="AA567" s="104"/>
      <c r="AB567" s="103" t="s">
        <v>69</v>
      </c>
      <c r="AC567" s="104"/>
      <c r="AD567" s="103" t="s">
        <v>69</v>
      </c>
      <c r="AE567" s="104"/>
      <c r="AF567" s="103" t="s">
        <v>69</v>
      </c>
      <c r="AG567" s="104"/>
      <c r="AH567" s="103" t="s">
        <v>69</v>
      </c>
      <c r="AI567" s="69"/>
      <c r="AJ567" s="70"/>
      <c r="AK567" s="71">
        <f>SUM(W567:AJ567)</f>
        <v>0</v>
      </c>
      <c r="AL567" s="72"/>
      <c r="AM567" s="73">
        <f>SUMIF($G566:$T566,"",$G567:$T567)+SUMIF($W566:$AJ566,"",$W567:$AJ567)-AN567</f>
        <v>0</v>
      </c>
      <c r="AN567" s="88">
        <f>IF(SUMIF($G566:$T566,"",$G567:$T567)+SUMIF($G566:$T566,"F",$G567:$T567)+SUMIF($G566:$T566,"V",$G567:$T567)-40&lt;0,0,SUMIF($G566:$T566,"",$G567:$T567)+SUMIF($G566:$T566,"F",$G567:$T567)+SUMIF($G566:$T566,"V",$G567:$T567)-($U$9/2))+IF(SUMIF($W566:$AJ566,"",$W567:$AJ567)+SUMIF($W566:$AJ566,"F",$W567:$AJ567)+SUMIF($W566:$AJ566,"V",$W567:$AJ567)-40&lt;0,0,SUMIF($W566:$AJ566,"",$W567:$AJ567)+SUMIF($W566:$AJ566,"F",$W567:$AJ567)+SUMIF($W566:$AJ566,"V",$W567:$AJ567)-($U$9/2))</f>
        <v>0</v>
      </c>
      <c r="AO567" s="73">
        <f>SUMIF($G566:$T566,"M",$G567:$T567)+SUMIF($W566:$AJ566,"M",$W567:$AJ567)</f>
        <v>0</v>
      </c>
      <c r="AP567" s="73">
        <f>SUMIF($G566:$T566,"F",$G567:$T567)+SUMIF($W566:$AJ566,"F",$W567:$AJ567)</f>
        <v>0</v>
      </c>
      <c r="AQ567" s="73">
        <f>SUMIF($G566:$T566,"V",$G567:$T567)+SUMIF($W566:$AJ566,"V",$W567:$AJ567)</f>
        <v>0</v>
      </c>
      <c r="AR567" s="74">
        <f>SUMIF($G566:$T566,"O",$G567:$T567)+SUMIF($W566:$AJ566,"O",$W567:$AJ567)</f>
        <v>0</v>
      </c>
      <c r="AS567" s="75">
        <f>SUM(AM567:AR567)</f>
        <v>0</v>
      </c>
      <c r="AT567" s="72"/>
      <c r="AU567" s="73">
        <f>SUMIF($G566:$T566,"A",$G567:$T567)+SUMIF($W566:$AJ566,"A",$W567:$AJ567)</f>
        <v>0</v>
      </c>
      <c r="AV567" s="72"/>
      <c r="AW567" s="76">
        <f>IF(B567="",0,IF($U$9="",0,$U$9))</f>
        <v>80</v>
      </c>
      <c r="BA567" s="2"/>
      <c r="BB567" s="2"/>
      <c r="BC567" s="101"/>
      <c r="BD567" s="101"/>
    </row>
    <row r="568" spans="1:56" s="84" customFormat="1" x14ac:dyDescent="0.35">
      <c r="B568" s="26"/>
      <c r="C568" s="27"/>
      <c r="D568" s="28" t="str">
        <f>IF(D494="","",D494)</f>
        <v/>
      </c>
      <c r="E568" s="29" t="str">
        <f t="shared" si="255"/>
        <v/>
      </c>
      <c r="F568" s="50">
        <f>B527</f>
        <v>17</v>
      </c>
      <c r="G568" s="59"/>
      <c r="H568" s="64"/>
      <c r="I568" s="106"/>
      <c r="J568" s="105"/>
      <c r="K568" s="106"/>
      <c r="L568" s="105"/>
      <c r="M568" s="106"/>
      <c r="N568" s="105"/>
      <c r="O568" s="106"/>
      <c r="P568" s="105"/>
      <c r="Q568" s="106"/>
      <c r="R568" s="105"/>
      <c r="S568" s="59"/>
      <c r="T568" s="64"/>
      <c r="U568" s="44"/>
      <c r="W568" s="59"/>
      <c r="X568" s="64"/>
      <c r="Y568" s="106"/>
      <c r="Z568" s="105"/>
      <c r="AA568" s="106"/>
      <c r="AB568" s="105"/>
      <c r="AC568" s="106"/>
      <c r="AD568" s="105"/>
      <c r="AE568" s="106"/>
      <c r="AF568" s="105"/>
      <c r="AG568" s="106"/>
      <c r="AH568" s="105"/>
      <c r="AI568" s="59"/>
      <c r="AJ568" s="64"/>
      <c r="AK568" s="44"/>
      <c r="AM568" s="49"/>
      <c r="AN568" s="49"/>
      <c r="AO568" s="49"/>
      <c r="AP568" s="49"/>
      <c r="AQ568" s="49"/>
      <c r="AR568" s="40"/>
      <c r="AS568" s="51"/>
      <c r="AU568" s="49"/>
      <c r="AW568" s="52"/>
      <c r="BA568" s="2"/>
      <c r="BB568" s="2"/>
      <c r="BC568" s="101"/>
      <c r="BD568" s="101"/>
    </row>
    <row r="569" spans="1:56" s="84" customFormat="1" x14ac:dyDescent="0.35">
      <c r="B569" s="30" t="str">
        <f>IF(B495="","",B495)</f>
        <v/>
      </c>
      <c r="C569" s="31"/>
      <c r="D569" s="32"/>
      <c r="E569" s="33" t="str">
        <f t="shared" si="255"/>
        <v/>
      </c>
      <c r="F569" s="50">
        <f>B527</f>
        <v>17</v>
      </c>
      <c r="G569" s="69"/>
      <c r="H569" s="70"/>
      <c r="I569" s="104"/>
      <c r="J569" s="103"/>
      <c r="K569" s="104"/>
      <c r="L569" s="103"/>
      <c r="M569" s="104"/>
      <c r="N569" s="103"/>
      <c r="O569" s="104"/>
      <c r="P569" s="103"/>
      <c r="Q569" s="104"/>
      <c r="R569" s="103"/>
      <c r="S569" s="69"/>
      <c r="T569" s="70"/>
      <c r="U569" s="71">
        <f t="shared" ref="U569" si="258">SUM(G569:T569)</f>
        <v>0</v>
      </c>
      <c r="V569" s="72"/>
      <c r="W569" s="69"/>
      <c r="X569" s="70"/>
      <c r="Y569" s="104"/>
      <c r="Z569" s="103"/>
      <c r="AA569" s="104"/>
      <c r="AB569" s="103"/>
      <c r="AC569" s="104"/>
      <c r="AD569" s="103"/>
      <c r="AE569" s="104"/>
      <c r="AF569" s="103"/>
      <c r="AG569" s="104"/>
      <c r="AH569" s="103"/>
      <c r="AI569" s="69"/>
      <c r="AJ569" s="70"/>
      <c r="AK569" s="71">
        <f>SUM(W569:AJ569)</f>
        <v>0</v>
      </c>
      <c r="AL569" s="72"/>
      <c r="AM569" s="73">
        <f>SUMIF($G568:$T568,"",$G569:$T569)+SUMIF($W568:$AJ568,"",$W569:$AJ569)-AN569</f>
        <v>0</v>
      </c>
      <c r="AN569" s="88">
        <f>IF(SUMIF($G568:$T568,"",$G569:$T569)+SUMIF($G568:$T568,"F",$G569:$T569)+SUMIF($G568:$T568,"V",$G569:$T569)-40&lt;0,0,SUMIF($G568:$T568,"",$G569:$T569)+SUMIF($G568:$T568,"F",$G569:$T569)+SUMIF($G568:$T568,"V",$G569:$T569)-($U$9/2))+IF(SUMIF($W568:$AJ568,"",$W569:$AJ569)+SUMIF($W568:$AJ568,"F",$W569:$AJ569)+SUMIF($W568:$AJ568,"V",$W569:$AJ569)-40&lt;0,0,SUMIF($W568:$AJ568,"",$W569:$AJ569)+SUMIF($W568:$AJ568,"F",$W569:$AJ569)+SUMIF($W568:$AJ568,"V",$W569:$AJ569)-($U$9/2))</f>
        <v>0</v>
      </c>
      <c r="AO569" s="73">
        <f>SUMIF($G568:$T568,"M",$G569:$T569)+SUMIF($W568:$AJ568,"M",$W569:$AJ569)</f>
        <v>0</v>
      </c>
      <c r="AP569" s="73">
        <f>SUMIF($G568:$T568,"F",$G569:$T569)+SUMIF($W568:$AJ568,"F",$W569:$AJ569)</f>
        <v>0</v>
      </c>
      <c r="AQ569" s="73">
        <f>SUMIF($G568:$T568,"V",$G569:$T569)+SUMIF($W568:$AJ568,"V",$W569:$AJ569)</f>
        <v>0</v>
      </c>
      <c r="AR569" s="74">
        <f>SUMIF($G568:$T568,"O",$G569:$T569)+SUMIF($W568:$AJ568,"O",$W569:$AJ569)</f>
        <v>0</v>
      </c>
      <c r="AS569" s="75">
        <f>SUM(AM569:AR569)</f>
        <v>0</v>
      </c>
      <c r="AT569" s="72"/>
      <c r="AU569" s="73">
        <f>SUMIF($G568:$T568,"A",$G569:$T569)+SUMIF($W568:$AJ568,"A",$W569:$AJ569)</f>
        <v>0</v>
      </c>
      <c r="AV569" s="72"/>
      <c r="AW569" s="76">
        <f>IF(B569="",0,IF($U$9="",0,$U$9))</f>
        <v>0</v>
      </c>
      <c r="BA569" s="2"/>
      <c r="BB569" s="2"/>
      <c r="BC569" s="101"/>
      <c r="BD569" s="101"/>
    </row>
    <row r="570" spans="1:56" s="84" customFormat="1" x14ac:dyDescent="0.35">
      <c r="B570" s="26"/>
      <c r="C570" s="27"/>
      <c r="D570" s="28">
        <f>IF(D496="","",D496)</f>
        <v>23736</v>
      </c>
      <c r="E570" s="29" t="str">
        <f t="shared" si="255"/>
        <v/>
      </c>
      <c r="F570" s="50">
        <f>B527</f>
        <v>17</v>
      </c>
      <c r="G570" s="59"/>
      <c r="H570" s="64"/>
      <c r="I570" s="106"/>
      <c r="J570" s="105"/>
      <c r="K570" s="106"/>
      <c r="L570" s="105"/>
      <c r="M570" s="106"/>
      <c r="N570" s="105"/>
      <c r="O570" s="106"/>
      <c r="P570" s="105"/>
      <c r="Q570" s="106"/>
      <c r="R570" s="105"/>
      <c r="S570" s="59"/>
      <c r="T570" s="64"/>
      <c r="U570" s="44"/>
      <c r="W570" s="59"/>
      <c r="X570" s="64"/>
      <c r="Y570" s="106"/>
      <c r="Z570" s="105" t="s">
        <v>1</v>
      </c>
      <c r="AA570" s="106"/>
      <c r="AB570" s="130" t="s">
        <v>12</v>
      </c>
      <c r="AC570" s="106"/>
      <c r="AD570" s="130" t="s">
        <v>12</v>
      </c>
      <c r="AE570" s="106"/>
      <c r="AF570" s="105"/>
      <c r="AG570" s="106"/>
      <c r="AH570" s="105"/>
      <c r="AI570" s="59"/>
      <c r="AJ570" s="64"/>
      <c r="AK570" s="44"/>
      <c r="AM570" s="49"/>
      <c r="AN570" s="49"/>
      <c r="AO570" s="49"/>
      <c r="AP570" s="49"/>
      <c r="AQ570" s="49"/>
      <c r="AR570" s="40"/>
      <c r="AS570" s="51"/>
      <c r="AU570" s="49"/>
      <c r="AW570" s="52"/>
      <c r="BA570" s="2"/>
      <c r="BB570" s="2"/>
      <c r="BC570" s="101"/>
      <c r="BD570" s="101"/>
    </row>
    <row r="571" spans="1:56" s="84" customFormat="1" x14ac:dyDescent="0.35">
      <c r="B571" s="30" t="str">
        <f>IF(B497="","",B497)</f>
        <v>Voster, Jean-Michel</v>
      </c>
      <c r="C571" s="31"/>
      <c r="D571" s="32"/>
      <c r="E571" s="33">
        <f t="shared" si="255"/>
        <v>93545</v>
      </c>
      <c r="F571" s="50">
        <f>B527</f>
        <v>17</v>
      </c>
      <c r="G571" s="69"/>
      <c r="H571" s="70"/>
      <c r="I571" s="104"/>
      <c r="J571" s="103">
        <v>8</v>
      </c>
      <c r="K571" s="104"/>
      <c r="L571" s="103">
        <v>8</v>
      </c>
      <c r="M571" s="104"/>
      <c r="N571" s="103">
        <v>7.75</v>
      </c>
      <c r="O571" s="104"/>
      <c r="P571" s="103">
        <v>8</v>
      </c>
      <c r="Q571" s="104"/>
      <c r="R571" s="103">
        <v>7.75</v>
      </c>
      <c r="S571" s="69"/>
      <c r="T571" s="70"/>
      <c r="U571" s="71">
        <f t="shared" ref="U571" si="259">SUM(G571:T571)</f>
        <v>39.5</v>
      </c>
      <c r="V571" s="72"/>
      <c r="W571" s="69"/>
      <c r="X571" s="70"/>
      <c r="Y571" s="104"/>
      <c r="Z571" s="103">
        <v>8</v>
      </c>
      <c r="AA571" s="104"/>
      <c r="AB571" s="103">
        <v>8</v>
      </c>
      <c r="AC571" s="104"/>
      <c r="AD571" s="103">
        <v>8</v>
      </c>
      <c r="AE571" s="104"/>
      <c r="AF571" s="103">
        <v>7.25</v>
      </c>
      <c r="AG571" s="104"/>
      <c r="AH571" s="103">
        <v>3</v>
      </c>
      <c r="AI571" s="69"/>
      <c r="AJ571" s="70"/>
      <c r="AK571" s="71">
        <f>SUM(W571:AJ571)</f>
        <v>34.25</v>
      </c>
      <c r="AL571" s="72"/>
      <c r="AM571" s="73">
        <f>SUMIF($G570:$T570,"",$G571:$T571)+SUMIF($W570:$AJ570,"",$W571:$AJ571)-AN571</f>
        <v>49.75</v>
      </c>
      <c r="AN571" s="88">
        <f>IF(SUMIF($G570:$T570,"",$G571:$T571)+SUMIF($G570:$T570,"F",$G571:$T571)+SUMIF($G570:$T570,"V",$G571:$T571)-40&lt;0,0,SUMIF($G570:$T570,"",$G571:$T571)+SUMIF($G570:$T570,"F",$G571:$T571)+SUMIF($G570:$T570,"V",$G571:$T571)-($U$9/2))+IF(SUMIF($W570:$AJ570,"",$W571:$AJ571)+SUMIF($W570:$AJ570,"F",$W571:$AJ571)+SUMIF($W570:$AJ570,"V",$W571:$AJ571)-40&lt;0,0,SUMIF($W570:$AJ570,"",$W571:$AJ571)+SUMIF($W570:$AJ570,"F",$W571:$AJ571)+SUMIF($W570:$AJ570,"V",$W571:$AJ571)-($U$9/2))</f>
        <v>0</v>
      </c>
      <c r="AO571" s="73">
        <f>SUMIF($G570:$T570,"M",$G571:$T571)+SUMIF($W570:$AJ570,"M",$W571:$AJ571)</f>
        <v>16</v>
      </c>
      <c r="AP571" s="73">
        <f>SUMIF($G570:$T570,"F",$G571:$T571)+SUMIF($W570:$AJ570,"F",$W571:$AJ571)</f>
        <v>0</v>
      </c>
      <c r="AQ571" s="73">
        <f>SUMIF($G570:$T570,"V",$G571:$T571)+SUMIF($W570:$AJ570,"V",$W571:$AJ571)</f>
        <v>8</v>
      </c>
      <c r="AR571" s="74">
        <f>SUMIF($G570:$T570,"O",$G571:$T571)+SUMIF($W570:$AJ570,"O",$W571:$AJ571)</f>
        <v>0</v>
      </c>
      <c r="AS571" s="75">
        <f>SUM(AM571:AR571)</f>
        <v>73.75</v>
      </c>
      <c r="AT571" s="72"/>
      <c r="AU571" s="73">
        <f>SUMIF($G570:$T570,"A",$G571:$T571)+SUMIF($W570:$AJ570,"A",$W571:$AJ571)</f>
        <v>0</v>
      </c>
      <c r="AV571" s="72"/>
      <c r="AW571" s="76">
        <f>IF(B571="",0,IF($U$9="",0,$U$9))</f>
        <v>80</v>
      </c>
      <c r="BA571" s="2"/>
      <c r="BB571" s="2"/>
      <c r="BC571" s="101"/>
      <c r="BD571" s="101"/>
    </row>
    <row r="572" spans="1:56" s="53" customFormat="1" ht="15" customHeight="1" x14ac:dyDescent="0.35">
      <c r="A572" s="84"/>
      <c r="B572" s="26"/>
      <c r="C572" s="27"/>
      <c r="D572" s="28" t="str">
        <f>IF(D498="","",D498)</f>
        <v/>
      </c>
      <c r="E572" s="29" t="str">
        <f t="shared" si="255"/>
        <v/>
      </c>
      <c r="F572" s="50">
        <f>B527</f>
        <v>17</v>
      </c>
      <c r="G572" s="59"/>
      <c r="H572" s="64"/>
      <c r="I572" s="106"/>
      <c r="J572" s="105"/>
      <c r="K572" s="106"/>
      <c r="L572" s="105"/>
      <c r="M572" s="106"/>
      <c r="N572" s="105"/>
      <c r="O572" s="106"/>
      <c r="P572" s="105"/>
      <c r="Q572" s="106"/>
      <c r="R572" s="105"/>
      <c r="S572" s="59"/>
      <c r="T572" s="64"/>
      <c r="U572" s="44"/>
      <c r="V572" s="84"/>
      <c r="W572" s="59"/>
      <c r="X572" s="64"/>
      <c r="Y572" s="106"/>
      <c r="Z572" s="105"/>
      <c r="AA572" s="106"/>
      <c r="AB572" s="105"/>
      <c r="AC572" s="106"/>
      <c r="AD572" s="105"/>
      <c r="AE572" s="106"/>
      <c r="AF572" s="105"/>
      <c r="AG572" s="106"/>
      <c r="AH572" s="105"/>
      <c r="AI572" s="59"/>
      <c r="AJ572" s="64"/>
      <c r="AK572" s="44"/>
      <c r="AL572" s="84"/>
      <c r="AM572" s="49"/>
      <c r="AN572" s="49"/>
      <c r="AO572" s="49"/>
      <c r="AP572" s="49"/>
      <c r="AQ572" s="49"/>
      <c r="AR572" s="40"/>
      <c r="AS572" s="51"/>
      <c r="AT572" s="84"/>
      <c r="AU572" s="49"/>
      <c r="AV572" s="84"/>
      <c r="AW572" s="52"/>
      <c r="AX572" s="84"/>
      <c r="BA572" s="2"/>
      <c r="BB572" s="2"/>
      <c r="BC572" s="101"/>
      <c r="BD572" s="101"/>
    </row>
    <row r="573" spans="1:56" s="57" customFormat="1" ht="15" customHeight="1" x14ac:dyDescent="0.35">
      <c r="A573" s="84"/>
      <c r="B573" s="30" t="str">
        <f>IF(B499="","",B499)</f>
        <v/>
      </c>
      <c r="C573" s="31"/>
      <c r="D573" s="32"/>
      <c r="E573" s="33" t="str">
        <f t="shared" si="255"/>
        <v/>
      </c>
      <c r="F573" s="50">
        <f>B527</f>
        <v>17</v>
      </c>
      <c r="G573" s="69"/>
      <c r="H573" s="70"/>
      <c r="I573" s="104"/>
      <c r="J573" s="103"/>
      <c r="K573" s="104"/>
      <c r="L573" s="103"/>
      <c r="M573" s="104"/>
      <c r="N573" s="103"/>
      <c r="O573" s="104"/>
      <c r="P573" s="103"/>
      <c r="Q573" s="104"/>
      <c r="R573" s="103"/>
      <c r="S573" s="69"/>
      <c r="T573" s="70"/>
      <c r="U573" s="71">
        <f t="shared" ref="U573" si="260">SUM(G573:T573)</f>
        <v>0</v>
      </c>
      <c r="V573" s="72"/>
      <c r="W573" s="69"/>
      <c r="X573" s="70"/>
      <c r="Y573" s="104"/>
      <c r="Z573" s="103"/>
      <c r="AA573" s="104"/>
      <c r="AB573" s="103"/>
      <c r="AC573" s="104"/>
      <c r="AD573" s="103"/>
      <c r="AE573" s="104"/>
      <c r="AF573" s="103"/>
      <c r="AG573" s="104"/>
      <c r="AH573" s="103"/>
      <c r="AI573" s="69"/>
      <c r="AJ573" s="70"/>
      <c r="AK573" s="71">
        <f>SUM(W573:AJ573)</f>
        <v>0</v>
      </c>
      <c r="AL573" s="72"/>
      <c r="AM573" s="73">
        <f>SUMIF($G572:$T572,"",$G573:$T573)+SUMIF($W572:$AJ572,"",$W573:$AJ573)-AN573</f>
        <v>0</v>
      </c>
      <c r="AN573" s="88">
        <f>IF(SUMIF($G572:$T572,"",$G573:$T573)+SUMIF($G572:$T572,"F",$G573:$T573)+SUMIF($G572:$T572,"V",$G573:$T573)-40&lt;0,0,SUMIF($G572:$T572,"",$G573:$T573)+SUMIF($G572:$T572,"F",$G573:$T573)+SUMIF($G572:$T572,"V",$G573:$T573)-($U$9/2))+IF(SUMIF($W572:$AJ572,"",$W573:$AJ573)+SUMIF($W572:$AJ572,"F",$W573:$AJ573)+SUMIF($W572:$AJ572,"V",$W573:$AJ573)-40&lt;0,0,SUMIF($W572:$AJ572,"",$W573:$AJ573)+SUMIF($W572:$AJ572,"F",$W573:$AJ573)+SUMIF($W572:$AJ572,"V",$W573:$AJ573)-($U$9/2))</f>
        <v>0</v>
      </c>
      <c r="AO573" s="73">
        <f>SUMIF($G572:$T572,"M",$G573:$T573)+SUMIF($W572:$AJ572,"M",$W573:$AJ573)</f>
        <v>0</v>
      </c>
      <c r="AP573" s="73">
        <f>SUMIF($G572:$T572,"F",$G573:$T573)+SUMIF($W572:$AJ572,"F",$W573:$AJ573)</f>
        <v>0</v>
      </c>
      <c r="AQ573" s="73">
        <f>SUMIF($G572:$T572,"V",$G573:$T573)+SUMIF($W572:$AJ572,"V",$W573:$AJ573)</f>
        <v>0</v>
      </c>
      <c r="AR573" s="74">
        <f>SUMIF($G572:$T572,"O",$G573:$T573)+SUMIF($W572:$AJ572,"O",$W573:$AJ573)</f>
        <v>0</v>
      </c>
      <c r="AS573" s="75">
        <f>SUM(AM573:AR573)</f>
        <v>0</v>
      </c>
      <c r="AT573" s="72"/>
      <c r="AU573" s="73">
        <f>SUMIF($G572:$T572,"A",$G573:$T573)+SUMIF($W572:$AJ572,"A",$W573:$AJ573)</f>
        <v>0</v>
      </c>
      <c r="AV573" s="72"/>
      <c r="AW573" s="76">
        <f>IF(B573="",0,IF($U$9="",0,$U$9))</f>
        <v>0</v>
      </c>
      <c r="AX573" s="84"/>
      <c r="BA573" s="2"/>
      <c r="BB573" s="2"/>
      <c r="BC573" s="101"/>
      <c r="BD573" s="101"/>
    </row>
    <row r="574" spans="1:56" s="53" customFormat="1" ht="15" customHeight="1" x14ac:dyDescent="0.35">
      <c r="A574" s="84"/>
      <c r="B574" s="26"/>
      <c r="C574" s="27"/>
      <c r="D574" s="28" t="str">
        <f>IF(D500="","",D500)</f>
        <v/>
      </c>
      <c r="E574" s="29" t="str">
        <f t="shared" si="255"/>
        <v/>
      </c>
      <c r="F574" s="50">
        <f>B527</f>
        <v>17</v>
      </c>
      <c r="G574" s="59"/>
      <c r="H574" s="64"/>
      <c r="I574" s="106"/>
      <c r="J574" s="105"/>
      <c r="K574" s="106"/>
      <c r="L574" s="105"/>
      <c r="M574" s="106"/>
      <c r="N574" s="105"/>
      <c r="O574" s="106"/>
      <c r="P574" s="105"/>
      <c r="Q574" s="106"/>
      <c r="R574" s="105"/>
      <c r="S574" s="59"/>
      <c r="T574" s="64"/>
      <c r="U574" s="44"/>
      <c r="V574" s="84"/>
      <c r="W574" s="59"/>
      <c r="X574" s="64"/>
      <c r="Y574" s="106"/>
      <c r="Z574" s="105"/>
      <c r="AA574" s="106"/>
      <c r="AB574" s="105"/>
      <c r="AC574" s="106"/>
      <c r="AD574" s="105"/>
      <c r="AE574" s="106"/>
      <c r="AF574" s="105"/>
      <c r="AG574" s="106"/>
      <c r="AH574" s="105"/>
      <c r="AI574" s="59"/>
      <c r="AJ574" s="64"/>
      <c r="AK574" s="44"/>
      <c r="AL574" s="84"/>
      <c r="AM574" s="49"/>
      <c r="AN574" s="49"/>
      <c r="AO574" s="49"/>
      <c r="AP574" s="49"/>
      <c r="AQ574" s="49"/>
      <c r="AR574" s="40"/>
      <c r="AS574" s="51"/>
      <c r="AT574" s="84"/>
      <c r="AU574" s="49"/>
      <c r="AV574" s="84"/>
      <c r="AW574" s="52"/>
      <c r="AX574" s="84"/>
      <c r="BA574" s="2"/>
      <c r="BB574" s="2"/>
      <c r="BC574" s="101"/>
      <c r="BD574" s="101"/>
    </row>
    <row r="575" spans="1:56" s="53" customFormat="1" x14ac:dyDescent="0.35">
      <c r="A575" s="84"/>
      <c r="B575" s="30" t="str">
        <f>IF(B501="","",B501)</f>
        <v/>
      </c>
      <c r="C575" s="31"/>
      <c r="D575" s="32"/>
      <c r="E575" s="33" t="str">
        <f t="shared" si="255"/>
        <v/>
      </c>
      <c r="F575" s="50">
        <f>B527</f>
        <v>17</v>
      </c>
      <c r="G575" s="69"/>
      <c r="H575" s="70"/>
      <c r="I575" s="104"/>
      <c r="J575" s="103"/>
      <c r="K575" s="104"/>
      <c r="L575" s="103"/>
      <c r="M575" s="104"/>
      <c r="N575" s="103"/>
      <c r="O575" s="104"/>
      <c r="P575" s="103"/>
      <c r="Q575" s="104"/>
      <c r="R575" s="103"/>
      <c r="S575" s="69"/>
      <c r="T575" s="70"/>
      <c r="U575" s="71">
        <f t="shared" ref="U575" si="261">SUM(G575:T575)</f>
        <v>0</v>
      </c>
      <c r="V575" s="72"/>
      <c r="W575" s="69"/>
      <c r="X575" s="70"/>
      <c r="Y575" s="104"/>
      <c r="Z575" s="103"/>
      <c r="AA575" s="104"/>
      <c r="AB575" s="103"/>
      <c r="AC575" s="104"/>
      <c r="AD575" s="103"/>
      <c r="AE575" s="104"/>
      <c r="AF575" s="103"/>
      <c r="AG575" s="104"/>
      <c r="AH575" s="103"/>
      <c r="AI575" s="69"/>
      <c r="AJ575" s="70"/>
      <c r="AK575" s="71">
        <f>SUM(W575:AJ575)</f>
        <v>0</v>
      </c>
      <c r="AL575" s="72"/>
      <c r="AM575" s="73">
        <f>SUMIF($G574:$T574,"",$G575:$T575)+SUMIF($W574:$AJ574,"",$W575:$AJ575)-AN575</f>
        <v>0</v>
      </c>
      <c r="AN575" s="88">
        <f>IF(SUMIF($G574:$T574,"",$G575:$T575)+SUMIF($G574:$T574,"F",$G575:$T575)+SUMIF($G574:$T574,"V",$G575:$T575)-40&lt;0,0,SUMIF($G574:$T574,"",$G575:$T575)+SUMIF($G574:$T574,"F",$G575:$T575)+SUMIF($G574:$T574,"V",$G575:$T575)-($U$9/2))+IF(SUMIF($W574:$AJ574,"",$W575:$AJ575)+SUMIF($W574:$AJ574,"F",$W575:$AJ575)+SUMIF($W574:$AJ574,"V",$W575:$AJ575)-40&lt;0,0,SUMIF($W574:$AJ574,"",$W575:$AJ575)+SUMIF($W574:$AJ574,"F",$W575:$AJ575)+SUMIF($W574:$AJ574,"V",$W575:$AJ575)-($U$9/2))</f>
        <v>0</v>
      </c>
      <c r="AO575" s="73">
        <f>SUMIF($G574:$T574,"M",$G575:$T575)+SUMIF($W574:$AJ574,"M",$W575:$AJ575)</f>
        <v>0</v>
      </c>
      <c r="AP575" s="73">
        <f>SUMIF($G574:$T574,"F",$G575:$T575)+SUMIF($W574:$AJ574,"F",$W575:$AJ575)</f>
        <v>0</v>
      </c>
      <c r="AQ575" s="73">
        <f>SUMIF($G574:$T574,"V",$G575:$T575)+SUMIF($W574:$AJ574,"V",$W575:$AJ575)</f>
        <v>0</v>
      </c>
      <c r="AR575" s="74">
        <f>SUMIF($G574:$T574,"O",$G575:$T575)+SUMIF($W574:$AJ574,"O",$W575:$AJ575)</f>
        <v>0</v>
      </c>
      <c r="AS575" s="75">
        <f>SUM(AM575:AR575)</f>
        <v>0</v>
      </c>
      <c r="AT575" s="72"/>
      <c r="AU575" s="73">
        <f>SUMIF($G574:$T574,"A",$G575:$T575)+SUMIF($W574:$AJ574,"A",$W575:$AJ575)</f>
        <v>0</v>
      </c>
      <c r="AV575" s="72"/>
      <c r="AW575" s="76">
        <f>IF(B575="",0,IF($U$9="",0,$U$9))</f>
        <v>0</v>
      </c>
      <c r="AX575" s="84"/>
      <c r="BA575" s="2"/>
      <c r="BB575" s="2"/>
      <c r="BC575" s="101"/>
      <c r="BD575" s="101"/>
    </row>
    <row r="576" spans="1:56" s="53" customFormat="1" x14ac:dyDescent="0.35">
      <c r="A576" s="84"/>
      <c r="B576" s="26"/>
      <c r="C576" s="27"/>
      <c r="D576" s="28" t="str">
        <f>IF(D502="","",D502)</f>
        <v/>
      </c>
      <c r="E576" s="29" t="str">
        <f t="shared" si="255"/>
        <v/>
      </c>
      <c r="F576" s="50">
        <f>B527</f>
        <v>17</v>
      </c>
      <c r="G576" s="59"/>
      <c r="H576" s="64"/>
      <c r="I576" s="58"/>
      <c r="J576" s="65"/>
      <c r="K576" s="58"/>
      <c r="L576" s="65"/>
      <c r="M576" s="58"/>
      <c r="N576" s="65"/>
      <c r="O576" s="58"/>
      <c r="P576" s="65"/>
      <c r="Q576" s="58"/>
      <c r="R576" s="65"/>
      <c r="S576" s="59"/>
      <c r="T576" s="64"/>
      <c r="U576" s="44"/>
      <c r="V576" s="84"/>
      <c r="W576" s="59"/>
      <c r="X576" s="64"/>
      <c r="Y576" s="58"/>
      <c r="Z576" s="65"/>
      <c r="AA576" s="58"/>
      <c r="AB576" s="65"/>
      <c r="AC576" s="58"/>
      <c r="AD576" s="65"/>
      <c r="AE576" s="58"/>
      <c r="AF576" s="65"/>
      <c r="AG576" s="58"/>
      <c r="AH576" s="65"/>
      <c r="AI576" s="59"/>
      <c r="AJ576" s="64"/>
      <c r="AK576" s="44"/>
      <c r="AL576" s="84"/>
      <c r="AM576" s="49"/>
      <c r="AN576" s="49"/>
      <c r="AO576" s="49"/>
      <c r="AP576" s="49"/>
      <c r="AQ576" s="49"/>
      <c r="AR576" s="40"/>
      <c r="AS576" s="51"/>
      <c r="AT576" s="84"/>
      <c r="AU576" s="49"/>
      <c r="AV576" s="84"/>
      <c r="AW576" s="52"/>
      <c r="AX576" s="84"/>
      <c r="BA576" s="2"/>
      <c r="BB576" s="2"/>
      <c r="BC576" s="101"/>
      <c r="BD576" s="101"/>
    </row>
    <row r="577" spans="1:56" s="53" customFormat="1" x14ac:dyDescent="0.35">
      <c r="A577" s="84"/>
      <c r="B577" s="30" t="str">
        <f>IF(B503="","",B503)</f>
        <v/>
      </c>
      <c r="C577" s="31"/>
      <c r="D577" s="32"/>
      <c r="E577" s="33" t="str">
        <f t="shared" si="255"/>
        <v/>
      </c>
      <c r="F577" s="50">
        <f>B527</f>
        <v>17</v>
      </c>
      <c r="G577" s="69"/>
      <c r="H577" s="70"/>
      <c r="I577" s="67"/>
      <c r="J577" s="68"/>
      <c r="K577" s="67"/>
      <c r="L577" s="68"/>
      <c r="M577" s="67"/>
      <c r="N577" s="68"/>
      <c r="O577" s="67"/>
      <c r="P577" s="68"/>
      <c r="Q577" s="67"/>
      <c r="R577" s="68"/>
      <c r="S577" s="69"/>
      <c r="T577" s="70"/>
      <c r="U577" s="71">
        <f t="shared" ref="U577" si="262">SUM(G577:T577)</f>
        <v>0</v>
      </c>
      <c r="V577" s="72"/>
      <c r="W577" s="69"/>
      <c r="X577" s="70"/>
      <c r="Y577" s="67"/>
      <c r="Z577" s="68"/>
      <c r="AA577" s="67"/>
      <c r="AB577" s="68"/>
      <c r="AC577" s="67"/>
      <c r="AD577" s="68"/>
      <c r="AE577" s="67"/>
      <c r="AF577" s="68"/>
      <c r="AG577" s="67"/>
      <c r="AH577" s="68"/>
      <c r="AI577" s="69"/>
      <c r="AJ577" s="70"/>
      <c r="AK577" s="71">
        <v>0</v>
      </c>
      <c r="AL577" s="72"/>
      <c r="AM577" s="73">
        <f>SUMIF($G576:$T576,"",$G577:$T577)+SUMIF($W576:$AJ576,"",$W577:$AJ577)-AN577</f>
        <v>0</v>
      </c>
      <c r="AN577" s="88">
        <f>IF(SUMIF($G576:$T576,"",$G577:$T577)+SUMIF($G576:$T576,"F",$G577:$T577)+SUMIF($G576:$T576,"V",$G577:$T577)-40&lt;0,0,SUMIF($G576:$T576,"",$G577:$T577)+SUMIF($G576:$T576,"F",$G577:$T577)+SUMIF($G576:$T576,"V",$G577:$T577)-($U$9/2))+IF(SUMIF($W576:$AJ576,"",$W577:$AJ577)+SUMIF($W576:$AJ576,"F",$W577:$AJ577)+SUMIF($W576:$AJ576,"V",$W577:$AJ577)-40&lt;0,0,SUMIF($W576:$AJ576,"",$W577:$AJ577)+SUMIF($W576:$AJ576,"F",$W577:$AJ577)+SUMIF($W576:$AJ576,"V",$W577:$AJ577)-($U$9/2))</f>
        <v>0</v>
      </c>
      <c r="AO577" s="73">
        <f>SUMIF($G576:$T576,"M",$G577:$T577)+SUMIF($W576:$AJ576,"M",$W577:$AJ577)</f>
        <v>0</v>
      </c>
      <c r="AP577" s="73">
        <f>SUMIF($G576:$T576,"F",$G577:$T577)+SUMIF($W576:$AJ576,"F",$W577:$AJ577)</f>
        <v>0</v>
      </c>
      <c r="AQ577" s="73">
        <f>SUMIF($G576:$T576,"V",$G577:$T577)+SUMIF($W576:$AJ576,"V",$W577:$AJ577)</f>
        <v>0</v>
      </c>
      <c r="AR577" s="74">
        <f>SUMIF($G576:$T576,"O",$G577:$T577)+SUMIF($W576:$AJ576,"O",$W577:$AJ577)</f>
        <v>0</v>
      </c>
      <c r="AS577" s="75">
        <f>SUM(AM577:AR577)</f>
        <v>0</v>
      </c>
      <c r="AT577" s="72"/>
      <c r="AU577" s="73">
        <f>SUMIF($G576:$T576,"A",$G577:$T577)+SUMIF($W576:$AJ576,"A",$W577:$AJ577)</f>
        <v>0</v>
      </c>
      <c r="AV577" s="72"/>
      <c r="AW577" s="76">
        <f>IF(B577="",0,IF($U$9="",0,$U$9))</f>
        <v>0</v>
      </c>
      <c r="AX577" s="84"/>
      <c r="BA577" s="2"/>
      <c r="BB577" s="2"/>
      <c r="BC577" s="101"/>
      <c r="BD577" s="101"/>
    </row>
    <row r="578" spans="1:56" s="53" customFormat="1" x14ac:dyDescent="0.35">
      <c r="A578" s="84"/>
      <c r="B578" s="26"/>
      <c r="C578" s="27"/>
      <c r="D578" s="28" t="str">
        <f>IF(D504="","",D504)</f>
        <v/>
      </c>
      <c r="E578" s="29" t="str">
        <f t="shared" si="255"/>
        <v/>
      </c>
      <c r="F578" s="50">
        <f>B527</f>
        <v>17</v>
      </c>
      <c r="G578" s="59"/>
      <c r="H578" s="64"/>
      <c r="I578" s="58"/>
      <c r="J578" s="65"/>
      <c r="K578" s="58"/>
      <c r="L578" s="65"/>
      <c r="M578" s="58"/>
      <c r="N578" s="65"/>
      <c r="O578" s="58"/>
      <c r="P578" s="65"/>
      <c r="Q578" s="58"/>
      <c r="R578" s="65"/>
      <c r="S578" s="59"/>
      <c r="T578" s="64"/>
      <c r="U578" s="44"/>
      <c r="V578" s="84"/>
      <c r="W578" s="59"/>
      <c r="X578" s="64"/>
      <c r="Y578" s="58"/>
      <c r="Z578" s="65"/>
      <c r="AA578" s="58"/>
      <c r="AB578" s="65"/>
      <c r="AC578" s="58"/>
      <c r="AD578" s="65"/>
      <c r="AE578" s="58"/>
      <c r="AF578" s="65"/>
      <c r="AG578" s="58"/>
      <c r="AH578" s="65"/>
      <c r="AI578" s="59"/>
      <c r="AJ578" s="64"/>
      <c r="AK578" s="44"/>
      <c r="AL578" s="84"/>
      <c r="AM578" s="49"/>
      <c r="AN578" s="49"/>
      <c r="AO578" s="49"/>
      <c r="AP578" s="49"/>
      <c r="AQ578" s="49"/>
      <c r="AR578" s="40"/>
      <c r="AS578" s="51"/>
      <c r="AT578" s="84"/>
      <c r="AU578" s="49"/>
      <c r="AV578" s="84"/>
      <c r="AW578" s="52"/>
      <c r="AX578" s="84"/>
      <c r="BA578" s="2"/>
      <c r="BB578" s="2"/>
      <c r="BC578" s="101"/>
      <c r="BD578" s="101"/>
    </row>
    <row r="579" spans="1:56" s="53" customFormat="1" x14ac:dyDescent="0.35">
      <c r="A579" s="84"/>
      <c r="B579" s="30" t="str">
        <f>IF(B505="","",B505)</f>
        <v/>
      </c>
      <c r="C579" s="31"/>
      <c r="D579" s="32"/>
      <c r="E579" s="33" t="str">
        <f t="shared" si="255"/>
        <v/>
      </c>
      <c r="F579" s="50">
        <f>B527</f>
        <v>17</v>
      </c>
      <c r="G579" s="69"/>
      <c r="H579" s="70"/>
      <c r="I579" s="67"/>
      <c r="J579" s="68"/>
      <c r="K579" s="67"/>
      <c r="L579" s="68"/>
      <c r="M579" s="67"/>
      <c r="N579" s="68"/>
      <c r="O579" s="67"/>
      <c r="P579" s="68"/>
      <c r="Q579" s="67"/>
      <c r="R579" s="68"/>
      <c r="S579" s="69"/>
      <c r="T579" s="70"/>
      <c r="U579" s="71">
        <f t="shared" ref="U579" si="263">SUM(G579:T579)</f>
        <v>0</v>
      </c>
      <c r="V579" s="72"/>
      <c r="W579" s="69"/>
      <c r="X579" s="70"/>
      <c r="Y579" s="67"/>
      <c r="Z579" s="68"/>
      <c r="AA579" s="67"/>
      <c r="AB579" s="68"/>
      <c r="AC579" s="67"/>
      <c r="AD579" s="68"/>
      <c r="AE579" s="67"/>
      <c r="AF579" s="68"/>
      <c r="AG579" s="67"/>
      <c r="AH579" s="68"/>
      <c r="AI579" s="69"/>
      <c r="AJ579" s="70"/>
      <c r="AK579" s="71">
        <v>0</v>
      </c>
      <c r="AL579" s="72"/>
      <c r="AM579" s="73">
        <v>0</v>
      </c>
      <c r="AN579" s="88">
        <v>0</v>
      </c>
      <c r="AO579" s="73">
        <v>0</v>
      </c>
      <c r="AP579" s="73">
        <v>0</v>
      </c>
      <c r="AQ579" s="73">
        <v>0</v>
      </c>
      <c r="AR579" s="74">
        <v>0</v>
      </c>
      <c r="AS579" s="75">
        <v>0</v>
      </c>
      <c r="AT579" s="72"/>
      <c r="AU579" s="73">
        <f>SUMIF($G578:$T578,"A",$G579:$T579)+SUMIF($W578:$AJ578,"A",$W579:$AJ579)</f>
        <v>0</v>
      </c>
      <c r="AV579" s="72"/>
      <c r="AW579" s="76">
        <f>IF(B579="",0,IF($U$9="",0,$U$9))</f>
        <v>0</v>
      </c>
      <c r="AX579" s="84"/>
      <c r="BA579" s="2"/>
      <c r="BB579" s="2"/>
      <c r="BC579" s="101"/>
      <c r="BD579" s="101"/>
    </row>
    <row r="580" spans="1:56" s="53" customFormat="1" x14ac:dyDescent="0.35">
      <c r="A580" s="84"/>
      <c r="B580" s="26"/>
      <c r="C580" s="27"/>
      <c r="D580" s="28" t="str">
        <f>IF(D506="","",D506)</f>
        <v/>
      </c>
      <c r="E580" s="29" t="str">
        <f t="shared" si="255"/>
        <v/>
      </c>
      <c r="F580" s="50">
        <f>B527</f>
        <v>17</v>
      </c>
      <c r="G580" s="59"/>
      <c r="H580" s="64"/>
      <c r="I580" s="58"/>
      <c r="J580" s="65"/>
      <c r="K580" s="58"/>
      <c r="L580" s="65"/>
      <c r="M580" s="58"/>
      <c r="N580" s="65"/>
      <c r="O580" s="58"/>
      <c r="P580" s="65"/>
      <c r="Q580" s="58"/>
      <c r="R580" s="65"/>
      <c r="S580" s="59"/>
      <c r="T580" s="64"/>
      <c r="U580" s="44"/>
      <c r="V580" s="84"/>
      <c r="W580" s="59"/>
      <c r="X580" s="64"/>
      <c r="Y580" s="58"/>
      <c r="Z580" s="65"/>
      <c r="AA580" s="58"/>
      <c r="AB580" s="65"/>
      <c r="AC580" s="58"/>
      <c r="AD580" s="65"/>
      <c r="AE580" s="58"/>
      <c r="AF580" s="65"/>
      <c r="AG580" s="58"/>
      <c r="AH580" s="65"/>
      <c r="AI580" s="59"/>
      <c r="AJ580" s="64"/>
      <c r="AK580" s="44"/>
      <c r="AL580" s="84"/>
      <c r="AM580" s="49"/>
      <c r="AN580" s="49"/>
      <c r="AO580" s="49"/>
      <c r="AP580" s="49"/>
      <c r="AQ580" s="49"/>
      <c r="AR580" s="40"/>
      <c r="AS580" s="51"/>
      <c r="AT580" s="84"/>
      <c r="AU580" s="49"/>
      <c r="AV580" s="84"/>
      <c r="AW580" s="52"/>
      <c r="AX580" s="84"/>
      <c r="BA580" s="2"/>
      <c r="BB580" s="2"/>
      <c r="BC580" s="101"/>
      <c r="BD580" s="101"/>
    </row>
    <row r="581" spans="1:56" s="53" customFormat="1" ht="15" thickBot="1" x14ac:dyDescent="0.4">
      <c r="A581" s="84"/>
      <c r="B581" s="30" t="str">
        <f>IF(B507="","",B507)</f>
        <v/>
      </c>
      <c r="C581" s="31"/>
      <c r="D581" s="32"/>
      <c r="E581" s="33" t="str">
        <f t="shared" si="255"/>
        <v/>
      </c>
      <c r="F581" s="50">
        <f>B527</f>
        <v>17</v>
      </c>
      <c r="G581" s="69"/>
      <c r="H581" s="70"/>
      <c r="I581" s="67"/>
      <c r="J581" s="68"/>
      <c r="K581" s="67"/>
      <c r="L581" s="68"/>
      <c r="M581" s="67"/>
      <c r="N581" s="68"/>
      <c r="O581" s="67"/>
      <c r="P581" s="68"/>
      <c r="Q581" s="67"/>
      <c r="R581" s="68"/>
      <c r="S581" s="69"/>
      <c r="T581" s="70"/>
      <c r="U581" s="71">
        <f t="shared" ref="U581" si="264">SUM(G581:T581)</f>
        <v>0</v>
      </c>
      <c r="V581" s="72"/>
      <c r="W581" s="69"/>
      <c r="X581" s="70"/>
      <c r="Y581" s="67"/>
      <c r="Z581" s="68"/>
      <c r="AA581" s="67"/>
      <c r="AB581" s="68"/>
      <c r="AC581" s="67"/>
      <c r="AD581" s="68"/>
      <c r="AE581" s="67"/>
      <c r="AF581" s="68"/>
      <c r="AG581" s="67"/>
      <c r="AH581" s="68"/>
      <c r="AI581" s="69"/>
      <c r="AJ581" s="70"/>
      <c r="AK581" s="71">
        <v>0</v>
      </c>
      <c r="AL581" s="72"/>
      <c r="AM581" s="73">
        <v>0</v>
      </c>
      <c r="AN581" s="88">
        <v>0</v>
      </c>
      <c r="AO581" s="73">
        <v>0</v>
      </c>
      <c r="AP581" s="73">
        <v>0</v>
      </c>
      <c r="AQ581" s="73">
        <v>0</v>
      </c>
      <c r="AR581" s="74">
        <v>0</v>
      </c>
      <c r="AS581" s="75">
        <v>0</v>
      </c>
      <c r="AT581" s="72"/>
      <c r="AU581" s="73">
        <f>SUMIF($G580:$T580,"A",$G581:$T581)+SUMIF($W580:$AJ580,"A",$W581:$AJ581)</f>
        <v>0</v>
      </c>
      <c r="AV581" s="72"/>
      <c r="AW581" s="76">
        <f>IF(B581="",0,IF($U$9="",0,$U$9))</f>
        <v>0</v>
      </c>
      <c r="AX581" s="84"/>
      <c r="BA581" s="2"/>
      <c r="BB581" s="2"/>
      <c r="BC581" s="101"/>
      <c r="BD581" s="101"/>
    </row>
    <row r="582" spans="1:56" s="53" customFormat="1" ht="27.75" customHeight="1" thickBot="1" x14ac:dyDescent="0.4">
      <c r="A582" s="84"/>
      <c r="B582" s="149" t="s">
        <v>7</v>
      </c>
      <c r="C582" s="150"/>
      <c r="D582" s="150"/>
      <c r="E582" s="151"/>
      <c r="F582" s="97"/>
      <c r="G582" s="152">
        <f>SUM(G532:H581)</f>
        <v>0</v>
      </c>
      <c r="H582" s="152"/>
      <c r="I582" s="152">
        <f>SUM(I532:J581)</f>
        <v>128.25</v>
      </c>
      <c r="J582" s="152"/>
      <c r="K582" s="152">
        <f>SUM(K532:L581)</f>
        <v>130.25</v>
      </c>
      <c r="L582" s="152"/>
      <c r="M582" s="152">
        <f>SUM(M532:N581)</f>
        <v>128.25</v>
      </c>
      <c r="N582" s="152"/>
      <c r="O582" s="152">
        <f>SUM(O532:P581)</f>
        <v>128</v>
      </c>
      <c r="P582" s="152"/>
      <c r="Q582" s="152">
        <f>SUM(Q532:R581)</f>
        <v>117.75</v>
      </c>
      <c r="R582" s="152"/>
      <c r="S582" s="152">
        <f>SUM(S532:T581)</f>
        <v>0</v>
      </c>
      <c r="T582" s="153"/>
      <c r="U582" s="77">
        <f>SUM(U532:U581)</f>
        <v>632.5</v>
      </c>
      <c r="V582" s="78"/>
      <c r="W582" s="152">
        <f>SUM(W532:X581)</f>
        <v>0</v>
      </c>
      <c r="X582" s="152"/>
      <c r="Y582" s="152">
        <f>SUM(Y532:Z581)</f>
        <v>128</v>
      </c>
      <c r="Z582" s="152"/>
      <c r="AA582" s="152">
        <f>SUM(AA532:AB581)</f>
        <v>128.25</v>
      </c>
      <c r="AB582" s="152"/>
      <c r="AC582" s="152">
        <f>SUM(AC532:AD581)</f>
        <v>128.5</v>
      </c>
      <c r="AD582" s="152"/>
      <c r="AE582" s="152">
        <f>SUM(AE532:AF581)</f>
        <v>127.5</v>
      </c>
      <c r="AF582" s="152"/>
      <c r="AG582" s="152">
        <f>SUM(AG532:AH581)</f>
        <v>122</v>
      </c>
      <c r="AH582" s="152"/>
      <c r="AI582" s="152">
        <f>SUM(AI532:AJ581)</f>
        <v>0</v>
      </c>
      <c r="AJ582" s="152"/>
      <c r="AK582" s="77">
        <f>SUM(AK532:AK581)</f>
        <v>634.25</v>
      </c>
      <c r="AL582" s="78"/>
      <c r="AM582" s="79">
        <f t="shared" ref="AM582:AS582" si="265">SUM(AM532:AM581)</f>
        <v>1160.75</v>
      </c>
      <c r="AN582" s="79">
        <f t="shared" si="265"/>
        <v>2</v>
      </c>
      <c r="AO582" s="79">
        <f t="shared" si="265"/>
        <v>32</v>
      </c>
      <c r="AP582" s="79">
        <f t="shared" si="265"/>
        <v>0</v>
      </c>
      <c r="AQ582" s="79">
        <f t="shared" si="265"/>
        <v>72</v>
      </c>
      <c r="AR582" s="80">
        <f t="shared" si="265"/>
        <v>0</v>
      </c>
      <c r="AS582" s="81">
        <f t="shared" si="265"/>
        <v>1266.75</v>
      </c>
      <c r="AT582" s="78"/>
      <c r="AU582" s="82">
        <f>SUM(AU532:AU581)</f>
        <v>0</v>
      </c>
      <c r="AV582" s="78"/>
      <c r="AW582" s="83">
        <f>SUM(AW532:AW581)</f>
        <v>1520</v>
      </c>
      <c r="AX582" s="84"/>
      <c r="BA582" s="2"/>
      <c r="BB582" s="2"/>
      <c r="BC582" s="101"/>
      <c r="BD582" s="101"/>
    </row>
    <row r="583" spans="1:56" s="53" customFormat="1" ht="15" thickTop="1" x14ac:dyDescent="0.35">
      <c r="B583" s="54"/>
      <c r="F583" s="98"/>
      <c r="G583" s="55"/>
      <c r="H583" s="55"/>
      <c r="I583" s="55"/>
      <c r="J583" s="55"/>
      <c r="K583" s="55"/>
      <c r="L583" s="55"/>
      <c r="M583" s="55"/>
      <c r="N583" s="55"/>
      <c r="O583" s="55"/>
      <c r="P583" s="55"/>
      <c r="Q583" s="55"/>
      <c r="R583" s="55"/>
      <c r="S583" s="55"/>
      <c r="T583" s="55"/>
      <c r="U583" s="56"/>
      <c r="V583" s="55"/>
      <c r="W583" s="55"/>
      <c r="X583" s="55"/>
      <c r="Y583" s="55"/>
      <c r="Z583" s="55"/>
      <c r="AA583" s="55"/>
      <c r="AB583" s="55"/>
      <c r="AC583" s="55"/>
      <c r="AD583" s="55"/>
      <c r="AE583" s="55"/>
      <c r="AF583" s="55"/>
      <c r="AG583" s="55"/>
      <c r="AH583" s="55"/>
      <c r="AI583" s="55"/>
      <c r="AJ583" s="55"/>
      <c r="AK583" s="56"/>
      <c r="AL583" s="55"/>
      <c r="AM583" s="55"/>
      <c r="AN583" s="55"/>
      <c r="AO583" s="55"/>
      <c r="AP583" s="55"/>
      <c r="AQ583" s="55"/>
      <c r="AR583" s="55"/>
      <c r="AS583" s="55"/>
      <c r="AT583" s="55"/>
      <c r="AU583" s="55"/>
      <c r="AV583" s="55"/>
      <c r="AW583" s="55"/>
      <c r="BA583" s="2"/>
      <c r="BB583" s="2"/>
      <c r="BC583" s="101"/>
      <c r="BD583" s="101"/>
    </row>
    <row r="584" spans="1:56" s="53" customFormat="1" x14ac:dyDescent="0.35">
      <c r="B584" s="54" t="s">
        <v>52</v>
      </c>
      <c r="D584" s="141" t="s">
        <v>89</v>
      </c>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c r="AH584" s="141"/>
      <c r="AI584" s="141"/>
      <c r="AJ584" s="141"/>
      <c r="AK584" s="56"/>
      <c r="AL584" s="55"/>
      <c r="AM584" s="55"/>
      <c r="AN584" s="55"/>
      <c r="AO584" s="55"/>
      <c r="AP584" s="55"/>
      <c r="AQ584" s="55"/>
      <c r="AR584" s="55"/>
      <c r="AS584" s="55"/>
      <c r="AT584" s="55"/>
      <c r="AU584" s="55"/>
      <c r="AV584" s="55"/>
      <c r="AW584" s="55"/>
      <c r="BA584" s="2"/>
      <c r="BB584" s="2"/>
      <c r="BC584" s="101"/>
      <c r="BD584" s="101"/>
    </row>
    <row r="585" spans="1:56" s="84" customFormat="1" x14ac:dyDescent="0.35">
      <c r="A585" s="53"/>
      <c r="B585" s="54"/>
      <c r="C585" s="53"/>
      <c r="D585" s="141" t="s">
        <v>90</v>
      </c>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c r="AH585" s="141"/>
      <c r="AI585" s="141"/>
      <c r="AJ585" s="141"/>
      <c r="AK585" s="56"/>
      <c r="AL585" s="55"/>
      <c r="AM585" s="55"/>
      <c r="AN585" s="55"/>
      <c r="AO585" s="55"/>
      <c r="AP585" s="55"/>
      <c r="AQ585" s="55"/>
      <c r="AR585" s="55"/>
      <c r="AS585" s="55"/>
      <c r="AT585" s="55"/>
      <c r="AU585" s="55"/>
      <c r="AV585" s="55"/>
      <c r="AW585" s="55"/>
      <c r="AX585" s="53"/>
      <c r="BA585" s="2"/>
      <c r="BB585" s="2"/>
      <c r="BC585" s="101"/>
      <c r="BD585" s="101"/>
    </row>
    <row r="586" spans="1:56" s="84" customFormat="1" x14ac:dyDescent="0.35">
      <c r="A586" s="53"/>
      <c r="B586" s="54"/>
      <c r="C586" s="53"/>
      <c r="D586" s="141" t="s">
        <v>91</v>
      </c>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c r="AH586" s="141"/>
      <c r="AI586" s="141"/>
      <c r="AJ586" s="141"/>
      <c r="AK586" s="56"/>
      <c r="AL586" s="55"/>
      <c r="AM586" s="55"/>
      <c r="AN586" s="55"/>
      <c r="AO586" s="55"/>
      <c r="AP586" s="55"/>
      <c r="AQ586" s="55"/>
      <c r="AR586" s="55"/>
      <c r="AS586" s="55"/>
      <c r="AT586" s="55"/>
      <c r="AU586" s="55"/>
      <c r="AV586" s="55"/>
      <c r="AW586" s="55"/>
      <c r="AX586" s="53"/>
      <c r="BA586" s="2"/>
      <c r="BB586" s="2"/>
      <c r="BC586" s="101"/>
      <c r="BD586" s="101"/>
    </row>
    <row r="587" spans="1:56" s="84" customFormat="1" ht="15" customHeight="1" x14ac:dyDescent="0.35">
      <c r="A587" s="53"/>
      <c r="B587" s="54"/>
      <c r="C587" s="53"/>
      <c r="D587" s="53"/>
      <c r="E587" s="53"/>
      <c r="F587" s="98"/>
      <c r="G587" s="55"/>
      <c r="H587" s="55"/>
      <c r="I587" s="55"/>
      <c r="J587" s="55"/>
      <c r="K587" s="55"/>
      <c r="L587" s="55"/>
      <c r="M587" s="55"/>
      <c r="N587" s="55"/>
      <c r="O587" s="55"/>
      <c r="P587" s="55"/>
      <c r="Q587" s="55"/>
      <c r="R587" s="55"/>
      <c r="S587" s="55"/>
      <c r="T587" s="55"/>
      <c r="U587" s="56"/>
      <c r="V587" s="55"/>
      <c r="W587" s="55"/>
      <c r="X587" s="55"/>
      <c r="Y587" s="55"/>
      <c r="Z587" s="55"/>
      <c r="AA587" s="55"/>
      <c r="AB587" s="55"/>
      <c r="AC587" s="55"/>
      <c r="AD587" s="55"/>
      <c r="AE587" s="55"/>
      <c r="AF587" s="55"/>
      <c r="AG587" s="55"/>
      <c r="AH587" s="55"/>
      <c r="AI587" s="55"/>
      <c r="AJ587" s="55"/>
      <c r="AK587" s="56"/>
      <c r="AL587" s="55"/>
      <c r="AM587" s="55"/>
      <c r="AN587" s="55"/>
      <c r="AO587" s="55"/>
      <c r="AP587" s="55"/>
      <c r="AQ587" s="55"/>
      <c r="AR587" s="55"/>
      <c r="AS587" s="55"/>
      <c r="AT587" s="55"/>
      <c r="AU587" s="55"/>
      <c r="AV587" s="55"/>
      <c r="AW587" s="55"/>
      <c r="AX587" s="53"/>
      <c r="BA587" s="2"/>
      <c r="BB587" s="2"/>
      <c r="BC587" s="101"/>
      <c r="BD587" s="101"/>
    </row>
    <row r="588" spans="1:56" s="84" customFormat="1" ht="15" customHeight="1" x14ac:dyDescent="0.35">
      <c r="A588" s="53"/>
      <c r="B588" s="54" t="s">
        <v>53</v>
      </c>
      <c r="C588" s="53"/>
      <c r="D588" s="31" t="s">
        <v>74</v>
      </c>
      <c r="E588" s="34"/>
      <c r="F588" s="99"/>
      <c r="G588" s="34"/>
      <c r="H588" s="34"/>
      <c r="I588" s="34"/>
      <c r="J588" s="34"/>
      <c r="K588" s="53"/>
      <c r="L588" s="55" t="s">
        <v>8</v>
      </c>
      <c r="M588" s="53"/>
      <c r="N588" s="142">
        <f ca="1">NOW()</f>
        <v>44720.650928935182</v>
      </c>
      <c r="O588" s="142"/>
      <c r="P588" s="142"/>
      <c r="Q588" s="53"/>
      <c r="R588" s="53"/>
      <c r="S588" s="53"/>
      <c r="T588" s="53"/>
      <c r="U588" s="53"/>
      <c r="V588" s="55"/>
      <c r="W588" s="55"/>
      <c r="X588" s="55"/>
      <c r="Y588" s="55"/>
      <c r="Z588" s="55"/>
      <c r="AA588" s="55"/>
      <c r="AB588" s="55"/>
      <c r="AC588" s="55"/>
      <c r="AD588" s="55"/>
      <c r="AE588" s="55"/>
      <c r="AF588" s="55"/>
      <c r="AG588" s="55"/>
      <c r="AH588" s="55"/>
      <c r="AI588" s="55"/>
      <c r="AJ588" s="55"/>
      <c r="AK588" s="56"/>
      <c r="AL588" s="55"/>
      <c r="AM588" s="55"/>
      <c r="AN588" s="55"/>
      <c r="AO588" s="55"/>
      <c r="AP588" s="55"/>
      <c r="AQ588" s="55"/>
      <c r="AR588" s="55"/>
      <c r="AS588" s="55"/>
      <c r="AT588" s="55"/>
      <c r="AU588" s="55"/>
      <c r="AV588" s="55"/>
      <c r="AW588" s="55"/>
      <c r="AX588" s="53"/>
      <c r="BA588" s="2"/>
      <c r="BB588" s="2"/>
      <c r="BC588" s="101"/>
      <c r="BD588" s="101"/>
    </row>
    <row r="589" spans="1:56" s="84" customFormat="1" x14ac:dyDescent="0.35">
      <c r="A589" s="53"/>
      <c r="B589" s="54"/>
      <c r="C589" s="53"/>
      <c r="D589" s="53"/>
      <c r="E589" s="53"/>
      <c r="F589" s="98"/>
      <c r="G589" s="55"/>
      <c r="H589" s="55"/>
      <c r="I589" s="55"/>
      <c r="J589" s="55"/>
      <c r="K589" s="53"/>
      <c r="L589" s="55"/>
      <c r="M589" s="53"/>
      <c r="N589" s="55"/>
      <c r="O589" s="56"/>
      <c r="P589" s="53"/>
      <c r="Q589" s="53"/>
      <c r="R589" s="53"/>
      <c r="S589" s="53"/>
      <c r="T589" s="53"/>
      <c r="U589" s="53"/>
      <c r="V589" s="55"/>
      <c r="W589" s="55"/>
      <c r="X589" s="55"/>
      <c r="Y589" s="55"/>
      <c r="Z589" s="55"/>
      <c r="AA589" s="55"/>
      <c r="AB589" s="55"/>
      <c r="AC589" s="55"/>
      <c r="AD589" s="55"/>
      <c r="AE589" s="55"/>
      <c r="AF589" s="55"/>
      <c r="AG589" s="55"/>
      <c r="AH589" s="55"/>
      <c r="AI589" s="55"/>
      <c r="AJ589" s="55"/>
      <c r="AK589" s="56"/>
      <c r="AL589" s="55"/>
      <c r="AM589" s="55"/>
      <c r="AN589" s="55"/>
      <c r="AO589" s="55"/>
      <c r="AP589" s="55"/>
      <c r="AQ589" s="55"/>
      <c r="AR589" s="55"/>
      <c r="AS589" s="55"/>
      <c r="AT589" s="55"/>
      <c r="AU589" s="55"/>
      <c r="AV589" s="55"/>
      <c r="AW589" s="55"/>
      <c r="AX589" s="53"/>
      <c r="BA589" s="2"/>
      <c r="BB589" s="2"/>
      <c r="BC589" s="101"/>
      <c r="BD589" s="101"/>
    </row>
    <row r="590" spans="1:56" s="84" customFormat="1" x14ac:dyDescent="0.35">
      <c r="A590" s="53"/>
      <c r="B590" s="54" t="s">
        <v>54</v>
      </c>
      <c r="C590" s="53"/>
      <c r="D590" s="31"/>
      <c r="E590" s="34"/>
      <c r="F590" s="99"/>
      <c r="G590" s="34"/>
      <c r="H590" s="34"/>
      <c r="I590" s="34"/>
      <c r="J590" s="34"/>
      <c r="K590" s="53"/>
      <c r="L590" s="55" t="s">
        <v>8</v>
      </c>
      <c r="M590" s="53"/>
      <c r="N590" s="142">
        <f ca="1">NOW()</f>
        <v>44720.650928935182</v>
      </c>
      <c r="O590" s="142"/>
      <c r="P590" s="142"/>
      <c r="Q590" s="53"/>
      <c r="R590" s="53"/>
      <c r="S590" s="53"/>
      <c r="T590" s="53"/>
      <c r="U590" s="53"/>
      <c r="V590" s="55"/>
      <c r="W590" s="55"/>
      <c r="X590" s="55"/>
      <c r="Y590" s="55"/>
      <c r="Z590" s="55"/>
      <c r="AA590" s="55"/>
      <c r="AB590" s="55"/>
      <c r="AC590" s="55"/>
      <c r="AD590" s="55"/>
      <c r="AE590" s="55"/>
      <c r="AF590" s="55"/>
      <c r="AG590" s="55"/>
      <c r="AH590" s="55"/>
      <c r="AI590" s="55"/>
      <c r="AJ590" s="55"/>
      <c r="AK590" s="56"/>
      <c r="AL590" s="55"/>
      <c r="AM590" s="55"/>
      <c r="AN590" s="55"/>
      <c r="AO590" s="55"/>
      <c r="AP590" s="55"/>
      <c r="AQ590" s="55"/>
      <c r="AR590" s="55"/>
      <c r="AS590" s="55"/>
      <c r="AT590" s="55"/>
      <c r="AU590" s="55"/>
      <c r="AV590" s="55"/>
      <c r="AW590" s="55"/>
      <c r="AX590" s="53"/>
      <c r="BA590" s="2"/>
      <c r="BB590" s="2"/>
      <c r="BC590" s="101"/>
      <c r="BD590" s="101"/>
    </row>
    <row r="591" spans="1:56" s="84" customFormat="1" x14ac:dyDescent="0.35">
      <c r="A591" s="53"/>
      <c r="B591" s="54"/>
      <c r="C591" s="53"/>
      <c r="D591" s="53"/>
      <c r="E591" s="53"/>
      <c r="F591" s="98"/>
      <c r="G591" s="55"/>
      <c r="H591" s="55"/>
      <c r="I591" s="55"/>
      <c r="J591" s="55"/>
      <c r="K591" s="55"/>
      <c r="L591" s="55"/>
      <c r="M591" s="55"/>
      <c r="N591" s="55"/>
      <c r="O591" s="55"/>
      <c r="P591" s="55"/>
      <c r="Q591" s="55"/>
      <c r="R591" s="55"/>
      <c r="S591" s="55"/>
      <c r="T591" s="55"/>
      <c r="U591" s="56"/>
      <c r="V591" s="55"/>
      <c r="W591" s="55"/>
      <c r="X591" s="55"/>
      <c r="Y591" s="55"/>
      <c r="Z591" s="55"/>
      <c r="AA591" s="55"/>
      <c r="AB591" s="55"/>
      <c r="AC591" s="55"/>
      <c r="AD591" s="55"/>
      <c r="AE591" s="55"/>
      <c r="AF591" s="55"/>
      <c r="AG591" s="55"/>
      <c r="AH591" s="55"/>
      <c r="AI591" s="55"/>
      <c r="AJ591" s="55"/>
      <c r="AK591" s="56"/>
      <c r="AL591" s="55"/>
      <c r="AM591" s="55"/>
      <c r="AN591" s="55"/>
      <c r="AO591" s="55"/>
      <c r="AP591" s="55"/>
      <c r="AQ591" s="55"/>
      <c r="AR591" s="55"/>
      <c r="AS591" s="55"/>
      <c r="AT591" s="55"/>
      <c r="AU591" s="55"/>
      <c r="AV591" s="55"/>
      <c r="AW591" s="55"/>
      <c r="AX591" s="53"/>
      <c r="BA591" s="2"/>
      <c r="BB591" s="2"/>
      <c r="BC591" s="101"/>
      <c r="BD591" s="101"/>
    </row>
    <row r="592" spans="1:56" s="84" customFormat="1" x14ac:dyDescent="0.35">
      <c r="A592" s="53"/>
      <c r="B592" s="54" t="s">
        <v>9</v>
      </c>
      <c r="C592" s="53"/>
      <c r="D592" s="53"/>
      <c r="E592" s="53"/>
      <c r="F592" s="98"/>
      <c r="G592" s="55"/>
      <c r="H592" s="55"/>
      <c r="I592" s="55"/>
      <c r="J592" s="55"/>
      <c r="K592" s="55"/>
      <c r="L592" s="55"/>
      <c r="M592" s="55"/>
      <c r="N592" s="55"/>
      <c r="O592" s="55"/>
      <c r="P592" s="55"/>
      <c r="Q592" s="55"/>
      <c r="R592" s="55"/>
      <c r="S592" s="55"/>
      <c r="T592" s="55"/>
      <c r="U592" s="56"/>
      <c r="V592" s="55"/>
      <c r="W592" s="55"/>
      <c r="X592" s="55"/>
      <c r="Y592" s="55"/>
      <c r="Z592" s="55"/>
      <c r="AA592" s="55"/>
      <c r="AB592" s="55"/>
      <c r="AC592" s="55"/>
      <c r="AD592" s="55"/>
      <c r="AE592" s="55"/>
      <c r="AF592" s="55"/>
      <c r="AG592" s="55"/>
      <c r="AH592" s="55"/>
      <c r="AI592" s="55"/>
      <c r="AJ592" s="55"/>
      <c r="AK592" s="56"/>
      <c r="AL592" s="55"/>
      <c r="AM592" s="55"/>
      <c r="AN592" s="55"/>
      <c r="AO592" s="55"/>
      <c r="AP592" s="55"/>
      <c r="AQ592" s="55"/>
      <c r="AR592" s="55"/>
      <c r="AS592" s="55"/>
      <c r="AT592" s="55"/>
      <c r="AU592" s="55"/>
      <c r="AV592" s="55"/>
      <c r="AW592" s="55"/>
      <c r="AX592" s="53"/>
      <c r="BA592" s="2"/>
      <c r="BB592" s="2"/>
      <c r="BC592" s="101"/>
      <c r="BD592" s="101"/>
    </row>
    <row r="593" spans="2:56" x14ac:dyDescent="0.35">
      <c r="BA593" s="2"/>
      <c r="BB593" s="2"/>
      <c r="BC593" s="101"/>
      <c r="BD593" s="101"/>
    </row>
    <row r="594" spans="2:56" x14ac:dyDescent="0.35">
      <c r="BA594" s="2"/>
      <c r="BB594" s="2"/>
      <c r="BC594" s="101"/>
      <c r="BD594" s="101"/>
    </row>
    <row r="595" spans="2:56" s="84" customFormat="1" ht="28.5" x14ac:dyDescent="0.65">
      <c r="F595" s="50"/>
      <c r="G595" s="143" t="s">
        <v>10</v>
      </c>
      <c r="H595" s="143"/>
      <c r="I595" s="143"/>
      <c r="J595" s="143"/>
      <c r="K595" s="143"/>
      <c r="L595" s="143"/>
      <c r="M595" s="143"/>
      <c r="N595" s="143"/>
      <c r="O595" s="143"/>
      <c r="P595" s="143"/>
      <c r="Q595" s="143"/>
      <c r="R595" s="143"/>
      <c r="S595" s="143"/>
      <c r="T595" s="143"/>
      <c r="U595" s="143"/>
      <c r="W595" s="37" t="s">
        <v>12</v>
      </c>
      <c r="X595" s="86" t="s">
        <v>11</v>
      </c>
      <c r="BA595" s="2"/>
      <c r="BB595" s="2"/>
      <c r="BC595" s="101"/>
      <c r="BD595" s="101"/>
    </row>
    <row r="596" spans="2:56" s="84" customFormat="1" x14ac:dyDescent="0.35">
      <c r="F596" s="50"/>
      <c r="G596" s="84" t="s">
        <v>0</v>
      </c>
      <c r="W596" s="37" t="s">
        <v>13</v>
      </c>
      <c r="X596" s="86" t="s">
        <v>14</v>
      </c>
      <c r="BA596" s="2"/>
      <c r="BB596" s="2"/>
      <c r="BC596" s="101"/>
      <c r="BD596" s="101"/>
    </row>
    <row r="597" spans="2:56" s="84" customFormat="1" x14ac:dyDescent="0.35">
      <c r="F597" s="50"/>
      <c r="W597" s="37" t="s">
        <v>1</v>
      </c>
      <c r="X597" s="86" t="s">
        <v>15</v>
      </c>
      <c r="BA597" s="2"/>
      <c r="BB597" s="2"/>
      <c r="BC597" s="101"/>
      <c r="BD597" s="101"/>
    </row>
    <row r="598" spans="2:56" s="84" customFormat="1" x14ac:dyDescent="0.35">
      <c r="F598" s="50"/>
      <c r="W598" s="37" t="s">
        <v>2</v>
      </c>
      <c r="X598" s="86" t="s">
        <v>16</v>
      </c>
      <c r="BA598" s="2"/>
      <c r="BB598" s="2"/>
      <c r="BC598" s="101"/>
      <c r="BD598" s="101"/>
    </row>
    <row r="599" spans="2:56" s="84" customFormat="1" ht="15" customHeight="1" x14ac:dyDescent="0.35">
      <c r="B599" s="154" t="s">
        <v>35</v>
      </c>
      <c r="F599" s="50"/>
      <c r="G599" s="154" t="s">
        <v>36</v>
      </c>
      <c r="H599" s="154"/>
      <c r="I599" s="154"/>
      <c r="K599" s="154" t="s">
        <v>36</v>
      </c>
      <c r="L599" s="154"/>
      <c r="M599" s="154"/>
      <c r="W599" s="37" t="s">
        <v>3</v>
      </c>
      <c r="X599" s="86" t="s">
        <v>17</v>
      </c>
      <c r="BA599" s="2"/>
      <c r="BB599" s="2"/>
      <c r="BC599" s="101"/>
      <c r="BD599" s="101"/>
    </row>
    <row r="600" spans="2:56" s="84" customFormat="1" x14ac:dyDescent="0.35">
      <c r="B600" s="155"/>
      <c r="D600" s="37" t="s">
        <v>34</v>
      </c>
      <c r="F600" s="50"/>
      <c r="G600" s="154"/>
      <c r="H600" s="154"/>
      <c r="I600" s="154"/>
      <c r="K600" s="154"/>
      <c r="L600" s="154"/>
      <c r="M600" s="154"/>
      <c r="W600" s="38"/>
      <c r="BA600" s="2"/>
      <c r="BB600" s="2"/>
      <c r="BC600" s="101"/>
      <c r="BD600" s="101"/>
    </row>
    <row r="601" spans="2:56" s="84" customFormat="1" x14ac:dyDescent="0.35">
      <c r="B601" s="100">
        <f>B527+1</f>
        <v>18</v>
      </c>
      <c r="D601" s="100">
        <f>D527</f>
        <v>2021</v>
      </c>
      <c r="E601" s="87" t="s">
        <v>38</v>
      </c>
      <c r="F601" s="50"/>
      <c r="G601" s="156">
        <f>K527+1</f>
        <v>44423</v>
      </c>
      <c r="H601" s="157"/>
      <c r="I601" s="158"/>
      <c r="J601" s="37" t="s">
        <v>37</v>
      </c>
      <c r="K601" s="156">
        <f>IF(G601="","",G601+13)</f>
        <v>44436</v>
      </c>
      <c r="L601" s="157"/>
      <c r="M601" s="158"/>
      <c r="P601" s="159" t="s">
        <v>39</v>
      </c>
      <c r="Q601" s="160"/>
      <c r="R601" s="160"/>
      <c r="S601" s="160"/>
      <c r="T601" s="161"/>
      <c r="U601" s="24">
        <v>80</v>
      </c>
      <c r="BA601" s="2"/>
      <c r="BB601" s="2"/>
      <c r="BC601" s="101"/>
      <c r="BD601" s="101"/>
    </row>
    <row r="602" spans="2:56" s="84" customFormat="1" x14ac:dyDescent="0.35">
      <c r="F602" s="50"/>
      <c r="AM602" s="144" t="s">
        <v>4</v>
      </c>
      <c r="AN602" s="144"/>
      <c r="AO602" s="144"/>
      <c r="AP602" s="144"/>
      <c r="AQ602" s="144"/>
      <c r="AR602" s="144"/>
      <c r="AS602" s="144"/>
      <c r="AU602" s="100" t="s">
        <v>4</v>
      </c>
      <c r="BA602" s="2"/>
      <c r="BB602" s="2"/>
      <c r="BC602" s="101"/>
      <c r="BD602" s="101"/>
    </row>
    <row r="603" spans="2:56" s="84" customFormat="1" ht="15" customHeight="1" x14ac:dyDescent="0.35">
      <c r="B603" s="40"/>
      <c r="C603" s="41"/>
      <c r="D603" s="42" t="s">
        <v>32</v>
      </c>
      <c r="E603" s="43" t="s">
        <v>5</v>
      </c>
      <c r="F603" s="50"/>
      <c r="G603" s="162">
        <f>G601</f>
        <v>44423</v>
      </c>
      <c r="H603" s="163"/>
      <c r="I603" s="162">
        <f>IF(G603="","",G603+1)</f>
        <v>44424</v>
      </c>
      <c r="J603" s="163"/>
      <c r="K603" s="162">
        <f>IF(I603="","",I603+1)</f>
        <v>44425</v>
      </c>
      <c r="L603" s="163"/>
      <c r="M603" s="162">
        <f>IF(K603="","",K603+1)</f>
        <v>44426</v>
      </c>
      <c r="N603" s="163"/>
      <c r="O603" s="162">
        <f>IF(M603="","",M603+1)</f>
        <v>44427</v>
      </c>
      <c r="P603" s="163"/>
      <c r="Q603" s="162">
        <f>IF(O603="","",O603+1)</f>
        <v>44428</v>
      </c>
      <c r="R603" s="163"/>
      <c r="S603" s="162">
        <f>IF(Q603="","",Q603+1)</f>
        <v>44429</v>
      </c>
      <c r="T603" s="164"/>
      <c r="U603" s="44"/>
      <c r="W603" s="162">
        <f>IF(S603="","",S603+1)</f>
        <v>44430</v>
      </c>
      <c r="X603" s="163"/>
      <c r="Y603" s="162">
        <f>IF(W603="","",W603+1)</f>
        <v>44431</v>
      </c>
      <c r="Z603" s="163"/>
      <c r="AA603" s="162">
        <f>IF(Y603="","",Y603+1)</f>
        <v>44432</v>
      </c>
      <c r="AB603" s="163"/>
      <c r="AC603" s="162">
        <f>IF(AA603="","",AA603+1)</f>
        <v>44433</v>
      </c>
      <c r="AD603" s="163"/>
      <c r="AE603" s="162">
        <f>IF(AC603="","",AC603+1)</f>
        <v>44434</v>
      </c>
      <c r="AF603" s="163"/>
      <c r="AG603" s="162">
        <f>IF(AE603="","",AE603+1)</f>
        <v>44435</v>
      </c>
      <c r="AH603" s="163"/>
      <c r="AI603" s="162">
        <f>IF(AG603="","",AG603+1)</f>
        <v>44436</v>
      </c>
      <c r="AJ603" s="164"/>
      <c r="AK603" s="44"/>
      <c r="AM603" s="145" t="s">
        <v>18</v>
      </c>
      <c r="AN603" s="165" t="s">
        <v>55</v>
      </c>
      <c r="AO603" s="145" t="s">
        <v>19</v>
      </c>
      <c r="AP603" s="145" t="s">
        <v>20</v>
      </c>
      <c r="AQ603" s="145" t="s">
        <v>21</v>
      </c>
      <c r="AR603" s="166" t="s">
        <v>22</v>
      </c>
      <c r="AS603" s="167" t="s">
        <v>23</v>
      </c>
      <c r="AU603" s="144" t="s">
        <v>6</v>
      </c>
      <c r="AW603" s="145" t="s">
        <v>24</v>
      </c>
      <c r="BA603" s="2"/>
      <c r="BB603" s="2"/>
      <c r="BC603" s="101"/>
      <c r="BD603" s="101"/>
    </row>
    <row r="604" spans="2:56" s="84" customFormat="1" x14ac:dyDescent="0.35">
      <c r="B604" s="45" t="s">
        <v>33</v>
      </c>
      <c r="C604" s="46"/>
      <c r="D604" s="47"/>
      <c r="E604" s="47"/>
      <c r="F604" s="50"/>
      <c r="G604" s="146" t="s">
        <v>25</v>
      </c>
      <c r="H604" s="147"/>
      <c r="I604" s="146" t="s">
        <v>26</v>
      </c>
      <c r="J604" s="147"/>
      <c r="K604" s="146" t="s">
        <v>27</v>
      </c>
      <c r="L604" s="147"/>
      <c r="M604" s="146" t="s">
        <v>28</v>
      </c>
      <c r="N604" s="147"/>
      <c r="O604" s="146" t="s">
        <v>29</v>
      </c>
      <c r="P604" s="147"/>
      <c r="Q604" s="146" t="s">
        <v>30</v>
      </c>
      <c r="R604" s="147"/>
      <c r="S604" s="146" t="s">
        <v>31</v>
      </c>
      <c r="T604" s="148"/>
      <c r="U604" s="48" t="s">
        <v>7</v>
      </c>
      <c r="W604" s="146" t="s">
        <v>25</v>
      </c>
      <c r="X604" s="147"/>
      <c r="Y604" s="146" t="s">
        <v>26</v>
      </c>
      <c r="Z604" s="147"/>
      <c r="AA604" s="146" t="s">
        <v>27</v>
      </c>
      <c r="AB604" s="147"/>
      <c r="AC604" s="146" t="s">
        <v>28</v>
      </c>
      <c r="AD604" s="147"/>
      <c r="AE604" s="146" t="s">
        <v>29</v>
      </c>
      <c r="AF604" s="147"/>
      <c r="AG604" s="146" t="s">
        <v>30</v>
      </c>
      <c r="AH604" s="147"/>
      <c r="AI604" s="146" t="s">
        <v>31</v>
      </c>
      <c r="AJ604" s="148"/>
      <c r="AK604" s="48" t="s">
        <v>7</v>
      </c>
      <c r="AM604" s="145"/>
      <c r="AN604" s="165"/>
      <c r="AO604" s="145"/>
      <c r="AP604" s="145"/>
      <c r="AQ604" s="145"/>
      <c r="AR604" s="166"/>
      <c r="AS604" s="167"/>
      <c r="AU604" s="144"/>
      <c r="AW604" s="145"/>
      <c r="BA604" s="2"/>
      <c r="BB604" s="2"/>
      <c r="BC604" s="101"/>
      <c r="BD604" s="101"/>
    </row>
    <row r="605" spans="2:56" s="84" customFormat="1" x14ac:dyDescent="0.35">
      <c r="B605" s="63"/>
      <c r="C605" s="25"/>
      <c r="D605" s="25"/>
      <c r="E605" s="25"/>
      <c r="F605" s="50"/>
      <c r="BA605" s="2"/>
      <c r="BB605" s="2"/>
      <c r="BC605" s="101"/>
      <c r="BD605" s="101"/>
    </row>
    <row r="606" spans="2:56" s="84" customFormat="1" x14ac:dyDescent="0.35">
      <c r="B606" s="26"/>
      <c r="C606" s="27"/>
      <c r="D606" s="28">
        <f>IF(D532="","",D532)</f>
        <v>31428</v>
      </c>
      <c r="E606" s="29" t="str">
        <f>IF(E532="","",E532)</f>
        <v/>
      </c>
      <c r="F606" s="50">
        <f>B601</f>
        <v>18</v>
      </c>
      <c r="G606" s="59"/>
      <c r="H606" s="64"/>
      <c r="I606" s="106"/>
      <c r="J606" s="105"/>
      <c r="K606" s="106"/>
      <c r="L606" s="105"/>
      <c r="M606" s="106"/>
      <c r="N606" s="105"/>
      <c r="O606" s="106"/>
      <c r="P606" s="105"/>
      <c r="Q606" s="106"/>
      <c r="R606" s="105"/>
      <c r="S606" s="59"/>
      <c r="T606" s="64"/>
      <c r="U606" s="44"/>
      <c r="W606" s="59"/>
      <c r="X606" s="64"/>
      <c r="Y606" s="106"/>
      <c r="Z606" s="105"/>
      <c r="AA606" s="106"/>
      <c r="AB606" s="105"/>
      <c r="AC606" s="106"/>
      <c r="AD606" s="105"/>
      <c r="AE606" s="106"/>
      <c r="AF606" s="105"/>
      <c r="AG606" s="106"/>
      <c r="AH606" s="105"/>
      <c r="AI606" s="59"/>
      <c r="AJ606" s="64"/>
      <c r="AK606" s="44"/>
      <c r="AM606" s="49"/>
      <c r="AN606" s="49"/>
      <c r="AO606" s="49"/>
      <c r="AP606" s="49"/>
      <c r="AQ606" s="49"/>
      <c r="AR606" s="40"/>
      <c r="AS606" s="51"/>
      <c r="AU606" s="49"/>
      <c r="AW606" s="52"/>
      <c r="BA606" s="2"/>
      <c r="BB606" s="2"/>
      <c r="BC606" s="101"/>
      <c r="BD606" s="101"/>
    </row>
    <row r="607" spans="2:56" s="84" customFormat="1" x14ac:dyDescent="0.35">
      <c r="B607" s="30" t="str">
        <f>IF(B533="","",B533)</f>
        <v>Gaulin, Francis</v>
      </c>
      <c r="C607" s="31"/>
      <c r="D607" s="32"/>
      <c r="E607" s="33">
        <f t="shared" ref="E607:E638" si="266">IF(E533="","",E533)</f>
        <v>93542</v>
      </c>
      <c r="F607" s="50">
        <f>B601</f>
        <v>18</v>
      </c>
      <c r="G607" s="95"/>
      <c r="H607" s="70"/>
      <c r="I607" s="104"/>
      <c r="J607" s="103">
        <v>8</v>
      </c>
      <c r="K607" s="104"/>
      <c r="L607" s="103">
        <v>8</v>
      </c>
      <c r="M607" s="104"/>
      <c r="N607" s="103">
        <v>8</v>
      </c>
      <c r="O607" s="104"/>
      <c r="P607" s="103">
        <v>8</v>
      </c>
      <c r="Q607" s="104"/>
      <c r="R607" s="103">
        <v>8</v>
      </c>
      <c r="S607" s="69"/>
      <c r="T607" s="70"/>
      <c r="U607" s="71">
        <f>SUM(G607:T607)</f>
        <v>40</v>
      </c>
      <c r="V607" s="72"/>
      <c r="W607" s="69"/>
      <c r="X607" s="70"/>
      <c r="Y607" s="104"/>
      <c r="Z607" s="103">
        <v>8</v>
      </c>
      <c r="AA607" s="104"/>
      <c r="AB607" s="103">
        <v>8</v>
      </c>
      <c r="AC607" s="104"/>
      <c r="AD607" s="103">
        <v>8</v>
      </c>
      <c r="AE607" s="104"/>
      <c r="AF607" s="103">
        <v>8</v>
      </c>
      <c r="AG607" s="104"/>
      <c r="AH607" s="103">
        <v>8</v>
      </c>
      <c r="AI607" s="69"/>
      <c r="AJ607" s="70"/>
      <c r="AK607" s="71">
        <f>SUM(W607:AJ607)</f>
        <v>40</v>
      </c>
      <c r="AL607" s="72"/>
      <c r="AM607" s="73">
        <f>SUMIF($G606:$T606,"",$G607:$T607)+SUMIF($W606:$AJ606,"",$W607:$AJ607)-AN607</f>
        <v>80</v>
      </c>
      <c r="AN607" s="88">
        <f>IF(SUMIF($G606:$T606,"",$G607:$T607)+SUMIF($G606:$T606,"F",$G607:$T607)+SUMIF($G606:$T606,"V",$G607:$T607)-40&lt;0,0,SUMIF($G606:$T606,"",$G607:$T607)+SUMIF($G606:$T606,"F",$G607:$T607)+SUMIF($G606:$T606,"V",$G607:$T607)-($U$9/2))+IF(SUMIF($W606:$AJ606,"",$W607:$AJ607)+SUMIF($W606:$AJ606,"F",$W607:$AJ607)+SUMIF($W606:$AJ606,"V",$W607:$AJ607)-40&lt;0,0,SUMIF($W606:$AJ606,"",$W607:$AJ607)+SUMIF($W606:$AJ606,"F",$W607:$AJ607)+SUMIF($W606:$AJ606,"V",$W607:$AJ607)-($U$9/2))</f>
        <v>0</v>
      </c>
      <c r="AO607" s="73">
        <f>SUMIF($G606:$T606,"M",$G607:$T607)+SUMIF($W606:$AJ606,"M",$W607:$AJ607)</f>
        <v>0</v>
      </c>
      <c r="AP607" s="73">
        <f>SUMIF($G606:$T606,"F",$G607:$T607)+SUMIF($W606:$AJ606,"F",$W607:$AJ607)</f>
        <v>0</v>
      </c>
      <c r="AQ607" s="73">
        <f>SUMIF($G606:$T606,"V",$G607:$T607)+SUMIF($W606:$AJ606,"V",$W607:$AJ607)</f>
        <v>0</v>
      </c>
      <c r="AR607" s="74">
        <f>SUMIF($G606:$T606,"O",$G607:$T607)+SUMIF($W606:$AJ606,"O",$W607:$AJ607)</f>
        <v>0</v>
      </c>
      <c r="AS607" s="75">
        <f>SUM(AM607:AR607)</f>
        <v>80</v>
      </c>
      <c r="AT607" s="72"/>
      <c r="AU607" s="73">
        <f>SUMIF($G606:$T606,"A",$G607:$T607)+SUMIF($W606:$AJ606,"A",$W607:$AJ607)</f>
        <v>0</v>
      </c>
      <c r="AV607" s="72"/>
      <c r="AW607" s="76">
        <f>IF(B607="",0,IF($U$9="",0,$U$9))</f>
        <v>80</v>
      </c>
      <c r="BA607" s="2"/>
      <c r="BB607" s="2"/>
      <c r="BC607" s="101"/>
      <c r="BD607" s="101"/>
    </row>
    <row r="608" spans="2:56" s="84" customFormat="1" x14ac:dyDescent="0.35">
      <c r="B608" s="26"/>
      <c r="C608" s="27"/>
      <c r="D608" s="28">
        <f>IF(D534="","",D534)</f>
        <v>24287</v>
      </c>
      <c r="E608" s="29" t="str">
        <f t="shared" si="266"/>
        <v/>
      </c>
      <c r="F608" s="50">
        <f>B601</f>
        <v>18</v>
      </c>
      <c r="G608" s="59"/>
      <c r="H608" s="64"/>
      <c r="I608" s="106"/>
      <c r="J608" s="105"/>
      <c r="K608" s="106"/>
      <c r="L608" s="105"/>
      <c r="M608" s="106"/>
      <c r="N608" s="105"/>
      <c r="O608" s="106"/>
      <c r="P608" s="105"/>
      <c r="Q608" s="106"/>
      <c r="R608" s="105"/>
      <c r="S608" s="59"/>
      <c r="T608" s="64"/>
      <c r="U608" s="44"/>
      <c r="W608" s="59"/>
      <c r="X608" s="64"/>
      <c r="Y608" s="106"/>
      <c r="Z608" s="105"/>
      <c r="AA608" s="106"/>
      <c r="AB608" s="105"/>
      <c r="AC608" s="106"/>
      <c r="AD608" s="105"/>
      <c r="AE608" s="106"/>
      <c r="AF608" s="105"/>
      <c r="AG608" s="106"/>
      <c r="AH608" s="105"/>
      <c r="AI608" s="59"/>
      <c r="AJ608" s="64"/>
      <c r="AK608" s="44"/>
      <c r="AM608" s="49"/>
      <c r="AN608" s="49"/>
      <c r="AO608" s="49"/>
      <c r="AP608" s="49"/>
      <c r="AQ608" s="49"/>
      <c r="AR608" s="40"/>
      <c r="AS608" s="51"/>
      <c r="AU608" s="49"/>
      <c r="AW608" s="52"/>
      <c r="BA608" s="2"/>
      <c r="BB608" s="2"/>
      <c r="BC608" s="101"/>
      <c r="BD608" s="101"/>
    </row>
    <row r="609" spans="2:56" s="84" customFormat="1" x14ac:dyDescent="0.35">
      <c r="B609" s="30" t="str">
        <f>IF(B535="","",B535)</f>
        <v>Barrata, Dominic(Avance $500.00)</v>
      </c>
      <c r="C609" s="31"/>
      <c r="D609" s="32"/>
      <c r="E609" s="33">
        <f t="shared" si="266"/>
        <v>93595935</v>
      </c>
      <c r="F609" s="50">
        <f>B601</f>
        <v>18</v>
      </c>
      <c r="G609" s="69"/>
      <c r="H609" s="70"/>
      <c r="I609" s="104"/>
      <c r="J609" s="103" t="s">
        <v>69</v>
      </c>
      <c r="K609" s="104"/>
      <c r="L609" s="103" t="s">
        <v>69</v>
      </c>
      <c r="M609" s="104"/>
      <c r="N609" s="103" t="s">
        <v>69</v>
      </c>
      <c r="O609" s="104"/>
      <c r="P609" s="103" t="s">
        <v>69</v>
      </c>
      <c r="Q609" s="104"/>
      <c r="R609" s="103" t="s">
        <v>69</v>
      </c>
      <c r="S609" s="69"/>
      <c r="T609" s="70"/>
      <c r="U609" s="71">
        <f t="shared" ref="U609" si="267">SUM(G609:T609)</f>
        <v>0</v>
      </c>
      <c r="V609" s="72"/>
      <c r="W609" s="69"/>
      <c r="X609" s="70"/>
      <c r="Y609" s="104"/>
      <c r="Z609" s="103" t="s">
        <v>69</v>
      </c>
      <c r="AA609" s="104"/>
      <c r="AB609" s="103" t="s">
        <v>69</v>
      </c>
      <c r="AC609" s="104"/>
      <c r="AD609" s="103" t="s">
        <v>69</v>
      </c>
      <c r="AE609" s="104"/>
      <c r="AF609" s="103" t="s">
        <v>69</v>
      </c>
      <c r="AG609" s="104"/>
      <c r="AH609" s="103" t="s">
        <v>69</v>
      </c>
      <c r="AI609" s="69"/>
      <c r="AJ609" s="70"/>
      <c r="AK609" s="71">
        <f>SUM(W609:AJ609)</f>
        <v>0</v>
      </c>
      <c r="AL609" s="72"/>
      <c r="AM609" s="73">
        <f>SUMIF($G608:$T608,"",$G609:$T609)+SUMIF($W608:$AJ608,"",$W609:$AJ609)-AN609</f>
        <v>0</v>
      </c>
      <c r="AN609" s="88">
        <f>IF(SUMIF($G608:$T608,"",$G609:$T609)+SUMIF($G608:$T608,"F",$G609:$T609)+SUMIF($G608:$T608,"V",$G609:$T609)-40&lt;0,0,SUMIF($G608:$T608,"",$G609:$T609)+SUMIF($G608:$T608,"F",$G609:$T609)+SUMIF($G608:$T608,"V",$G609:$T609)-($U$9/2))+IF(SUMIF($W608:$AJ608,"",$W609:$AJ609)+SUMIF($W608:$AJ608,"F",$W609:$AJ609)+SUMIF($W608:$AJ608,"V",$W609:$AJ609)-40&lt;0,0,SUMIF($W608:$AJ608,"",$W609:$AJ609)+SUMIF($W608:$AJ608,"F",$W609:$AJ609)+SUMIF($W608:$AJ608,"V",$W609:$AJ609)-($U$9/2))</f>
        <v>0</v>
      </c>
      <c r="AO609" s="73">
        <f>SUMIF($G608:$T608,"M",$G609:$T609)+SUMIF($W608:$AJ608,"M",$W609:$AJ609)</f>
        <v>0</v>
      </c>
      <c r="AP609" s="73">
        <f>SUMIF($G608:$T608,"F",$G609:$T609)+SUMIF($W608:$AJ608,"F",$W609:$AJ609)</f>
        <v>0</v>
      </c>
      <c r="AQ609" s="73">
        <f>SUMIF($G608:$T608,"V",$G609:$T609)+SUMIF($W608:$AJ608,"V",$W609:$AJ609)</f>
        <v>0</v>
      </c>
      <c r="AR609" s="74">
        <f>SUMIF($G608:$T608,"O",$G609:$T609)+SUMIF($W608:$AJ608,"O",$W609:$AJ609)</f>
        <v>0</v>
      </c>
      <c r="AS609" s="75">
        <f>SUM(AM609:AR609)</f>
        <v>0</v>
      </c>
      <c r="AT609" s="72"/>
      <c r="AU609" s="73">
        <f>SUMIF($G608:$T608,"A",$G609:$T609)+SUMIF($W608:$AJ608,"A",$W609:$AJ609)</f>
        <v>0</v>
      </c>
      <c r="AV609" s="72"/>
      <c r="AW609" s="76">
        <f>IF(B609="",0,IF($U$9="",0,$U$9))</f>
        <v>80</v>
      </c>
      <c r="BA609" s="2"/>
      <c r="BB609" s="2"/>
      <c r="BC609" s="101"/>
      <c r="BD609" s="101"/>
    </row>
    <row r="610" spans="2:56" s="84" customFormat="1" x14ac:dyDescent="0.35">
      <c r="B610" s="26"/>
      <c r="C610" s="27"/>
      <c r="D610" s="28">
        <f>IF(D536="","",D536)</f>
        <v>92032</v>
      </c>
      <c r="E610" s="29" t="str">
        <f t="shared" si="266"/>
        <v/>
      </c>
      <c r="F610" s="50">
        <f>B601</f>
        <v>18</v>
      </c>
      <c r="G610" s="59"/>
      <c r="H610" s="64"/>
      <c r="I610" s="106"/>
      <c r="J610" s="105"/>
      <c r="K610" s="106"/>
      <c r="L610" s="105"/>
      <c r="M610" s="106"/>
      <c r="N610" s="105"/>
      <c r="O610" s="106"/>
      <c r="P610" s="105"/>
      <c r="Q610" s="106"/>
      <c r="R610" s="105"/>
      <c r="S610" s="59"/>
      <c r="T610" s="64"/>
      <c r="U610" s="44"/>
      <c r="W610" s="59"/>
      <c r="X610" s="64"/>
      <c r="Y610" s="106"/>
      <c r="Z610" s="105"/>
      <c r="AA610" s="106"/>
      <c r="AB610" s="105"/>
      <c r="AC610" s="106"/>
      <c r="AD610" s="105"/>
      <c r="AE610" s="106"/>
      <c r="AF610" s="105"/>
      <c r="AG610" s="106"/>
      <c r="AH610" s="105"/>
      <c r="AI610" s="59"/>
      <c r="AJ610" s="64"/>
      <c r="AK610" s="44"/>
      <c r="AM610" s="49"/>
      <c r="AN610" s="49"/>
      <c r="AO610" s="49"/>
      <c r="AP610" s="49"/>
      <c r="AQ610" s="49"/>
      <c r="AR610" s="40"/>
      <c r="AS610" s="51"/>
      <c r="AU610" s="49"/>
      <c r="AW610" s="52"/>
      <c r="BA610" s="2"/>
      <c r="BB610" s="2"/>
      <c r="BC610" s="101"/>
      <c r="BD610" s="101"/>
    </row>
    <row r="611" spans="2:56" s="84" customFormat="1" x14ac:dyDescent="0.35">
      <c r="B611" s="30" t="str">
        <f>IF(B537="","",B537)</f>
        <v>Benoit, Jean-Paul(Avance $1,600.00)</v>
      </c>
      <c r="C611" s="31"/>
      <c r="D611" s="32"/>
      <c r="E611" s="33">
        <f t="shared" si="266"/>
        <v>93595935</v>
      </c>
      <c r="F611" s="50">
        <f>B601</f>
        <v>18</v>
      </c>
      <c r="G611" s="69"/>
      <c r="H611" s="70"/>
      <c r="I611" s="104"/>
      <c r="J611" s="103" t="s">
        <v>69</v>
      </c>
      <c r="K611" s="104"/>
      <c r="L611" s="103" t="s">
        <v>69</v>
      </c>
      <c r="M611" s="104"/>
      <c r="N611" s="103" t="s">
        <v>69</v>
      </c>
      <c r="O611" s="104"/>
      <c r="P611" s="103" t="s">
        <v>69</v>
      </c>
      <c r="Q611" s="104"/>
      <c r="R611" s="103" t="s">
        <v>69</v>
      </c>
      <c r="S611" s="69"/>
      <c r="T611" s="70"/>
      <c r="U611" s="71">
        <f t="shared" ref="U611" si="268">SUM(G611:T611)</f>
        <v>0</v>
      </c>
      <c r="V611" s="72"/>
      <c r="W611" s="69"/>
      <c r="X611" s="70"/>
      <c r="Y611" s="104"/>
      <c r="Z611" s="103" t="s">
        <v>69</v>
      </c>
      <c r="AA611" s="104"/>
      <c r="AB611" s="103" t="s">
        <v>69</v>
      </c>
      <c r="AC611" s="104"/>
      <c r="AD611" s="103" t="s">
        <v>69</v>
      </c>
      <c r="AE611" s="104"/>
      <c r="AF611" s="103" t="s">
        <v>69</v>
      </c>
      <c r="AG611" s="104"/>
      <c r="AH611" s="103" t="s">
        <v>69</v>
      </c>
      <c r="AI611" s="69"/>
      <c r="AJ611" s="70"/>
      <c r="AK611" s="71">
        <f>SUM(W611:AJ611)</f>
        <v>0</v>
      </c>
      <c r="AL611" s="72"/>
      <c r="AM611" s="73">
        <f>SUMIF($G610:$T610,"",$G611:$T611)+SUMIF($W610:$AJ610,"",$W611:$AJ611)-AN611</f>
        <v>0</v>
      </c>
      <c r="AN611" s="88">
        <f>IF(SUMIF($G610:$T610,"",$G611:$T611)+SUMIF($G610:$T610,"F",$G611:$T611)+SUMIF($G610:$T610,"V",$G611:$T611)-40&lt;0,0,SUMIF($G610:$T610,"",$G611:$T611)+SUMIF($G610:$T610,"F",$G611:$T611)+SUMIF($G610:$T610,"V",$G611:$T611)-($U$9/2))+IF(SUMIF($W610:$AJ610,"",$W611:$AJ611)+SUMIF($W610:$AJ610,"F",$W611:$AJ611)+SUMIF($W610:$AJ610,"V",$W611:$AJ611)-40&lt;0,0,SUMIF($W610:$AJ610,"",$W611:$AJ611)+SUMIF($W610:$AJ610,"F",$W611:$AJ611)+SUMIF($W610:$AJ610,"V",$W611:$AJ611)-($U$9/2))</f>
        <v>0</v>
      </c>
      <c r="AO611" s="73">
        <f>SUMIF($G610:$T610,"M",$G611:$T611)+SUMIF($W610:$AJ610,"M",$W611:$AJ611)</f>
        <v>0</v>
      </c>
      <c r="AP611" s="73">
        <f>SUMIF($G610:$T610,"F",$G611:$T611)+SUMIF($W610:$AJ610,"F",$W611:$AJ611)</f>
        <v>0</v>
      </c>
      <c r="AQ611" s="73">
        <f>SUMIF($G610:$T610,"V",$G611:$T611)+SUMIF($W610:$AJ610,"V",$W611:$AJ611)</f>
        <v>0</v>
      </c>
      <c r="AR611" s="74">
        <f>SUMIF($G610:$T610,"O",$G611:$T611)+SUMIF($W610:$AJ610,"O",$W611:$AJ611)</f>
        <v>0</v>
      </c>
      <c r="AS611" s="75">
        <f>SUM(AM611:AR611)</f>
        <v>0</v>
      </c>
      <c r="AT611" s="72"/>
      <c r="AU611" s="73">
        <f>SUMIF($G610:$T610,"A",$G611:$T611)+SUMIF($W610:$AJ610,"A",$W611:$AJ611)</f>
        <v>0</v>
      </c>
      <c r="AV611" s="72"/>
      <c r="AW611" s="76">
        <f>IF(B611="",0,IF($U$9="",0,$U$9))</f>
        <v>80</v>
      </c>
      <c r="BA611" s="2"/>
      <c r="BB611" s="2"/>
      <c r="BC611" s="101"/>
      <c r="BD611" s="101"/>
    </row>
    <row r="612" spans="2:56" s="84" customFormat="1" x14ac:dyDescent="0.35">
      <c r="B612" s="26"/>
      <c r="C612" s="27"/>
      <c r="D612" s="28">
        <f>IF(D538="","",D538)</f>
        <v>81077</v>
      </c>
      <c r="E612" s="29" t="str">
        <f t="shared" si="266"/>
        <v/>
      </c>
      <c r="F612" s="50">
        <f>B601</f>
        <v>18</v>
      </c>
      <c r="G612" s="93"/>
      <c r="H612" s="94"/>
      <c r="I612" s="106"/>
      <c r="J612" s="105"/>
      <c r="K612" s="106"/>
      <c r="L612" s="105"/>
      <c r="M612" s="106"/>
      <c r="N612" s="105"/>
      <c r="O612" s="106"/>
      <c r="P612" s="105"/>
      <c r="Q612" s="106"/>
      <c r="R612" s="105"/>
      <c r="S612" s="59"/>
      <c r="T612" s="64"/>
      <c r="U612" s="44"/>
      <c r="W612" s="59"/>
      <c r="X612" s="64"/>
      <c r="Y612" s="106"/>
      <c r="Z612" s="105"/>
      <c r="AA612" s="106"/>
      <c r="AB612" s="105"/>
      <c r="AC612" s="106"/>
      <c r="AD612" s="105"/>
      <c r="AE612" s="106"/>
      <c r="AF612" s="105"/>
      <c r="AG612" s="106"/>
      <c r="AH612" s="105"/>
      <c r="AI612" s="59"/>
      <c r="AJ612" s="64"/>
      <c r="AK612" s="44"/>
      <c r="AM612" s="49"/>
      <c r="AN612" s="49"/>
      <c r="AO612" s="49"/>
      <c r="AP612" s="49"/>
      <c r="AQ612" s="49"/>
      <c r="AR612" s="40"/>
      <c r="AS612" s="51"/>
      <c r="AU612" s="49"/>
      <c r="AW612" s="52"/>
      <c r="BA612" s="2"/>
      <c r="BB612" s="2"/>
      <c r="BC612" s="101"/>
      <c r="BD612" s="101"/>
    </row>
    <row r="613" spans="2:56" s="84" customFormat="1" x14ac:dyDescent="0.35">
      <c r="B613" s="30" t="str">
        <f>IF(B539="","",B539)</f>
        <v>Bourassa, Julie</v>
      </c>
      <c r="C613" s="31"/>
      <c r="D613" s="32"/>
      <c r="E613" s="33">
        <f t="shared" si="266"/>
        <v>93540</v>
      </c>
      <c r="F613" s="50">
        <f>B601</f>
        <v>18</v>
      </c>
      <c r="G613" s="93"/>
      <c r="H613" s="94"/>
      <c r="I613" s="104"/>
      <c r="J613" s="103">
        <v>8</v>
      </c>
      <c r="K613" s="104"/>
      <c r="L613" s="103">
        <v>8.5</v>
      </c>
      <c r="M613" s="104"/>
      <c r="N613" s="103">
        <v>8</v>
      </c>
      <c r="O613" s="104"/>
      <c r="P613" s="103">
        <v>8.5</v>
      </c>
      <c r="Q613" s="104"/>
      <c r="R613" s="103">
        <v>7.5</v>
      </c>
      <c r="S613" s="69"/>
      <c r="T613" s="70"/>
      <c r="U613" s="71">
        <f t="shared" ref="U613" si="269">SUM(G613:T613)</f>
        <v>40.5</v>
      </c>
      <c r="V613" s="72"/>
      <c r="W613" s="69"/>
      <c r="X613" s="70"/>
      <c r="Y613" s="104"/>
      <c r="Z613" s="103">
        <v>8</v>
      </c>
      <c r="AA613" s="104"/>
      <c r="AB613" s="103">
        <v>8.5</v>
      </c>
      <c r="AC613" s="104"/>
      <c r="AD613" s="103">
        <v>8</v>
      </c>
      <c r="AE613" s="104"/>
      <c r="AF613" s="103">
        <v>8.5</v>
      </c>
      <c r="AG613" s="104"/>
      <c r="AH613" s="103">
        <v>8</v>
      </c>
      <c r="AI613" s="69"/>
      <c r="AJ613" s="70"/>
      <c r="AK613" s="71">
        <f>SUM(W613:AJ613)</f>
        <v>41</v>
      </c>
      <c r="AL613" s="72"/>
      <c r="AM613" s="73">
        <f>SUMIF($G612:$T612,"",$G613:$T613)+SUMIF($W612:$AJ612,"",$W613:$AJ613)-AN613</f>
        <v>80</v>
      </c>
      <c r="AN613" s="88">
        <f>IF(SUMIF($G612:$T612,"",$G613:$T613)+SUMIF($G612:$T612,"F",$G613:$T613)+SUMIF($G612:$T612,"V",$G613:$T613)-40&lt;0,0,SUMIF($G612:$T612,"",$G613:$T613)+SUMIF($G612:$T612,"F",$G613:$T613)+SUMIF($G612:$T612,"V",$G613:$T613)-($U$9/2))+IF(SUMIF($W612:$AJ612,"",$W613:$AJ613)+SUMIF($W612:$AJ612,"F",$W613:$AJ613)+SUMIF($W612:$AJ612,"V",$W613:$AJ613)-40&lt;0,0,SUMIF($W612:$AJ612,"",$W613:$AJ613)+SUMIF($W612:$AJ612,"F",$W613:$AJ613)+SUMIF($W612:$AJ612,"V",$W613:$AJ613)-($U$9/2))</f>
        <v>1.5</v>
      </c>
      <c r="AO613" s="73">
        <f>SUMIF($G612:$T612,"M",$G613:$T613)+SUMIF($W612:$AJ612,"M",$W613:$AJ613)</f>
        <v>0</v>
      </c>
      <c r="AP613" s="73">
        <f>SUMIF($G612:$T612,"F",$G613:$T613)+SUMIF($W612:$AJ612,"F",$W613:$AJ613)</f>
        <v>0</v>
      </c>
      <c r="AQ613" s="73">
        <f>SUMIF($G612:$T612,"V",$G613:$T613)+SUMIF($W612:$AJ612,"V",$W613:$AJ613)</f>
        <v>0</v>
      </c>
      <c r="AR613" s="74">
        <f>SUMIF($G612:$T612,"O",$G613:$T613)+SUMIF($W612:$AJ612,"O",$W613:$AJ613)</f>
        <v>0</v>
      </c>
      <c r="AS613" s="75">
        <f>SUM(AM613:AR613)</f>
        <v>81.5</v>
      </c>
      <c r="AT613" s="72"/>
      <c r="AU613" s="73">
        <f>SUMIF($G612:$T612,"A",$G613:$T613)+SUMIF($W612:$AJ612,"A",$W613:$AJ613)</f>
        <v>0</v>
      </c>
      <c r="AV613" s="72"/>
      <c r="AW613" s="76">
        <f>IF(B613="",0,IF($U$9="",0,$U$9))</f>
        <v>80</v>
      </c>
      <c r="BA613" s="2"/>
      <c r="BB613" s="2"/>
      <c r="BC613" s="101"/>
      <c r="BD613" s="101"/>
    </row>
    <row r="614" spans="2:56" s="84" customFormat="1" x14ac:dyDescent="0.35">
      <c r="B614" s="26"/>
      <c r="C614" s="27"/>
      <c r="D614" s="28">
        <f>IF(D540="","",D540)</f>
        <v>78475</v>
      </c>
      <c r="E614" s="29" t="str">
        <f t="shared" si="266"/>
        <v/>
      </c>
      <c r="F614" s="50">
        <f>B601</f>
        <v>18</v>
      </c>
      <c r="G614" s="59"/>
      <c r="H614" s="64"/>
      <c r="I614" s="106"/>
      <c r="J614" s="105"/>
      <c r="K614" s="106"/>
      <c r="L614" s="105"/>
      <c r="M614" s="106"/>
      <c r="N614" s="105"/>
      <c r="O614" s="106"/>
      <c r="P614" s="105"/>
      <c r="Q614" s="106"/>
      <c r="R614" s="105"/>
      <c r="S614" s="59"/>
      <c r="T614" s="64"/>
      <c r="U614" s="44"/>
      <c r="W614" s="59"/>
      <c r="X614" s="64"/>
      <c r="Y614" s="106"/>
      <c r="Z614" s="105"/>
      <c r="AA614" s="106"/>
      <c r="AB614" s="105"/>
      <c r="AC614" s="106"/>
      <c r="AD614" s="105"/>
      <c r="AE614" s="106"/>
      <c r="AF614" s="105"/>
      <c r="AG614" s="106"/>
      <c r="AH614" s="105"/>
      <c r="AI614" s="59"/>
      <c r="AJ614" s="64"/>
      <c r="AK614" s="44"/>
      <c r="AM614" s="49"/>
      <c r="AN614" s="49"/>
      <c r="AO614" s="49"/>
      <c r="AP614" s="49"/>
      <c r="AQ614" s="49"/>
      <c r="AR614" s="40"/>
      <c r="AS614" s="51"/>
      <c r="AU614" s="49"/>
      <c r="AW614" s="52"/>
      <c r="BA614" s="2"/>
      <c r="BB614" s="2"/>
      <c r="BC614" s="101"/>
      <c r="BD614" s="101"/>
    </row>
    <row r="615" spans="2:56" s="84" customFormat="1" x14ac:dyDescent="0.35">
      <c r="B615" s="30" t="str">
        <f>IF(B541="","",B541)</f>
        <v>Charbonneau, Samuel</v>
      </c>
      <c r="C615" s="31"/>
      <c r="D615" s="32"/>
      <c r="E615" s="33">
        <f t="shared" si="266"/>
        <v>93540</v>
      </c>
      <c r="F615" s="50">
        <f>B601</f>
        <v>18</v>
      </c>
      <c r="G615" s="69"/>
      <c r="H615" s="70"/>
      <c r="I615" s="104"/>
      <c r="J615" s="103">
        <v>8.5</v>
      </c>
      <c r="K615" s="104"/>
      <c r="L615" s="103">
        <v>8</v>
      </c>
      <c r="M615" s="104"/>
      <c r="N615" s="103">
        <v>8.5</v>
      </c>
      <c r="O615" s="104"/>
      <c r="P615" s="103">
        <v>8</v>
      </c>
      <c r="Q615" s="104"/>
      <c r="R615" s="103">
        <v>8</v>
      </c>
      <c r="S615" s="69"/>
      <c r="T615" s="70"/>
      <c r="U615" s="71">
        <f t="shared" ref="U615" si="270">SUM(G615:T615)</f>
        <v>41</v>
      </c>
      <c r="V615" s="72"/>
      <c r="W615" s="69"/>
      <c r="X615" s="70"/>
      <c r="Y615" s="104"/>
      <c r="Z615" s="103">
        <v>8.5</v>
      </c>
      <c r="AA615" s="104"/>
      <c r="AB615" s="103">
        <v>8</v>
      </c>
      <c r="AC615" s="104"/>
      <c r="AD615" s="103">
        <v>8.5</v>
      </c>
      <c r="AE615" s="104"/>
      <c r="AF615" s="103">
        <v>8</v>
      </c>
      <c r="AG615" s="104"/>
      <c r="AH615" s="103">
        <v>7.5</v>
      </c>
      <c r="AI615" s="69"/>
      <c r="AJ615" s="70"/>
      <c r="AK615" s="71">
        <f>SUM(W615:AJ615)</f>
        <v>40.5</v>
      </c>
      <c r="AL615" s="72"/>
      <c r="AM615" s="73">
        <f>SUMIF($G614:$T614,"",$G615:$T615)+SUMIF($W614:$AJ614,"",$W615:$AJ615)-AN615</f>
        <v>80</v>
      </c>
      <c r="AN615" s="88">
        <f>IF(SUMIF($G614:$T614,"",$G615:$T615)+SUMIF($G614:$T614,"F",$G615:$T615)+SUMIF($G614:$T614,"V",$G615:$T615)-40&lt;0,0,SUMIF($G614:$T614,"",$G615:$T615)+SUMIF($G614:$T614,"F",$G615:$T615)+SUMIF($G614:$T614,"V",$G615:$T615)-($U$9/2))+IF(SUMIF($W614:$AJ614,"",$W615:$AJ615)+SUMIF($W614:$AJ614,"F",$W615:$AJ615)+SUMIF($W614:$AJ614,"V",$W615:$AJ615)-40&lt;0,0,SUMIF($W614:$AJ614,"",$W615:$AJ615)+SUMIF($W614:$AJ614,"F",$W615:$AJ615)+SUMIF($W614:$AJ614,"V",$W615:$AJ615)-($U$9/2))</f>
        <v>1.5</v>
      </c>
      <c r="AO615" s="73">
        <f>SUMIF($G614:$T614,"M",$G615:$T615)+SUMIF($W614:$AJ614,"M",$W615:$AJ615)</f>
        <v>0</v>
      </c>
      <c r="AP615" s="73">
        <f>SUMIF($G614:$T614,"F",$G615:$T615)+SUMIF($W614:$AJ614,"F",$W615:$AJ615)</f>
        <v>0</v>
      </c>
      <c r="AQ615" s="73">
        <f>SUMIF($G614:$T614,"V",$G615:$T615)+SUMIF($W614:$AJ614,"V",$W615:$AJ615)</f>
        <v>0</v>
      </c>
      <c r="AR615" s="74">
        <f>SUMIF($G614:$T614,"O",$G615:$T615)+SUMIF($W614:$AJ614,"O",$W615:$AJ615)</f>
        <v>0</v>
      </c>
      <c r="AS615" s="75">
        <f>SUM(AM615:AR615)</f>
        <v>81.5</v>
      </c>
      <c r="AT615" s="72"/>
      <c r="AU615" s="73">
        <f>SUMIF($G614:$T614,"A",$G615:$T615)+SUMIF($W614:$AJ614,"A",$W615:$AJ615)</f>
        <v>0</v>
      </c>
      <c r="AV615" s="72"/>
      <c r="AW615" s="76">
        <f>IF(B615="",0,IF($U$9="",0,$U$9))</f>
        <v>80</v>
      </c>
      <c r="BA615" s="2"/>
      <c r="BB615" s="2"/>
      <c r="BC615" s="101"/>
      <c r="BD615" s="101"/>
    </row>
    <row r="616" spans="2:56" s="84" customFormat="1" x14ac:dyDescent="0.35">
      <c r="B616" s="26"/>
      <c r="C616" s="27"/>
      <c r="D616" s="28">
        <f>IF(D542="","",D542)</f>
        <v>24238</v>
      </c>
      <c r="E616" s="29" t="str">
        <f t="shared" si="266"/>
        <v/>
      </c>
      <c r="F616" s="50">
        <f>B601</f>
        <v>18</v>
      </c>
      <c r="G616" s="59"/>
      <c r="H616" s="64"/>
      <c r="I616" s="106"/>
      <c r="J616" s="105"/>
      <c r="K616" s="106"/>
      <c r="L616" s="105"/>
      <c r="M616" s="106"/>
      <c r="N616" s="105"/>
      <c r="O616" s="106"/>
      <c r="P616" s="105"/>
      <c r="Q616" s="106"/>
      <c r="R616" s="105"/>
      <c r="S616" s="59"/>
      <c r="T616" s="64"/>
      <c r="U616" s="44"/>
      <c r="W616" s="59"/>
      <c r="X616" s="64"/>
      <c r="Y616" s="106"/>
      <c r="Z616" s="105"/>
      <c r="AA616" s="106"/>
      <c r="AB616" s="105"/>
      <c r="AC616" s="106"/>
      <c r="AD616" s="105"/>
      <c r="AE616" s="106"/>
      <c r="AF616" s="105"/>
      <c r="AG616" s="106"/>
      <c r="AH616" s="105"/>
      <c r="AI616" s="59"/>
      <c r="AJ616" s="64"/>
      <c r="AK616" s="44"/>
      <c r="AM616" s="49"/>
      <c r="AN616" s="49"/>
      <c r="AO616" s="49"/>
      <c r="AP616" s="49"/>
      <c r="AQ616" s="49"/>
      <c r="AR616" s="40"/>
      <c r="AS616" s="51"/>
      <c r="AU616" s="49"/>
      <c r="AW616" s="52"/>
      <c r="BA616" s="2"/>
      <c r="BB616" s="2"/>
      <c r="BC616" s="101"/>
      <c r="BD616" s="101"/>
    </row>
    <row r="617" spans="2:56" s="84" customFormat="1" x14ac:dyDescent="0.35">
      <c r="B617" s="30" t="str">
        <f>IF(B543="","",B543)</f>
        <v>Curtis, Jason</v>
      </c>
      <c r="C617" s="31"/>
      <c r="D617" s="32"/>
      <c r="E617" s="33">
        <f t="shared" si="266"/>
        <v>93595935</v>
      </c>
      <c r="F617" s="50">
        <f>B601</f>
        <v>18</v>
      </c>
      <c r="G617" s="69"/>
      <c r="H617" s="70"/>
      <c r="I617" s="104"/>
      <c r="J617" s="103">
        <v>8</v>
      </c>
      <c r="K617" s="104"/>
      <c r="L617" s="103">
        <v>8</v>
      </c>
      <c r="M617" s="104"/>
      <c r="N617" s="103">
        <v>8</v>
      </c>
      <c r="O617" s="104"/>
      <c r="P617" s="103">
        <v>8</v>
      </c>
      <c r="Q617" s="104"/>
      <c r="R617" s="103">
        <v>8</v>
      </c>
      <c r="S617" s="69"/>
      <c r="T617" s="70"/>
      <c r="U617" s="71">
        <f t="shared" ref="U617" si="271">SUM(G617:T617)</f>
        <v>40</v>
      </c>
      <c r="V617" s="72"/>
      <c r="W617" s="69"/>
      <c r="X617" s="70"/>
      <c r="Y617" s="104"/>
      <c r="Z617" s="103">
        <v>8</v>
      </c>
      <c r="AA617" s="104"/>
      <c r="AB617" s="103">
        <v>8</v>
      </c>
      <c r="AC617" s="104"/>
      <c r="AD617" s="103">
        <v>8</v>
      </c>
      <c r="AE617" s="104"/>
      <c r="AF617" s="103">
        <v>8</v>
      </c>
      <c r="AG617" s="104"/>
      <c r="AH617" s="103">
        <v>8</v>
      </c>
      <c r="AI617" s="69"/>
      <c r="AJ617" s="70"/>
      <c r="AK617" s="71">
        <f>SUM(W617:AJ617)</f>
        <v>40</v>
      </c>
      <c r="AL617" s="72"/>
      <c r="AM617" s="73">
        <f>SUMIF($G616:$T616,"",$G617:$T617)+SUMIF($W616:$AJ616,"",$W617:$AJ617)-AN617</f>
        <v>80</v>
      </c>
      <c r="AN617" s="88">
        <f>IF(SUMIF($G616:$T616,"",$G617:$T617)+SUMIF($G616:$T616,"F",$G617:$T617)+SUMIF($G616:$T616,"V",$G617:$T617)-40&lt;0,0,SUMIF($G616:$T616,"",$G617:$T617)+SUMIF($G616:$T616,"F",$G617:$T617)+SUMIF($G616:$T616,"V",$G617:$T617)-($U$9/2))+IF(SUMIF($W616:$AJ616,"",$W617:$AJ617)+SUMIF($W616:$AJ616,"F",$W617:$AJ617)+SUMIF($W616:$AJ616,"V",$W617:$AJ617)-40&lt;0,0,SUMIF($W616:$AJ616,"",$W617:$AJ617)+SUMIF($W616:$AJ616,"F",$W617:$AJ617)+SUMIF($W616:$AJ616,"V",$W617:$AJ617)-($U$9/2))</f>
        <v>0</v>
      </c>
      <c r="AO617" s="73">
        <f>SUMIF($G616:$T616,"M",$G617:$T617)+SUMIF($W616:$AJ616,"M",$W617:$AJ617)</f>
        <v>0</v>
      </c>
      <c r="AP617" s="73">
        <f>SUMIF($G616:$T616,"F",$G617:$T617)+SUMIF($W616:$AJ616,"F",$W617:$AJ617)</f>
        <v>0</v>
      </c>
      <c r="AQ617" s="73">
        <f>SUMIF($G616:$T616,"V",$G617:$T617)+SUMIF($W616:$AJ616,"V",$W617:$AJ617)</f>
        <v>0</v>
      </c>
      <c r="AR617" s="74">
        <f>SUMIF($G616:$T616,"O",$G617:$T617)+SUMIF($W616:$AJ616,"O",$W617:$AJ617)</f>
        <v>0</v>
      </c>
      <c r="AS617" s="75">
        <f>SUM(AM617:AR617)</f>
        <v>80</v>
      </c>
      <c r="AT617" s="72"/>
      <c r="AU617" s="73">
        <f>SUMIF($G616:$T616,"A",$G617:$T617)+SUMIF($W616:$AJ616,"A",$W617:$AJ617)</f>
        <v>0</v>
      </c>
      <c r="AV617" s="72"/>
      <c r="AW617" s="76">
        <f>IF(B617="",0,IF($U$9="",0,$U$9))</f>
        <v>80</v>
      </c>
      <c r="BA617" s="2"/>
      <c r="BB617" s="2"/>
      <c r="BC617" s="101"/>
      <c r="BD617" s="101"/>
    </row>
    <row r="618" spans="2:56" s="84" customFormat="1" x14ac:dyDescent="0.35">
      <c r="B618" s="26"/>
      <c r="C618" s="27"/>
      <c r="D618" s="28">
        <f>IF(D544="","",D544)</f>
        <v>79709</v>
      </c>
      <c r="E618" s="29" t="str">
        <f t="shared" si="266"/>
        <v/>
      </c>
      <c r="F618" s="50">
        <f>B601</f>
        <v>18</v>
      </c>
      <c r="G618" s="59"/>
      <c r="H618" s="64"/>
      <c r="I618" s="106"/>
      <c r="J618" s="105"/>
      <c r="K618" s="106"/>
      <c r="L618" s="105"/>
      <c r="M618" s="106"/>
      <c r="N618" s="105"/>
      <c r="O618" s="106"/>
      <c r="P618" s="105"/>
      <c r="Q618" s="106"/>
      <c r="R618" s="105"/>
      <c r="S618" s="59"/>
      <c r="T618" s="64"/>
      <c r="U618" s="44"/>
      <c r="W618" s="59"/>
      <c r="X618" s="64"/>
      <c r="Y618" s="106"/>
      <c r="Z618" s="105"/>
      <c r="AA618" s="106"/>
      <c r="AB618" s="105"/>
      <c r="AC618" s="106"/>
      <c r="AD618" s="105"/>
      <c r="AE618" s="106"/>
      <c r="AF618" s="105"/>
      <c r="AG618" s="106"/>
      <c r="AH618" s="105"/>
      <c r="AI618" s="59"/>
      <c r="AJ618" s="64"/>
      <c r="AK618" s="44"/>
      <c r="AM618" s="49"/>
      <c r="AN618" s="49"/>
      <c r="AO618" s="49"/>
      <c r="AP618" s="49"/>
      <c r="AQ618" s="49"/>
      <c r="AR618" s="40"/>
      <c r="AS618" s="51"/>
      <c r="AU618" s="49"/>
      <c r="AW618" s="52"/>
      <c r="BA618" s="2"/>
      <c r="BB618" s="2"/>
      <c r="BC618" s="101"/>
      <c r="BD618" s="101"/>
    </row>
    <row r="619" spans="2:56" s="84" customFormat="1" x14ac:dyDescent="0.35">
      <c r="B619" s="30" t="str">
        <f>IF(B545="","",B545)</f>
        <v>De Rose, Natale</v>
      </c>
      <c r="C619" s="31"/>
      <c r="D619" s="32"/>
      <c r="E619" s="33">
        <f t="shared" si="266"/>
        <v>93595935</v>
      </c>
      <c r="F619" s="50">
        <f>B601</f>
        <v>18</v>
      </c>
      <c r="G619" s="69"/>
      <c r="H619" s="70"/>
      <c r="I619" s="104"/>
      <c r="J619" s="103">
        <v>8</v>
      </c>
      <c r="K619" s="104"/>
      <c r="L619" s="103">
        <v>8</v>
      </c>
      <c r="M619" s="104"/>
      <c r="N619" s="103">
        <v>8</v>
      </c>
      <c r="O619" s="104"/>
      <c r="P619" s="103">
        <v>8</v>
      </c>
      <c r="Q619" s="104"/>
      <c r="R619" s="103">
        <v>8</v>
      </c>
      <c r="S619" s="69"/>
      <c r="T619" s="70"/>
      <c r="U619" s="71">
        <f t="shared" ref="U619" si="272">SUM(G619:T619)</f>
        <v>40</v>
      </c>
      <c r="V619" s="72"/>
      <c r="W619" s="69"/>
      <c r="X619" s="70"/>
      <c r="Y619" s="104"/>
      <c r="Z619" s="103">
        <v>8</v>
      </c>
      <c r="AA619" s="104"/>
      <c r="AB619" s="103">
        <v>8</v>
      </c>
      <c r="AC619" s="104"/>
      <c r="AD619" s="103">
        <v>8</v>
      </c>
      <c r="AE619" s="104"/>
      <c r="AF619" s="103">
        <v>8</v>
      </c>
      <c r="AG619" s="104"/>
      <c r="AH619" s="103">
        <v>8</v>
      </c>
      <c r="AI619" s="69"/>
      <c r="AJ619" s="70"/>
      <c r="AK619" s="71">
        <f>SUM(W619:AJ619)</f>
        <v>40</v>
      </c>
      <c r="AL619" s="72"/>
      <c r="AM619" s="73">
        <f>SUMIF($G618:$T618,"",$G619:$T619)+SUMIF($W618:$AJ618,"",$W619:$AJ619)-AN619</f>
        <v>80</v>
      </c>
      <c r="AN619" s="88">
        <f>IF(SUMIF($G618:$T618,"",$G619:$T619)+SUMIF($G618:$T618,"F",$G619:$T619)+SUMIF($G618:$T618,"V",$G619:$T619)-40&lt;0,0,SUMIF($G618:$T618,"",$G619:$T619)+SUMIF($G618:$T618,"F",$G619:$T619)+SUMIF($G618:$T618,"V",$G619:$T619)-($U$9/2))+IF(SUMIF($W618:$AJ618,"",$W619:$AJ619)+SUMIF($W618:$AJ618,"F",$W619:$AJ619)+SUMIF($W618:$AJ618,"V",$W619:$AJ619)-40&lt;0,0,SUMIF($W618:$AJ618,"",$W619:$AJ619)+SUMIF($W618:$AJ618,"F",$W619:$AJ619)+SUMIF($W618:$AJ618,"V",$W619:$AJ619)-($U$9/2))</f>
        <v>0</v>
      </c>
      <c r="AO619" s="73">
        <f>SUMIF($G618:$T618,"M",$G619:$T619)+SUMIF($W618:$AJ618,"M",$W619:$AJ619)</f>
        <v>0</v>
      </c>
      <c r="AP619" s="73">
        <f>SUMIF($G618:$T618,"F",$G619:$T619)+SUMIF($W618:$AJ618,"F",$W619:$AJ619)</f>
        <v>0</v>
      </c>
      <c r="AQ619" s="73">
        <f>SUMIF($G618:$T618,"V",$G619:$T619)+SUMIF($W618:$AJ618,"V",$W619:$AJ619)</f>
        <v>0</v>
      </c>
      <c r="AR619" s="74">
        <f>SUMIF($G618:$T618,"O",$G619:$T619)+SUMIF($W618:$AJ618,"O",$W619:$AJ619)</f>
        <v>0</v>
      </c>
      <c r="AS619" s="75">
        <f>SUM(AM619:AR619)</f>
        <v>80</v>
      </c>
      <c r="AT619" s="72"/>
      <c r="AU619" s="73">
        <f>SUMIF($G618:$T618,"A",$G619:$T619)+SUMIF($W618:$AJ618,"A",$W619:$AJ619)</f>
        <v>0</v>
      </c>
      <c r="AV619" s="72"/>
      <c r="AW619" s="76">
        <f>IF(B619="",0,IF($U$9="",0,$U$9))</f>
        <v>80</v>
      </c>
      <c r="BA619" s="2"/>
      <c r="BB619" s="2"/>
      <c r="BC619" s="101"/>
      <c r="BD619" s="101"/>
    </row>
    <row r="620" spans="2:56" s="84" customFormat="1" x14ac:dyDescent="0.35">
      <c r="B620" s="26"/>
      <c r="C620" s="27"/>
      <c r="D620" s="28">
        <f>IF(D546="","",D546)</f>
        <v>92027</v>
      </c>
      <c r="E620" s="29" t="str">
        <f t="shared" si="266"/>
        <v/>
      </c>
      <c r="F620" s="50">
        <f>B601</f>
        <v>18</v>
      </c>
      <c r="G620" s="59"/>
      <c r="H620" s="64"/>
      <c r="I620" s="106"/>
      <c r="J620" s="105"/>
      <c r="K620" s="106"/>
      <c r="L620" s="105"/>
      <c r="M620" s="106"/>
      <c r="N620" s="105"/>
      <c r="O620" s="106"/>
      <c r="P620" s="105"/>
      <c r="Q620" s="106"/>
      <c r="R620" s="105"/>
      <c r="S620" s="59"/>
      <c r="T620" s="64"/>
      <c r="U620" s="44"/>
      <c r="W620" s="59"/>
      <c r="X620" s="64"/>
      <c r="Y620" s="106"/>
      <c r="Z620" s="105"/>
      <c r="AA620" s="106"/>
      <c r="AB620" s="105"/>
      <c r="AC620" s="106"/>
      <c r="AD620" s="105"/>
      <c r="AE620" s="106"/>
      <c r="AF620" s="105"/>
      <c r="AG620" s="106"/>
      <c r="AH620" s="105"/>
      <c r="AI620" s="59"/>
      <c r="AJ620" s="64"/>
      <c r="AK620" s="44"/>
      <c r="AM620" s="49"/>
      <c r="AN620" s="49"/>
      <c r="AO620" s="49"/>
      <c r="AP620" s="49"/>
      <c r="AQ620" s="49"/>
      <c r="AR620" s="40"/>
      <c r="AS620" s="51"/>
      <c r="AU620" s="49"/>
      <c r="AW620" s="52"/>
      <c r="BA620" s="2"/>
      <c r="BB620" s="2"/>
      <c r="BC620" s="101"/>
      <c r="BD620" s="101"/>
    </row>
    <row r="621" spans="2:56" s="84" customFormat="1" x14ac:dyDescent="0.35">
      <c r="B621" s="30" t="str">
        <f>IF(B547="","",B547)</f>
        <v>Descoteaux, Gerald</v>
      </c>
      <c r="C621" s="31"/>
      <c r="D621" s="32"/>
      <c r="E621" s="33">
        <f t="shared" si="266"/>
        <v>93595935</v>
      </c>
      <c r="F621" s="50">
        <f>B601</f>
        <v>18</v>
      </c>
      <c r="G621" s="69"/>
      <c r="H621" s="70"/>
      <c r="I621" s="104"/>
      <c r="J621" s="103">
        <v>8</v>
      </c>
      <c r="K621" s="104"/>
      <c r="L621" s="103">
        <v>8</v>
      </c>
      <c r="M621" s="104"/>
      <c r="N621" s="103">
        <v>8</v>
      </c>
      <c r="O621" s="104"/>
      <c r="P621" s="103">
        <v>8</v>
      </c>
      <c r="Q621" s="104"/>
      <c r="R621" s="103">
        <v>8</v>
      </c>
      <c r="S621" s="69"/>
      <c r="T621" s="70"/>
      <c r="U621" s="71">
        <f t="shared" ref="U621" si="273">SUM(G621:T621)</f>
        <v>40</v>
      </c>
      <c r="V621" s="72"/>
      <c r="W621" s="69"/>
      <c r="X621" s="70"/>
      <c r="Y621" s="104"/>
      <c r="Z621" s="103">
        <v>8</v>
      </c>
      <c r="AA621" s="104"/>
      <c r="AB621" s="103">
        <v>8</v>
      </c>
      <c r="AC621" s="104"/>
      <c r="AD621" s="103">
        <v>8</v>
      </c>
      <c r="AE621" s="104"/>
      <c r="AF621" s="103">
        <v>8</v>
      </c>
      <c r="AG621" s="104"/>
      <c r="AH621" s="103">
        <v>8</v>
      </c>
      <c r="AI621" s="69"/>
      <c r="AJ621" s="70"/>
      <c r="AK621" s="71">
        <f>SUM(W621:AJ621)</f>
        <v>40</v>
      </c>
      <c r="AL621" s="72"/>
      <c r="AM621" s="73">
        <f>SUMIF($G620:$T620,"",$G621:$T621)+SUMIF($W620:$AJ620,"",$W621:$AJ621)-AN621</f>
        <v>80</v>
      </c>
      <c r="AN621" s="88">
        <f>IF(SUMIF($G620:$T620,"",$G621:$T621)+SUMIF($G620:$T620,"F",$G621:$T621)+SUMIF($G620:$T620,"V",$G621:$T621)-40&lt;0,0,SUMIF($G620:$T620,"",$G621:$T621)+SUMIF($G620:$T620,"F",$G621:$T621)+SUMIF($G620:$T620,"V",$G621:$T621)-($U$9/2))+IF(SUMIF($W620:$AJ620,"",$W621:$AJ621)+SUMIF($W620:$AJ620,"F",$W621:$AJ621)+SUMIF($W620:$AJ620,"V",$W621:$AJ621)-40&lt;0,0,SUMIF($W620:$AJ620,"",$W621:$AJ621)+SUMIF($W620:$AJ620,"F",$W621:$AJ621)+SUMIF($W620:$AJ620,"V",$W621:$AJ621)-($U$9/2))</f>
        <v>0</v>
      </c>
      <c r="AO621" s="73">
        <f>SUMIF($G620:$T620,"M",$G621:$T621)+SUMIF($W620:$AJ620,"M",$W621:$AJ621)</f>
        <v>0</v>
      </c>
      <c r="AP621" s="73">
        <f>SUMIF($G620:$T620,"F",$G621:$T621)+SUMIF($W620:$AJ620,"F",$W621:$AJ621)</f>
        <v>0</v>
      </c>
      <c r="AQ621" s="73">
        <f>SUMIF($G620:$T620,"V",$G621:$T621)+SUMIF($W620:$AJ620,"V",$W621:$AJ621)</f>
        <v>0</v>
      </c>
      <c r="AR621" s="74">
        <f>SUMIF($G620:$T620,"O",$G621:$T621)+SUMIF($W620:$AJ620,"O",$W621:$AJ621)</f>
        <v>0</v>
      </c>
      <c r="AS621" s="75">
        <f>SUM(AM621:AR621)</f>
        <v>80</v>
      </c>
      <c r="AT621" s="72"/>
      <c r="AU621" s="73">
        <f>SUMIF($G620:$T620,"A",$G621:$T621)+SUMIF($W620:$AJ620,"A",$W621:$AJ621)</f>
        <v>0</v>
      </c>
      <c r="AV621" s="72"/>
      <c r="AW621" s="76">
        <f>IF(B621="",0,IF($U$9="",0,$U$9))</f>
        <v>80</v>
      </c>
      <c r="BA621" s="2"/>
      <c r="BB621" s="2"/>
      <c r="BC621" s="101"/>
      <c r="BD621" s="101"/>
    </row>
    <row r="622" spans="2:56" s="84" customFormat="1" x14ac:dyDescent="0.35">
      <c r="B622" s="26"/>
      <c r="C622" s="27"/>
      <c r="D622" s="28">
        <f>IF(D548="","",D548)</f>
        <v>73795</v>
      </c>
      <c r="E622" s="29" t="str">
        <f t="shared" si="266"/>
        <v/>
      </c>
      <c r="F622" s="50">
        <f>B601</f>
        <v>18</v>
      </c>
      <c r="G622" s="59"/>
      <c r="H622" s="64"/>
      <c r="I622" s="106"/>
      <c r="J622" s="105"/>
      <c r="K622" s="106"/>
      <c r="L622" s="105"/>
      <c r="M622" s="106"/>
      <c r="N622" s="105"/>
      <c r="O622" s="106"/>
      <c r="P622" s="105"/>
      <c r="Q622" s="106"/>
      <c r="R622" s="105" t="s">
        <v>1</v>
      </c>
      <c r="S622" s="59"/>
      <c r="T622" s="64"/>
      <c r="U622" s="44"/>
      <c r="W622" s="59"/>
      <c r="X622" s="64"/>
      <c r="Y622" s="106"/>
      <c r="Z622" s="105"/>
      <c r="AA622" s="106"/>
      <c r="AB622" s="105"/>
      <c r="AC622" s="106"/>
      <c r="AD622" s="105"/>
      <c r="AE622" s="106"/>
      <c r="AF622" s="105"/>
      <c r="AG622" s="106"/>
      <c r="AH622" s="105"/>
      <c r="AI622" s="59"/>
      <c r="AJ622" s="64"/>
      <c r="AK622" s="44"/>
      <c r="AM622" s="49"/>
      <c r="AN622" s="49"/>
      <c r="AO622" s="49"/>
      <c r="AP622" s="49"/>
      <c r="AQ622" s="49"/>
      <c r="AR622" s="40"/>
      <c r="AS622" s="51"/>
      <c r="AU622" s="49"/>
      <c r="AW622" s="52"/>
      <c r="BA622" s="2"/>
      <c r="BB622" s="2"/>
      <c r="BC622" s="101"/>
      <c r="BD622" s="101"/>
    </row>
    <row r="623" spans="2:56" s="84" customFormat="1" x14ac:dyDescent="0.35">
      <c r="B623" s="30" t="str">
        <f>IF(B549="","",B549)</f>
        <v>Fortin, Veronique</v>
      </c>
      <c r="C623" s="31"/>
      <c r="D623" s="32"/>
      <c r="E623" s="33">
        <f t="shared" si="266"/>
        <v>93540</v>
      </c>
      <c r="F623" s="50">
        <f>B601</f>
        <v>18</v>
      </c>
      <c r="G623" s="69"/>
      <c r="H623" s="70"/>
      <c r="I623" s="104"/>
      <c r="J623" s="103">
        <v>7</v>
      </c>
      <c r="K623" s="104"/>
      <c r="L623" s="103">
        <v>8</v>
      </c>
      <c r="M623" s="104"/>
      <c r="N623" s="103">
        <v>8</v>
      </c>
      <c r="O623" s="104"/>
      <c r="P623" s="103">
        <v>8</v>
      </c>
      <c r="Q623" s="104"/>
      <c r="R623" s="103">
        <v>8</v>
      </c>
      <c r="S623" s="69"/>
      <c r="T623" s="70"/>
      <c r="U623" s="71">
        <f t="shared" ref="U623" si="274">SUM(G623:T623)</f>
        <v>39</v>
      </c>
      <c r="V623" s="72"/>
      <c r="W623" s="69"/>
      <c r="X623" s="70"/>
      <c r="Y623" s="104"/>
      <c r="Z623" s="103">
        <v>8</v>
      </c>
      <c r="AA623" s="104"/>
      <c r="AB623" s="103">
        <v>8</v>
      </c>
      <c r="AC623" s="104"/>
      <c r="AD623" s="103">
        <v>8</v>
      </c>
      <c r="AE623" s="104"/>
      <c r="AF623" s="103">
        <v>8</v>
      </c>
      <c r="AG623" s="104"/>
      <c r="AH623" s="103">
        <v>7</v>
      </c>
      <c r="AI623" s="69"/>
      <c r="AJ623" s="70"/>
      <c r="AK623" s="71">
        <f>SUM(W623:AJ623)</f>
        <v>39</v>
      </c>
      <c r="AL623" s="72"/>
      <c r="AM623" s="73">
        <f>SUMIF($G622:$T622,"",$G623:$T623)+SUMIF($W622:$AJ622,"",$W623:$AJ623)-AN623</f>
        <v>70</v>
      </c>
      <c r="AN623" s="88">
        <f>IF(SUMIF($G622:$T622,"",$G623:$T623)+SUMIF($G622:$T622,"F",$G623:$T623)+SUMIF($G622:$T622,"V",$G623:$T623)-40&lt;0,0,SUMIF($G622:$T622,"",$G623:$T623)+SUMIF($G622:$T622,"F",$G623:$T623)+SUMIF($G622:$T622,"V",$G623:$T623)-($U$9/2))+IF(SUMIF($W622:$AJ622,"",$W623:$AJ623)+SUMIF($W622:$AJ622,"F",$W623:$AJ623)+SUMIF($W622:$AJ622,"V",$W623:$AJ623)-40&lt;0,0,SUMIF($W622:$AJ622,"",$W623:$AJ623)+SUMIF($W622:$AJ622,"F",$W623:$AJ623)+SUMIF($W622:$AJ622,"V",$W623:$AJ623)-($U$9/2))</f>
        <v>0</v>
      </c>
      <c r="AO623" s="73">
        <f>SUMIF($G622:$T622,"M",$G623:$T623)+SUMIF($W622:$AJ622,"M",$W623:$AJ623)</f>
        <v>0</v>
      </c>
      <c r="AP623" s="73">
        <f>SUMIF($G622:$T622,"F",$G623:$T623)+SUMIF($W622:$AJ622,"F",$W623:$AJ623)</f>
        <v>0</v>
      </c>
      <c r="AQ623" s="73">
        <f>SUMIF($G622:$T622,"V",$G623:$T623)+SUMIF($W622:$AJ622,"V",$W623:$AJ623)</f>
        <v>8</v>
      </c>
      <c r="AR623" s="74">
        <f>SUMIF($G622:$T622,"O",$G623:$T623)+SUMIF($W622:$AJ622,"O",$W623:$AJ623)</f>
        <v>0</v>
      </c>
      <c r="AS623" s="75">
        <f>SUM(AM623:AR623)</f>
        <v>78</v>
      </c>
      <c r="AT623" s="72"/>
      <c r="AU623" s="73">
        <f>SUMIF($G622:$T622,"A",$G623:$T623)+SUMIF($W622:$AJ622,"A",$W623:$AJ623)</f>
        <v>0</v>
      </c>
      <c r="AV623" s="72"/>
      <c r="AW623" s="76">
        <f>IF(B623="",0,IF($U$9="",0,$U$9))</f>
        <v>80</v>
      </c>
      <c r="BA623" s="2"/>
      <c r="BB623" s="2"/>
      <c r="BC623" s="101"/>
      <c r="BD623" s="101"/>
    </row>
    <row r="624" spans="2:56" s="84" customFormat="1" x14ac:dyDescent="0.35">
      <c r="B624" s="26"/>
      <c r="C624" s="27"/>
      <c r="D624" s="28">
        <f>IF(D550="","",D550)</f>
        <v>23206</v>
      </c>
      <c r="E624" s="29" t="str">
        <f t="shared" si="266"/>
        <v/>
      </c>
      <c r="F624" s="50">
        <f>B601</f>
        <v>18</v>
      </c>
      <c r="G624" s="59"/>
      <c r="H624" s="64"/>
      <c r="I624" s="106"/>
      <c r="J624" s="105"/>
      <c r="K624" s="106"/>
      <c r="L624" s="105"/>
      <c r="M624" s="106"/>
      <c r="N624" s="105"/>
      <c r="O624" s="106"/>
      <c r="P624" s="105"/>
      <c r="Q624" s="106"/>
      <c r="R624" s="105"/>
      <c r="S624" s="59"/>
      <c r="T624" s="64"/>
      <c r="U624" s="44"/>
      <c r="W624" s="59"/>
      <c r="X624" s="64"/>
      <c r="Y624" s="106"/>
      <c r="Z624" s="105"/>
      <c r="AA624" s="106"/>
      <c r="AB624" s="105"/>
      <c r="AC624" s="106"/>
      <c r="AD624" s="105"/>
      <c r="AE624" s="106"/>
      <c r="AF624" s="105"/>
      <c r="AG624" s="106"/>
      <c r="AH624" s="105"/>
      <c r="AI624" s="59"/>
      <c r="AJ624" s="64"/>
      <c r="AK624" s="44"/>
      <c r="AM624" s="49"/>
      <c r="AN624" s="49"/>
      <c r="AO624" s="49"/>
      <c r="AP624" s="49"/>
      <c r="AQ624" s="49"/>
      <c r="AR624" s="40"/>
      <c r="AS624" s="51"/>
      <c r="AU624" s="49"/>
      <c r="AW624" s="52"/>
      <c r="BA624" s="2"/>
      <c r="BB624" s="2"/>
      <c r="BC624" s="101"/>
      <c r="BD624" s="101"/>
    </row>
    <row r="625" spans="2:56" s="84" customFormat="1" x14ac:dyDescent="0.35">
      <c r="B625" s="30" t="str">
        <f>IF(B551="","",B551)</f>
        <v>Gadbois, Dominic</v>
      </c>
      <c r="C625" s="31"/>
      <c r="D625" s="32"/>
      <c r="E625" s="33">
        <f t="shared" si="266"/>
        <v>93545</v>
      </c>
      <c r="F625" s="50">
        <f>B601</f>
        <v>18</v>
      </c>
      <c r="G625" s="69"/>
      <c r="H625" s="70"/>
      <c r="I625" s="104"/>
      <c r="J625" s="103">
        <v>7.75</v>
      </c>
      <c r="K625" s="104"/>
      <c r="L625" s="103">
        <v>7.75</v>
      </c>
      <c r="M625" s="104"/>
      <c r="N625" s="103">
        <v>8.25</v>
      </c>
      <c r="O625" s="104"/>
      <c r="P625" s="103">
        <v>7.75</v>
      </c>
      <c r="Q625" s="104"/>
      <c r="R625" s="103">
        <v>8</v>
      </c>
      <c r="S625" s="69"/>
      <c r="T625" s="70"/>
      <c r="U625" s="71">
        <f t="shared" ref="U625" si="275">SUM(G625:T625)</f>
        <v>39.5</v>
      </c>
      <c r="V625" s="72"/>
      <c r="W625" s="69"/>
      <c r="X625" s="70"/>
      <c r="Y625" s="104"/>
      <c r="Z625" s="103">
        <v>7.75</v>
      </c>
      <c r="AA625" s="104"/>
      <c r="AB625" s="103">
        <v>7.75</v>
      </c>
      <c r="AC625" s="104"/>
      <c r="AD625" s="103">
        <v>6.75</v>
      </c>
      <c r="AE625" s="104"/>
      <c r="AF625" s="103">
        <v>7.5</v>
      </c>
      <c r="AG625" s="104"/>
      <c r="AH625" s="103">
        <v>7.25</v>
      </c>
      <c r="AI625" s="69"/>
      <c r="AJ625" s="70"/>
      <c r="AK625" s="71">
        <f>SUM(W625:AJ625)</f>
        <v>37</v>
      </c>
      <c r="AL625" s="72"/>
      <c r="AM625" s="73">
        <f>SUMIF($G624:$T624,"",$G625:$T625)+SUMIF($W624:$AJ624,"",$W625:$AJ625)-AN625</f>
        <v>76.5</v>
      </c>
      <c r="AN625" s="88">
        <f>IF(SUMIF($G624:$T624,"",$G625:$T625)+SUMIF($G624:$T624,"F",$G625:$T625)+SUMIF($G624:$T624,"V",$G625:$T625)-40&lt;0,0,SUMIF($G624:$T624,"",$G625:$T625)+SUMIF($G624:$T624,"F",$G625:$T625)+SUMIF($G624:$T624,"V",$G625:$T625)-($U$9/2))+IF(SUMIF($W624:$AJ624,"",$W625:$AJ625)+SUMIF($W624:$AJ624,"F",$W625:$AJ625)+SUMIF($W624:$AJ624,"V",$W625:$AJ625)-40&lt;0,0,SUMIF($W624:$AJ624,"",$W625:$AJ625)+SUMIF($W624:$AJ624,"F",$W625:$AJ625)+SUMIF($W624:$AJ624,"V",$W625:$AJ625)-($U$9/2))</f>
        <v>0</v>
      </c>
      <c r="AO625" s="73">
        <f>SUMIF($G624:$T624,"M",$G625:$T625)+SUMIF($W624:$AJ624,"M",$W625:$AJ625)</f>
        <v>0</v>
      </c>
      <c r="AP625" s="73">
        <f>SUMIF($G624:$T624,"F",$G625:$T625)+SUMIF($W624:$AJ624,"F",$W625:$AJ625)</f>
        <v>0</v>
      </c>
      <c r="AQ625" s="73">
        <f>SUMIF($G624:$T624,"V",$G625:$T625)+SUMIF($W624:$AJ624,"V",$W625:$AJ625)</f>
        <v>0</v>
      </c>
      <c r="AR625" s="74">
        <f>SUMIF($G624:$T624,"O",$G625:$T625)+SUMIF($W624:$AJ624,"O",$W625:$AJ625)</f>
        <v>0</v>
      </c>
      <c r="AS625" s="75">
        <f>SUM(AM625:AR625)</f>
        <v>76.5</v>
      </c>
      <c r="AT625" s="72"/>
      <c r="AU625" s="73">
        <f>SUMIF($G624:$T624,"A",$G625:$T625)+SUMIF($W624:$AJ624,"A",$W625:$AJ625)</f>
        <v>0</v>
      </c>
      <c r="AV625" s="72"/>
      <c r="AW625" s="76">
        <f>IF(B625="",0,IF($U$9="",0,$U$9))</f>
        <v>80</v>
      </c>
      <c r="BA625" s="2"/>
      <c r="BB625" s="2"/>
      <c r="BC625" s="101"/>
      <c r="BD625" s="101"/>
    </row>
    <row r="626" spans="2:56" s="84" customFormat="1" x14ac:dyDescent="0.35">
      <c r="B626" s="26"/>
      <c r="C626" s="27"/>
      <c r="D626" s="28">
        <f>IF(D552="","",D552)</f>
        <v>33664</v>
      </c>
      <c r="E626" s="29" t="str">
        <f t="shared" si="266"/>
        <v/>
      </c>
      <c r="F626" s="50">
        <f>B601</f>
        <v>18</v>
      </c>
      <c r="G626" s="59"/>
      <c r="H626" s="64"/>
      <c r="I626" s="106"/>
      <c r="J626" s="105"/>
      <c r="K626" s="106"/>
      <c r="L626" s="105"/>
      <c r="M626" s="106"/>
      <c r="N626" s="105"/>
      <c r="O626" s="106"/>
      <c r="P626" s="105"/>
      <c r="Q626" s="106"/>
      <c r="R626" s="105"/>
      <c r="S626" s="59"/>
      <c r="T626" s="64"/>
      <c r="U626" s="44"/>
      <c r="W626" s="59"/>
      <c r="X626" s="64"/>
      <c r="Y626" s="106"/>
      <c r="Z626" s="105"/>
      <c r="AA626" s="106"/>
      <c r="AB626" s="105"/>
      <c r="AC626" s="106"/>
      <c r="AD626" s="105"/>
      <c r="AE626" s="106"/>
      <c r="AF626" s="105"/>
      <c r="AG626" s="106"/>
      <c r="AH626" s="105"/>
      <c r="AI626" s="59"/>
      <c r="AJ626" s="64"/>
      <c r="AK626" s="44"/>
      <c r="AM626" s="49"/>
      <c r="AN626" s="49"/>
      <c r="AO626" s="49"/>
      <c r="AP626" s="49"/>
      <c r="AQ626" s="49"/>
      <c r="AR626" s="40"/>
      <c r="AS626" s="51"/>
      <c r="AU626" s="49"/>
      <c r="AW626" s="52"/>
      <c r="BA626" s="2"/>
      <c r="BB626" s="2"/>
      <c r="BC626" s="101"/>
      <c r="BD626" s="101"/>
    </row>
    <row r="627" spans="2:56" s="84" customFormat="1" x14ac:dyDescent="0.35">
      <c r="B627" s="30" t="str">
        <f>IF(B553="","",B553)</f>
        <v>Knox Michaud, Jessy</v>
      </c>
      <c r="C627" s="31"/>
      <c r="D627" s="32"/>
      <c r="E627" s="33">
        <f t="shared" si="266"/>
        <v>93542</v>
      </c>
      <c r="F627" s="50">
        <f>B601</f>
        <v>18</v>
      </c>
      <c r="G627" s="69"/>
      <c r="H627" s="70"/>
      <c r="I627" s="104"/>
      <c r="J627" s="103">
        <v>8</v>
      </c>
      <c r="K627" s="104"/>
      <c r="L627" s="103">
        <v>8</v>
      </c>
      <c r="M627" s="104"/>
      <c r="N627" s="103">
        <v>8</v>
      </c>
      <c r="O627" s="104"/>
      <c r="P627" s="103">
        <v>8</v>
      </c>
      <c r="Q627" s="104"/>
      <c r="R627" s="103">
        <v>8</v>
      </c>
      <c r="S627" s="69"/>
      <c r="T627" s="70"/>
      <c r="U627" s="71">
        <f t="shared" ref="U627" si="276">SUM(G627:T627)</f>
        <v>40</v>
      </c>
      <c r="V627" s="72"/>
      <c r="W627" s="69"/>
      <c r="X627" s="70"/>
      <c r="Y627" s="104"/>
      <c r="Z627" s="103">
        <v>8</v>
      </c>
      <c r="AA627" s="104"/>
      <c r="AB627" s="103">
        <v>8</v>
      </c>
      <c r="AC627" s="104"/>
      <c r="AD627" s="103">
        <v>8</v>
      </c>
      <c r="AE627" s="104"/>
      <c r="AF627" s="103">
        <v>8</v>
      </c>
      <c r="AG627" s="104"/>
      <c r="AH627" s="103">
        <v>8</v>
      </c>
      <c r="AI627" s="69"/>
      <c r="AJ627" s="70"/>
      <c r="AK627" s="71">
        <f>SUM(W627:AJ627)</f>
        <v>40</v>
      </c>
      <c r="AL627" s="72"/>
      <c r="AM627" s="73">
        <f>SUMIF($G626:$T626,"",$G627:$T627)+SUMIF($W626:$AJ626,"",$W627:$AJ627)-AN627</f>
        <v>80</v>
      </c>
      <c r="AN627" s="88">
        <f>IF(SUMIF($G626:$T626,"",$G627:$T627)+SUMIF($G626:$T626,"F",$G627:$T627)+SUMIF($G626:$T626,"V",$G627:$T627)-40&lt;0,0,SUMIF($G626:$T626,"",$G627:$T627)+SUMIF($G626:$T626,"F",$G627:$T627)+SUMIF($G626:$T626,"V",$G627:$T627)-($U$9/2))+IF(SUMIF($W626:$AJ626,"",$W627:$AJ627)+SUMIF($W626:$AJ626,"F",$W627:$AJ627)+SUMIF($W626:$AJ626,"V",$W627:$AJ627)-40&lt;0,0,SUMIF($W626:$AJ626,"",$W627:$AJ627)+SUMIF($W626:$AJ626,"F",$W627:$AJ627)+SUMIF($W626:$AJ626,"V",$W627:$AJ627)-($U$9/2))</f>
        <v>0</v>
      </c>
      <c r="AO627" s="73">
        <f>SUMIF($G626:$T626,"M",$G627:$T627)+SUMIF($W626:$AJ626,"M",$W627:$AJ627)</f>
        <v>0</v>
      </c>
      <c r="AP627" s="73">
        <f>SUMIF($G626:$T626,"F",$G627:$T627)+SUMIF($W626:$AJ626,"F",$W627:$AJ627)</f>
        <v>0</v>
      </c>
      <c r="AQ627" s="73">
        <f>SUMIF($G626:$T626,"V",$G627:$T627)+SUMIF($W626:$AJ626,"V",$W627:$AJ627)</f>
        <v>0</v>
      </c>
      <c r="AR627" s="74">
        <f>SUMIF($G626:$T626,"O",$G627:$T627)+SUMIF($W626:$AJ626,"O",$W627:$AJ627)</f>
        <v>0</v>
      </c>
      <c r="AS627" s="75">
        <f>SUM(AM627:AR627)</f>
        <v>80</v>
      </c>
      <c r="AT627" s="72"/>
      <c r="AU627" s="73">
        <f>SUMIF($G626:$T626,"A",$G627:$T627)+SUMIF($W626:$AJ626,"A",$W627:$AJ627)</f>
        <v>0</v>
      </c>
      <c r="AV627" s="72"/>
      <c r="AW627" s="76">
        <f>IF(B627="",0,IF($U$9="",0,$U$9))</f>
        <v>80</v>
      </c>
      <c r="BA627" s="2"/>
      <c r="BB627" s="2"/>
      <c r="BC627" s="101"/>
      <c r="BD627" s="101"/>
    </row>
    <row r="628" spans="2:56" s="84" customFormat="1" x14ac:dyDescent="0.35">
      <c r="B628" s="26"/>
      <c r="C628" s="27"/>
      <c r="D628" s="28">
        <f>IF(D554="","",D554)</f>
        <v>14206</v>
      </c>
      <c r="E628" s="29" t="str">
        <f t="shared" si="266"/>
        <v/>
      </c>
      <c r="F628" s="50">
        <f>B601</f>
        <v>18</v>
      </c>
      <c r="G628" s="59"/>
      <c r="H628" s="64"/>
      <c r="I628" s="106"/>
      <c r="J628" s="105"/>
      <c r="K628" s="106"/>
      <c r="L628" s="105"/>
      <c r="M628" s="106"/>
      <c r="N628" s="105"/>
      <c r="O628" s="106"/>
      <c r="P628" s="105"/>
      <c r="Q628" s="106"/>
      <c r="R628" s="105"/>
      <c r="S628" s="59"/>
      <c r="T628" s="64"/>
      <c r="U628" s="44"/>
      <c r="W628" s="59"/>
      <c r="X628" s="64"/>
      <c r="Y628" s="106"/>
      <c r="Z628" s="105"/>
      <c r="AA628" s="106"/>
      <c r="AB628" s="105"/>
      <c r="AC628" s="106"/>
      <c r="AD628" s="105"/>
      <c r="AE628" s="106"/>
      <c r="AF628" s="105"/>
      <c r="AG628" s="106"/>
      <c r="AH628" s="105"/>
      <c r="AI628" s="59"/>
      <c r="AJ628" s="64"/>
      <c r="AK628" s="44"/>
      <c r="AM628" s="49"/>
      <c r="AN628" s="49"/>
      <c r="AO628" s="49"/>
      <c r="AP628" s="49"/>
      <c r="AQ628" s="49"/>
      <c r="AR628" s="40"/>
      <c r="AS628" s="51"/>
      <c r="AU628" s="49"/>
      <c r="AW628" s="52"/>
      <c r="BA628" s="2"/>
      <c r="BB628" s="2"/>
      <c r="BC628" s="101"/>
      <c r="BD628" s="101"/>
    </row>
    <row r="629" spans="2:56" s="84" customFormat="1" x14ac:dyDescent="0.35">
      <c r="B629" s="30" t="str">
        <f>IF(B555="","",B555)</f>
        <v>Landry, Bernard</v>
      </c>
      <c r="C629" s="31"/>
      <c r="D629" s="32"/>
      <c r="E629" s="33">
        <f t="shared" si="266"/>
        <v>93545</v>
      </c>
      <c r="F629" s="50">
        <f>B601</f>
        <v>18</v>
      </c>
      <c r="G629" s="69"/>
      <c r="H629" s="70"/>
      <c r="I629" s="104"/>
      <c r="J629" s="103">
        <v>8</v>
      </c>
      <c r="K629" s="104"/>
      <c r="L629" s="103">
        <v>8</v>
      </c>
      <c r="M629" s="104"/>
      <c r="N629" s="103">
        <v>8</v>
      </c>
      <c r="O629" s="104"/>
      <c r="P629" s="103">
        <v>8</v>
      </c>
      <c r="Q629" s="104"/>
      <c r="R629" s="103">
        <v>8</v>
      </c>
      <c r="S629" s="69"/>
      <c r="T629" s="70"/>
      <c r="U629" s="71">
        <f t="shared" ref="U629" si="277">SUM(G629:T629)</f>
        <v>40</v>
      </c>
      <c r="V629" s="72"/>
      <c r="W629" s="69"/>
      <c r="X629" s="70"/>
      <c r="Y629" s="104"/>
      <c r="Z629" s="103">
        <v>8</v>
      </c>
      <c r="AA629" s="104"/>
      <c r="AB629" s="103">
        <v>8</v>
      </c>
      <c r="AC629" s="104"/>
      <c r="AD629" s="103">
        <v>8</v>
      </c>
      <c r="AE629" s="104"/>
      <c r="AF629" s="103">
        <v>8</v>
      </c>
      <c r="AG629" s="104"/>
      <c r="AH629" s="103">
        <v>8</v>
      </c>
      <c r="AI629" s="69"/>
      <c r="AJ629" s="70"/>
      <c r="AK629" s="71">
        <f>SUM(W629:AJ629)</f>
        <v>40</v>
      </c>
      <c r="AL629" s="72"/>
      <c r="AM629" s="73">
        <f>SUMIF($G628:$T628,"",$G629:$T629)+SUMIF($W628:$AJ628,"",$W629:$AJ629)-AN629</f>
        <v>80</v>
      </c>
      <c r="AN629" s="88">
        <f>IF(SUMIF($G628:$T628,"",$G629:$T629)+SUMIF($G628:$T628,"F",$G629:$T629)+SUMIF($G628:$T628,"V",$G629:$T629)-40&lt;0,0,SUMIF($G628:$T628,"",$G629:$T629)+SUMIF($G628:$T628,"F",$G629:$T629)+SUMIF($G628:$T628,"V",$G629:$T629)-($U$9/2))+IF(SUMIF($W628:$AJ628,"",$W629:$AJ629)+SUMIF($W628:$AJ628,"F",$W629:$AJ629)+SUMIF($W628:$AJ628,"V",$W629:$AJ629)-40&lt;0,0,SUMIF($W628:$AJ628,"",$W629:$AJ629)+SUMIF($W628:$AJ628,"F",$W629:$AJ629)+SUMIF($W628:$AJ628,"V",$W629:$AJ629)-($U$9/2))</f>
        <v>0</v>
      </c>
      <c r="AO629" s="73">
        <f>SUMIF($G628:$T628,"M",$G629:$T629)+SUMIF($W628:$AJ628,"M",$W629:$AJ629)</f>
        <v>0</v>
      </c>
      <c r="AP629" s="73">
        <f>SUMIF($G628:$T628,"F",$G629:$T629)+SUMIF($W628:$AJ628,"F",$W629:$AJ629)</f>
        <v>0</v>
      </c>
      <c r="AQ629" s="73">
        <f>SUMIF($G628:$T628,"V",$G629:$T629)+SUMIF($W628:$AJ628,"V",$W629:$AJ629)</f>
        <v>0</v>
      </c>
      <c r="AR629" s="74">
        <f>SUMIF($G628:$T628,"O",$G629:$T629)+SUMIF($W628:$AJ628,"O",$W629:$AJ629)</f>
        <v>0</v>
      </c>
      <c r="AS629" s="75">
        <f>SUM(AM629:AR629)</f>
        <v>80</v>
      </c>
      <c r="AT629" s="72"/>
      <c r="AU629" s="73">
        <f>SUMIF($G628:$T628,"A",$G629:$T629)+SUMIF($W628:$AJ628,"A",$W629:$AJ629)</f>
        <v>0</v>
      </c>
      <c r="AV629" s="72"/>
      <c r="AW629" s="76">
        <f>IF(B629="",0,IF($U$9="",0,$U$9))</f>
        <v>80</v>
      </c>
      <c r="BA629" s="2"/>
      <c r="BB629" s="2"/>
      <c r="BC629" s="101"/>
      <c r="BD629" s="101"/>
    </row>
    <row r="630" spans="2:56" s="84" customFormat="1" x14ac:dyDescent="0.35">
      <c r="B630" s="26"/>
      <c r="C630" s="27"/>
      <c r="D630" s="28">
        <f>IF(D556="","",D556)</f>
        <v>92257</v>
      </c>
      <c r="E630" s="29" t="str">
        <f t="shared" si="266"/>
        <v/>
      </c>
      <c r="F630" s="50">
        <f>B601</f>
        <v>18</v>
      </c>
      <c r="G630" s="59"/>
      <c r="H630" s="64"/>
      <c r="I630" s="106"/>
      <c r="J630" s="105"/>
      <c r="K630" s="106"/>
      <c r="L630" s="105"/>
      <c r="M630" s="106"/>
      <c r="N630" s="105"/>
      <c r="O630" s="106"/>
      <c r="P630" s="105"/>
      <c r="Q630" s="106"/>
      <c r="R630" s="105"/>
      <c r="S630" s="59"/>
      <c r="T630" s="64"/>
      <c r="U630" s="44"/>
      <c r="W630" s="59"/>
      <c r="X630" s="64"/>
      <c r="Y630" s="106"/>
      <c r="Z630" s="105"/>
      <c r="AA630" s="106"/>
      <c r="AB630" s="105"/>
      <c r="AC630" s="106"/>
      <c r="AD630" s="105"/>
      <c r="AE630" s="106"/>
      <c r="AF630" s="105"/>
      <c r="AG630" s="106"/>
      <c r="AH630" s="105"/>
      <c r="AI630" s="59"/>
      <c r="AJ630" s="64"/>
      <c r="AK630" s="44"/>
      <c r="AM630" s="49"/>
      <c r="AN630" s="49"/>
      <c r="AO630" s="49"/>
      <c r="AP630" s="49"/>
      <c r="AQ630" s="49"/>
      <c r="AR630" s="40"/>
      <c r="AS630" s="51"/>
      <c r="AU630" s="49"/>
      <c r="AW630" s="52"/>
      <c r="BA630" s="2"/>
      <c r="BB630" s="2"/>
      <c r="BC630" s="101"/>
      <c r="BD630" s="101"/>
    </row>
    <row r="631" spans="2:56" s="84" customFormat="1" x14ac:dyDescent="0.35">
      <c r="B631" s="30" t="str">
        <f>IF(B557="","",B557)</f>
        <v>Lelievre, Anik</v>
      </c>
      <c r="C631" s="31"/>
      <c r="D631" s="32"/>
      <c r="E631" s="33">
        <f t="shared" si="266"/>
        <v>93513</v>
      </c>
      <c r="F631" s="50">
        <f>B601</f>
        <v>18</v>
      </c>
      <c r="G631" s="69"/>
      <c r="H631" s="70"/>
      <c r="I631" s="104"/>
      <c r="J631" s="103">
        <v>8</v>
      </c>
      <c r="K631" s="104"/>
      <c r="L631" s="103">
        <v>8</v>
      </c>
      <c r="M631" s="104"/>
      <c r="N631" s="103">
        <v>8</v>
      </c>
      <c r="O631" s="104"/>
      <c r="P631" s="103">
        <v>8</v>
      </c>
      <c r="Q631" s="104"/>
      <c r="R631" s="103">
        <v>8</v>
      </c>
      <c r="S631" s="69"/>
      <c r="T631" s="70"/>
      <c r="U631" s="71">
        <f t="shared" ref="U631" si="278">SUM(G631:T631)</f>
        <v>40</v>
      </c>
      <c r="V631" s="72"/>
      <c r="W631" s="69"/>
      <c r="X631" s="70"/>
      <c r="Y631" s="104"/>
      <c r="Z631" s="103">
        <v>8</v>
      </c>
      <c r="AA631" s="104"/>
      <c r="AB631" s="103">
        <v>8</v>
      </c>
      <c r="AC631" s="104"/>
      <c r="AD631" s="103">
        <v>8</v>
      </c>
      <c r="AE631" s="104"/>
      <c r="AF631" s="103">
        <v>8</v>
      </c>
      <c r="AG631" s="104"/>
      <c r="AH631" s="103">
        <v>8</v>
      </c>
      <c r="AI631" s="69"/>
      <c r="AJ631" s="70"/>
      <c r="AK631" s="71">
        <f>SUM(W631:AJ631)</f>
        <v>40</v>
      </c>
      <c r="AL631" s="72"/>
      <c r="AM631" s="73">
        <f>SUMIF($G630:$T630,"",$G631:$T631)+SUMIF($W630:$AJ630,"",$W631:$AJ631)-AN631</f>
        <v>80</v>
      </c>
      <c r="AN631" s="88">
        <f>IF(SUMIF($G630:$T630,"",$G631:$T631)+SUMIF($G630:$T630,"F",$G631:$T631)+SUMIF($G630:$T630,"V",$G631:$T631)-40&lt;0,0,SUMIF($G630:$T630,"",$G631:$T631)+SUMIF($G630:$T630,"F",$G631:$T631)+SUMIF($G630:$T630,"V",$G631:$T631)-($U$9/2))+IF(SUMIF($W630:$AJ630,"",$W631:$AJ631)+SUMIF($W630:$AJ630,"F",$W631:$AJ631)+SUMIF($W630:$AJ630,"V",$W631:$AJ631)-40&lt;0,0,SUMIF($W630:$AJ630,"",$W631:$AJ631)+SUMIF($W630:$AJ630,"F",$W631:$AJ631)+SUMIF($W630:$AJ630,"V",$W631:$AJ631)-($U$9/2))</f>
        <v>0</v>
      </c>
      <c r="AO631" s="73">
        <f>SUMIF($G630:$T630,"M",$G631:$T631)+SUMIF($W630:$AJ630,"M",$W631:$AJ631)</f>
        <v>0</v>
      </c>
      <c r="AP631" s="73">
        <f>SUMIF($G630:$T630,"F",$G631:$T631)+SUMIF($W630:$AJ630,"F",$W631:$AJ631)</f>
        <v>0</v>
      </c>
      <c r="AQ631" s="73">
        <f>SUMIF($G630:$T630,"V",$G631:$T631)+SUMIF($W630:$AJ630,"V",$W631:$AJ631)</f>
        <v>0</v>
      </c>
      <c r="AR631" s="74">
        <f>SUMIF($G630:$T630,"O",$G631:$T631)+SUMIF($W630:$AJ630,"O",$W631:$AJ631)</f>
        <v>0</v>
      </c>
      <c r="AS631" s="75">
        <f>SUM(AM631:AR631)</f>
        <v>80</v>
      </c>
      <c r="AT631" s="72"/>
      <c r="AU631" s="73">
        <f>SUMIF($G630:$T630,"A",$G631:$T631)+SUMIF($W630:$AJ630,"A",$W631:$AJ631)</f>
        <v>0</v>
      </c>
      <c r="AV631" s="72"/>
      <c r="AW631" s="76">
        <f>IF(B631="",0,IF($U$9="",0,$U$9))</f>
        <v>80</v>
      </c>
      <c r="BA631" s="2"/>
      <c r="BB631" s="2"/>
      <c r="BC631" s="101"/>
      <c r="BD631" s="101"/>
    </row>
    <row r="632" spans="2:56" s="84" customFormat="1" x14ac:dyDescent="0.35">
      <c r="B632" s="26"/>
      <c r="C632" s="27"/>
      <c r="D632" s="28">
        <f>IF(D558="","",D558)</f>
        <v>81042</v>
      </c>
      <c r="E632" s="29" t="str">
        <f t="shared" si="266"/>
        <v/>
      </c>
      <c r="F632" s="50">
        <f>B601</f>
        <v>18</v>
      </c>
      <c r="G632" s="59"/>
      <c r="H632" s="64"/>
      <c r="I632" s="106"/>
      <c r="J632" s="105"/>
      <c r="K632" s="106"/>
      <c r="L632" s="105"/>
      <c r="M632" s="106"/>
      <c r="N632" s="105"/>
      <c r="O632" s="106"/>
      <c r="P632" s="105" t="s">
        <v>1</v>
      </c>
      <c r="Q632" s="106"/>
      <c r="R632" s="105"/>
      <c r="S632" s="59"/>
      <c r="T632" s="64"/>
      <c r="U632" s="44"/>
      <c r="W632" s="59"/>
      <c r="X632" s="64"/>
      <c r="Y632" s="106"/>
      <c r="Z632" s="105"/>
      <c r="AA632" s="106"/>
      <c r="AB632" s="105"/>
      <c r="AC632" s="106"/>
      <c r="AD632" s="105"/>
      <c r="AE632" s="106"/>
      <c r="AF632" s="105"/>
      <c r="AG632" s="106"/>
      <c r="AH632" s="105" t="s">
        <v>1</v>
      </c>
      <c r="AI632" s="59"/>
      <c r="AJ632" s="64"/>
      <c r="AK632" s="44"/>
      <c r="AM632" s="49"/>
      <c r="AN632" s="49"/>
      <c r="AO632" s="49"/>
      <c r="AP632" s="49"/>
      <c r="AQ632" s="49"/>
      <c r="AR632" s="40"/>
      <c r="AS632" s="51"/>
      <c r="AU632" s="49"/>
      <c r="AW632" s="52"/>
      <c r="BA632" s="2"/>
      <c r="BB632" s="2"/>
      <c r="BC632" s="101"/>
      <c r="BD632" s="101"/>
    </row>
    <row r="633" spans="2:56" s="84" customFormat="1" x14ac:dyDescent="0.35">
      <c r="B633" s="30" t="str">
        <f>IF(B559="","",B559)</f>
        <v>Letarte, Martin</v>
      </c>
      <c r="C633" s="31"/>
      <c r="D633" s="32"/>
      <c r="E633" s="33">
        <f t="shared" si="266"/>
        <v>93545</v>
      </c>
      <c r="F633" s="50">
        <f>B601</f>
        <v>18</v>
      </c>
      <c r="G633" s="69"/>
      <c r="H633" s="70"/>
      <c r="I633" s="104"/>
      <c r="J633" s="103">
        <v>8</v>
      </c>
      <c r="K633" s="104"/>
      <c r="L633" s="103">
        <v>8</v>
      </c>
      <c r="M633" s="104"/>
      <c r="N633" s="103">
        <v>8</v>
      </c>
      <c r="O633" s="104"/>
      <c r="P633" s="103">
        <v>8</v>
      </c>
      <c r="Q633" s="104"/>
      <c r="R633" s="103">
        <v>8</v>
      </c>
      <c r="S633" s="69"/>
      <c r="T633" s="70"/>
      <c r="U633" s="71">
        <f t="shared" ref="U633" si="279">SUM(G633:T633)</f>
        <v>40</v>
      </c>
      <c r="V633" s="72"/>
      <c r="W633" s="69"/>
      <c r="X633" s="70"/>
      <c r="Y633" s="104"/>
      <c r="Z633" s="103">
        <v>8</v>
      </c>
      <c r="AA633" s="104"/>
      <c r="AB633" s="103">
        <v>8</v>
      </c>
      <c r="AC633" s="104"/>
      <c r="AD633" s="103">
        <v>8</v>
      </c>
      <c r="AE633" s="104"/>
      <c r="AF633" s="103">
        <v>8</v>
      </c>
      <c r="AG633" s="104"/>
      <c r="AH633" s="103">
        <v>8</v>
      </c>
      <c r="AI633" s="69"/>
      <c r="AJ633" s="70"/>
      <c r="AK633" s="71">
        <f>SUM(W633:AJ633)</f>
        <v>40</v>
      </c>
      <c r="AL633" s="72"/>
      <c r="AM633" s="73">
        <f>SUMIF($G632:$T632,"",$G633:$T633)+SUMIF($W632:$AJ632,"",$W633:$AJ633)-AN633</f>
        <v>64</v>
      </c>
      <c r="AN633" s="88">
        <f>IF(SUMIF($G632:$T632,"",$G633:$T633)+SUMIF($G632:$T632,"F",$G633:$T633)+SUMIF($G632:$T632,"V",$G633:$T633)-40&lt;0,0,SUMIF($G632:$T632,"",$G633:$T633)+SUMIF($G632:$T632,"F",$G633:$T633)+SUMIF($G632:$T632,"V",$G633:$T633)-($U$9/2))+IF(SUMIF($W632:$AJ632,"",$W633:$AJ633)+SUMIF($W632:$AJ632,"F",$W633:$AJ633)+SUMIF($W632:$AJ632,"V",$W633:$AJ633)-40&lt;0,0,SUMIF($W632:$AJ632,"",$W633:$AJ633)+SUMIF($W632:$AJ632,"F",$W633:$AJ633)+SUMIF($W632:$AJ632,"V",$W633:$AJ633)-($U$9/2))</f>
        <v>0</v>
      </c>
      <c r="AO633" s="73">
        <f>SUMIF($G632:$T632,"M",$G633:$T633)+SUMIF($W632:$AJ632,"M",$W633:$AJ633)</f>
        <v>0</v>
      </c>
      <c r="AP633" s="73">
        <f>SUMIF($G632:$T632,"F",$G633:$T633)+SUMIF($W632:$AJ632,"F",$W633:$AJ633)</f>
        <v>0</v>
      </c>
      <c r="AQ633" s="73">
        <f>SUMIF($G632:$T632,"V",$G633:$T633)+SUMIF($W632:$AJ632,"V",$W633:$AJ633)</f>
        <v>16</v>
      </c>
      <c r="AR633" s="74">
        <f>SUMIF($G632:$T632,"O",$G633:$T633)+SUMIF($W632:$AJ632,"O",$W633:$AJ633)</f>
        <v>0</v>
      </c>
      <c r="AS633" s="75">
        <f>SUM(AM633:AR633)</f>
        <v>80</v>
      </c>
      <c r="AT633" s="72"/>
      <c r="AU633" s="73">
        <f>SUMIF($G632:$T632,"A",$G633:$T633)+SUMIF($W632:$AJ632,"A",$W633:$AJ633)</f>
        <v>0</v>
      </c>
      <c r="AV633" s="72"/>
      <c r="AW633" s="76">
        <f>IF(B633="",0,IF($U$9="",0,$U$9))</f>
        <v>80</v>
      </c>
      <c r="BA633" s="2"/>
      <c r="BB633" s="2"/>
      <c r="BC633" s="101"/>
      <c r="BD633" s="101"/>
    </row>
    <row r="634" spans="2:56" s="84" customFormat="1" x14ac:dyDescent="0.35">
      <c r="B634" s="26"/>
      <c r="C634" s="27"/>
      <c r="D634" s="28">
        <f>IF(D560="","",D560)</f>
        <v>23930</v>
      </c>
      <c r="E634" s="29" t="str">
        <f t="shared" si="266"/>
        <v/>
      </c>
      <c r="F634" s="50">
        <f>B601</f>
        <v>18</v>
      </c>
      <c r="G634" s="59"/>
      <c r="H634" s="64"/>
      <c r="I634" s="106"/>
      <c r="J634" s="105"/>
      <c r="K634" s="106"/>
      <c r="L634" s="105"/>
      <c r="M634" s="106"/>
      <c r="N634" s="105"/>
      <c r="O634" s="106"/>
      <c r="P634" s="105"/>
      <c r="Q634" s="106"/>
      <c r="R634" s="105"/>
      <c r="S634" s="59"/>
      <c r="T634" s="64"/>
      <c r="U634" s="44"/>
      <c r="W634" s="59"/>
      <c r="X634" s="64"/>
      <c r="Y634" s="106"/>
      <c r="Z634" s="105"/>
      <c r="AA634" s="106"/>
      <c r="AB634" s="105"/>
      <c r="AC634" s="106"/>
      <c r="AD634" s="105"/>
      <c r="AE634" s="106"/>
      <c r="AF634" s="105"/>
      <c r="AG634" s="106"/>
      <c r="AH634" s="105"/>
      <c r="AI634" s="59"/>
      <c r="AJ634" s="64"/>
      <c r="AK634" s="44"/>
      <c r="AM634" s="49"/>
      <c r="AN634" s="49"/>
      <c r="AO634" s="49"/>
      <c r="AP634" s="49"/>
      <c r="AQ634" s="49"/>
      <c r="AR634" s="40"/>
      <c r="AS634" s="51"/>
      <c r="AU634" s="49"/>
      <c r="AW634" s="52"/>
      <c r="BA634" s="2"/>
      <c r="BB634" s="2"/>
      <c r="BC634" s="101"/>
      <c r="BD634" s="101"/>
    </row>
    <row r="635" spans="2:56" s="84" customFormat="1" x14ac:dyDescent="0.35">
      <c r="B635" s="30" t="str">
        <f>IF(B561="","",B561)</f>
        <v>Martinez Parada, José Francisco</v>
      </c>
      <c r="C635" s="31"/>
      <c r="D635" s="32"/>
      <c r="E635" s="33">
        <f t="shared" si="266"/>
        <v>93545</v>
      </c>
      <c r="F635" s="50">
        <f>B601</f>
        <v>18</v>
      </c>
      <c r="G635" s="69"/>
      <c r="H635" s="70"/>
      <c r="I635" s="104"/>
      <c r="J635" s="103">
        <v>8</v>
      </c>
      <c r="K635" s="104"/>
      <c r="L635" s="103">
        <v>8</v>
      </c>
      <c r="M635" s="104"/>
      <c r="N635" s="103">
        <v>8</v>
      </c>
      <c r="O635" s="104"/>
      <c r="P635" s="103">
        <v>8</v>
      </c>
      <c r="Q635" s="104"/>
      <c r="R635" s="103">
        <v>8</v>
      </c>
      <c r="S635" s="69"/>
      <c r="T635" s="70"/>
      <c r="U635" s="71">
        <f t="shared" ref="U635" si="280">SUM(G635:T635)</f>
        <v>40</v>
      </c>
      <c r="V635" s="72"/>
      <c r="W635" s="69"/>
      <c r="X635" s="70"/>
      <c r="Y635" s="104"/>
      <c r="Z635" s="103">
        <v>8</v>
      </c>
      <c r="AA635" s="104"/>
      <c r="AB635" s="103">
        <v>8</v>
      </c>
      <c r="AC635" s="104"/>
      <c r="AD635" s="103">
        <v>8</v>
      </c>
      <c r="AE635" s="104"/>
      <c r="AF635" s="103">
        <v>8</v>
      </c>
      <c r="AG635" s="104"/>
      <c r="AH635" s="103">
        <v>8</v>
      </c>
      <c r="AI635" s="69"/>
      <c r="AJ635" s="70"/>
      <c r="AK635" s="71">
        <f>SUM(W635:AJ635)</f>
        <v>40</v>
      </c>
      <c r="AL635" s="72"/>
      <c r="AM635" s="73">
        <f>SUMIF($G634:$T634,"",$G635:$T635)+SUMIF($W634:$AJ634,"",$W635:$AJ635)-AN635</f>
        <v>80</v>
      </c>
      <c r="AN635" s="88">
        <f>IF(SUMIF($G634:$T634,"",$G635:$T635)+SUMIF($G634:$T634,"F",$G635:$T635)+SUMIF($G634:$T634,"V",$G635:$T635)-40&lt;0,0,SUMIF($G634:$T634,"",$G635:$T635)+SUMIF($G634:$T634,"F",$G635:$T635)+SUMIF($G634:$T634,"V",$G635:$T635)-($U$9/2))+IF(SUMIF($W634:$AJ634,"",$W635:$AJ635)+SUMIF($W634:$AJ634,"F",$W635:$AJ635)+SUMIF($W634:$AJ634,"V",$W635:$AJ635)-40&lt;0,0,SUMIF($W634:$AJ634,"",$W635:$AJ635)+SUMIF($W634:$AJ634,"F",$W635:$AJ635)+SUMIF($W634:$AJ634,"V",$W635:$AJ635)-($U$9/2))</f>
        <v>0</v>
      </c>
      <c r="AO635" s="73">
        <f>SUMIF($G634:$T634,"M",$G635:$T635)+SUMIF($W634:$AJ634,"M",$W635:$AJ635)</f>
        <v>0</v>
      </c>
      <c r="AP635" s="73">
        <f>SUMIF($G634:$T634,"F",$G635:$T635)+SUMIF($W634:$AJ634,"F",$W635:$AJ635)</f>
        <v>0</v>
      </c>
      <c r="AQ635" s="73">
        <f>SUMIF($G634:$T634,"V",$G635:$T635)+SUMIF($W634:$AJ634,"V",$W635:$AJ635)</f>
        <v>0</v>
      </c>
      <c r="AR635" s="74">
        <f>SUMIF($G634:$T634,"O",$G635:$T635)+SUMIF($W634:$AJ634,"O",$W635:$AJ635)</f>
        <v>0</v>
      </c>
      <c r="AS635" s="75">
        <f>SUM(AM635:AR635)</f>
        <v>80</v>
      </c>
      <c r="AT635" s="72"/>
      <c r="AU635" s="73">
        <f>SUMIF($G634:$T634,"A",$G635:$T635)+SUMIF($W634:$AJ634,"A",$W635:$AJ635)</f>
        <v>0</v>
      </c>
      <c r="AV635" s="72"/>
      <c r="AW635" s="76">
        <f>IF(B635="",0,IF($U$9="",0,$U$9))</f>
        <v>80</v>
      </c>
      <c r="BA635" s="2"/>
      <c r="BB635" s="2"/>
      <c r="BC635" s="101"/>
      <c r="BD635" s="101"/>
    </row>
    <row r="636" spans="2:56" s="84" customFormat="1" x14ac:dyDescent="0.35">
      <c r="B636" s="26"/>
      <c r="C636" s="27"/>
      <c r="D636" s="28">
        <f>IF(D562="","",D562)</f>
        <v>11792</v>
      </c>
      <c r="E636" s="29" t="str">
        <f t="shared" si="266"/>
        <v/>
      </c>
      <c r="F636" s="50">
        <f>B601</f>
        <v>18</v>
      </c>
      <c r="G636" s="59"/>
      <c r="H636" s="64"/>
      <c r="I636" s="106"/>
      <c r="J636" s="105"/>
      <c r="K636" s="106"/>
      <c r="L636" s="105"/>
      <c r="M636" s="106"/>
      <c r="N636" s="105"/>
      <c r="O636" s="106"/>
      <c r="P636" s="105"/>
      <c r="Q636" s="106"/>
      <c r="R636" s="105"/>
      <c r="S636" s="59"/>
      <c r="T636" s="64"/>
      <c r="U636" s="44"/>
      <c r="W636" s="59"/>
      <c r="X636" s="64"/>
      <c r="Y636" s="106"/>
      <c r="Z636" s="105"/>
      <c r="AA636" s="106"/>
      <c r="AB636" s="105"/>
      <c r="AC636" s="106"/>
      <c r="AD636" s="105"/>
      <c r="AE636" s="106"/>
      <c r="AF636" s="105"/>
      <c r="AG636" s="106"/>
      <c r="AH636" s="105"/>
      <c r="AI636" s="59"/>
      <c r="AJ636" s="64"/>
      <c r="AK636" s="44"/>
      <c r="AM636" s="49"/>
      <c r="AN636" s="49"/>
      <c r="AO636" s="49"/>
      <c r="AP636" s="49"/>
      <c r="AQ636" s="49"/>
      <c r="AR636" s="40"/>
      <c r="AS636" s="51"/>
      <c r="AU636" s="49"/>
      <c r="AW636" s="52"/>
      <c r="BA636" s="2"/>
      <c r="BB636" s="2"/>
      <c r="BC636" s="101"/>
      <c r="BD636" s="101"/>
    </row>
    <row r="637" spans="2:56" s="84" customFormat="1" x14ac:dyDescent="0.35">
      <c r="B637" s="30" t="str">
        <f>IF(B563="","",B563)</f>
        <v>Pellerin, Pierre</v>
      </c>
      <c r="C637" s="31"/>
      <c r="D637" s="32"/>
      <c r="E637" s="33">
        <f t="shared" si="266"/>
        <v>93595935</v>
      </c>
      <c r="F637" s="50">
        <f>B601</f>
        <v>18</v>
      </c>
      <c r="G637" s="69"/>
      <c r="H637" s="70"/>
      <c r="I637" s="104"/>
      <c r="J637" s="103">
        <v>8</v>
      </c>
      <c r="K637" s="104"/>
      <c r="L637" s="103">
        <v>8</v>
      </c>
      <c r="M637" s="104"/>
      <c r="N637" s="103">
        <v>8</v>
      </c>
      <c r="O637" s="104"/>
      <c r="P637" s="103">
        <v>8</v>
      </c>
      <c r="Q637" s="104"/>
      <c r="R637" s="103">
        <v>8</v>
      </c>
      <c r="S637" s="69"/>
      <c r="T637" s="70"/>
      <c r="U637" s="71">
        <f t="shared" ref="U637" si="281">SUM(G637:T637)</f>
        <v>40</v>
      </c>
      <c r="V637" s="72"/>
      <c r="W637" s="69"/>
      <c r="X637" s="70"/>
      <c r="Y637" s="104"/>
      <c r="Z637" s="103">
        <v>8</v>
      </c>
      <c r="AA637" s="104"/>
      <c r="AB637" s="103">
        <v>8</v>
      </c>
      <c r="AC637" s="104"/>
      <c r="AD637" s="103">
        <v>8</v>
      </c>
      <c r="AE637" s="104"/>
      <c r="AF637" s="103">
        <v>8</v>
      </c>
      <c r="AG637" s="104"/>
      <c r="AH637" s="103">
        <v>8</v>
      </c>
      <c r="AI637" s="69"/>
      <c r="AJ637" s="70"/>
      <c r="AK637" s="71">
        <f>SUM(Z637:AH637)</f>
        <v>40</v>
      </c>
      <c r="AL637" s="72"/>
      <c r="AM637" s="73">
        <f>SUMIF($G636:$T636,"",$G637:$T637)+SUMIF($W636:$AJ636,"",$W637:$AJ637)-AN637</f>
        <v>80</v>
      </c>
      <c r="AN637" s="88">
        <f>IF(SUMIF($G636:$T636,"",$G637:$T637)+SUMIF($G636:$T636,"F",$G637:$T637)+SUMIF($G636:$T636,"V",$G637:$T637)-40&lt;0,0,SUMIF($G636:$T636,"",$G637:$T637)+SUMIF($G636:$T636,"F",$G637:$T637)+SUMIF($G636:$T636,"V",$G637:$T637)-($U$9/2))+IF(SUMIF($W636:$AJ636,"",$W637:$AJ637)+SUMIF($W636:$AJ636,"F",$W637:$AJ637)+SUMIF($W636:$AJ636,"V",$W637:$AJ637)-40&lt;0,0,SUMIF($W636:$AJ636,"",$W637:$AJ637)+SUMIF($W636:$AJ636,"F",$W637:$AJ637)+SUMIF($W636:$AJ636,"V",$W637:$AJ637)-($U$9/2))</f>
        <v>0</v>
      </c>
      <c r="AO637" s="73">
        <f>SUMIF($G636:$T636,"M",$G637:$T637)+SUMIF($W636:$AJ636,"M",$W637:$AJ637)</f>
        <v>0</v>
      </c>
      <c r="AP637" s="73">
        <f>SUMIF($G636:$T636,"F",$G637:$T637)+SUMIF($W636:$AJ636,"F",$W637:$AJ637)</f>
        <v>0</v>
      </c>
      <c r="AQ637" s="73">
        <f>SUMIF($G636:$T636,"V",$G637:$T637)+SUMIF($W636:$AJ636,"V",$W637:$AJ637)</f>
        <v>0</v>
      </c>
      <c r="AR637" s="74">
        <f>SUMIF($G636:$T636,"O",$G637:$T637)+SUMIF($W636:$AJ636,"O",$W637:$AJ637)</f>
        <v>0</v>
      </c>
      <c r="AS637" s="75">
        <f>SUM(AM637:AR637)</f>
        <v>80</v>
      </c>
      <c r="AT637" s="72"/>
      <c r="AU637" s="73">
        <f>SUMIF($G636:$T636,"A",$G637:$T637)+SUMIF($W636:$AJ636,"A",$W637:$AJ637)</f>
        <v>0</v>
      </c>
      <c r="AV637" s="72"/>
      <c r="AW637" s="76">
        <f>IF(B637="",0,IF($U$9="",0,$U$9))</f>
        <v>80</v>
      </c>
      <c r="BA637" s="2"/>
      <c r="BB637" s="2"/>
      <c r="BC637" s="101"/>
      <c r="BD637" s="101"/>
    </row>
    <row r="638" spans="2:56" s="84" customFormat="1" x14ac:dyDescent="0.35">
      <c r="B638" s="26"/>
      <c r="C638" s="27"/>
      <c r="D638" s="28">
        <f>IF(D564="","",D564)</f>
        <v>81043</v>
      </c>
      <c r="E638" s="29" t="str">
        <f t="shared" si="266"/>
        <v/>
      </c>
      <c r="F638" s="50">
        <f>B601</f>
        <v>18</v>
      </c>
      <c r="G638" s="59"/>
      <c r="H638" s="64"/>
      <c r="I638" s="106"/>
      <c r="J638" s="105"/>
      <c r="K638" s="106"/>
      <c r="L638" s="105"/>
      <c r="M638" s="106"/>
      <c r="N638" s="105"/>
      <c r="O638" s="106"/>
      <c r="P638" s="105"/>
      <c r="Q638" s="106"/>
      <c r="R638" s="105"/>
      <c r="S638" s="59"/>
      <c r="T638" s="64"/>
      <c r="U638" s="44"/>
      <c r="W638" s="59"/>
      <c r="X638" s="64"/>
      <c r="Y638" s="106"/>
      <c r="Z638" s="105"/>
      <c r="AA638" s="106"/>
      <c r="AB638" s="105"/>
      <c r="AC638" s="106"/>
      <c r="AD638" s="105"/>
      <c r="AE638" s="106"/>
      <c r="AF638" s="105"/>
      <c r="AG638" s="106"/>
      <c r="AH638" s="105"/>
      <c r="AI638" s="59"/>
      <c r="AJ638" s="64"/>
      <c r="AK638" s="44"/>
      <c r="AM638" s="49"/>
      <c r="AN638" s="49"/>
      <c r="AO638" s="49"/>
      <c r="AP638" s="49"/>
      <c r="AQ638" s="49"/>
      <c r="AR638" s="40"/>
      <c r="AS638" s="51"/>
      <c r="AU638" s="49"/>
      <c r="AW638" s="52"/>
      <c r="BA638" s="2"/>
      <c r="BB638" s="2"/>
      <c r="BC638" s="101"/>
      <c r="BD638" s="101"/>
    </row>
    <row r="639" spans="2:56" s="84" customFormat="1" x14ac:dyDescent="0.35">
      <c r="B639" s="30" t="str">
        <f>IF(B565="","",B565)</f>
        <v>Rodrigue, Frank</v>
      </c>
      <c r="C639" s="31"/>
      <c r="D639" s="32"/>
      <c r="E639" s="33">
        <f t="shared" ref="E639:E655" si="282">IF(E565="","",E565)</f>
        <v>93545</v>
      </c>
      <c r="F639" s="50">
        <f>B601</f>
        <v>18</v>
      </c>
      <c r="G639" s="69"/>
      <c r="H639" s="70"/>
      <c r="I639" s="104"/>
      <c r="J639" s="103">
        <v>8</v>
      </c>
      <c r="K639" s="104"/>
      <c r="L639" s="103">
        <v>8</v>
      </c>
      <c r="M639" s="104"/>
      <c r="N639" s="103">
        <v>8</v>
      </c>
      <c r="O639" s="104"/>
      <c r="P639" s="103">
        <v>8</v>
      </c>
      <c r="Q639" s="104"/>
      <c r="R639" s="103">
        <v>8</v>
      </c>
      <c r="S639" s="69"/>
      <c r="T639" s="70"/>
      <c r="U639" s="71">
        <f t="shared" ref="U639" si="283">SUM(G639:T639)</f>
        <v>40</v>
      </c>
      <c r="V639" s="72"/>
      <c r="W639" s="69"/>
      <c r="X639" s="70"/>
      <c r="Y639" s="104"/>
      <c r="Z639" s="103">
        <v>8</v>
      </c>
      <c r="AA639" s="104"/>
      <c r="AB639" s="103">
        <v>8</v>
      </c>
      <c r="AC639" s="104"/>
      <c r="AD639" s="103">
        <v>8</v>
      </c>
      <c r="AE639" s="104"/>
      <c r="AF639" s="103">
        <v>8</v>
      </c>
      <c r="AG639" s="104"/>
      <c r="AH639" s="103">
        <v>8</v>
      </c>
      <c r="AI639" s="69"/>
      <c r="AJ639" s="70"/>
      <c r="AK639" s="71">
        <f>SUM(W639:AJ639)</f>
        <v>40</v>
      </c>
      <c r="AL639" s="72"/>
      <c r="AM639" s="73">
        <f>SUMIF($G638:$T638,"",$G639:$T639)+SUMIF($W638:$AJ638,"",$W639:$AJ639)-AN639</f>
        <v>80</v>
      </c>
      <c r="AN639" s="88">
        <f>IF(SUMIF($G638:$T638,"",$G639:$T639)+SUMIF($G638:$T638,"F",$G639:$T639)+SUMIF($G638:$T638,"V",$G639:$T639)-40&lt;0,0,SUMIF($G638:$T638,"",$G639:$T639)+SUMIF($G638:$T638,"F",$G639:$T639)+SUMIF($G638:$T638,"V",$G639:$T639)-($U$9/2))+IF(SUMIF($W638:$AJ638,"",$W639:$AJ639)+SUMIF($W638:$AJ638,"F",$W639:$AJ639)+SUMIF($W638:$AJ638,"V",$W639:$AJ639)-40&lt;0,0,SUMIF($W638:$AJ638,"",$W639:$AJ639)+SUMIF($W638:$AJ638,"F",$W639:$AJ639)+SUMIF($W638:$AJ638,"V",$W639:$AJ639)-($U$9/2))</f>
        <v>0</v>
      </c>
      <c r="AO639" s="73">
        <f>SUMIF($G638:$T638,"M",$G639:$T639)+SUMIF($W638:$AJ638,"M",$W639:$AJ639)</f>
        <v>0</v>
      </c>
      <c r="AP639" s="73">
        <f>SUMIF($G638:$T638,"F",$G639:$T639)+SUMIF($W638:$AJ638,"F",$W639:$AJ639)</f>
        <v>0</v>
      </c>
      <c r="AQ639" s="73">
        <f>SUMIF($G638:$T638,"V",$G639:$T639)+SUMIF($W638:$AJ638,"V",$W639:$AJ639)</f>
        <v>0</v>
      </c>
      <c r="AR639" s="74">
        <f>SUMIF($G638:$T638,"O",$G639:$T639)+SUMIF($W638:$AJ638,"O",$W639:$AJ639)</f>
        <v>0</v>
      </c>
      <c r="AS639" s="75">
        <f>SUM(AM639:AR639)</f>
        <v>80</v>
      </c>
      <c r="AT639" s="72"/>
      <c r="AU639" s="73">
        <f>SUMIF($G638:$T638,"A",$G639:$T639)+SUMIF($W638:$AJ638,"A",$W639:$AJ639)</f>
        <v>0</v>
      </c>
      <c r="AV639" s="72"/>
      <c r="AW639" s="76">
        <f>IF(B639="",0,IF($U$9="",0,$U$9))</f>
        <v>80</v>
      </c>
      <c r="BA639" s="2"/>
      <c r="BB639" s="2"/>
      <c r="BC639" s="101"/>
      <c r="BD639" s="101"/>
    </row>
    <row r="640" spans="2:56" s="84" customFormat="1" x14ac:dyDescent="0.35">
      <c r="B640" s="26"/>
      <c r="C640" s="27"/>
      <c r="D640" s="28">
        <f>IF(D566="","",D566)</f>
        <v>72673</v>
      </c>
      <c r="E640" s="29" t="str">
        <f t="shared" si="282"/>
        <v/>
      </c>
      <c r="F640" s="50">
        <f>B601</f>
        <v>18</v>
      </c>
      <c r="G640" s="59"/>
      <c r="H640" s="64"/>
      <c r="I640" s="106"/>
      <c r="J640" s="105"/>
      <c r="K640" s="106"/>
      <c r="L640" s="105"/>
      <c r="M640" s="106"/>
      <c r="N640" s="105"/>
      <c r="O640" s="106"/>
      <c r="P640" s="105"/>
      <c r="Q640" s="106"/>
      <c r="R640" s="105"/>
      <c r="S640" s="59"/>
      <c r="T640" s="64"/>
      <c r="U640" s="44"/>
      <c r="W640" s="59"/>
      <c r="X640" s="64"/>
      <c r="Y640" s="106"/>
      <c r="Z640" s="105"/>
      <c r="AA640" s="106"/>
      <c r="AB640" s="105"/>
      <c r="AC640" s="106"/>
      <c r="AD640" s="105"/>
      <c r="AE640" s="106"/>
      <c r="AF640" s="105"/>
      <c r="AG640" s="106"/>
      <c r="AH640" s="105"/>
      <c r="AI640" s="59"/>
      <c r="AJ640" s="64"/>
      <c r="AK640" s="44"/>
      <c r="AM640" s="49"/>
      <c r="AN640" s="49"/>
      <c r="AO640" s="49"/>
      <c r="AP640" s="49"/>
      <c r="AQ640" s="49"/>
      <c r="AR640" s="40"/>
      <c r="AS640" s="51"/>
      <c r="AU640" s="49"/>
      <c r="AW640" s="52"/>
      <c r="BA640" s="2"/>
      <c r="BB640" s="2"/>
      <c r="BC640" s="101"/>
      <c r="BD640" s="101"/>
    </row>
    <row r="641" spans="1:56" s="84" customFormat="1" x14ac:dyDescent="0.35">
      <c r="B641" s="30" t="str">
        <f>IF(B567="","",B567)</f>
        <v>St-Georges, Manuel (avance $2,000)</v>
      </c>
      <c r="C641" s="31"/>
      <c r="D641" s="32"/>
      <c r="E641" s="33">
        <f t="shared" si="282"/>
        <v>93595935</v>
      </c>
      <c r="F641" s="50">
        <f>B601</f>
        <v>18</v>
      </c>
      <c r="G641" s="69"/>
      <c r="H641" s="70"/>
      <c r="I641" s="104"/>
      <c r="J641" s="103" t="s">
        <v>69</v>
      </c>
      <c r="K641" s="104"/>
      <c r="L641" s="103" t="s">
        <v>69</v>
      </c>
      <c r="M641" s="104"/>
      <c r="N641" s="103" t="s">
        <v>69</v>
      </c>
      <c r="O641" s="104"/>
      <c r="P641" s="103" t="s">
        <v>69</v>
      </c>
      <c r="Q641" s="104"/>
      <c r="R641" s="103" t="s">
        <v>69</v>
      </c>
      <c r="S641" s="69"/>
      <c r="T641" s="70"/>
      <c r="U641" s="71">
        <f t="shared" ref="U641" si="284">SUM(G641:T641)</f>
        <v>0</v>
      </c>
      <c r="V641" s="72"/>
      <c r="W641" s="69"/>
      <c r="X641" s="70"/>
      <c r="Y641" s="104"/>
      <c r="Z641" s="103" t="s">
        <v>69</v>
      </c>
      <c r="AA641" s="104"/>
      <c r="AB641" s="103" t="s">
        <v>69</v>
      </c>
      <c r="AC641" s="104"/>
      <c r="AD641" s="103" t="s">
        <v>69</v>
      </c>
      <c r="AE641" s="104"/>
      <c r="AF641" s="103" t="s">
        <v>69</v>
      </c>
      <c r="AG641" s="104"/>
      <c r="AH641" s="103" t="s">
        <v>69</v>
      </c>
      <c r="AI641" s="69"/>
      <c r="AJ641" s="70"/>
      <c r="AK641" s="71">
        <f>SUM(W641:AJ641)</f>
        <v>0</v>
      </c>
      <c r="AL641" s="72"/>
      <c r="AM641" s="73">
        <f>SUMIF($G640:$T640,"",$G641:$T641)+SUMIF($W640:$AJ640,"",$W641:$AJ641)-AN641</f>
        <v>0</v>
      </c>
      <c r="AN641" s="88">
        <f>IF(SUMIF($G640:$T640,"",$G641:$T641)+SUMIF($G640:$T640,"F",$G641:$T641)+SUMIF($G640:$T640,"V",$G641:$T641)-40&lt;0,0,SUMIF($G640:$T640,"",$G641:$T641)+SUMIF($G640:$T640,"F",$G641:$T641)+SUMIF($G640:$T640,"V",$G641:$T641)-($U$9/2))+IF(SUMIF($W640:$AJ640,"",$W641:$AJ641)+SUMIF($W640:$AJ640,"F",$W641:$AJ641)+SUMIF($W640:$AJ640,"V",$W641:$AJ641)-40&lt;0,0,SUMIF($W640:$AJ640,"",$W641:$AJ641)+SUMIF($W640:$AJ640,"F",$W641:$AJ641)+SUMIF($W640:$AJ640,"V",$W641:$AJ641)-($U$9/2))</f>
        <v>0</v>
      </c>
      <c r="AO641" s="73">
        <f>SUMIF($G640:$T640,"M",$G641:$T641)+SUMIF($W640:$AJ640,"M",$W641:$AJ641)</f>
        <v>0</v>
      </c>
      <c r="AP641" s="73">
        <f>SUMIF($G640:$T640,"F",$G641:$T641)+SUMIF($W640:$AJ640,"F",$W641:$AJ641)</f>
        <v>0</v>
      </c>
      <c r="AQ641" s="73">
        <f>SUMIF($G640:$T640,"V",$G641:$T641)+SUMIF($W640:$AJ640,"V",$W641:$AJ641)</f>
        <v>0</v>
      </c>
      <c r="AR641" s="74">
        <f>SUMIF($G640:$T640,"O",$G641:$T641)+SUMIF($W640:$AJ640,"O",$W641:$AJ641)</f>
        <v>0</v>
      </c>
      <c r="AS641" s="75">
        <f>SUM(AM641:AR641)</f>
        <v>0</v>
      </c>
      <c r="AT641" s="72"/>
      <c r="AU641" s="73">
        <f>SUMIF($G640:$T640,"A",$G641:$T641)+SUMIF($W640:$AJ640,"A",$W641:$AJ641)</f>
        <v>0</v>
      </c>
      <c r="AV641" s="72"/>
      <c r="AW641" s="76">
        <f>IF(B641="",0,IF($U$9="",0,$U$9))</f>
        <v>80</v>
      </c>
      <c r="BA641" s="2"/>
      <c r="BB641" s="2"/>
      <c r="BC641" s="101"/>
      <c r="BD641" s="101"/>
    </row>
    <row r="642" spans="1:56" s="84" customFormat="1" x14ac:dyDescent="0.35">
      <c r="B642" s="26"/>
      <c r="C642" s="27"/>
      <c r="D642" s="28" t="str">
        <f>IF(D568="","",D568)</f>
        <v/>
      </c>
      <c r="E642" s="29" t="str">
        <f t="shared" si="282"/>
        <v/>
      </c>
      <c r="F642" s="50">
        <f>B601</f>
        <v>18</v>
      </c>
      <c r="G642" s="59"/>
      <c r="H642" s="64"/>
      <c r="I642" s="106"/>
      <c r="J642" s="105"/>
      <c r="K642" s="106"/>
      <c r="L642" s="105"/>
      <c r="M642" s="106"/>
      <c r="N642" s="105"/>
      <c r="O642" s="106"/>
      <c r="P642" s="105"/>
      <c r="Q642" s="106"/>
      <c r="R642" s="105"/>
      <c r="S642" s="59"/>
      <c r="T642" s="64"/>
      <c r="U642" s="44"/>
      <c r="W642" s="59"/>
      <c r="X642" s="64"/>
      <c r="Y642" s="106"/>
      <c r="Z642" s="105"/>
      <c r="AA642" s="106"/>
      <c r="AB642" s="105"/>
      <c r="AC642" s="106"/>
      <c r="AD642" s="105"/>
      <c r="AE642" s="106"/>
      <c r="AF642" s="105"/>
      <c r="AG642" s="106"/>
      <c r="AH642" s="105"/>
      <c r="AI642" s="59"/>
      <c r="AJ642" s="64"/>
      <c r="AK642" s="44"/>
      <c r="AM642" s="49"/>
      <c r="AN642" s="49"/>
      <c r="AO642" s="49"/>
      <c r="AP642" s="49"/>
      <c r="AQ642" s="49"/>
      <c r="AR642" s="40"/>
      <c r="AS642" s="51"/>
      <c r="AU642" s="49"/>
      <c r="AW642" s="52"/>
      <c r="BA642" s="2"/>
      <c r="BB642" s="2"/>
      <c r="BC642" s="101"/>
      <c r="BD642" s="101"/>
    </row>
    <row r="643" spans="1:56" s="84" customFormat="1" x14ac:dyDescent="0.35">
      <c r="B643" s="30" t="str">
        <f>IF(B569="","",B569)</f>
        <v/>
      </c>
      <c r="C643" s="31"/>
      <c r="D643" s="32"/>
      <c r="E643" s="33" t="str">
        <f t="shared" si="282"/>
        <v/>
      </c>
      <c r="F643" s="50">
        <f>B601</f>
        <v>18</v>
      </c>
      <c r="G643" s="69"/>
      <c r="H643" s="70"/>
      <c r="I643" s="104"/>
      <c r="J643" s="103"/>
      <c r="K643" s="104"/>
      <c r="L643" s="103"/>
      <c r="M643" s="104"/>
      <c r="N643" s="103"/>
      <c r="O643" s="104"/>
      <c r="P643" s="103"/>
      <c r="Q643" s="104"/>
      <c r="R643" s="103"/>
      <c r="S643" s="69"/>
      <c r="T643" s="70"/>
      <c r="U643" s="71">
        <f t="shared" ref="U643" si="285">SUM(G643:T643)</f>
        <v>0</v>
      </c>
      <c r="V643" s="72"/>
      <c r="W643" s="69"/>
      <c r="X643" s="70"/>
      <c r="Y643" s="104"/>
      <c r="Z643" s="103"/>
      <c r="AA643" s="104"/>
      <c r="AB643" s="103"/>
      <c r="AC643" s="104"/>
      <c r="AD643" s="103"/>
      <c r="AE643" s="104"/>
      <c r="AF643" s="103"/>
      <c r="AG643" s="104"/>
      <c r="AH643" s="103"/>
      <c r="AI643" s="69"/>
      <c r="AJ643" s="70"/>
      <c r="AK643" s="71">
        <f>SUM(W643:AJ643)</f>
        <v>0</v>
      </c>
      <c r="AL643" s="72"/>
      <c r="AM643" s="73">
        <f>SUMIF($G642:$T642,"",$G643:$T643)+SUMIF($W642:$AJ642,"",$W643:$AJ643)-AN643</f>
        <v>0</v>
      </c>
      <c r="AN643" s="88">
        <f>IF(SUMIF($G642:$T642,"",$G643:$T643)+SUMIF($G642:$T642,"F",$G643:$T643)+SUMIF($G642:$T642,"V",$G643:$T643)-40&lt;0,0,SUMIF($G642:$T642,"",$G643:$T643)+SUMIF($G642:$T642,"F",$G643:$T643)+SUMIF($G642:$T642,"V",$G643:$T643)-($U$9/2))+IF(SUMIF($W642:$AJ642,"",$W643:$AJ643)+SUMIF($W642:$AJ642,"F",$W643:$AJ643)+SUMIF($W642:$AJ642,"V",$W643:$AJ643)-40&lt;0,0,SUMIF($W642:$AJ642,"",$W643:$AJ643)+SUMIF($W642:$AJ642,"F",$W643:$AJ643)+SUMIF($W642:$AJ642,"V",$W643:$AJ643)-($U$9/2))</f>
        <v>0</v>
      </c>
      <c r="AO643" s="73">
        <f>SUMIF($G642:$T642,"M",$G643:$T643)+SUMIF($W642:$AJ642,"M",$W643:$AJ643)</f>
        <v>0</v>
      </c>
      <c r="AP643" s="73">
        <f>SUMIF($G642:$T642,"F",$G643:$T643)+SUMIF($W642:$AJ642,"F",$W643:$AJ643)</f>
        <v>0</v>
      </c>
      <c r="AQ643" s="73">
        <f>SUMIF($G642:$T642,"V",$G643:$T643)+SUMIF($W642:$AJ642,"V",$W643:$AJ643)</f>
        <v>0</v>
      </c>
      <c r="AR643" s="74">
        <f>SUMIF($G642:$T642,"O",$G643:$T643)+SUMIF($W642:$AJ642,"O",$W643:$AJ643)</f>
        <v>0</v>
      </c>
      <c r="AS643" s="75">
        <f>SUM(AM643:AR643)</f>
        <v>0</v>
      </c>
      <c r="AT643" s="72"/>
      <c r="AU643" s="73">
        <f>SUMIF($G642:$T642,"A",$G643:$T643)+SUMIF($W642:$AJ642,"A",$W643:$AJ643)</f>
        <v>0</v>
      </c>
      <c r="AV643" s="72"/>
      <c r="AW643" s="76">
        <f>IF(B643="",0,IF($U$9="",0,$U$9))</f>
        <v>0</v>
      </c>
      <c r="BA643" s="2"/>
      <c r="BB643" s="2"/>
      <c r="BC643" s="101"/>
      <c r="BD643" s="101"/>
    </row>
    <row r="644" spans="1:56" s="84" customFormat="1" x14ac:dyDescent="0.35">
      <c r="B644" s="26"/>
      <c r="C644" s="27"/>
      <c r="D644" s="28">
        <f>IF(D570="","",D570)</f>
        <v>23736</v>
      </c>
      <c r="E644" s="29" t="str">
        <f t="shared" si="282"/>
        <v/>
      </c>
      <c r="F644" s="50">
        <f>B601</f>
        <v>18</v>
      </c>
      <c r="G644" s="59"/>
      <c r="H644" s="64"/>
      <c r="I644" s="106"/>
      <c r="J644" s="105"/>
      <c r="K644" s="106"/>
      <c r="L644" s="105"/>
      <c r="M644" s="106"/>
      <c r="N644" s="105"/>
      <c r="O644" s="106"/>
      <c r="P644" s="105"/>
      <c r="Q644" s="106"/>
      <c r="R644" s="105"/>
      <c r="S644" s="59"/>
      <c r="T644" s="64"/>
      <c r="U644" s="44"/>
      <c r="W644" s="59"/>
      <c r="X644" s="64"/>
      <c r="Y644" s="106"/>
      <c r="Z644" s="105"/>
      <c r="AA644" s="106"/>
      <c r="AB644" s="105"/>
      <c r="AC644" s="106"/>
      <c r="AD644" s="105"/>
      <c r="AE644" s="106"/>
      <c r="AF644" s="105"/>
      <c r="AG644" s="106"/>
      <c r="AH644" s="105"/>
      <c r="AI644" s="59"/>
      <c r="AJ644" s="64"/>
      <c r="AK644" s="44"/>
      <c r="AM644" s="49"/>
      <c r="AN644" s="49"/>
      <c r="AO644" s="49"/>
      <c r="AP644" s="49"/>
      <c r="AQ644" s="49"/>
      <c r="AR644" s="40"/>
      <c r="AS644" s="51"/>
      <c r="AU644" s="49"/>
      <c r="AW644" s="52"/>
      <c r="BA644" s="2"/>
      <c r="BB644" s="2"/>
      <c r="BC644" s="101"/>
      <c r="BD644" s="101"/>
    </row>
    <row r="645" spans="1:56" s="84" customFormat="1" x14ac:dyDescent="0.35">
      <c r="B645" s="30" t="str">
        <f>IF(B571="","",B571)</f>
        <v>Voster, Jean-Michel</v>
      </c>
      <c r="C645" s="31"/>
      <c r="D645" s="32"/>
      <c r="E645" s="33">
        <f t="shared" si="282"/>
        <v>93545</v>
      </c>
      <c r="F645" s="50">
        <f>B601</f>
        <v>18</v>
      </c>
      <c r="G645" s="69"/>
      <c r="H645" s="70"/>
      <c r="I645" s="104"/>
      <c r="J645" s="103">
        <v>8</v>
      </c>
      <c r="K645" s="104"/>
      <c r="L645" s="103">
        <v>8</v>
      </c>
      <c r="M645" s="104"/>
      <c r="N645" s="103">
        <v>8</v>
      </c>
      <c r="O645" s="104"/>
      <c r="P645" s="103">
        <v>8</v>
      </c>
      <c r="Q645" s="104"/>
      <c r="R645" s="103">
        <v>8</v>
      </c>
      <c r="S645" s="69"/>
      <c r="T645" s="70"/>
      <c r="U645" s="71">
        <f t="shared" ref="U645" si="286">SUM(G645:T645)</f>
        <v>40</v>
      </c>
      <c r="V645" s="72"/>
      <c r="W645" s="69"/>
      <c r="X645" s="70"/>
      <c r="Y645" s="104"/>
      <c r="Z645" s="103">
        <v>8</v>
      </c>
      <c r="AA645" s="104"/>
      <c r="AB645" s="103">
        <v>8</v>
      </c>
      <c r="AC645" s="104"/>
      <c r="AD645" s="103">
        <v>8</v>
      </c>
      <c r="AE645" s="104"/>
      <c r="AF645" s="103">
        <v>8</v>
      </c>
      <c r="AG645" s="104"/>
      <c r="AH645" s="103">
        <v>8</v>
      </c>
      <c r="AI645" s="69"/>
      <c r="AJ645" s="70"/>
      <c r="AK645" s="71">
        <f>SUM(W645:AJ645)</f>
        <v>40</v>
      </c>
      <c r="AL645" s="72"/>
      <c r="AM645" s="73">
        <f>SUMIF($G644:$T644,"",$G645:$T645)+SUMIF($W644:$AJ644,"",$W645:$AJ645)-AN645</f>
        <v>80</v>
      </c>
      <c r="AN645" s="88">
        <f>IF(SUMIF($G644:$T644,"",$G645:$T645)+SUMIF($G644:$T644,"F",$G645:$T645)+SUMIF($G644:$T644,"V",$G645:$T645)-40&lt;0,0,SUMIF($G644:$T644,"",$G645:$T645)+SUMIF($G644:$T644,"F",$G645:$T645)+SUMIF($G644:$T644,"V",$G645:$T645)-($U$9/2))+IF(SUMIF($W644:$AJ644,"",$W645:$AJ645)+SUMIF($W644:$AJ644,"F",$W645:$AJ645)+SUMIF($W644:$AJ644,"V",$W645:$AJ645)-40&lt;0,0,SUMIF($W644:$AJ644,"",$W645:$AJ645)+SUMIF($W644:$AJ644,"F",$W645:$AJ645)+SUMIF($W644:$AJ644,"V",$W645:$AJ645)-($U$9/2))</f>
        <v>0</v>
      </c>
      <c r="AO645" s="73">
        <f>SUMIF($G644:$T644,"M",$G645:$T645)+SUMIF($W644:$AJ644,"M",$W645:$AJ645)</f>
        <v>0</v>
      </c>
      <c r="AP645" s="73">
        <f>SUMIF($G644:$T644,"F",$G645:$T645)+SUMIF($W644:$AJ644,"F",$W645:$AJ645)</f>
        <v>0</v>
      </c>
      <c r="AQ645" s="73">
        <f>SUMIF($G644:$T644,"V",$G645:$T645)+SUMIF($W644:$AJ644,"V",$W645:$AJ645)</f>
        <v>0</v>
      </c>
      <c r="AR645" s="74">
        <f>SUMIF($G644:$T644,"O",$G645:$T645)+SUMIF($W644:$AJ644,"O",$W645:$AJ645)</f>
        <v>0</v>
      </c>
      <c r="AS645" s="75">
        <f>SUM(AM645:AR645)</f>
        <v>80</v>
      </c>
      <c r="AT645" s="72"/>
      <c r="AU645" s="73">
        <f>SUMIF($G644:$T644,"A",$G645:$T645)+SUMIF($W644:$AJ644,"A",$W645:$AJ645)</f>
        <v>0</v>
      </c>
      <c r="AV645" s="72"/>
      <c r="AW645" s="76">
        <f>IF(B645="",0,IF($U$9="",0,$U$9))</f>
        <v>80</v>
      </c>
      <c r="BA645" s="2"/>
      <c r="BB645" s="2"/>
      <c r="BC645" s="101"/>
      <c r="BD645" s="101"/>
    </row>
    <row r="646" spans="1:56" s="53" customFormat="1" ht="15" customHeight="1" x14ac:dyDescent="0.35">
      <c r="A646" s="84"/>
      <c r="B646" s="26"/>
      <c r="C646" s="27"/>
      <c r="D646" s="28" t="str">
        <f>IF(D572="","",D572)</f>
        <v/>
      </c>
      <c r="E646" s="29" t="str">
        <f t="shared" si="282"/>
        <v/>
      </c>
      <c r="F646" s="50">
        <f>B601</f>
        <v>18</v>
      </c>
      <c r="G646" s="59"/>
      <c r="H646" s="64"/>
      <c r="I646" s="106"/>
      <c r="J646" s="105"/>
      <c r="K646" s="106"/>
      <c r="L646" s="105"/>
      <c r="M646" s="106"/>
      <c r="N646" s="105"/>
      <c r="O646" s="106"/>
      <c r="P646" s="105"/>
      <c r="Q646" s="106"/>
      <c r="R646" s="105"/>
      <c r="S646" s="59"/>
      <c r="T646" s="64"/>
      <c r="U646" s="44"/>
      <c r="V646" s="84"/>
      <c r="W646" s="59"/>
      <c r="X646" s="64"/>
      <c r="Y646" s="106"/>
      <c r="Z646" s="105"/>
      <c r="AA646" s="106"/>
      <c r="AB646" s="105"/>
      <c r="AC646" s="106"/>
      <c r="AD646" s="105"/>
      <c r="AE646" s="106"/>
      <c r="AF646" s="105"/>
      <c r="AG646" s="106"/>
      <c r="AH646" s="105"/>
      <c r="AI646" s="59"/>
      <c r="AJ646" s="64"/>
      <c r="AK646" s="44"/>
      <c r="AL646" s="84"/>
      <c r="AM646" s="49"/>
      <c r="AN646" s="49"/>
      <c r="AO646" s="49"/>
      <c r="AP646" s="49"/>
      <c r="AQ646" s="49"/>
      <c r="AR646" s="40"/>
      <c r="AS646" s="51"/>
      <c r="AT646" s="84"/>
      <c r="AU646" s="49"/>
      <c r="AV646" s="84"/>
      <c r="AW646" s="52"/>
      <c r="AX646" s="84"/>
      <c r="BA646" s="2"/>
      <c r="BB646" s="2"/>
      <c r="BC646" s="101"/>
      <c r="BD646" s="101"/>
    </row>
    <row r="647" spans="1:56" s="57" customFormat="1" ht="15" customHeight="1" x14ac:dyDescent="0.35">
      <c r="A647" s="84"/>
      <c r="B647" s="30" t="str">
        <f>IF(B573="","",B573)</f>
        <v/>
      </c>
      <c r="C647" s="31"/>
      <c r="D647" s="32"/>
      <c r="E647" s="33" t="str">
        <f t="shared" si="282"/>
        <v/>
      </c>
      <c r="F647" s="50">
        <f>B601</f>
        <v>18</v>
      </c>
      <c r="G647" s="69"/>
      <c r="H647" s="70"/>
      <c r="I647" s="104"/>
      <c r="J647" s="103"/>
      <c r="K647" s="104"/>
      <c r="L647" s="103"/>
      <c r="M647" s="104"/>
      <c r="N647" s="103"/>
      <c r="O647" s="104"/>
      <c r="P647" s="103"/>
      <c r="Q647" s="104"/>
      <c r="R647" s="103"/>
      <c r="S647" s="69"/>
      <c r="T647" s="70"/>
      <c r="U647" s="71">
        <f t="shared" ref="U647" si="287">SUM(G647:T647)</f>
        <v>0</v>
      </c>
      <c r="V647" s="72"/>
      <c r="W647" s="69"/>
      <c r="X647" s="70"/>
      <c r="Y647" s="104"/>
      <c r="Z647" s="103"/>
      <c r="AA647" s="104"/>
      <c r="AB647" s="103"/>
      <c r="AC647" s="104"/>
      <c r="AD647" s="103"/>
      <c r="AE647" s="104"/>
      <c r="AF647" s="103"/>
      <c r="AG647" s="104"/>
      <c r="AH647" s="103"/>
      <c r="AI647" s="69"/>
      <c r="AJ647" s="70"/>
      <c r="AK647" s="71">
        <f>SUM(W647:AJ647)</f>
        <v>0</v>
      </c>
      <c r="AL647" s="72"/>
      <c r="AM647" s="73">
        <f>SUMIF($G646:$T646,"",$G647:$T647)+SUMIF($W646:$AJ646,"",$W647:$AJ647)-AN647</f>
        <v>0</v>
      </c>
      <c r="AN647" s="88">
        <f>IF(SUMIF($G646:$T646,"",$G647:$T647)+SUMIF($G646:$T646,"F",$G647:$T647)+SUMIF($G646:$T646,"V",$G647:$T647)-40&lt;0,0,SUMIF($G646:$T646,"",$G647:$T647)+SUMIF($G646:$T646,"F",$G647:$T647)+SUMIF($G646:$T646,"V",$G647:$T647)-($U$9/2))+IF(SUMIF($W646:$AJ646,"",$W647:$AJ647)+SUMIF($W646:$AJ646,"F",$W647:$AJ647)+SUMIF($W646:$AJ646,"V",$W647:$AJ647)-40&lt;0,0,SUMIF($W646:$AJ646,"",$W647:$AJ647)+SUMIF($W646:$AJ646,"F",$W647:$AJ647)+SUMIF($W646:$AJ646,"V",$W647:$AJ647)-($U$9/2))</f>
        <v>0</v>
      </c>
      <c r="AO647" s="73">
        <f>SUMIF($G646:$T646,"M",$G647:$T647)+SUMIF($W646:$AJ646,"M",$W647:$AJ647)</f>
        <v>0</v>
      </c>
      <c r="AP647" s="73">
        <f>SUMIF($G646:$T646,"F",$G647:$T647)+SUMIF($W646:$AJ646,"F",$W647:$AJ647)</f>
        <v>0</v>
      </c>
      <c r="AQ647" s="73">
        <f>SUMIF($G646:$T646,"V",$G647:$T647)+SUMIF($W646:$AJ646,"V",$W647:$AJ647)</f>
        <v>0</v>
      </c>
      <c r="AR647" s="74">
        <f>SUMIF($G646:$T646,"O",$G647:$T647)+SUMIF($W646:$AJ646,"O",$W647:$AJ647)</f>
        <v>0</v>
      </c>
      <c r="AS647" s="75">
        <f>SUM(AM647:AR647)</f>
        <v>0</v>
      </c>
      <c r="AT647" s="72"/>
      <c r="AU647" s="73">
        <f>SUMIF($G646:$T646,"A",$G647:$T647)+SUMIF($W646:$AJ646,"A",$W647:$AJ647)</f>
        <v>0</v>
      </c>
      <c r="AV647" s="72"/>
      <c r="AW647" s="76">
        <f>IF(B647="",0,IF($U$9="",0,$U$9))</f>
        <v>0</v>
      </c>
      <c r="AX647" s="84"/>
      <c r="BA647" s="2"/>
      <c r="BB647" s="2"/>
      <c r="BC647" s="101"/>
      <c r="BD647" s="101"/>
    </row>
    <row r="648" spans="1:56" s="53" customFormat="1" ht="15" customHeight="1" x14ac:dyDescent="0.35">
      <c r="A648" s="84"/>
      <c r="B648" s="26"/>
      <c r="C648" s="27"/>
      <c r="D648" s="28" t="str">
        <f>IF(D574="","",D574)</f>
        <v/>
      </c>
      <c r="E648" s="29" t="str">
        <f t="shared" si="282"/>
        <v/>
      </c>
      <c r="F648" s="50">
        <f>B601</f>
        <v>18</v>
      </c>
      <c r="G648" s="59"/>
      <c r="H648" s="64"/>
      <c r="I648" s="106"/>
      <c r="J648" s="105"/>
      <c r="K648" s="106"/>
      <c r="L648" s="105"/>
      <c r="M648" s="106"/>
      <c r="N648" s="105"/>
      <c r="O648" s="106"/>
      <c r="P648" s="105"/>
      <c r="Q648" s="106"/>
      <c r="R648" s="105"/>
      <c r="S648" s="59"/>
      <c r="T648" s="64"/>
      <c r="U648" s="44"/>
      <c r="V648" s="84"/>
      <c r="W648" s="59"/>
      <c r="X648" s="64"/>
      <c r="Y648" s="106"/>
      <c r="Z648" s="105"/>
      <c r="AA648" s="106"/>
      <c r="AB648" s="105"/>
      <c r="AC648" s="106"/>
      <c r="AD648" s="105"/>
      <c r="AE648" s="106"/>
      <c r="AF648" s="105"/>
      <c r="AG648" s="106"/>
      <c r="AH648" s="105"/>
      <c r="AI648" s="59"/>
      <c r="AJ648" s="64"/>
      <c r="AK648" s="44"/>
      <c r="AL648" s="84"/>
      <c r="AM648" s="49"/>
      <c r="AN648" s="49"/>
      <c r="AO648" s="49"/>
      <c r="AP648" s="49"/>
      <c r="AQ648" s="49"/>
      <c r="AR648" s="40"/>
      <c r="AS648" s="51"/>
      <c r="AT648" s="84"/>
      <c r="AU648" s="49"/>
      <c r="AV648" s="84"/>
      <c r="AW648" s="52"/>
      <c r="AX648" s="84"/>
      <c r="BA648" s="2"/>
      <c r="BB648" s="2"/>
      <c r="BC648" s="101"/>
      <c r="BD648" s="101"/>
    </row>
    <row r="649" spans="1:56" s="53" customFormat="1" x14ac:dyDescent="0.35">
      <c r="A649" s="84"/>
      <c r="B649" s="30" t="str">
        <f>IF(B575="","",B575)</f>
        <v/>
      </c>
      <c r="C649" s="31"/>
      <c r="D649" s="32"/>
      <c r="E649" s="33" t="str">
        <f t="shared" si="282"/>
        <v/>
      </c>
      <c r="F649" s="50">
        <f>B601</f>
        <v>18</v>
      </c>
      <c r="G649" s="69"/>
      <c r="H649" s="70"/>
      <c r="I649" s="104"/>
      <c r="J649" s="103"/>
      <c r="K649" s="104"/>
      <c r="L649" s="103"/>
      <c r="M649" s="104"/>
      <c r="N649" s="103"/>
      <c r="O649" s="104"/>
      <c r="P649" s="103"/>
      <c r="Q649" s="104"/>
      <c r="R649" s="103"/>
      <c r="S649" s="69"/>
      <c r="T649" s="70"/>
      <c r="U649" s="71">
        <f t="shared" ref="U649" si="288">SUM(G649:T649)</f>
        <v>0</v>
      </c>
      <c r="V649" s="72"/>
      <c r="W649" s="69"/>
      <c r="X649" s="70"/>
      <c r="Y649" s="104"/>
      <c r="Z649" s="103"/>
      <c r="AA649" s="104"/>
      <c r="AB649" s="103"/>
      <c r="AC649" s="104"/>
      <c r="AD649" s="103"/>
      <c r="AE649" s="104"/>
      <c r="AF649" s="103"/>
      <c r="AG649" s="104"/>
      <c r="AH649" s="103"/>
      <c r="AI649" s="69"/>
      <c r="AJ649" s="70"/>
      <c r="AK649" s="71">
        <f>SUM(W649:AJ649)</f>
        <v>0</v>
      </c>
      <c r="AL649" s="72"/>
      <c r="AM649" s="73">
        <f>SUMIF($G648:$T648,"",$G649:$T649)+SUMIF($W648:$AJ648,"",$W649:$AJ649)-AN649</f>
        <v>0</v>
      </c>
      <c r="AN649" s="88">
        <f>IF(SUMIF($G648:$T648,"",$G649:$T649)+SUMIF($G648:$T648,"F",$G649:$T649)+SUMIF($G648:$T648,"V",$G649:$T649)-40&lt;0,0,SUMIF($G648:$T648,"",$G649:$T649)+SUMIF($G648:$T648,"F",$G649:$T649)+SUMIF($G648:$T648,"V",$G649:$T649)-($U$9/2))+IF(SUMIF($W648:$AJ648,"",$W649:$AJ649)+SUMIF($W648:$AJ648,"F",$W649:$AJ649)+SUMIF($W648:$AJ648,"V",$W649:$AJ649)-40&lt;0,0,SUMIF($W648:$AJ648,"",$W649:$AJ649)+SUMIF($W648:$AJ648,"F",$W649:$AJ649)+SUMIF($W648:$AJ648,"V",$W649:$AJ649)-($U$9/2))</f>
        <v>0</v>
      </c>
      <c r="AO649" s="73">
        <f>SUMIF($G648:$T648,"M",$G649:$T649)+SUMIF($W648:$AJ648,"M",$W649:$AJ649)</f>
        <v>0</v>
      </c>
      <c r="AP649" s="73">
        <f>SUMIF($G648:$T648,"F",$G649:$T649)+SUMIF($W648:$AJ648,"F",$W649:$AJ649)</f>
        <v>0</v>
      </c>
      <c r="AQ649" s="73">
        <f>SUMIF($G648:$T648,"V",$G649:$T649)+SUMIF($W648:$AJ648,"V",$W649:$AJ649)</f>
        <v>0</v>
      </c>
      <c r="AR649" s="74">
        <f>SUMIF($G648:$T648,"O",$G649:$T649)+SUMIF($W648:$AJ648,"O",$W649:$AJ649)</f>
        <v>0</v>
      </c>
      <c r="AS649" s="75">
        <f>SUM(AM649:AR649)</f>
        <v>0</v>
      </c>
      <c r="AT649" s="72"/>
      <c r="AU649" s="73">
        <f>SUMIF($G648:$T648,"A",$G649:$T649)+SUMIF($W648:$AJ648,"A",$W649:$AJ649)</f>
        <v>0</v>
      </c>
      <c r="AV649" s="72"/>
      <c r="AW649" s="76">
        <f>IF(B649="",0,IF($U$9="",0,$U$9))</f>
        <v>0</v>
      </c>
      <c r="AX649" s="84"/>
      <c r="BA649" s="2"/>
      <c r="BB649" s="2"/>
      <c r="BC649" s="101"/>
      <c r="BD649" s="101"/>
    </row>
    <row r="650" spans="1:56" s="53" customFormat="1" x14ac:dyDescent="0.35">
      <c r="A650" s="84"/>
      <c r="B650" s="26"/>
      <c r="C650" s="27"/>
      <c r="D650" s="28" t="str">
        <f>IF(D576="","",D576)</f>
        <v/>
      </c>
      <c r="E650" s="29" t="str">
        <f t="shared" si="282"/>
        <v/>
      </c>
      <c r="F650" s="50">
        <f>B601</f>
        <v>18</v>
      </c>
      <c r="G650" s="59"/>
      <c r="H650" s="64"/>
      <c r="I650" s="58"/>
      <c r="J650" s="65"/>
      <c r="K650" s="58"/>
      <c r="L650" s="65"/>
      <c r="M650" s="58"/>
      <c r="N650" s="65"/>
      <c r="O650" s="58"/>
      <c r="P650" s="65"/>
      <c r="Q650" s="58"/>
      <c r="R650" s="65"/>
      <c r="S650" s="59"/>
      <c r="T650" s="64"/>
      <c r="U650" s="44"/>
      <c r="V650" s="84"/>
      <c r="W650" s="59"/>
      <c r="X650" s="64"/>
      <c r="Y650" s="58"/>
      <c r="Z650" s="65"/>
      <c r="AA650" s="58"/>
      <c r="AB650" s="65"/>
      <c r="AC650" s="58"/>
      <c r="AD650" s="65"/>
      <c r="AE650" s="58"/>
      <c r="AF650" s="65"/>
      <c r="AG650" s="58"/>
      <c r="AH650" s="65"/>
      <c r="AI650" s="59"/>
      <c r="AJ650" s="64"/>
      <c r="AK650" s="44"/>
      <c r="AL650" s="84"/>
      <c r="AM650" s="49"/>
      <c r="AN650" s="49"/>
      <c r="AO650" s="49"/>
      <c r="AP650" s="49"/>
      <c r="AQ650" s="49"/>
      <c r="AR650" s="40"/>
      <c r="AS650" s="51"/>
      <c r="AT650" s="84"/>
      <c r="AU650" s="49"/>
      <c r="AV650" s="84"/>
      <c r="AW650" s="52"/>
      <c r="AX650" s="84"/>
      <c r="BA650" s="2"/>
      <c r="BB650" s="2"/>
      <c r="BC650" s="101"/>
      <c r="BD650" s="101"/>
    </row>
    <row r="651" spans="1:56" s="53" customFormat="1" x14ac:dyDescent="0.35">
      <c r="A651" s="84"/>
      <c r="B651" s="30" t="str">
        <f>IF(B577="","",B577)</f>
        <v/>
      </c>
      <c r="C651" s="31"/>
      <c r="D651" s="32"/>
      <c r="E651" s="33" t="str">
        <f t="shared" si="282"/>
        <v/>
      </c>
      <c r="F651" s="50">
        <f>B601</f>
        <v>18</v>
      </c>
      <c r="G651" s="69"/>
      <c r="H651" s="70"/>
      <c r="I651" s="67"/>
      <c r="J651" s="68"/>
      <c r="K651" s="67"/>
      <c r="L651" s="68"/>
      <c r="M651" s="67"/>
      <c r="N651" s="68"/>
      <c r="O651" s="67"/>
      <c r="P651" s="68"/>
      <c r="Q651" s="67"/>
      <c r="R651" s="68"/>
      <c r="S651" s="69"/>
      <c r="T651" s="70"/>
      <c r="U651" s="71">
        <f t="shared" ref="U651" si="289">SUM(G651:T651)</f>
        <v>0</v>
      </c>
      <c r="V651" s="72"/>
      <c r="W651" s="69"/>
      <c r="X651" s="70"/>
      <c r="Y651" s="67"/>
      <c r="Z651" s="68"/>
      <c r="AA651" s="67"/>
      <c r="AB651" s="68"/>
      <c r="AC651" s="67"/>
      <c r="AD651" s="68"/>
      <c r="AE651" s="67"/>
      <c r="AF651" s="68"/>
      <c r="AG651" s="67"/>
      <c r="AH651" s="68"/>
      <c r="AI651" s="69"/>
      <c r="AJ651" s="70"/>
      <c r="AK651" s="71">
        <v>0</v>
      </c>
      <c r="AL651" s="72"/>
      <c r="AM651" s="73">
        <f>SUMIF($G650:$T650,"",$G651:$T651)+SUMIF($W650:$AJ650,"",$W651:$AJ651)-AN651</f>
        <v>0</v>
      </c>
      <c r="AN651" s="88">
        <f>IF(SUMIF($G650:$T650,"",$G651:$T651)+SUMIF($G650:$T650,"F",$G651:$T651)+SUMIF($G650:$T650,"V",$G651:$T651)-40&lt;0,0,SUMIF($G650:$T650,"",$G651:$T651)+SUMIF($G650:$T650,"F",$G651:$T651)+SUMIF($G650:$T650,"V",$G651:$T651)-($U$9/2))+IF(SUMIF($W650:$AJ650,"",$W651:$AJ651)+SUMIF($W650:$AJ650,"F",$W651:$AJ651)+SUMIF($W650:$AJ650,"V",$W651:$AJ651)-40&lt;0,0,SUMIF($W650:$AJ650,"",$W651:$AJ651)+SUMIF($W650:$AJ650,"F",$W651:$AJ651)+SUMIF($W650:$AJ650,"V",$W651:$AJ651)-($U$9/2))</f>
        <v>0</v>
      </c>
      <c r="AO651" s="73">
        <f>SUMIF($G650:$T650,"M",$G651:$T651)+SUMIF($W650:$AJ650,"M",$W651:$AJ651)</f>
        <v>0</v>
      </c>
      <c r="AP651" s="73">
        <f>SUMIF($G650:$T650,"F",$G651:$T651)+SUMIF($W650:$AJ650,"F",$W651:$AJ651)</f>
        <v>0</v>
      </c>
      <c r="AQ651" s="73">
        <f>SUMIF($G650:$T650,"V",$G651:$T651)+SUMIF($W650:$AJ650,"V",$W651:$AJ651)</f>
        <v>0</v>
      </c>
      <c r="AR651" s="74">
        <f>SUMIF($G650:$T650,"O",$G651:$T651)+SUMIF($W650:$AJ650,"O",$W651:$AJ651)</f>
        <v>0</v>
      </c>
      <c r="AS651" s="75">
        <f>SUM(AM651:AR651)</f>
        <v>0</v>
      </c>
      <c r="AT651" s="72"/>
      <c r="AU651" s="73">
        <f>SUMIF($G650:$T650,"A",$G651:$T651)+SUMIF($W650:$AJ650,"A",$W651:$AJ651)</f>
        <v>0</v>
      </c>
      <c r="AV651" s="72"/>
      <c r="AW651" s="76">
        <f>IF(B651="",0,IF($U$9="",0,$U$9))</f>
        <v>0</v>
      </c>
      <c r="AX651" s="84"/>
      <c r="BA651" s="2"/>
      <c r="BB651" s="2"/>
      <c r="BC651" s="101"/>
      <c r="BD651" s="101"/>
    </row>
    <row r="652" spans="1:56" s="53" customFormat="1" x14ac:dyDescent="0.35">
      <c r="A652" s="84"/>
      <c r="B652" s="26"/>
      <c r="C652" s="27"/>
      <c r="D652" s="28" t="str">
        <f>IF(D578="","",D578)</f>
        <v/>
      </c>
      <c r="E652" s="29" t="str">
        <f t="shared" si="282"/>
        <v/>
      </c>
      <c r="F652" s="50">
        <f>B601</f>
        <v>18</v>
      </c>
      <c r="G652" s="59"/>
      <c r="H652" s="64"/>
      <c r="I652" s="58"/>
      <c r="J652" s="65"/>
      <c r="K652" s="58"/>
      <c r="L652" s="65"/>
      <c r="M652" s="58"/>
      <c r="N652" s="65"/>
      <c r="O652" s="58"/>
      <c r="P652" s="65"/>
      <c r="Q652" s="58"/>
      <c r="R652" s="65"/>
      <c r="S652" s="59"/>
      <c r="T652" s="64"/>
      <c r="U652" s="44"/>
      <c r="V652" s="84"/>
      <c r="W652" s="59"/>
      <c r="X652" s="64"/>
      <c r="Y652" s="58"/>
      <c r="Z652" s="65"/>
      <c r="AA652" s="58"/>
      <c r="AB652" s="65"/>
      <c r="AC652" s="58"/>
      <c r="AD652" s="65"/>
      <c r="AE652" s="58"/>
      <c r="AF652" s="65"/>
      <c r="AG652" s="58"/>
      <c r="AH652" s="65"/>
      <c r="AI652" s="59"/>
      <c r="AJ652" s="64"/>
      <c r="AK652" s="44"/>
      <c r="AL652" s="84"/>
      <c r="AM652" s="49"/>
      <c r="AN652" s="49"/>
      <c r="AO652" s="49"/>
      <c r="AP652" s="49"/>
      <c r="AQ652" s="49"/>
      <c r="AR652" s="40"/>
      <c r="AS652" s="51"/>
      <c r="AT652" s="84"/>
      <c r="AU652" s="49"/>
      <c r="AV652" s="84"/>
      <c r="AW652" s="52"/>
      <c r="AX652" s="84"/>
      <c r="BA652" s="2"/>
      <c r="BB652" s="2"/>
      <c r="BC652" s="101"/>
      <c r="BD652" s="101"/>
    </row>
    <row r="653" spans="1:56" s="53" customFormat="1" x14ac:dyDescent="0.35">
      <c r="A653" s="84"/>
      <c r="B653" s="30" t="str">
        <f>IF(B579="","",B579)</f>
        <v/>
      </c>
      <c r="C653" s="31"/>
      <c r="D653" s="32"/>
      <c r="E653" s="33" t="str">
        <f t="shared" si="282"/>
        <v/>
      </c>
      <c r="F653" s="50">
        <f>B601</f>
        <v>18</v>
      </c>
      <c r="G653" s="69"/>
      <c r="H653" s="70"/>
      <c r="I653" s="67"/>
      <c r="J653" s="68"/>
      <c r="K653" s="67"/>
      <c r="L653" s="68"/>
      <c r="M653" s="67"/>
      <c r="N653" s="68"/>
      <c r="O653" s="67"/>
      <c r="P653" s="68"/>
      <c r="Q653" s="67"/>
      <c r="R653" s="68"/>
      <c r="S653" s="69"/>
      <c r="T653" s="70"/>
      <c r="U653" s="71">
        <f t="shared" ref="U653" si="290">SUM(G653:T653)</f>
        <v>0</v>
      </c>
      <c r="V653" s="72"/>
      <c r="W653" s="69"/>
      <c r="X653" s="70"/>
      <c r="Y653" s="67"/>
      <c r="Z653" s="68"/>
      <c r="AA653" s="67"/>
      <c r="AB653" s="68"/>
      <c r="AC653" s="67"/>
      <c r="AD653" s="68"/>
      <c r="AE653" s="67"/>
      <c r="AF653" s="68"/>
      <c r="AG653" s="67"/>
      <c r="AH653" s="68"/>
      <c r="AI653" s="69"/>
      <c r="AJ653" s="70"/>
      <c r="AK653" s="71">
        <v>0</v>
      </c>
      <c r="AL653" s="72"/>
      <c r="AM653" s="73">
        <v>0</v>
      </c>
      <c r="AN653" s="88">
        <v>0</v>
      </c>
      <c r="AO653" s="73">
        <v>0</v>
      </c>
      <c r="AP653" s="73">
        <v>0</v>
      </c>
      <c r="AQ653" s="73">
        <v>0</v>
      </c>
      <c r="AR653" s="74">
        <v>0</v>
      </c>
      <c r="AS653" s="75">
        <v>0</v>
      </c>
      <c r="AT653" s="72"/>
      <c r="AU653" s="73">
        <f>SUMIF($G652:$T652,"A",$G653:$T653)+SUMIF($W652:$AJ652,"A",$W653:$AJ653)</f>
        <v>0</v>
      </c>
      <c r="AV653" s="72"/>
      <c r="AW653" s="76">
        <f>IF(B653="",0,IF($U$9="",0,$U$9))</f>
        <v>0</v>
      </c>
      <c r="AX653" s="84"/>
      <c r="BA653" s="2"/>
      <c r="BB653" s="2"/>
      <c r="BC653" s="101"/>
      <c r="BD653" s="101"/>
    </row>
    <row r="654" spans="1:56" s="53" customFormat="1" x14ac:dyDescent="0.35">
      <c r="A654" s="84"/>
      <c r="B654" s="26"/>
      <c r="C654" s="27"/>
      <c r="D654" s="28" t="str">
        <f>IF(D580="","",D580)</f>
        <v/>
      </c>
      <c r="E654" s="29" t="str">
        <f t="shared" si="282"/>
        <v/>
      </c>
      <c r="F654" s="50">
        <f>B601</f>
        <v>18</v>
      </c>
      <c r="G654" s="59"/>
      <c r="H654" s="64"/>
      <c r="I654" s="58"/>
      <c r="J654" s="65"/>
      <c r="K654" s="58"/>
      <c r="L654" s="65"/>
      <c r="M654" s="58"/>
      <c r="N654" s="65"/>
      <c r="O654" s="58"/>
      <c r="P654" s="65"/>
      <c r="Q654" s="58"/>
      <c r="R654" s="65"/>
      <c r="S654" s="59"/>
      <c r="T654" s="64"/>
      <c r="U654" s="44"/>
      <c r="V654" s="84"/>
      <c r="W654" s="59"/>
      <c r="X654" s="64"/>
      <c r="Y654" s="58"/>
      <c r="Z654" s="65"/>
      <c r="AA654" s="58"/>
      <c r="AB654" s="65"/>
      <c r="AC654" s="58"/>
      <c r="AD654" s="65"/>
      <c r="AE654" s="58"/>
      <c r="AF654" s="65"/>
      <c r="AG654" s="58"/>
      <c r="AH654" s="65"/>
      <c r="AI654" s="59"/>
      <c r="AJ654" s="64"/>
      <c r="AK654" s="44"/>
      <c r="AL654" s="84"/>
      <c r="AM654" s="49"/>
      <c r="AN654" s="49"/>
      <c r="AO654" s="49"/>
      <c r="AP654" s="49"/>
      <c r="AQ654" s="49"/>
      <c r="AR654" s="40"/>
      <c r="AS654" s="51"/>
      <c r="AT654" s="84"/>
      <c r="AU654" s="49"/>
      <c r="AV654" s="84"/>
      <c r="AW654" s="52"/>
      <c r="AX654" s="84"/>
      <c r="BA654" s="2"/>
      <c r="BB654" s="2"/>
      <c r="BC654" s="101"/>
      <c r="BD654" s="101"/>
    </row>
    <row r="655" spans="1:56" s="53" customFormat="1" ht="15" thickBot="1" x14ac:dyDescent="0.4">
      <c r="A655" s="84"/>
      <c r="B655" s="30" t="str">
        <f>IF(B581="","",B581)</f>
        <v/>
      </c>
      <c r="C655" s="31"/>
      <c r="D655" s="32"/>
      <c r="E655" s="33" t="str">
        <f t="shared" si="282"/>
        <v/>
      </c>
      <c r="F655" s="50">
        <f>B601</f>
        <v>18</v>
      </c>
      <c r="G655" s="69"/>
      <c r="H655" s="70"/>
      <c r="I655" s="67"/>
      <c r="J655" s="68"/>
      <c r="K655" s="67"/>
      <c r="L655" s="68"/>
      <c r="M655" s="67"/>
      <c r="N655" s="68"/>
      <c r="O655" s="67"/>
      <c r="P655" s="68"/>
      <c r="Q655" s="67"/>
      <c r="R655" s="68"/>
      <c r="S655" s="69"/>
      <c r="T655" s="70"/>
      <c r="U655" s="71">
        <f t="shared" ref="U655" si="291">SUM(G655:T655)</f>
        <v>0</v>
      </c>
      <c r="V655" s="72"/>
      <c r="W655" s="69"/>
      <c r="X655" s="70"/>
      <c r="Y655" s="67"/>
      <c r="Z655" s="68"/>
      <c r="AA655" s="67"/>
      <c r="AB655" s="68"/>
      <c r="AC655" s="67"/>
      <c r="AD655" s="68"/>
      <c r="AE655" s="67"/>
      <c r="AF655" s="68"/>
      <c r="AG655" s="67"/>
      <c r="AH655" s="68"/>
      <c r="AI655" s="69"/>
      <c r="AJ655" s="70"/>
      <c r="AK655" s="71">
        <v>0</v>
      </c>
      <c r="AL655" s="72"/>
      <c r="AM655" s="73">
        <v>0</v>
      </c>
      <c r="AN655" s="88">
        <v>0</v>
      </c>
      <c r="AO655" s="73">
        <v>0</v>
      </c>
      <c r="AP655" s="73">
        <v>0</v>
      </c>
      <c r="AQ655" s="73">
        <v>0</v>
      </c>
      <c r="AR655" s="74">
        <v>0</v>
      </c>
      <c r="AS655" s="75">
        <v>0</v>
      </c>
      <c r="AT655" s="72"/>
      <c r="AU655" s="73">
        <f>SUMIF($G654:$T654,"A",$G655:$T655)+SUMIF($W654:$AJ654,"A",$W655:$AJ655)</f>
        <v>0</v>
      </c>
      <c r="AV655" s="72"/>
      <c r="AW655" s="76">
        <f>IF(B655="",0,IF($U$9="",0,$U$9))</f>
        <v>0</v>
      </c>
      <c r="AX655" s="84"/>
      <c r="BA655" s="2"/>
      <c r="BB655" s="2"/>
      <c r="BC655" s="101"/>
      <c r="BD655" s="101"/>
    </row>
    <row r="656" spans="1:56" s="53" customFormat="1" ht="27.75" customHeight="1" thickBot="1" x14ac:dyDescent="0.4">
      <c r="A656" s="84"/>
      <c r="B656" s="149" t="s">
        <v>7</v>
      </c>
      <c r="C656" s="150"/>
      <c r="D656" s="150"/>
      <c r="E656" s="151"/>
      <c r="F656" s="97"/>
      <c r="G656" s="152">
        <f>SUM(G606:H655)</f>
        <v>0</v>
      </c>
      <c r="H656" s="152"/>
      <c r="I656" s="152">
        <f>SUM(I606:J655)</f>
        <v>127.25</v>
      </c>
      <c r="J656" s="152"/>
      <c r="K656" s="152">
        <f>SUM(K606:L655)</f>
        <v>128.25</v>
      </c>
      <c r="L656" s="152"/>
      <c r="M656" s="152">
        <f>SUM(M606:N655)</f>
        <v>128.75</v>
      </c>
      <c r="N656" s="152"/>
      <c r="O656" s="152">
        <f>SUM(O606:P655)</f>
        <v>128.25</v>
      </c>
      <c r="P656" s="152"/>
      <c r="Q656" s="152">
        <f>SUM(Q606:R655)</f>
        <v>127.5</v>
      </c>
      <c r="R656" s="152"/>
      <c r="S656" s="152">
        <f>SUM(S606:T655)</f>
        <v>0</v>
      </c>
      <c r="T656" s="153"/>
      <c r="U656" s="77">
        <f>SUM(U606:U655)</f>
        <v>640</v>
      </c>
      <c r="V656" s="78"/>
      <c r="W656" s="152">
        <f>SUM(W606:X655)</f>
        <v>0</v>
      </c>
      <c r="X656" s="152"/>
      <c r="Y656" s="152">
        <f>SUM(Y606:Z655)</f>
        <v>128.25</v>
      </c>
      <c r="Z656" s="152"/>
      <c r="AA656" s="152">
        <f>SUM(AA606:AB655)</f>
        <v>128.25</v>
      </c>
      <c r="AB656" s="152"/>
      <c r="AC656" s="152">
        <f>SUM(AC606:AD655)</f>
        <v>127.25</v>
      </c>
      <c r="AD656" s="152"/>
      <c r="AE656" s="152">
        <f>SUM(AE606:AF655)</f>
        <v>128</v>
      </c>
      <c r="AF656" s="152"/>
      <c r="AG656" s="152">
        <f>SUM(AG606:AH655)</f>
        <v>125.75</v>
      </c>
      <c r="AH656" s="152"/>
      <c r="AI656" s="152">
        <f>SUM(AI606:AJ655)</f>
        <v>0</v>
      </c>
      <c r="AJ656" s="152"/>
      <c r="AK656" s="77">
        <f>SUM(AK606:AK655)</f>
        <v>637.5</v>
      </c>
      <c r="AL656" s="78"/>
      <c r="AM656" s="79">
        <f t="shared" ref="AM656:AS656" si="292">SUM(AM606:AM655)</f>
        <v>1250.5</v>
      </c>
      <c r="AN656" s="79">
        <f t="shared" si="292"/>
        <v>3</v>
      </c>
      <c r="AO656" s="79">
        <f t="shared" si="292"/>
        <v>0</v>
      </c>
      <c r="AP656" s="79">
        <f t="shared" si="292"/>
        <v>0</v>
      </c>
      <c r="AQ656" s="79">
        <f t="shared" si="292"/>
        <v>24</v>
      </c>
      <c r="AR656" s="80">
        <f t="shared" si="292"/>
        <v>0</v>
      </c>
      <c r="AS656" s="81">
        <f t="shared" si="292"/>
        <v>1277.5</v>
      </c>
      <c r="AT656" s="78"/>
      <c r="AU656" s="82">
        <f>SUM(AU606:AU655)</f>
        <v>0</v>
      </c>
      <c r="AV656" s="78"/>
      <c r="AW656" s="83">
        <f>SUM(AW606:AW655)</f>
        <v>1520</v>
      </c>
      <c r="AX656" s="84"/>
      <c r="BA656" s="2"/>
      <c r="BB656" s="2"/>
      <c r="BC656" s="101"/>
      <c r="BD656" s="101"/>
    </row>
    <row r="657" spans="1:56" s="53" customFormat="1" ht="15" thickTop="1" x14ac:dyDescent="0.35">
      <c r="B657" s="54"/>
      <c r="F657" s="98"/>
      <c r="G657" s="55"/>
      <c r="H657" s="55"/>
      <c r="I657" s="55"/>
      <c r="J657" s="55"/>
      <c r="K657" s="55"/>
      <c r="L657" s="55"/>
      <c r="M657" s="55"/>
      <c r="N657" s="55"/>
      <c r="O657" s="55"/>
      <c r="P657" s="55"/>
      <c r="Q657" s="55"/>
      <c r="R657" s="55"/>
      <c r="S657" s="55"/>
      <c r="T657" s="55"/>
      <c r="U657" s="56"/>
      <c r="V657" s="55"/>
      <c r="W657" s="55"/>
      <c r="X657" s="55"/>
      <c r="Y657" s="55"/>
      <c r="Z657" s="55"/>
      <c r="AA657" s="55"/>
      <c r="AB657" s="55"/>
      <c r="AC657" s="55"/>
      <c r="AD657" s="55"/>
      <c r="AE657" s="55"/>
      <c r="AF657" s="55"/>
      <c r="AG657" s="55"/>
      <c r="AH657" s="55"/>
      <c r="AI657" s="55"/>
      <c r="AJ657" s="55"/>
      <c r="AK657" s="56"/>
      <c r="AL657" s="55"/>
      <c r="AM657" s="55"/>
      <c r="AN657" s="55"/>
      <c r="AO657" s="55"/>
      <c r="AP657" s="55"/>
      <c r="AQ657" s="55"/>
      <c r="AR657" s="55"/>
      <c r="AS657" s="55"/>
      <c r="AT657" s="55"/>
      <c r="AU657" s="55"/>
      <c r="AV657" s="55"/>
      <c r="AW657" s="55"/>
      <c r="BA657" s="2"/>
      <c r="BB657" s="2"/>
      <c r="BC657" s="101"/>
      <c r="BD657" s="101"/>
    </row>
    <row r="658" spans="1:56" s="53" customFormat="1" x14ac:dyDescent="0.35">
      <c r="B658" s="54" t="s">
        <v>52</v>
      </c>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c r="AH658" s="141"/>
      <c r="AI658" s="141"/>
      <c r="AJ658" s="141"/>
      <c r="AK658" s="56"/>
      <c r="AL658" s="55"/>
      <c r="AM658" s="55"/>
      <c r="AN658" s="55"/>
      <c r="AO658" s="55"/>
      <c r="AP658" s="55"/>
      <c r="AQ658" s="55"/>
      <c r="AR658" s="55"/>
      <c r="AS658" s="55"/>
      <c r="AT658" s="55"/>
      <c r="AU658" s="55"/>
      <c r="AV658" s="55"/>
      <c r="AW658" s="55"/>
      <c r="BA658" s="2"/>
      <c r="BB658" s="2"/>
      <c r="BC658" s="101"/>
      <c r="BD658" s="101"/>
    </row>
    <row r="659" spans="1:56" s="84" customFormat="1" x14ac:dyDescent="0.35">
      <c r="A659" s="53"/>
      <c r="B659" s="54"/>
      <c r="C659" s="53"/>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c r="AH659" s="141"/>
      <c r="AI659" s="141"/>
      <c r="AJ659" s="141"/>
      <c r="AK659" s="56"/>
      <c r="AL659" s="55"/>
      <c r="AM659" s="55"/>
      <c r="AN659" s="55"/>
      <c r="AO659" s="55"/>
      <c r="AP659" s="55"/>
      <c r="AQ659" s="55"/>
      <c r="AR659" s="55"/>
      <c r="AS659" s="55"/>
      <c r="AT659" s="55"/>
      <c r="AU659" s="55"/>
      <c r="AV659" s="55"/>
      <c r="AW659" s="55"/>
      <c r="AX659" s="53"/>
      <c r="BA659" s="2"/>
      <c r="BB659" s="2"/>
      <c r="BC659" s="101"/>
      <c r="BD659" s="101"/>
    </row>
    <row r="660" spans="1:56" s="84" customFormat="1" x14ac:dyDescent="0.35">
      <c r="A660" s="53"/>
      <c r="B660" s="54"/>
      <c r="C660" s="53"/>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c r="AH660" s="141"/>
      <c r="AI660" s="141"/>
      <c r="AJ660" s="141"/>
      <c r="AK660" s="56"/>
      <c r="AL660" s="55"/>
      <c r="AM660" s="55"/>
      <c r="AN660" s="55"/>
      <c r="AO660" s="55"/>
      <c r="AP660" s="55"/>
      <c r="AQ660" s="55"/>
      <c r="AR660" s="55"/>
      <c r="AS660" s="55"/>
      <c r="AT660" s="55"/>
      <c r="AU660" s="55"/>
      <c r="AV660" s="55"/>
      <c r="AW660" s="55"/>
      <c r="AX660" s="53"/>
      <c r="BA660" s="2"/>
      <c r="BB660" s="2"/>
      <c r="BC660" s="101"/>
      <c r="BD660" s="101"/>
    </row>
    <row r="661" spans="1:56" s="84" customFormat="1" ht="15" customHeight="1" x14ac:dyDescent="0.35">
      <c r="A661" s="53"/>
      <c r="B661" s="54"/>
      <c r="C661" s="53"/>
      <c r="D661" s="53"/>
      <c r="E661" s="53"/>
      <c r="F661" s="98"/>
      <c r="G661" s="55"/>
      <c r="H661" s="55"/>
      <c r="I661" s="55"/>
      <c r="J661" s="55"/>
      <c r="K661" s="55"/>
      <c r="L661" s="55"/>
      <c r="M661" s="55"/>
      <c r="N661" s="55"/>
      <c r="O661" s="55"/>
      <c r="P661" s="55"/>
      <c r="Q661" s="55"/>
      <c r="R661" s="55"/>
      <c r="S661" s="55"/>
      <c r="T661" s="55"/>
      <c r="U661" s="56"/>
      <c r="V661" s="55"/>
      <c r="W661" s="55"/>
      <c r="X661" s="55"/>
      <c r="Y661" s="55"/>
      <c r="Z661" s="55"/>
      <c r="AA661" s="55"/>
      <c r="AB661" s="55"/>
      <c r="AC661" s="55"/>
      <c r="AD661" s="55"/>
      <c r="AE661" s="55"/>
      <c r="AF661" s="55"/>
      <c r="AG661" s="55"/>
      <c r="AH661" s="55"/>
      <c r="AI661" s="55"/>
      <c r="AJ661" s="55"/>
      <c r="AK661" s="56"/>
      <c r="AL661" s="55"/>
      <c r="AM661" s="55"/>
      <c r="AN661" s="55"/>
      <c r="AO661" s="55"/>
      <c r="AP661" s="55"/>
      <c r="AQ661" s="55"/>
      <c r="AR661" s="55"/>
      <c r="AS661" s="55"/>
      <c r="AT661" s="55"/>
      <c r="AU661" s="55"/>
      <c r="AV661" s="55"/>
      <c r="AW661" s="55"/>
      <c r="AX661" s="53"/>
      <c r="BA661" s="2"/>
      <c r="BB661" s="2"/>
      <c r="BC661" s="101"/>
      <c r="BD661" s="101"/>
    </row>
    <row r="662" spans="1:56" s="84" customFormat="1" ht="15" customHeight="1" x14ac:dyDescent="0.35">
      <c r="A662" s="53"/>
      <c r="B662" s="54" t="s">
        <v>53</v>
      </c>
      <c r="C662" s="53"/>
      <c r="D662" s="31"/>
      <c r="E662" s="34"/>
      <c r="F662" s="99"/>
      <c r="G662" s="34"/>
      <c r="H662" s="34"/>
      <c r="I662" s="34"/>
      <c r="J662" s="34"/>
      <c r="K662" s="53"/>
      <c r="L662" s="55" t="s">
        <v>8</v>
      </c>
      <c r="M662" s="53"/>
      <c r="N662" s="142">
        <f ca="1">NOW()</f>
        <v>44720.650928935182</v>
      </c>
      <c r="O662" s="142"/>
      <c r="P662" s="142"/>
      <c r="Q662" s="53"/>
      <c r="R662" s="53"/>
      <c r="S662" s="53"/>
      <c r="T662" s="53"/>
      <c r="U662" s="53"/>
      <c r="V662" s="55"/>
      <c r="W662" s="55"/>
      <c r="X662" s="55"/>
      <c r="Y662" s="55"/>
      <c r="Z662" s="55"/>
      <c r="AA662" s="55"/>
      <c r="AB662" s="55"/>
      <c r="AC662" s="55"/>
      <c r="AD662" s="55"/>
      <c r="AE662" s="55"/>
      <c r="AF662" s="55"/>
      <c r="AG662" s="55"/>
      <c r="AH662" s="55"/>
      <c r="AI662" s="55"/>
      <c r="AJ662" s="55"/>
      <c r="AK662" s="56"/>
      <c r="AL662" s="55"/>
      <c r="AM662" s="55"/>
      <c r="AN662" s="55"/>
      <c r="AO662" s="55"/>
      <c r="AP662" s="55"/>
      <c r="AQ662" s="55"/>
      <c r="AR662" s="55"/>
      <c r="AS662" s="55"/>
      <c r="AT662" s="55"/>
      <c r="AU662" s="55"/>
      <c r="AV662" s="55"/>
      <c r="AW662" s="55"/>
      <c r="AX662" s="53"/>
      <c r="BA662" s="2"/>
      <c r="BB662" s="2"/>
      <c r="BC662" s="101"/>
      <c r="BD662" s="101"/>
    </row>
    <row r="663" spans="1:56" s="84" customFormat="1" x14ac:dyDescent="0.35">
      <c r="A663" s="53"/>
      <c r="B663" s="54"/>
      <c r="C663" s="53"/>
      <c r="D663" s="53"/>
      <c r="E663" s="53"/>
      <c r="F663" s="98"/>
      <c r="G663" s="55"/>
      <c r="H663" s="55"/>
      <c r="I663" s="55"/>
      <c r="J663" s="55"/>
      <c r="K663" s="53"/>
      <c r="L663" s="55"/>
      <c r="M663" s="53"/>
      <c r="N663" s="55"/>
      <c r="O663" s="56"/>
      <c r="P663" s="53"/>
      <c r="Q663" s="53"/>
      <c r="R663" s="53"/>
      <c r="S663" s="53"/>
      <c r="T663" s="53"/>
      <c r="U663" s="53"/>
      <c r="V663" s="55"/>
      <c r="W663" s="55"/>
      <c r="X663" s="55"/>
      <c r="Y663" s="55"/>
      <c r="Z663" s="55"/>
      <c r="AA663" s="55"/>
      <c r="AB663" s="55"/>
      <c r="AC663" s="55"/>
      <c r="AD663" s="55"/>
      <c r="AE663" s="55"/>
      <c r="AF663" s="55"/>
      <c r="AG663" s="55"/>
      <c r="AH663" s="55"/>
      <c r="AI663" s="55"/>
      <c r="AJ663" s="55"/>
      <c r="AK663" s="56"/>
      <c r="AL663" s="55"/>
      <c r="AM663" s="55"/>
      <c r="AN663" s="55"/>
      <c r="AO663" s="55"/>
      <c r="AP663" s="55"/>
      <c r="AQ663" s="55"/>
      <c r="AR663" s="55"/>
      <c r="AS663" s="55"/>
      <c r="AT663" s="55"/>
      <c r="AU663" s="55"/>
      <c r="AV663" s="55"/>
      <c r="AW663" s="55"/>
      <c r="AX663" s="53"/>
      <c r="BA663" s="2"/>
      <c r="BB663" s="2"/>
      <c r="BC663" s="101"/>
      <c r="BD663" s="101"/>
    </row>
    <row r="664" spans="1:56" s="84" customFormat="1" x14ac:dyDescent="0.35">
      <c r="A664" s="53"/>
      <c r="B664" s="54" t="s">
        <v>54</v>
      </c>
      <c r="C664" s="53"/>
      <c r="D664" s="31"/>
      <c r="E664" s="34"/>
      <c r="F664" s="99"/>
      <c r="G664" s="34"/>
      <c r="H664" s="34"/>
      <c r="I664" s="34"/>
      <c r="J664" s="34"/>
      <c r="K664" s="53"/>
      <c r="L664" s="55" t="s">
        <v>8</v>
      </c>
      <c r="M664" s="53"/>
      <c r="N664" s="142">
        <f ca="1">NOW()</f>
        <v>44720.650928935182</v>
      </c>
      <c r="O664" s="142"/>
      <c r="P664" s="142"/>
      <c r="Q664" s="53"/>
      <c r="R664" s="53"/>
      <c r="S664" s="53"/>
      <c r="T664" s="53"/>
      <c r="U664" s="53"/>
      <c r="V664" s="55"/>
      <c r="W664" s="55"/>
      <c r="X664" s="55"/>
      <c r="Y664" s="55"/>
      <c r="Z664" s="55"/>
      <c r="AA664" s="55"/>
      <c r="AB664" s="55"/>
      <c r="AC664" s="55"/>
      <c r="AD664" s="55"/>
      <c r="AE664" s="55"/>
      <c r="AF664" s="55"/>
      <c r="AG664" s="55"/>
      <c r="AH664" s="55"/>
      <c r="AI664" s="55"/>
      <c r="AJ664" s="55"/>
      <c r="AK664" s="56"/>
      <c r="AL664" s="55"/>
      <c r="AM664" s="55"/>
      <c r="AN664" s="55"/>
      <c r="AO664" s="55"/>
      <c r="AP664" s="55"/>
      <c r="AQ664" s="55"/>
      <c r="AR664" s="55"/>
      <c r="AS664" s="55"/>
      <c r="AT664" s="55"/>
      <c r="AU664" s="55"/>
      <c r="AV664" s="55"/>
      <c r="AW664" s="55"/>
      <c r="AX664" s="53"/>
      <c r="BA664" s="2"/>
      <c r="BB664" s="2"/>
      <c r="BC664" s="101"/>
      <c r="BD664" s="101"/>
    </row>
    <row r="665" spans="1:56" s="84" customFormat="1" x14ac:dyDescent="0.35">
      <c r="A665" s="53"/>
      <c r="B665" s="54"/>
      <c r="C665" s="53"/>
      <c r="D665" s="53"/>
      <c r="E665" s="53"/>
      <c r="F665" s="98"/>
      <c r="G665" s="55"/>
      <c r="H665" s="55"/>
      <c r="I665" s="55"/>
      <c r="J665" s="55"/>
      <c r="K665" s="55"/>
      <c r="L665" s="55"/>
      <c r="M665" s="55"/>
      <c r="N665" s="55"/>
      <c r="O665" s="55"/>
      <c r="P665" s="55"/>
      <c r="Q665" s="55"/>
      <c r="R665" s="55"/>
      <c r="S665" s="55"/>
      <c r="T665" s="55"/>
      <c r="U665" s="56"/>
      <c r="V665" s="55"/>
      <c r="W665" s="55"/>
      <c r="X665" s="55"/>
      <c r="Y665" s="55"/>
      <c r="Z665" s="55"/>
      <c r="AA665" s="55"/>
      <c r="AB665" s="55"/>
      <c r="AC665" s="55"/>
      <c r="AD665" s="55"/>
      <c r="AE665" s="55"/>
      <c r="AF665" s="55"/>
      <c r="AG665" s="55"/>
      <c r="AH665" s="55"/>
      <c r="AI665" s="55"/>
      <c r="AJ665" s="55"/>
      <c r="AK665" s="56"/>
      <c r="AL665" s="55"/>
      <c r="AM665" s="55"/>
      <c r="AN665" s="55"/>
      <c r="AO665" s="55"/>
      <c r="AP665" s="55"/>
      <c r="AQ665" s="55"/>
      <c r="AR665" s="55"/>
      <c r="AS665" s="55"/>
      <c r="AT665" s="55"/>
      <c r="AU665" s="55"/>
      <c r="AV665" s="55"/>
      <c r="AW665" s="55"/>
      <c r="AX665" s="53"/>
      <c r="BA665" s="2"/>
      <c r="BB665" s="2"/>
      <c r="BC665" s="101"/>
      <c r="BD665" s="101"/>
    </row>
    <row r="666" spans="1:56" s="84" customFormat="1" x14ac:dyDescent="0.35">
      <c r="A666" s="53"/>
      <c r="B666" s="54" t="s">
        <v>9</v>
      </c>
      <c r="C666" s="53"/>
      <c r="D666" s="53"/>
      <c r="E666" s="53"/>
      <c r="F666" s="98"/>
      <c r="G666" s="55"/>
      <c r="H666" s="55"/>
      <c r="I666" s="55"/>
      <c r="J666" s="55"/>
      <c r="K666" s="55"/>
      <c r="L666" s="55"/>
      <c r="M666" s="55"/>
      <c r="N666" s="55"/>
      <c r="O666" s="55"/>
      <c r="P666" s="55"/>
      <c r="Q666" s="55"/>
      <c r="R666" s="55"/>
      <c r="S666" s="55"/>
      <c r="T666" s="55"/>
      <c r="U666" s="56"/>
      <c r="V666" s="55"/>
      <c r="W666" s="55"/>
      <c r="X666" s="55"/>
      <c r="Y666" s="55"/>
      <c r="Z666" s="55"/>
      <c r="AA666" s="55"/>
      <c r="AB666" s="55"/>
      <c r="AC666" s="55"/>
      <c r="AD666" s="55"/>
      <c r="AE666" s="55"/>
      <c r="AF666" s="55"/>
      <c r="AG666" s="55"/>
      <c r="AH666" s="55"/>
      <c r="AI666" s="55"/>
      <c r="AJ666" s="55"/>
      <c r="AK666" s="56"/>
      <c r="AL666" s="55"/>
      <c r="AM666" s="55"/>
      <c r="AN666" s="55"/>
      <c r="AO666" s="55"/>
      <c r="AP666" s="55"/>
      <c r="AQ666" s="55"/>
      <c r="AR666" s="55"/>
      <c r="AS666" s="55"/>
      <c r="AT666" s="55"/>
      <c r="AU666" s="55"/>
      <c r="AV666" s="55"/>
      <c r="AW666" s="55"/>
      <c r="AX666" s="53"/>
      <c r="BA666" s="2"/>
      <c r="BB666" s="2"/>
      <c r="BC666" s="101"/>
      <c r="BD666" s="101"/>
    </row>
    <row r="667" spans="1:56" x14ac:dyDescent="0.35">
      <c r="BA667" s="2"/>
      <c r="BB667" s="2"/>
      <c r="BC667" s="101"/>
      <c r="BD667" s="101"/>
    </row>
    <row r="668" spans="1:56" x14ac:dyDescent="0.35">
      <c r="BA668" s="2"/>
      <c r="BB668" s="2"/>
      <c r="BC668" s="101"/>
      <c r="BD668" s="101"/>
    </row>
    <row r="669" spans="1:56" s="84" customFormat="1" ht="28.5" x14ac:dyDescent="0.65">
      <c r="F669" s="50"/>
      <c r="G669" s="143" t="s">
        <v>10</v>
      </c>
      <c r="H669" s="143"/>
      <c r="I669" s="143"/>
      <c r="J669" s="143"/>
      <c r="K669" s="143"/>
      <c r="L669" s="143"/>
      <c r="M669" s="143"/>
      <c r="N669" s="143"/>
      <c r="O669" s="143"/>
      <c r="P669" s="143"/>
      <c r="Q669" s="143"/>
      <c r="R669" s="143"/>
      <c r="S669" s="143"/>
      <c r="T669" s="143"/>
      <c r="U669" s="143"/>
      <c r="W669" s="37" t="s">
        <v>12</v>
      </c>
      <c r="X669" s="86" t="s">
        <v>11</v>
      </c>
      <c r="BA669" s="2"/>
      <c r="BB669" s="2"/>
      <c r="BC669" s="101"/>
      <c r="BD669" s="101"/>
    </row>
    <row r="670" spans="1:56" s="84" customFormat="1" x14ac:dyDescent="0.35">
      <c r="F670" s="50"/>
      <c r="G670" s="84" t="s">
        <v>0</v>
      </c>
      <c r="W670" s="37" t="s">
        <v>13</v>
      </c>
      <c r="X670" s="86" t="s">
        <v>14</v>
      </c>
      <c r="BA670" s="2"/>
      <c r="BB670" s="2"/>
      <c r="BC670" s="101"/>
      <c r="BD670" s="101"/>
    </row>
    <row r="671" spans="1:56" s="84" customFormat="1" x14ac:dyDescent="0.35">
      <c r="F671" s="50"/>
      <c r="W671" s="37" t="s">
        <v>1</v>
      </c>
      <c r="X671" s="86" t="s">
        <v>15</v>
      </c>
      <c r="BA671" s="2"/>
      <c r="BB671" s="2"/>
      <c r="BC671" s="101"/>
      <c r="BD671" s="101"/>
    </row>
    <row r="672" spans="1:56" s="84" customFormat="1" x14ac:dyDescent="0.35">
      <c r="F672" s="50"/>
      <c r="W672" s="37" t="s">
        <v>2</v>
      </c>
      <c r="X672" s="86" t="s">
        <v>16</v>
      </c>
      <c r="BA672" s="2"/>
      <c r="BB672" s="2"/>
      <c r="BC672" s="101"/>
      <c r="BD672" s="101"/>
    </row>
    <row r="673" spans="2:56" s="84" customFormat="1" ht="15" customHeight="1" x14ac:dyDescent="0.35">
      <c r="B673" s="154" t="s">
        <v>35</v>
      </c>
      <c r="F673" s="50"/>
      <c r="G673" s="154" t="s">
        <v>36</v>
      </c>
      <c r="H673" s="154"/>
      <c r="I673" s="154"/>
      <c r="K673" s="154" t="s">
        <v>36</v>
      </c>
      <c r="L673" s="154"/>
      <c r="M673" s="154"/>
      <c r="W673" s="37" t="s">
        <v>3</v>
      </c>
      <c r="X673" s="86" t="s">
        <v>17</v>
      </c>
      <c r="BA673" s="2"/>
      <c r="BB673" s="2"/>
      <c r="BC673" s="101"/>
      <c r="BD673" s="101"/>
    </row>
    <row r="674" spans="2:56" s="84" customFormat="1" x14ac:dyDescent="0.35">
      <c r="B674" s="155"/>
      <c r="D674" s="37" t="s">
        <v>34</v>
      </c>
      <c r="F674" s="50"/>
      <c r="G674" s="154"/>
      <c r="H674" s="154"/>
      <c r="I674" s="154"/>
      <c r="K674" s="154"/>
      <c r="L674" s="154"/>
      <c r="M674" s="154"/>
      <c r="W674" s="38"/>
      <c r="BA674" s="2"/>
      <c r="BB674" s="2"/>
      <c r="BC674" s="101"/>
      <c r="BD674" s="101"/>
    </row>
    <row r="675" spans="2:56" s="84" customFormat="1" x14ac:dyDescent="0.35">
      <c r="B675" s="100">
        <f>B601+1</f>
        <v>19</v>
      </c>
      <c r="D675" s="100">
        <f>D601</f>
        <v>2021</v>
      </c>
      <c r="E675" s="87" t="s">
        <v>38</v>
      </c>
      <c r="F675" s="50"/>
      <c r="G675" s="156">
        <f>K601+1</f>
        <v>44437</v>
      </c>
      <c r="H675" s="157"/>
      <c r="I675" s="158"/>
      <c r="J675" s="37" t="s">
        <v>37</v>
      </c>
      <c r="K675" s="156">
        <f>IF(G675="","",G675+13)</f>
        <v>44450</v>
      </c>
      <c r="L675" s="157"/>
      <c r="M675" s="158"/>
      <c r="P675" s="159" t="s">
        <v>39</v>
      </c>
      <c r="Q675" s="160"/>
      <c r="R675" s="160"/>
      <c r="S675" s="160"/>
      <c r="T675" s="161"/>
      <c r="U675" s="24">
        <v>80</v>
      </c>
      <c r="BA675" s="2"/>
      <c r="BB675" s="2"/>
      <c r="BC675" s="101"/>
      <c r="BD675" s="101"/>
    </row>
    <row r="676" spans="2:56" s="84" customFormat="1" x14ac:dyDescent="0.35">
      <c r="F676" s="50"/>
      <c r="AM676" s="144" t="s">
        <v>4</v>
      </c>
      <c r="AN676" s="144"/>
      <c r="AO676" s="144"/>
      <c r="AP676" s="144"/>
      <c r="AQ676" s="144"/>
      <c r="AR676" s="144"/>
      <c r="AS676" s="144"/>
      <c r="AU676" s="100" t="s">
        <v>4</v>
      </c>
      <c r="BA676" s="2"/>
      <c r="BB676" s="2"/>
      <c r="BC676" s="101"/>
      <c r="BD676" s="101"/>
    </row>
    <row r="677" spans="2:56" s="84" customFormat="1" ht="15" customHeight="1" x14ac:dyDescent="0.35">
      <c r="B677" s="40"/>
      <c r="C677" s="41"/>
      <c r="D677" s="42" t="s">
        <v>32</v>
      </c>
      <c r="E677" s="43" t="s">
        <v>5</v>
      </c>
      <c r="F677" s="50"/>
      <c r="G677" s="162">
        <f>G675</f>
        <v>44437</v>
      </c>
      <c r="H677" s="163"/>
      <c r="I677" s="162">
        <f>IF(G677="","",G677+1)</f>
        <v>44438</v>
      </c>
      <c r="J677" s="163"/>
      <c r="K677" s="162">
        <f>IF(I677="","",I677+1)</f>
        <v>44439</v>
      </c>
      <c r="L677" s="163"/>
      <c r="M677" s="162">
        <f>IF(K677="","",K677+1)</f>
        <v>44440</v>
      </c>
      <c r="N677" s="163"/>
      <c r="O677" s="162">
        <f>IF(M677="","",M677+1)</f>
        <v>44441</v>
      </c>
      <c r="P677" s="163"/>
      <c r="Q677" s="162">
        <f>IF(O677="","",O677+1)</f>
        <v>44442</v>
      </c>
      <c r="R677" s="163"/>
      <c r="S677" s="162">
        <f>IF(Q677="","",Q677+1)</f>
        <v>44443</v>
      </c>
      <c r="T677" s="164"/>
      <c r="U677" s="44"/>
      <c r="W677" s="162">
        <f>IF(S677="","",S677+1)</f>
        <v>44444</v>
      </c>
      <c r="X677" s="163"/>
      <c r="Y677" s="162">
        <f>IF(W677="","",W677+1)</f>
        <v>44445</v>
      </c>
      <c r="Z677" s="163"/>
      <c r="AA677" s="162">
        <f>IF(Y677="","",Y677+1)</f>
        <v>44446</v>
      </c>
      <c r="AB677" s="163"/>
      <c r="AC677" s="162">
        <f>IF(AA677="","",AA677+1)</f>
        <v>44447</v>
      </c>
      <c r="AD677" s="163"/>
      <c r="AE677" s="162">
        <f>IF(AC677="","",AC677+1)</f>
        <v>44448</v>
      </c>
      <c r="AF677" s="163"/>
      <c r="AG677" s="162">
        <f>IF(AE677="","",AE677+1)</f>
        <v>44449</v>
      </c>
      <c r="AH677" s="163"/>
      <c r="AI677" s="162">
        <f>IF(AG677="","",AG677+1)</f>
        <v>44450</v>
      </c>
      <c r="AJ677" s="164"/>
      <c r="AK677" s="44"/>
      <c r="AM677" s="145" t="s">
        <v>18</v>
      </c>
      <c r="AN677" s="165" t="s">
        <v>55</v>
      </c>
      <c r="AO677" s="145" t="s">
        <v>19</v>
      </c>
      <c r="AP677" s="145" t="s">
        <v>20</v>
      </c>
      <c r="AQ677" s="145" t="s">
        <v>21</v>
      </c>
      <c r="AR677" s="166" t="s">
        <v>22</v>
      </c>
      <c r="AS677" s="167" t="s">
        <v>23</v>
      </c>
      <c r="AU677" s="144" t="s">
        <v>6</v>
      </c>
      <c r="AW677" s="145" t="s">
        <v>24</v>
      </c>
      <c r="BA677" s="2"/>
      <c r="BB677" s="2"/>
      <c r="BC677" s="101"/>
      <c r="BD677" s="101"/>
    </row>
    <row r="678" spans="2:56" s="84" customFormat="1" x14ac:dyDescent="0.35">
      <c r="B678" s="45" t="s">
        <v>33</v>
      </c>
      <c r="C678" s="46"/>
      <c r="D678" s="47"/>
      <c r="E678" s="47"/>
      <c r="F678" s="50"/>
      <c r="G678" s="146" t="s">
        <v>25</v>
      </c>
      <c r="H678" s="147"/>
      <c r="I678" s="146" t="s">
        <v>26</v>
      </c>
      <c r="J678" s="147"/>
      <c r="K678" s="146" t="s">
        <v>27</v>
      </c>
      <c r="L678" s="147"/>
      <c r="M678" s="146" t="s">
        <v>28</v>
      </c>
      <c r="N678" s="147"/>
      <c r="O678" s="146" t="s">
        <v>29</v>
      </c>
      <c r="P678" s="147"/>
      <c r="Q678" s="146" t="s">
        <v>30</v>
      </c>
      <c r="R678" s="147"/>
      <c r="S678" s="146" t="s">
        <v>31</v>
      </c>
      <c r="T678" s="148"/>
      <c r="U678" s="48" t="s">
        <v>7</v>
      </c>
      <c r="W678" s="146" t="s">
        <v>25</v>
      </c>
      <c r="X678" s="147"/>
      <c r="Y678" s="146" t="s">
        <v>26</v>
      </c>
      <c r="Z678" s="147"/>
      <c r="AA678" s="146" t="s">
        <v>27</v>
      </c>
      <c r="AB678" s="147"/>
      <c r="AC678" s="146" t="s">
        <v>28</v>
      </c>
      <c r="AD678" s="147"/>
      <c r="AE678" s="146" t="s">
        <v>29</v>
      </c>
      <c r="AF678" s="147"/>
      <c r="AG678" s="146" t="s">
        <v>30</v>
      </c>
      <c r="AH678" s="147"/>
      <c r="AI678" s="146" t="s">
        <v>31</v>
      </c>
      <c r="AJ678" s="148"/>
      <c r="AK678" s="48" t="s">
        <v>7</v>
      </c>
      <c r="AM678" s="145"/>
      <c r="AN678" s="165"/>
      <c r="AO678" s="145"/>
      <c r="AP678" s="145"/>
      <c r="AQ678" s="145"/>
      <c r="AR678" s="166"/>
      <c r="AS678" s="167"/>
      <c r="AU678" s="144"/>
      <c r="AW678" s="145"/>
      <c r="BA678" s="2"/>
      <c r="BB678" s="2"/>
      <c r="BC678" s="101"/>
      <c r="BD678" s="101"/>
    </row>
    <row r="679" spans="2:56" s="84" customFormat="1" x14ac:dyDescent="0.35">
      <c r="B679" s="63"/>
      <c r="C679" s="25"/>
      <c r="D679" s="25"/>
      <c r="E679" s="25"/>
      <c r="F679" s="50"/>
      <c r="BA679" s="2"/>
      <c r="BB679" s="2"/>
      <c r="BC679" s="101"/>
      <c r="BD679" s="101"/>
    </row>
    <row r="680" spans="2:56" s="84" customFormat="1" x14ac:dyDescent="0.35">
      <c r="B680" s="26"/>
      <c r="C680" s="27"/>
      <c r="D680" s="28">
        <f>IF(D606="","",D606)</f>
        <v>31428</v>
      </c>
      <c r="E680" s="29" t="str">
        <f>IF(E606="","",E606)</f>
        <v/>
      </c>
      <c r="F680" s="50">
        <f>B675</f>
        <v>19</v>
      </c>
      <c r="G680" s="59"/>
      <c r="H680" s="64"/>
      <c r="I680" s="106"/>
      <c r="J680" s="105" t="s">
        <v>12</v>
      </c>
      <c r="K680" s="106"/>
      <c r="L680" s="105"/>
      <c r="M680" s="106"/>
      <c r="N680" s="105"/>
      <c r="O680" s="106"/>
      <c r="P680" s="105"/>
      <c r="Q680" s="106"/>
      <c r="R680" s="105"/>
      <c r="S680" s="59"/>
      <c r="T680" s="64"/>
      <c r="U680" s="44"/>
      <c r="W680" s="59"/>
      <c r="X680" s="64"/>
      <c r="Y680" s="106"/>
      <c r="Z680" s="105" t="s">
        <v>13</v>
      </c>
      <c r="AA680" s="106"/>
      <c r="AB680" s="105"/>
      <c r="AC680" s="106"/>
      <c r="AD680" s="105"/>
      <c r="AE680" s="106"/>
      <c r="AF680" s="105"/>
      <c r="AG680" s="106"/>
      <c r="AH680" s="105"/>
      <c r="AI680" s="59"/>
      <c r="AJ680" s="64"/>
      <c r="AK680" s="44"/>
      <c r="AM680" s="49"/>
      <c r="AN680" s="49"/>
      <c r="AO680" s="49"/>
      <c r="AP680" s="49"/>
      <c r="AQ680" s="49"/>
      <c r="AR680" s="40"/>
      <c r="AS680" s="51"/>
      <c r="AU680" s="49"/>
      <c r="AW680" s="52"/>
      <c r="BA680" s="2"/>
      <c r="BB680" s="2"/>
      <c r="BC680" s="101"/>
      <c r="BD680" s="101"/>
    </row>
    <row r="681" spans="2:56" s="84" customFormat="1" x14ac:dyDescent="0.35">
      <c r="B681" s="30" t="str">
        <f>IF(B607="","",B607)</f>
        <v>Gaulin, Francis</v>
      </c>
      <c r="C681" s="31"/>
      <c r="D681" s="32"/>
      <c r="E681" s="33">
        <f t="shared" ref="E681:E712" si="293">IF(E607="","",E607)</f>
        <v>93542</v>
      </c>
      <c r="F681" s="50">
        <f>B675</f>
        <v>19</v>
      </c>
      <c r="G681" s="95"/>
      <c r="H681" s="70"/>
      <c r="I681" s="104"/>
      <c r="J681" s="103">
        <v>8</v>
      </c>
      <c r="K681" s="104"/>
      <c r="L681" s="103">
        <v>8</v>
      </c>
      <c r="M681" s="104"/>
      <c r="N681" s="103">
        <v>8</v>
      </c>
      <c r="O681" s="104"/>
      <c r="P681" s="103">
        <v>8</v>
      </c>
      <c r="Q681" s="104"/>
      <c r="R681" s="103">
        <v>8</v>
      </c>
      <c r="S681" s="69"/>
      <c r="T681" s="70"/>
      <c r="U681" s="71">
        <f>SUM(G681:T681)</f>
        <v>40</v>
      </c>
      <c r="V681" s="72"/>
      <c r="W681" s="69"/>
      <c r="X681" s="70"/>
      <c r="Y681" s="104"/>
      <c r="Z681" s="103">
        <v>8</v>
      </c>
      <c r="AA681" s="104"/>
      <c r="AB681" s="103">
        <v>8</v>
      </c>
      <c r="AC681" s="104"/>
      <c r="AD681" s="103">
        <v>8</v>
      </c>
      <c r="AE681" s="104"/>
      <c r="AF681" s="103">
        <v>8</v>
      </c>
      <c r="AG681" s="104"/>
      <c r="AH681" s="103">
        <v>8</v>
      </c>
      <c r="AI681" s="69"/>
      <c r="AJ681" s="70"/>
      <c r="AK681" s="71">
        <f>SUM(W681:AJ681)</f>
        <v>40</v>
      </c>
      <c r="AL681" s="72"/>
      <c r="AM681" s="73">
        <f>SUMIF($G680:$T680,"",$G681:$T681)+SUMIF($W680:$AJ680,"",$W681:$AJ681)-AN681</f>
        <v>64</v>
      </c>
      <c r="AN681" s="88">
        <f>IF(SUMIF($G680:$T680,"",$G681:$T681)+SUMIF($G680:$T680,"F",$G681:$T681)+SUMIF($G680:$T680,"V",$G681:$T681)-40&lt;0,0,SUMIF($G680:$T680,"",$G681:$T681)+SUMIF($G680:$T680,"F",$G681:$T681)+SUMIF($G680:$T680,"V",$G681:$T681)-($U$9/2))+IF(SUMIF($W680:$AJ680,"",$W681:$AJ681)+SUMIF($W680:$AJ680,"F",$W681:$AJ681)+SUMIF($W680:$AJ680,"V",$W681:$AJ681)-40&lt;0,0,SUMIF($W680:$AJ680,"",$W681:$AJ681)+SUMIF($W680:$AJ680,"F",$W681:$AJ681)+SUMIF($W680:$AJ680,"V",$W681:$AJ681)-($U$9/2))</f>
        <v>0</v>
      </c>
      <c r="AO681" s="73">
        <f>SUMIF($G680:$T680,"M",$G681:$T681)+SUMIF($W680:$AJ680,"M",$W681:$AJ681)</f>
        <v>8</v>
      </c>
      <c r="AP681" s="73">
        <f>SUMIF($G680:$T680,"F",$G681:$T681)+SUMIF($W680:$AJ680,"F",$W681:$AJ681)</f>
        <v>8</v>
      </c>
      <c r="AQ681" s="73">
        <f>SUMIF($G680:$T680,"V",$G681:$T681)+SUMIF($W680:$AJ680,"V",$W681:$AJ681)</f>
        <v>0</v>
      </c>
      <c r="AR681" s="74">
        <f>SUMIF($G680:$T680,"O",$G681:$T681)+SUMIF($W680:$AJ680,"O",$W681:$AJ681)</f>
        <v>0</v>
      </c>
      <c r="AS681" s="75">
        <f>SUM(AM681:AR681)</f>
        <v>80</v>
      </c>
      <c r="AT681" s="72"/>
      <c r="AU681" s="73">
        <f>SUMIF($G680:$T680,"A",$G681:$T681)+SUMIF($W680:$AJ680,"A",$W681:$AJ681)</f>
        <v>0</v>
      </c>
      <c r="AV681" s="72"/>
      <c r="AW681" s="76">
        <f>IF(B681="",0,IF($U$9="",0,$U$9))</f>
        <v>80</v>
      </c>
      <c r="BA681" s="2"/>
      <c r="BB681" s="2"/>
      <c r="BC681" s="101"/>
      <c r="BD681" s="101"/>
    </row>
    <row r="682" spans="2:56" s="84" customFormat="1" x14ac:dyDescent="0.35">
      <c r="B682" s="26"/>
      <c r="C682" s="27"/>
      <c r="D682" s="28">
        <f>IF(D608="","",D608)</f>
        <v>24287</v>
      </c>
      <c r="E682" s="29" t="str">
        <f t="shared" si="293"/>
        <v/>
      </c>
      <c r="F682" s="50">
        <f>B675</f>
        <v>19</v>
      </c>
      <c r="G682" s="59"/>
      <c r="H682" s="64"/>
      <c r="I682" s="106"/>
      <c r="J682" s="105"/>
      <c r="K682" s="106"/>
      <c r="L682" s="105"/>
      <c r="M682" s="106"/>
      <c r="N682" s="105"/>
      <c r="O682" s="106"/>
      <c r="P682" s="105"/>
      <c r="Q682" s="106"/>
      <c r="R682" s="105"/>
      <c r="S682" s="59"/>
      <c r="T682" s="64"/>
      <c r="U682" s="44"/>
      <c r="W682" s="59"/>
      <c r="X682" s="64"/>
      <c r="Y682" s="106"/>
      <c r="Z682" s="105"/>
      <c r="AA682" s="106"/>
      <c r="AB682" s="105"/>
      <c r="AC682" s="106"/>
      <c r="AD682" s="105"/>
      <c r="AE682" s="106"/>
      <c r="AF682" s="105"/>
      <c r="AG682" s="106"/>
      <c r="AH682" s="105"/>
      <c r="AI682" s="59"/>
      <c r="AJ682" s="64"/>
      <c r="AK682" s="44"/>
      <c r="AM682" s="49"/>
      <c r="AN682" s="49"/>
      <c r="AO682" s="49"/>
      <c r="AP682" s="49"/>
      <c r="AQ682" s="49"/>
      <c r="AR682" s="40"/>
      <c r="AS682" s="51"/>
      <c r="AU682" s="49"/>
      <c r="AW682" s="52"/>
      <c r="BA682" s="2"/>
      <c r="BB682" s="2"/>
      <c r="BC682" s="101"/>
      <c r="BD682" s="101"/>
    </row>
    <row r="683" spans="2:56" s="84" customFormat="1" x14ac:dyDescent="0.35">
      <c r="B683" s="30" t="str">
        <f>IF(B609="","",B609)</f>
        <v>Barrata, Dominic(Avance $500.00)</v>
      </c>
      <c r="C683" s="31"/>
      <c r="D683" s="32"/>
      <c r="E683" s="33">
        <f t="shared" si="293"/>
        <v>93595935</v>
      </c>
      <c r="F683" s="50">
        <f>B675</f>
        <v>19</v>
      </c>
      <c r="G683" s="69"/>
      <c r="H683" s="70"/>
      <c r="I683" s="104"/>
      <c r="J683" s="103" t="s">
        <v>69</v>
      </c>
      <c r="K683" s="104"/>
      <c r="L683" s="103" t="s">
        <v>69</v>
      </c>
      <c r="M683" s="104"/>
      <c r="N683" s="103" t="s">
        <v>69</v>
      </c>
      <c r="O683" s="104"/>
      <c r="P683" s="103" t="s">
        <v>69</v>
      </c>
      <c r="Q683" s="104"/>
      <c r="R683" s="103" t="s">
        <v>69</v>
      </c>
      <c r="S683" s="69"/>
      <c r="T683" s="70"/>
      <c r="U683" s="71">
        <f t="shared" ref="U683" si="294">SUM(G683:T683)</f>
        <v>0</v>
      </c>
      <c r="V683" s="72"/>
      <c r="W683" s="69"/>
      <c r="X683" s="70"/>
      <c r="Y683" s="104"/>
      <c r="Z683" s="103" t="s">
        <v>69</v>
      </c>
      <c r="AA683" s="104"/>
      <c r="AB683" s="103" t="s">
        <v>69</v>
      </c>
      <c r="AC683" s="104"/>
      <c r="AD683" s="103" t="s">
        <v>69</v>
      </c>
      <c r="AE683" s="104"/>
      <c r="AF683" s="103" t="s">
        <v>69</v>
      </c>
      <c r="AG683" s="104"/>
      <c r="AH683" s="103" t="s">
        <v>69</v>
      </c>
      <c r="AI683" s="69"/>
      <c r="AJ683" s="70"/>
      <c r="AK683" s="71">
        <f>SUM(W683:AJ683)</f>
        <v>0</v>
      </c>
      <c r="AL683" s="72"/>
      <c r="AM683" s="73">
        <f>SUMIF($G682:$T682,"",$G683:$T683)+SUMIF($W682:$AJ682,"",$W683:$AJ683)-AN683</f>
        <v>0</v>
      </c>
      <c r="AN683" s="88">
        <f>IF(SUMIF($G682:$T682,"",$G683:$T683)+SUMIF($G682:$T682,"F",$G683:$T683)+SUMIF($G682:$T682,"V",$G683:$T683)-40&lt;0,0,SUMIF($G682:$T682,"",$G683:$T683)+SUMIF($G682:$T682,"F",$G683:$T683)+SUMIF($G682:$T682,"V",$G683:$T683)-($U$9/2))+IF(SUMIF($W682:$AJ682,"",$W683:$AJ683)+SUMIF($W682:$AJ682,"F",$W683:$AJ683)+SUMIF($W682:$AJ682,"V",$W683:$AJ683)-40&lt;0,0,SUMIF($W682:$AJ682,"",$W683:$AJ683)+SUMIF($W682:$AJ682,"F",$W683:$AJ683)+SUMIF($W682:$AJ682,"V",$W683:$AJ683)-($U$9/2))</f>
        <v>0</v>
      </c>
      <c r="AO683" s="73">
        <f>SUMIF($G682:$T682,"M",$G683:$T683)+SUMIF($W682:$AJ682,"M",$W683:$AJ683)</f>
        <v>0</v>
      </c>
      <c r="AP683" s="73">
        <f>SUMIF($G682:$T682,"F",$G683:$T683)+SUMIF($W682:$AJ682,"F",$W683:$AJ683)</f>
        <v>0</v>
      </c>
      <c r="AQ683" s="73">
        <f>SUMIF($G682:$T682,"V",$G683:$T683)+SUMIF($W682:$AJ682,"V",$W683:$AJ683)</f>
        <v>0</v>
      </c>
      <c r="AR683" s="74">
        <f>SUMIF($G682:$T682,"O",$G683:$T683)+SUMIF($W682:$AJ682,"O",$W683:$AJ683)</f>
        <v>0</v>
      </c>
      <c r="AS683" s="75">
        <f>SUM(AM683:AR683)</f>
        <v>0</v>
      </c>
      <c r="AT683" s="72"/>
      <c r="AU683" s="73">
        <f>SUMIF($G682:$T682,"A",$G683:$T683)+SUMIF($W682:$AJ682,"A",$W683:$AJ683)</f>
        <v>0</v>
      </c>
      <c r="AV683" s="72"/>
      <c r="AW683" s="76">
        <f>IF(B683="",0,IF($U$9="",0,$U$9))</f>
        <v>80</v>
      </c>
      <c r="BA683" s="2"/>
      <c r="BB683" s="2"/>
      <c r="BC683" s="101"/>
      <c r="BD683" s="101"/>
    </row>
    <row r="684" spans="2:56" s="84" customFormat="1" x14ac:dyDescent="0.35">
      <c r="B684" s="26"/>
      <c r="C684" s="27"/>
      <c r="D684" s="28">
        <f>IF(D610="","",D610)</f>
        <v>92032</v>
      </c>
      <c r="E684" s="29" t="str">
        <f t="shared" si="293"/>
        <v/>
      </c>
      <c r="F684" s="50">
        <f>B675</f>
        <v>19</v>
      </c>
      <c r="G684" s="59"/>
      <c r="H684" s="64"/>
      <c r="I684" s="106"/>
      <c r="J684" s="105"/>
      <c r="K684" s="106"/>
      <c r="L684" s="105"/>
      <c r="M684" s="106"/>
      <c r="N684" s="105"/>
      <c r="O684" s="106"/>
      <c r="P684" s="105"/>
      <c r="Q684" s="106"/>
      <c r="R684" s="105"/>
      <c r="S684" s="59"/>
      <c r="T684" s="64"/>
      <c r="U684" s="44"/>
      <c r="W684" s="59"/>
      <c r="X684" s="64"/>
      <c r="Y684" s="106"/>
      <c r="Z684" s="105"/>
      <c r="AA684" s="106"/>
      <c r="AB684" s="105"/>
      <c r="AC684" s="106"/>
      <c r="AD684" s="105"/>
      <c r="AE684" s="106"/>
      <c r="AF684" s="105"/>
      <c r="AG684" s="106"/>
      <c r="AH684" s="105"/>
      <c r="AI684" s="59"/>
      <c r="AJ684" s="64"/>
      <c r="AK684" s="44"/>
      <c r="AM684" s="49"/>
      <c r="AN684" s="49"/>
      <c r="AO684" s="49"/>
      <c r="AP684" s="49"/>
      <c r="AQ684" s="49"/>
      <c r="AR684" s="40"/>
      <c r="AS684" s="51"/>
      <c r="AU684" s="49"/>
      <c r="AW684" s="52"/>
      <c r="BA684" s="2"/>
      <c r="BB684" s="2"/>
      <c r="BC684" s="101"/>
      <c r="BD684" s="101"/>
    </row>
    <row r="685" spans="2:56" s="84" customFormat="1" x14ac:dyDescent="0.35">
      <c r="B685" s="30" t="str">
        <f>IF(B611="","",B611)</f>
        <v>Benoit, Jean-Paul(Avance $1,600.00)</v>
      </c>
      <c r="C685" s="31"/>
      <c r="D685" s="32"/>
      <c r="E685" s="33">
        <f t="shared" si="293"/>
        <v>93595935</v>
      </c>
      <c r="F685" s="50">
        <f>B675</f>
        <v>19</v>
      </c>
      <c r="G685" s="69"/>
      <c r="H685" s="70"/>
      <c r="I685" s="104"/>
      <c r="J685" s="103" t="s">
        <v>69</v>
      </c>
      <c r="K685" s="104"/>
      <c r="L685" s="103" t="s">
        <v>69</v>
      </c>
      <c r="M685" s="104"/>
      <c r="N685" s="103" t="s">
        <v>69</v>
      </c>
      <c r="O685" s="104"/>
      <c r="P685" s="103" t="s">
        <v>69</v>
      </c>
      <c r="Q685" s="104"/>
      <c r="R685" s="103" t="s">
        <v>69</v>
      </c>
      <c r="S685" s="69"/>
      <c r="T685" s="70"/>
      <c r="U685" s="71">
        <f t="shared" ref="U685" si="295">SUM(G685:T685)</f>
        <v>0</v>
      </c>
      <c r="V685" s="72"/>
      <c r="W685" s="69"/>
      <c r="X685" s="70"/>
      <c r="Y685" s="104"/>
      <c r="Z685" s="103" t="s">
        <v>69</v>
      </c>
      <c r="AA685" s="104"/>
      <c r="AB685" s="103" t="s">
        <v>69</v>
      </c>
      <c r="AC685" s="104"/>
      <c r="AD685" s="103" t="s">
        <v>69</v>
      </c>
      <c r="AE685" s="104"/>
      <c r="AF685" s="103" t="s">
        <v>69</v>
      </c>
      <c r="AG685" s="104"/>
      <c r="AH685" s="103" t="s">
        <v>69</v>
      </c>
      <c r="AI685" s="69"/>
      <c r="AJ685" s="70"/>
      <c r="AK685" s="71">
        <f>SUM(W685:AJ685)</f>
        <v>0</v>
      </c>
      <c r="AL685" s="72"/>
      <c r="AM685" s="73">
        <f>SUMIF($G684:$T684,"",$G685:$T685)+SUMIF($W684:$AJ684,"",$W685:$AJ685)-AN685</f>
        <v>0</v>
      </c>
      <c r="AN685" s="88">
        <f>IF(SUMIF($G684:$T684,"",$G685:$T685)+SUMIF($G684:$T684,"F",$G685:$T685)+SUMIF($G684:$T684,"V",$G685:$T685)-40&lt;0,0,SUMIF($G684:$T684,"",$G685:$T685)+SUMIF($G684:$T684,"F",$G685:$T685)+SUMIF($G684:$T684,"V",$G685:$T685)-($U$9/2))+IF(SUMIF($W684:$AJ684,"",$W685:$AJ685)+SUMIF($W684:$AJ684,"F",$W685:$AJ685)+SUMIF($W684:$AJ684,"V",$W685:$AJ685)-40&lt;0,0,SUMIF($W684:$AJ684,"",$W685:$AJ685)+SUMIF($W684:$AJ684,"F",$W685:$AJ685)+SUMIF($W684:$AJ684,"V",$W685:$AJ685)-($U$9/2))</f>
        <v>0</v>
      </c>
      <c r="AO685" s="73">
        <f>SUMIF($G684:$T684,"M",$G685:$T685)+SUMIF($W684:$AJ684,"M",$W685:$AJ685)</f>
        <v>0</v>
      </c>
      <c r="AP685" s="73">
        <f>SUMIF($G684:$T684,"F",$G685:$T685)+SUMIF($W684:$AJ684,"F",$W685:$AJ685)</f>
        <v>0</v>
      </c>
      <c r="AQ685" s="73">
        <f>SUMIF($G684:$T684,"V",$G685:$T685)+SUMIF($W684:$AJ684,"V",$W685:$AJ685)</f>
        <v>0</v>
      </c>
      <c r="AR685" s="74">
        <f>SUMIF($G684:$T684,"O",$G685:$T685)+SUMIF($W684:$AJ684,"O",$W685:$AJ685)</f>
        <v>0</v>
      </c>
      <c r="AS685" s="75">
        <f>SUM(AM685:AR685)</f>
        <v>0</v>
      </c>
      <c r="AT685" s="72"/>
      <c r="AU685" s="73">
        <f>SUMIF($G684:$T684,"A",$G685:$T685)+SUMIF($W684:$AJ684,"A",$W685:$AJ685)</f>
        <v>0</v>
      </c>
      <c r="AV685" s="72"/>
      <c r="AW685" s="76">
        <f>IF(B685="",0,IF($U$9="",0,$U$9))</f>
        <v>80</v>
      </c>
      <c r="BA685" s="2"/>
      <c r="BB685" s="2"/>
      <c r="BC685" s="101"/>
      <c r="BD685" s="101"/>
    </row>
    <row r="686" spans="2:56" s="84" customFormat="1" x14ac:dyDescent="0.35">
      <c r="B686" s="26"/>
      <c r="C686" s="27"/>
      <c r="D686" s="28">
        <f>IF(D612="","",D612)</f>
        <v>81077</v>
      </c>
      <c r="E686" s="29" t="str">
        <f t="shared" si="293"/>
        <v/>
      </c>
      <c r="F686" s="50">
        <f>B675</f>
        <v>19</v>
      </c>
      <c r="G686" s="93"/>
      <c r="H686" s="94"/>
      <c r="I686" s="106"/>
      <c r="J686" s="105"/>
      <c r="K686" s="106"/>
      <c r="L686" s="105"/>
      <c r="M686" s="106"/>
      <c r="N686" s="105"/>
      <c r="O686" s="106"/>
      <c r="P686" s="105"/>
      <c r="Q686" s="106"/>
      <c r="R686" s="105"/>
      <c r="S686" s="59"/>
      <c r="T686" s="64"/>
      <c r="U686" s="44"/>
      <c r="W686" s="59"/>
      <c r="X686" s="64"/>
      <c r="Y686" s="106"/>
      <c r="Z686" s="105" t="s">
        <v>13</v>
      </c>
      <c r="AA686" s="106"/>
      <c r="AB686" s="105"/>
      <c r="AC686" s="106"/>
      <c r="AD686" s="105"/>
      <c r="AE686" s="106"/>
      <c r="AF686" s="105"/>
      <c r="AG686" s="106"/>
      <c r="AH686" s="105"/>
      <c r="AI686" s="59"/>
      <c r="AJ686" s="64"/>
      <c r="AK686" s="44"/>
      <c r="AM686" s="49"/>
      <c r="AN686" s="49"/>
      <c r="AO686" s="49"/>
      <c r="AP686" s="49"/>
      <c r="AQ686" s="49"/>
      <c r="AR686" s="40"/>
      <c r="AS686" s="51"/>
      <c r="AU686" s="49"/>
      <c r="AW686" s="52"/>
      <c r="BA686" s="2"/>
      <c r="BB686" s="2"/>
      <c r="BC686" s="101"/>
      <c r="BD686" s="101"/>
    </row>
    <row r="687" spans="2:56" s="84" customFormat="1" x14ac:dyDescent="0.35">
      <c r="B687" s="30" t="str">
        <f>IF(B613="","",B613)</f>
        <v>Bourassa, Julie</v>
      </c>
      <c r="C687" s="31"/>
      <c r="D687" s="32"/>
      <c r="E687" s="33">
        <f t="shared" si="293"/>
        <v>93540</v>
      </c>
      <c r="F687" s="50">
        <f>B675</f>
        <v>19</v>
      </c>
      <c r="G687" s="93"/>
      <c r="H687" s="94"/>
      <c r="I687" s="104"/>
      <c r="J687" s="103">
        <v>8</v>
      </c>
      <c r="K687" s="104"/>
      <c r="L687" s="103">
        <v>8.5</v>
      </c>
      <c r="M687" s="104"/>
      <c r="N687" s="103">
        <v>8</v>
      </c>
      <c r="O687" s="104"/>
      <c r="P687" s="103">
        <v>8.5</v>
      </c>
      <c r="Q687" s="104"/>
      <c r="R687" s="103">
        <v>7.5</v>
      </c>
      <c r="S687" s="69"/>
      <c r="T687" s="70"/>
      <c r="U687" s="71">
        <f t="shared" ref="U687" si="296">SUM(G687:T687)</f>
        <v>40.5</v>
      </c>
      <c r="V687" s="72"/>
      <c r="W687" s="69"/>
      <c r="X687" s="70"/>
      <c r="Y687" s="104"/>
      <c r="Z687" s="103">
        <v>8</v>
      </c>
      <c r="AA687" s="104"/>
      <c r="AB687" s="103">
        <v>8.5</v>
      </c>
      <c r="AC687" s="104"/>
      <c r="AD687" s="103">
        <v>8</v>
      </c>
      <c r="AE687" s="104"/>
      <c r="AF687" s="103">
        <v>8.5</v>
      </c>
      <c r="AG687" s="104"/>
      <c r="AH687" s="103">
        <v>8</v>
      </c>
      <c r="AI687" s="69"/>
      <c r="AJ687" s="70"/>
      <c r="AK687" s="71">
        <f>SUM(W687:AJ687)</f>
        <v>41</v>
      </c>
      <c r="AL687" s="72"/>
      <c r="AM687" s="73">
        <f>SUMIF($G686:$T686,"",$G687:$T687)+SUMIF($W686:$AJ686,"",$W687:$AJ687)-AN687</f>
        <v>72</v>
      </c>
      <c r="AN687" s="88">
        <f>IF(SUMIF($G686:$T686,"",$G687:$T687)+SUMIF($G686:$T686,"F",$G687:$T687)+SUMIF($G686:$T686,"V",$G687:$T687)-40&lt;0,0,SUMIF($G686:$T686,"",$G687:$T687)+SUMIF($G686:$T686,"F",$G687:$T687)+SUMIF($G686:$T686,"V",$G687:$T687)-($U$9/2))+IF(SUMIF($W686:$AJ686,"",$W687:$AJ687)+SUMIF($W686:$AJ686,"F",$W687:$AJ687)+SUMIF($W686:$AJ686,"V",$W687:$AJ687)-40&lt;0,0,SUMIF($W686:$AJ686,"",$W687:$AJ687)+SUMIF($W686:$AJ686,"F",$W687:$AJ687)+SUMIF($W686:$AJ686,"V",$W687:$AJ687)-($U$9/2))</f>
        <v>1.5</v>
      </c>
      <c r="AO687" s="73">
        <f>SUMIF($G686:$T686,"M",$G687:$T687)+SUMIF($W686:$AJ686,"M",$W687:$AJ687)</f>
        <v>0</v>
      </c>
      <c r="AP687" s="73">
        <f>SUMIF($G686:$T686,"F",$G687:$T687)+SUMIF($W686:$AJ686,"F",$W687:$AJ687)</f>
        <v>8</v>
      </c>
      <c r="AQ687" s="73">
        <f>SUMIF($G686:$T686,"V",$G687:$T687)+SUMIF($W686:$AJ686,"V",$W687:$AJ687)</f>
        <v>0</v>
      </c>
      <c r="AR687" s="74">
        <f>SUMIF($G686:$T686,"O",$G687:$T687)+SUMIF($W686:$AJ686,"O",$W687:$AJ687)</f>
        <v>0</v>
      </c>
      <c r="AS687" s="75">
        <f>SUM(AM687:AR687)</f>
        <v>81.5</v>
      </c>
      <c r="AT687" s="72"/>
      <c r="AU687" s="73">
        <f>SUMIF($G686:$T686,"A",$G687:$T687)+SUMIF($W686:$AJ686,"A",$W687:$AJ687)</f>
        <v>0</v>
      </c>
      <c r="AV687" s="72"/>
      <c r="AW687" s="76">
        <f>IF(B687="",0,IF($U$9="",0,$U$9))</f>
        <v>80</v>
      </c>
      <c r="BA687" s="2"/>
      <c r="BB687" s="2"/>
      <c r="BC687" s="101"/>
      <c r="BD687" s="101"/>
    </row>
    <row r="688" spans="2:56" s="84" customFormat="1" x14ac:dyDescent="0.35">
      <c r="B688" s="26"/>
      <c r="C688" s="27"/>
      <c r="D688" s="28">
        <f>IF(D614="","",D614)</f>
        <v>78475</v>
      </c>
      <c r="E688" s="29" t="str">
        <f t="shared" si="293"/>
        <v/>
      </c>
      <c r="F688" s="50">
        <f>B675</f>
        <v>19</v>
      </c>
      <c r="G688" s="59"/>
      <c r="H688" s="64"/>
      <c r="I688" s="106"/>
      <c r="J688" s="105"/>
      <c r="K688" s="106"/>
      <c r="L688" s="105"/>
      <c r="M688" s="106"/>
      <c r="N688" s="105"/>
      <c r="O688" s="106"/>
      <c r="P688" s="105"/>
      <c r="Q688" s="106"/>
      <c r="R688" s="105"/>
      <c r="S688" s="59"/>
      <c r="T688" s="64"/>
      <c r="U688" s="44"/>
      <c r="W688" s="59"/>
      <c r="X688" s="64"/>
      <c r="Y688" s="106"/>
      <c r="Z688" s="105" t="s">
        <v>13</v>
      </c>
      <c r="AA688" s="106"/>
      <c r="AB688" s="105"/>
      <c r="AC688" s="106"/>
      <c r="AD688" s="105"/>
      <c r="AE688" s="106"/>
      <c r="AF688" s="105"/>
      <c r="AG688" s="106"/>
      <c r="AH688" s="105"/>
      <c r="AI688" s="59"/>
      <c r="AJ688" s="64"/>
      <c r="AK688" s="44"/>
      <c r="AM688" s="49"/>
      <c r="AN688" s="49"/>
      <c r="AO688" s="49"/>
      <c r="AP688" s="49"/>
      <c r="AQ688" s="49"/>
      <c r="AR688" s="40"/>
      <c r="AS688" s="51"/>
      <c r="AU688" s="49"/>
      <c r="AW688" s="52"/>
      <c r="BA688" s="2"/>
      <c r="BB688" s="2"/>
      <c r="BC688" s="101"/>
      <c r="BD688" s="101"/>
    </row>
    <row r="689" spans="2:56" s="84" customFormat="1" x14ac:dyDescent="0.35">
      <c r="B689" s="30" t="str">
        <f>IF(B615="","",B615)</f>
        <v>Charbonneau, Samuel</v>
      </c>
      <c r="C689" s="31"/>
      <c r="D689" s="32"/>
      <c r="E689" s="33">
        <f t="shared" si="293"/>
        <v>93540</v>
      </c>
      <c r="F689" s="50">
        <f>B675</f>
        <v>19</v>
      </c>
      <c r="G689" s="69"/>
      <c r="H689" s="70"/>
      <c r="I689" s="104"/>
      <c r="J689" s="103">
        <v>8.5</v>
      </c>
      <c r="K689" s="104"/>
      <c r="L689" s="103">
        <v>8</v>
      </c>
      <c r="M689" s="104"/>
      <c r="N689" s="103">
        <v>8.5</v>
      </c>
      <c r="O689" s="104"/>
      <c r="P689" s="103">
        <v>8</v>
      </c>
      <c r="Q689" s="104"/>
      <c r="R689" s="103">
        <v>8</v>
      </c>
      <c r="S689" s="69"/>
      <c r="T689" s="70"/>
      <c r="U689" s="71">
        <f t="shared" ref="U689" si="297">SUM(G689:T689)</f>
        <v>41</v>
      </c>
      <c r="V689" s="72"/>
      <c r="W689" s="69"/>
      <c r="X689" s="70"/>
      <c r="Y689" s="104"/>
      <c r="Z689" s="103">
        <v>8</v>
      </c>
      <c r="AA689" s="104"/>
      <c r="AB689" s="103">
        <v>8</v>
      </c>
      <c r="AC689" s="104"/>
      <c r="AD689" s="103">
        <v>8.5</v>
      </c>
      <c r="AE689" s="104"/>
      <c r="AF689" s="103">
        <v>8</v>
      </c>
      <c r="AG689" s="104"/>
      <c r="AH689" s="103">
        <v>8</v>
      </c>
      <c r="AI689" s="69"/>
      <c r="AJ689" s="70"/>
      <c r="AK689" s="71">
        <f>SUM(W689:AJ689)</f>
        <v>40.5</v>
      </c>
      <c r="AL689" s="72"/>
      <c r="AM689" s="73">
        <f>SUMIF($G688:$T688,"",$G689:$T689)+SUMIF($W688:$AJ688,"",$W689:$AJ689)-AN689</f>
        <v>72</v>
      </c>
      <c r="AN689" s="88">
        <f>IF(SUMIF($G688:$T688,"",$G689:$T689)+SUMIF($G688:$T688,"F",$G689:$T689)+SUMIF($G688:$T688,"V",$G689:$T689)-40&lt;0,0,SUMIF($G688:$T688,"",$G689:$T689)+SUMIF($G688:$T688,"F",$G689:$T689)+SUMIF($G688:$T688,"V",$G689:$T689)-($U$9/2))+IF(SUMIF($W688:$AJ688,"",$W689:$AJ689)+SUMIF($W688:$AJ688,"F",$W689:$AJ689)+SUMIF($W688:$AJ688,"V",$W689:$AJ689)-40&lt;0,0,SUMIF($W688:$AJ688,"",$W689:$AJ689)+SUMIF($W688:$AJ688,"F",$W689:$AJ689)+SUMIF($W688:$AJ688,"V",$W689:$AJ689)-($U$9/2))</f>
        <v>1.5</v>
      </c>
      <c r="AO689" s="73">
        <f>SUMIF($G688:$T688,"M",$G689:$T689)+SUMIF($W688:$AJ688,"M",$W689:$AJ689)</f>
        <v>0</v>
      </c>
      <c r="AP689" s="73">
        <f>SUMIF($G688:$T688,"F",$G689:$T689)+SUMIF($W688:$AJ688,"F",$W689:$AJ689)</f>
        <v>8</v>
      </c>
      <c r="AQ689" s="73">
        <f>SUMIF($G688:$T688,"V",$G689:$T689)+SUMIF($W688:$AJ688,"V",$W689:$AJ689)</f>
        <v>0</v>
      </c>
      <c r="AR689" s="74">
        <f>SUMIF($G688:$T688,"O",$G689:$T689)+SUMIF($W688:$AJ688,"O",$W689:$AJ689)</f>
        <v>0</v>
      </c>
      <c r="AS689" s="75">
        <f>SUM(AM689:AR689)</f>
        <v>81.5</v>
      </c>
      <c r="AT689" s="72"/>
      <c r="AU689" s="73">
        <f>SUMIF($G688:$T688,"A",$G689:$T689)+SUMIF($W688:$AJ688,"A",$W689:$AJ689)</f>
        <v>0</v>
      </c>
      <c r="AV689" s="72"/>
      <c r="AW689" s="76">
        <f>IF(B689="",0,IF($U$9="",0,$U$9))</f>
        <v>80</v>
      </c>
      <c r="BA689" s="2"/>
      <c r="BB689" s="2"/>
      <c r="BC689" s="101"/>
      <c r="BD689" s="101"/>
    </row>
    <row r="690" spans="2:56" s="84" customFormat="1" x14ac:dyDescent="0.35">
      <c r="B690" s="26"/>
      <c r="C690" s="27"/>
      <c r="D690" s="28">
        <f>IF(D616="","",D616)</f>
        <v>24238</v>
      </c>
      <c r="E690" s="29" t="str">
        <f t="shared" si="293"/>
        <v/>
      </c>
      <c r="F690" s="50">
        <f>B675</f>
        <v>19</v>
      </c>
      <c r="G690" s="59"/>
      <c r="H690" s="64"/>
      <c r="I690" s="106"/>
      <c r="J690" s="105"/>
      <c r="K690" s="106"/>
      <c r="L690" s="105"/>
      <c r="M690" s="106"/>
      <c r="N690" s="105"/>
      <c r="O690" s="106"/>
      <c r="P690" s="105"/>
      <c r="Q690" s="106"/>
      <c r="R690" s="105"/>
      <c r="S690" s="59"/>
      <c r="T690" s="64"/>
      <c r="U690" s="44"/>
      <c r="W690" s="59"/>
      <c r="X690" s="64"/>
      <c r="Y690" s="106"/>
      <c r="Z690" s="105" t="s">
        <v>13</v>
      </c>
      <c r="AA690" s="106"/>
      <c r="AB690" s="105"/>
      <c r="AC690" s="106"/>
      <c r="AD690" s="105"/>
      <c r="AE690" s="106"/>
      <c r="AF690" s="105"/>
      <c r="AG690" s="106"/>
      <c r="AH690" s="105"/>
      <c r="AI690" s="59"/>
      <c r="AJ690" s="64"/>
      <c r="AK690" s="44"/>
      <c r="AM690" s="49"/>
      <c r="AN690" s="49"/>
      <c r="AO690" s="49"/>
      <c r="AP690" s="49"/>
      <c r="AQ690" s="49"/>
      <c r="AR690" s="40"/>
      <c r="AS690" s="51"/>
      <c r="AU690" s="49"/>
      <c r="AW690" s="52"/>
      <c r="BA690" s="2"/>
      <c r="BB690" s="2"/>
      <c r="BC690" s="101"/>
      <c r="BD690" s="101"/>
    </row>
    <row r="691" spans="2:56" s="84" customFormat="1" x14ac:dyDescent="0.35">
      <c r="B691" s="30" t="str">
        <f>IF(B617="","",B617)</f>
        <v>Curtis, Jason</v>
      </c>
      <c r="C691" s="31"/>
      <c r="D691" s="32"/>
      <c r="E691" s="33">
        <f t="shared" si="293"/>
        <v>93595935</v>
      </c>
      <c r="F691" s="50">
        <f>B675</f>
        <v>19</v>
      </c>
      <c r="G691" s="69"/>
      <c r="H691" s="70"/>
      <c r="I691" s="104"/>
      <c r="J691" s="103">
        <v>8</v>
      </c>
      <c r="K691" s="104"/>
      <c r="L691" s="103">
        <v>8</v>
      </c>
      <c r="M691" s="104"/>
      <c r="N691" s="103">
        <v>8</v>
      </c>
      <c r="O691" s="104"/>
      <c r="P691" s="103">
        <v>8</v>
      </c>
      <c r="Q691" s="104"/>
      <c r="R691" s="103">
        <v>8</v>
      </c>
      <c r="S691" s="69"/>
      <c r="T691" s="70"/>
      <c r="U691" s="71">
        <f t="shared" ref="U691" si="298">SUM(G691:T691)</f>
        <v>40</v>
      </c>
      <c r="V691" s="72"/>
      <c r="W691" s="69"/>
      <c r="X691" s="70"/>
      <c r="Y691" s="104"/>
      <c r="Z691" s="103">
        <v>8</v>
      </c>
      <c r="AA691" s="104"/>
      <c r="AB691" s="103">
        <v>8</v>
      </c>
      <c r="AC691" s="104"/>
      <c r="AD691" s="103">
        <v>8</v>
      </c>
      <c r="AE691" s="104"/>
      <c r="AF691" s="103">
        <v>8</v>
      </c>
      <c r="AG691" s="104"/>
      <c r="AH691" s="103">
        <v>8</v>
      </c>
      <c r="AI691" s="69"/>
      <c r="AJ691" s="70"/>
      <c r="AK691" s="71">
        <f>SUM(W691:AJ691)</f>
        <v>40</v>
      </c>
      <c r="AL691" s="72"/>
      <c r="AM691" s="73">
        <f>SUMIF($G690:$T690,"",$G691:$T691)+SUMIF($W690:$AJ690,"",$W691:$AJ691)-AN691</f>
        <v>72</v>
      </c>
      <c r="AN691" s="88">
        <f>IF(SUMIF($G690:$T690,"",$G691:$T691)+SUMIF($G690:$T690,"F",$G691:$T691)+SUMIF($G690:$T690,"V",$G691:$T691)-40&lt;0,0,SUMIF($G690:$T690,"",$G691:$T691)+SUMIF($G690:$T690,"F",$G691:$T691)+SUMIF($G690:$T690,"V",$G691:$T691)-($U$9/2))+IF(SUMIF($W690:$AJ690,"",$W691:$AJ691)+SUMIF($W690:$AJ690,"F",$W691:$AJ691)+SUMIF($W690:$AJ690,"V",$W691:$AJ691)-40&lt;0,0,SUMIF($W690:$AJ690,"",$W691:$AJ691)+SUMIF($W690:$AJ690,"F",$W691:$AJ691)+SUMIF($W690:$AJ690,"V",$W691:$AJ691)-($U$9/2))</f>
        <v>0</v>
      </c>
      <c r="AO691" s="73">
        <f>SUMIF($G690:$T690,"M",$G691:$T691)+SUMIF($W690:$AJ690,"M",$W691:$AJ691)</f>
        <v>0</v>
      </c>
      <c r="AP691" s="73">
        <f>SUMIF($G690:$T690,"F",$G691:$T691)+SUMIF($W690:$AJ690,"F",$W691:$AJ691)</f>
        <v>8</v>
      </c>
      <c r="AQ691" s="73">
        <f>SUMIF($G690:$T690,"V",$G691:$T691)+SUMIF($W690:$AJ690,"V",$W691:$AJ691)</f>
        <v>0</v>
      </c>
      <c r="AR691" s="74">
        <f>SUMIF($G690:$T690,"O",$G691:$T691)+SUMIF($W690:$AJ690,"O",$W691:$AJ691)</f>
        <v>0</v>
      </c>
      <c r="AS691" s="75">
        <f>SUM(AM691:AR691)</f>
        <v>80</v>
      </c>
      <c r="AT691" s="72"/>
      <c r="AU691" s="73">
        <f>SUMIF($G690:$T690,"A",$G691:$T691)+SUMIF($W690:$AJ690,"A",$W691:$AJ691)</f>
        <v>0</v>
      </c>
      <c r="AV691" s="72"/>
      <c r="AW691" s="76">
        <f>IF(B691="",0,IF($U$9="",0,$U$9))</f>
        <v>80</v>
      </c>
      <c r="BA691" s="2"/>
      <c r="BB691" s="2"/>
      <c r="BC691" s="101"/>
      <c r="BD691" s="101"/>
    </row>
    <row r="692" spans="2:56" s="84" customFormat="1" x14ac:dyDescent="0.35">
      <c r="B692" s="26"/>
      <c r="C692" s="27"/>
      <c r="D692" s="28">
        <f>IF(D618="","",D618)</f>
        <v>79709</v>
      </c>
      <c r="E692" s="29" t="str">
        <f t="shared" si="293"/>
        <v/>
      </c>
      <c r="F692" s="50">
        <f>B675</f>
        <v>19</v>
      </c>
      <c r="G692" s="59"/>
      <c r="H692" s="64"/>
      <c r="I692" s="106"/>
      <c r="J692" s="105"/>
      <c r="K692" s="106"/>
      <c r="L692" s="105"/>
      <c r="M692" s="106"/>
      <c r="N692" s="105"/>
      <c r="O692" s="106"/>
      <c r="P692" s="105"/>
      <c r="Q692" s="106"/>
      <c r="R692" s="105"/>
      <c r="S692" s="59"/>
      <c r="T692" s="64"/>
      <c r="U692" s="44"/>
      <c r="W692" s="59"/>
      <c r="X692" s="64"/>
      <c r="Y692" s="106"/>
      <c r="Z692" s="105" t="s">
        <v>13</v>
      </c>
      <c r="AA692" s="106"/>
      <c r="AB692" s="105"/>
      <c r="AC692" s="106"/>
      <c r="AD692" s="105"/>
      <c r="AE692" s="106"/>
      <c r="AF692" s="105"/>
      <c r="AG692" s="106"/>
      <c r="AH692" s="105"/>
      <c r="AI692" s="59"/>
      <c r="AJ692" s="64"/>
      <c r="AK692" s="44"/>
      <c r="AM692" s="49"/>
      <c r="AN692" s="49"/>
      <c r="AO692" s="49"/>
      <c r="AP692" s="49"/>
      <c r="AQ692" s="49"/>
      <c r="AR692" s="40"/>
      <c r="AS692" s="51"/>
      <c r="AU692" s="49"/>
      <c r="AW692" s="52"/>
      <c r="BA692" s="2"/>
      <c r="BB692" s="2"/>
      <c r="BC692" s="101"/>
      <c r="BD692" s="101"/>
    </row>
    <row r="693" spans="2:56" s="84" customFormat="1" x14ac:dyDescent="0.35">
      <c r="B693" s="30" t="str">
        <f>IF(B619="","",B619)</f>
        <v>De Rose, Natale</v>
      </c>
      <c r="C693" s="31"/>
      <c r="D693" s="32"/>
      <c r="E693" s="33">
        <f t="shared" si="293"/>
        <v>93595935</v>
      </c>
      <c r="F693" s="50">
        <f>B675</f>
        <v>19</v>
      </c>
      <c r="G693" s="69"/>
      <c r="H693" s="70"/>
      <c r="I693" s="104"/>
      <c r="J693" s="103">
        <v>8</v>
      </c>
      <c r="K693" s="104"/>
      <c r="L693" s="103">
        <v>8</v>
      </c>
      <c r="M693" s="104"/>
      <c r="N693" s="103">
        <v>8</v>
      </c>
      <c r="O693" s="104"/>
      <c r="P693" s="103">
        <v>8</v>
      </c>
      <c r="Q693" s="104"/>
      <c r="R693" s="103">
        <v>8</v>
      </c>
      <c r="S693" s="69"/>
      <c r="T693" s="70"/>
      <c r="U693" s="71">
        <f t="shared" ref="U693" si="299">SUM(G693:T693)</f>
        <v>40</v>
      </c>
      <c r="V693" s="72"/>
      <c r="W693" s="69"/>
      <c r="X693" s="70"/>
      <c r="Y693" s="104"/>
      <c r="Z693" s="103">
        <v>8</v>
      </c>
      <c r="AA693" s="104"/>
      <c r="AB693" s="103">
        <v>8</v>
      </c>
      <c r="AC693" s="104"/>
      <c r="AD693" s="103">
        <v>8</v>
      </c>
      <c r="AE693" s="104"/>
      <c r="AF693" s="103">
        <v>8</v>
      </c>
      <c r="AG693" s="104"/>
      <c r="AH693" s="103">
        <v>8</v>
      </c>
      <c r="AI693" s="69"/>
      <c r="AJ693" s="70"/>
      <c r="AK693" s="71">
        <f>SUM(W693:AJ693)</f>
        <v>40</v>
      </c>
      <c r="AL693" s="72"/>
      <c r="AM693" s="73">
        <f>SUMIF($G692:$T692,"",$G693:$T693)+SUMIF($W692:$AJ692,"",$W693:$AJ693)-AN693</f>
        <v>72</v>
      </c>
      <c r="AN693" s="88">
        <f>IF(SUMIF($G692:$T692,"",$G693:$T693)+SUMIF($G692:$T692,"F",$G693:$T693)+SUMIF($G692:$T692,"V",$G693:$T693)-40&lt;0,0,SUMIF($G692:$T692,"",$G693:$T693)+SUMIF($G692:$T692,"F",$G693:$T693)+SUMIF($G692:$T692,"V",$G693:$T693)-($U$9/2))+IF(SUMIF($W692:$AJ692,"",$W693:$AJ693)+SUMIF($W692:$AJ692,"F",$W693:$AJ693)+SUMIF($W692:$AJ692,"V",$W693:$AJ693)-40&lt;0,0,SUMIF($W692:$AJ692,"",$W693:$AJ693)+SUMIF($W692:$AJ692,"F",$W693:$AJ693)+SUMIF($W692:$AJ692,"V",$W693:$AJ693)-($U$9/2))</f>
        <v>0</v>
      </c>
      <c r="AO693" s="73">
        <f>SUMIF($G692:$T692,"M",$G693:$T693)+SUMIF($W692:$AJ692,"M",$W693:$AJ693)</f>
        <v>0</v>
      </c>
      <c r="AP693" s="73">
        <f>SUMIF($G692:$T692,"F",$G693:$T693)+SUMIF($W692:$AJ692,"F",$W693:$AJ693)</f>
        <v>8</v>
      </c>
      <c r="AQ693" s="73">
        <f>SUMIF($G692:$T692,"V",$G693:$T693)+SUMIF($W692:$AJ692,"V",$W693:$AJ693)</f>
        <v>0</v>
      </c>
      <c r="AR693" s="74">
        <f>SUMIF($G692:$T692,"O",$G693:$T693)+SUMIF($W692:$AJ692,"O",$W693:$AJ693)</f>
        <v>0</v>
      </c>
      <c r="AS693" s="75">
        <f>SUM(AM693:AR693)</f>
        <v>80</v>
      </c>
      <c r="AT693" s="72"/>
      <c r="AU693" s="73">
        <f>SUMIF($G692:$T692,"A",$G693:$T693)+SUMIF($W692:$AJ692,"A",$W693:$AJ693)</f>
        <v>0</v>
      </c>
      <c r="AV693" s="72"/>
      <c r="AW693" s="76">
        <f>IF(B693="",0,IF($U$9="",0,$U$9))</f>
        <v>80</v>
      </c>
      <c r="BA693" s="2"/>
      <c r="BB693" s="2"/>
      <c r="BC693" s="101"/>
      <c r="BD693" s="101"/>
    </row>
    <row r="694" spans="2:56" s="84" customFormat="1" x14ac:dyDescent="0.35">
      <c r="B694" s="26"/>
      <c r="C694" s="27"/>
      <c r="D694" s="28">
        <f>IF(D620="","",D620)</f>
        <v>92027</v>
      </c>
      <c r="E694" s="29" t="str">
        <f t="shared" si="293"/>
        <v/>
      </c>
      <c r="F694" s="50">
        <f>B675</f>
        <v>19</v>
      </c>
      <c r="G694" s="59"/>
      <c r="H694" s="64"/>
      <c r="I694" s="106"/>
      <c r="J694" s="105"/>
      <c r="K694" s="106"/>
      <c r="L694" s="105"/>
      <c r="M694" s="106"/>
      <c r="N694" s="105"/>
      <c r="O694" s="106"/>
      <c r="P694" s="105"/>
      <c r="Q694" s="106"/>
      <c r="R694" s="105"/>
      <c r="S694" s="59"/>
      <c r="T694" s="64"/>
      <c r="U694" s="44"/>
      <c r="W694" s="59"/>
      <c r="X694" s="64"/>
      <c r="Y694" s="106"/>
      <c r="Z694" s="105" t="s">
        <v>13</v>
      </c>
      <c r="AA694" s="106"/>
      <c r="AB694" s="105"/>
      <c r="AC694" s="106"/>
      <c r="AD694" s="105"/>
      <c r="AE694" s="106"/>
      <c r="AF694" s="105"/>
      <c r="AG694" s="106"/>
      <c r="AH694" s="105"/>
      <c r="AI694" s="59"/>
      <c r="AJ694" s="64"/>
      <c r="AK694" s="44"/>
      <c r="AM694" s="49"/>
      <c r="AN694" s="49"/>
      <c r="AO694" s="49"/>
      <c r="AP694" s="49"/>
      <c r="AQ694" s="49"/>
      <c r="AR694" s="40"/>
      <c r="AS694" s="51"/>
      <c r="AU694" s="49"/>
      <c r="AW694" s="52"/>
      <c r="BA694" s="2"/>
      <c r="BB694" s="2"/>
      <c r="BC694" s="101"/>
      <c r="BD694" s="101"/>
    </row>
    <row r="695" spans="2:56" s="84" customFormat="1" x14ac:dyDescent="0.35">
      <c r="B695" s="30" t="str">
        <f>IF(B621="","",B621)</f>
        <v>Descoteaux, Gerald</v>
      </c>
      <c r="C695" s="31"/>
      <c r="D695" s="32"/>
      <c r="E695" s="33">
        <f t="shared" si="293"/>
        <v>93595935</v>
      </c>
      <c r="F695" s="50">
        <f>B675</f>
        <v>19</v>
      </c>
      <c r="G695" s="69"/>
      <c r="H695" s="70"/>
      <c r="I695" s="104"/>
      <c r="J695" s="103">
        <v>8</v>
      </c>
      <c r="K695" s="104"/>
      <c r="L695" s="103">
        <v>8</v>
      </c>
      <c r="M695" s="104"/>
      <c r="N695" s="103">
        <v>8</v>
      </c>
      <c r="O695" s="104"/>
      <c r="P695" s="103">
        <v>8</v>
      </c>
      <c r="Q695" s="104"/>
      <c r="R695" s="103">
        <v>8</v>
      </c>
      <c r="S695" s="69"/>
      <c r="T695" s="70"/>
      <c r="U695" s="71">
        <f t="shared" ref="U695" si="300">SUM(G695:T695)</f>
        <v>40</v>
      </c>
      <c r="V695" s="72"/>
      <c r="W695" s="69"/>
      <c r="X695" s="70"/>
      <c r="Y695" s="104"/>
      <c r="Z695" s="103">
        <v>8</v>
      </c>
      <c r="AA695" s="104"/>
      <c r="AB695" s="103">
        <v>8</v>
      </c>
      <c r="AC695" s="104"/>
      <c r="AD695" s="103">
        <v>8</v>
      </c>
      <c r="AE695" s="104"/>
      <c r="AF695" s="103">
        <v>8</v>
      </c>
      <c r="AG695" s="104"/>
      <c r="AH695" s="103">
        <v>8</v>
      </c>
      <c r="AI695" s="69"/>
      <c r="AJ695" s="70"/>
      <c r="AK695" s="71">
        <f>SUM(W695:AJ695)</f>
        <v>40</v>
      </c>
      <c r="AL695" s="72"/>
      <c r="AM695" s="73">
        <f>SUMIF($G694:$T694,"",$G695:$T695)+SUMIF($W694:$AJ694,"",$W695:$AJ695)-AN695</f>
        <v>72</v>
      </c>
      <c r="AN695" s="88">
        <f>IF(SUMIF($G694:$T694,"",$G695:$T695)+SUMIF($G694:$T694,"F",$G695:$T695)+SUMIF($G694:$T694,"V",$G695:$T695)-40&lt;0,0,SUMIF($G694:$T694,"",$G695:$T695)+SUMIF($G694:$T694,"F",$G695:$T695)+SUMIF($G694:$T694,"V",$G695:$T695)-($U$9/2))+IF(SUMIF($W694:$AJ694,"",$W695:$AJ695)+SUMIF($W694:$AJ694,"F",$W695:$AJ695)+SUMIF($W694:$AJ694,"V",$W695:$AJ695)-40&lt;0,0,SUMIF($W694:$AJ694,"",$W695:$AJ695)+SUMIF($W694:$AJ694,"F",$W695:$AJ695)+SUMIF($W694:$AJ694,"V",$W695:$AJ695)-($U$9/2))</f>
        <v>0</v>
      </c>
      <c r="AO695" s="73">
        <f>SUMIF($G694:$T694,"M",$G695:$T695)+SUMIF($W694:$AJ694,"M",$W695:$AJ695)</f>
        <v>0</v>
      </c>
      <c r="AP695" s="73">
        <f>SUMIF($G694:$T694,"F",$G695:$T695)+SUMIF($W694:$AJ694,"F",$W695:$AJ695)</f>
        <v>8</v>
      </c>
      <c r="AQ695" s="73">
        <f>SUMIF($G694:$T694,"V",$G695:$T695)+SUMIF($W694:$AJ694,"V",$W695:$AJ695)</f>
        <v>0</v>
      </c>
      <c r="AR695" s="74">
        <f>SUMIF($G694:$T694,"O",$G695:$T695)+SUMIF($W694:$AJ694,"O",$W695:$AJ695)</f>
        <v>0</v>
      </c>
      <c r="AS695" s="75">
        <f>SUM(AM695:AR695)</f>
        <v>80</v>
      </c>
      <c r="AT695" s="72"/>
      <c r="AU695" s="73">
        <f>SUMIF($G694:$T694,"A",$G695:$T695)+SUMIF($W694:$AJ694,"A",$W695:$AJ695)</f>
        <v>0</v>
      </c>
      <c r="AV695" s="72"/>
      <c r="AW695" s="76">
        <f>IF(B695="",0,IF($U$9="",0,$U$9))</f>
        <v>80</v>
      </c>
      <c r="BA695" s="2"/>
      <c r="BB695" s="2"/>
      <c r="BC695" s="101"/>
      <c r="BD695" s="101"/>
    </row>
    <row r="696" spans="2:56" s="84" customFormat="1" x14ac:dyDescent="0.35">
      <c r="B696" s="26"/>
      <c r="C696" s="27"/>
      <c r="D696" s="28">
        <f>IF(D622="","",D622)</f>
        <v>73795</v>
      </c>
      <c r="E696" s="29" t="str">
        <f t="shared" si="293"/>
        <v/>
      </c>
      <c r="F696" s="50">
        <f>B675</f>
        <v>19</v>
      </c>
      <c r="G696" s="59"/>
      <c r="H696" s="64"/>
      <c r="I696" s="106"/>
      <c r="J696" s="105"/>
      <c r="K696" s="106"/>
      <c r="L696" s="105"/>
      <c r="M696" s="106"/>
      <c r="N696" s="105"/>
      <c r="O696" s="106"/>
      <c r="P696" s="105"/>
      <c r="Q696" s="106"/>
      <c r="R696" s="105"/>
      <c r="S696" s="59"/>
      <c r="T696" s="64"/>
      <c r="U696" s="44"/>
      <c r="W696" s="59"/>
      <c r="X696" s="64"/>
      <c r="Y696" s="106"/>
      <c r="Z696" s="105" t="s">
        <v>13</v>
      </c>
      <c r="AA696" s="106"/>
      <c r="AB696" s="105"/>
      <c r="AC696" s="106"/>
      <c r="AD696" s="105"/>
      <c r="AE696" s="106"/>
      <c r="AF696" s="105"/>
      <c r="AG696" s="106"/>
      <c r="AH696" s="105"/>
      <c r="AI696" s="59"/>
      <c r="AJ696" s="64"/>
      <c r="AK696" s="44"/>
      <c r="AM696" s="49"/>
      <c r="AN696" s="49"/>
      <c r="AO696" s="49"/>
      <c r="AP696" s="49"/>
      <c r="AQ696" s="49"/>
      <c r="AR696" s="40"/>
      <c r="AS696" s="51"/>
      <c r="AU696" s="49"/>
      <c r="AW696" s="52"/>
      <c r="BA696" s="2"/>
      <c r="BB696" s="2"/>
      <c r="BC696" s="101"/>
      <c r="BD696" s="101"/>
    </row>
    <row r="697" spans="2:56" s="84" customFormat="1" x14ac:dyDescent="0.35">
      <c r="B697" s="30" t="str">
        <f>IF(B623="","",B623)</f>
        <v>Fortin, Veronique</v>
      </c>
      <c r="C697" s="31"/>
      <c r="D697" s="32"/>
      <c r="E697" s="33">
        <f t="shared" si="293"/>
        <v>93540</v>
      </c>
      <c r="F697" s="50">
        <f>B675</f>
        <v>19</v>
      </c>
      <c r="G697" s="69"/>
      <c r="H697" s="70"/>
      <c r="I697" s="104"/>
      <c r="J697" s="103">
        <v>8</v>
      </c>
      <c r="K697" s="104"/>
      <c r="L697" s="103">
        <v>8</v>
      </c>
      <c r="M697" s="104"/>
      <c r="N697" s="103">
        <v>8</v>
      </c>
      <c r="O697" s="104"/>
      <c r="P697" s="103">
        <v>8</v>
      </c>
      <c r="Q697" s="104"/>
      <c r="R697" s="103">
        <v>7.5</v>
      </c>
      <c r="S697" s="69"/>
      <c r="T697" s="70"/>
      <c r="U697" s="71">
        <f t="shared" ref="U697" si="301">SUM(G697:T697)</f>
        <v>39.5</v>
      </c>
      <c r="V697" s="72"/>
      <c r="W697" s="69"/>
      <c r="X697" s="70"/>
      <c r="Y697" s="104"/>
      <c r="Z697" s="103">
        <v>8</v>
      </c>
      <c r="AA697" s="104"/>
      <c r="AB697" s="103">
        <v>8</v>
      </c>
      <c r="AC697" s="104"/>
      <c r="AD697" s="103">
        <v>8</v>
      </c>
      <c r="AE697" s="104"/>
      <c r="AF697" s="103">
        <v>8</v>
      </c>
      <c r="AG697" s="104"/>
      <c r="AH697" s="103">
        <v>7.5</v>
      </c>
      <c r="AI697" s="69"/>
      <c r="AJ697" s="70"/>
      <c r="AK697" s="71">
        <f>SUM(W697:AJ697)</f>
        <v>39.5</v>
      </c>
      <c r="AL697" s="72"/>
      <c r="AM697" s="73">
        <f>SUMIF($G696:$T696,"",$G697:$T697)+SUMIF($W696:$AJ696,"",$W697:$AJ697)-AN697</f>
        <v>71</v>
      </c>
      <c r="AN697" s="88">
        <f>IF(SUMIF($G696:$T696,"",$G697:$T697)+SUMIF($G696:$T696,"F",$G697:$T697)+SUMIF($G696:$T696,"V",$G697:$T697)-40&lt;0,0,SUMIF($G696:$T696,"",$G697:$T697)+SUMIF($G696:$T696,"F",$G697:$T697)+SUMIF($G696:$T696,"V",$G697:$T697)-($U$9/2))+IF(SUMIF($W696:$AJ696,"",$W697:$AJ697)+SUMIF($W696:$AJ696,"F",$W697:$AJ697)+SUMIF($W696:$AJ696,"V",$W697:$AJ697)-40&lt;0,0,SUMIF($W696:$AJ696,"",$W697:$AJ697)+SUMIF($W696:$AJ696,"F",$W697:$AJ697)+SUMIF($W696:$AJ696,"V",$W697:$AJ697)-($U$9/2))</f>
        <v>0</v>
      </c>
      <c r="AO697" s="73">
        <f>SUMIF($G696:$T696,"M",$G697:$T697)+SUMIF($W696:$AJ696,"M",$W697:$AJ697)</f>
        <v>0</v>
      </c>
      <c r="AP697" s="73">
        <f>SUMIF($G696:$T696,"F",$G697:$T697)+SUMIF($W696:$AJ696,"F",$W697:$AJ697)</f>
        <v>8</v>
      </c>
      <c r="AQ697" s="73">
        <f>SUMIF($G696:$T696,"V",$G697:$T697)+SUMIF($W696:$AJ696,"V",$W697:$AJ697)</f>
        <v>0</v>
      </c>
      <c r="AR697" s="74">
        <f>SUMIF($G696:$T696,"O",$G697:$T697)+SUMIF($W696:$AJ696,"O",$W697:$AJ697)</f>
        <v>0</v>
      </c>
      <c r="AS697" s="75">
        <f>SUM(AM697:AR697)</f>
        <v>79</v>
      </c>
      <c r="AT697" s="72"/>
      <c r="AU697" s="73">
        <f>SUMIF($G696:$T696,"A",$G697:$T697)+SUMIF($W696:$AJ696,"A",$W697:$AJ697)</f>
        <v>0</v>
      </c>
      <c r="AV697" s="72"/>
      <c r="AW697" s="76">
        <f>IF(B697="",0,IF($U$9="",0,$U$9))</f>
        <v>80</v>
      </c>
      <c r="BA697" s="2"/>
      <c r="BB697" s="2"/>
      <c r="BC697" s="101"/>
      <c r="BD697" s="101"/>
    </row>
    <row r="698" spans="2:56" s="84" customFormat="1" x14ac:dyDescent="0.35">
      <c r="B698" s="26"/>
      <c r="C698" s="27"/>
      <c r="D698" s="28">
        <f>IF(D624="","",D624)</f>
        <v>23206</v>
      </c>
      <c r="E698" s="29" t="str">
        <f t="shared" si="293"/>
        <v/>
      </c>
      <c r="F698" s="50">
        <f>B675</f>
        <v>19</v>
      </c>
      <c r="G698" s="59"/>
      <c r="H698" s="64"/>
      <c r="I698" s="106"/>
      <c r="J698" s="105"/>
      <c r="K698" s="106"/>
      <c r="L698" s="105"/>
      <c r="M698" s="106"/>
      <c r="N698" s="105"/>
      <c r="O698" s="106"/>
      <c r="P698" s="105"/>
      <c r="Q698" s="106"/>
      <c r="R698" s="105"/>
      <c r="S698" s="59"/>
      <c r="T698" s="64"/>
      <c r="U698" s="44"/>
      <c r="W698" s="59"/>
      <c r="X698" s="64"/>
      <c r="Y698" s="106"/>
      <c r="Z698" s="105" t="s">
        <v>13</v>
      </c>
      <c r="AA698" s="106"/>
      <c r="AB698" s="105"/>
      <c r="AC698" s="106"/>
      <c r="AD698" s="105"/>
      <c r="AE698" s="106"/>
      <c r="AF698" s="105"/>
      <c r="AG698" s="106"/>
      <c r="AH698" s="105"/>
      <c r="AI698" s="59"/>
      <c r="AJ698" s="64"/>
      <c r="AK698" s="44"/>
      <c r="AM698" s="49"/>
      <c r="AN698" s="49"/>
      <c r="AO698" s="49"/>
      <c r="AP698" s="49"/>
      <c r="AQ698" s="49"/>
      <c r="AR698" s="40"/>
      <c r="AS698" s="51"/>
      <c r="AU698" s="49"/>
      <c r="AW698" s="52"/>
      <c r="BA698" s="2"/>
      <c r="BB698" s="2"/>
      <c r="BC698" s="101"/>
      <c r="BD698" s="101"/>
    </row>
    <row r="699" spans="2:56" s="84" customFormat="1" x14ac:dyDescent="0.35">
      <c r="B699" s="30" t="str">
        <f>IF(B625="","",B625)</f>
        <v>Gadbois, Dominic</v>
      </c>
      <c r="C699" s="31"/>
      <c r="D699" s="32"/>
      <c r="E699" s="33">
        <f t="shared" si="293"/>
        <v>93545</v>
      </c>
      <c r="F699" s="50">
        <f>B675</f>
        <v>19</v>
      </c>
      <c r="G699" s="69"/>
      <c r="H699" s="70"/>
      <c r="I699" s="104"/>
      <c r="J699" s="103">
        <v>7.75</v>
      </c>
      <c r="K699" s="104"/>
      <c r="L699" s="103">
        <v>8.5</v>
      </c>
      <c r="M699" s="104"/>
      <c r="N699" s="103">
        <v>8.5</v>
      </c>
      <c r="O699" s="104"/>
      <c r="P699" s="103">
        <v>7.75</v>
      </c>
      <c r="Q699" s="104"/>
      <c r="R699" s="103">
        <v>7.75</v>
      </c>
      <c r="S699" s="69"/>
      <c r="T699" s="70"/>
      <c r="U699" s="71">
        <f t="shared" ref="U699" si="302">SUM(G699:T699)</f>
        <v>40.25</v>
      </c>
      <c r="V699" s="72"/>
      <c r="W699" s="69"/>
      <c r="X699" s="70"/>
      <c r="Y699" s="104"/>
      <c r="Z699" s="103">
        <v>8</v>
      </c>
      <c r="AA699" s="104"/>
      <c r="AB699" s="103">
        <v>7.5</v>
      </c>
      <c r="AC699" s="104"/>
      <c r="AD699" s="103">
        <v>7.25</v>
      </c>
      <c r="AE699" s="104"/>
      <c r="AF699" s="103">
        <v>7.75</v>
      </c>
      <c r="AG699" s="104"/>
      <c r="AH699" s="103">
        <v>7.75</v>
      </c>
      <c r="AI699" s="69"/>
      <c r="AJ699" s="70"/>
      <c r="AK699" s="71">
        <f>SUM(W699:AJ699)</f>
        <v>38.25</v>
      </c>
      <c r="AL699" s="72"/>
      <c r="AM699" s="73">
        <f>SUMIF($G698:$T698,"",$G699:$T699)+SUMIF($W698:$AJ698,"",$W699:$AJ699)-AN699</f>
        <v>70.25</v>
      </c>
      <c r="AN699" s="88">
        <f>IF(SUMIF($G698:$T698,"",$G699:$T699)+SUMIF($G698:$T698,"F",$G699:$T699)+SUMIF($G698:$T698,"V",$G699:$T699)-40&lt;0,0,SUMIF($G698:$T698,"",$G699:$T699)+SUMIF($G698:$T698,"F",$G699:$T699)+SUMIF($G698:$T698,"V",$G699:$T699)-($U$9/2))+IF(SUMIF($W698:$AJ698,"",$W699:$AJ699)+SUMIF($W698:$AJ698,"F",$W699:$AJ699)+SUMIF($W698:$AJ698,"V",$W699:$AJ699)-40&lt;0,0,SUMIF($W698:$AJ698,"",$W699:$AJ699)+SUMIF($W698:$AJ698,"F",$W699:$AJ699)+SUMIF($W698:$AJ698,"V",$W699:$AJ699)-($U$9/2))</f>
        <v>0.25</v>
      </c>
      <c r="AO699" s="73">
        <f>SUMIF($G698:$T698,"M",$G699:$T699)+SUMIF($W698:$AJ698,"M",$W699:$AJ699)</f>
        <v>0</v>
      </c>
      <c r="AP699" s="73">
        <f>SUMIF($G698:$T698,"F",$G699:$T699)+SUMIF($W698:$AJ698,"F",$W699:$AJ699)</f>
        <v>8</v>
      </c>
      <c r="AQ699" s="73">
        <f>SUMIF($G698:$T698,"V",$G699:$T699)+SUMIF($W698:$AJ698,"V",$W699:$AJ699)</f>
        <v>0</v>
      </c>
      <c r="AR699" s="74">
        <f>SUMIF($G698:$T698,"O",$G699:$T699)+SUMIF($W698:$AJ698,"O",$W699:$AJ699)</f>
        <v>0</v>
      </c>
      <c r="AS699" s="75">
        <f>SUM(AM699:AR699)</f>
        <v>78.5</v>
      </c>
      <c r="AT699" s="72"/>
      <c r="AU699" s="73">
        <f>SUMIF($G698:$T698,"A",$G699:$T699)+SUMIF($W698:$AJ698,"A",$W699:$AJ699)</f>
        <v>0</v>
      </c>
      <c r="AV699" s="72"/>
      <c r="AW699" s="76">
        <f>IF(B699="",0,IF($U$9="",0,$U$9))</f>
        <v>80</v>
      </c>
      <c r="BA699" s="2"/>
      <c r="BB699" s="2"/>
      <c r="BC699" s="101"/>
      <c r="BD699" s="101"/>
    </row>
    <row r="700" spans="2:56" s="84" customFormat="1" x14ac:dyDescent="0.35">
      <c r="B700" s="26"/>
      <c r="C700" s="27"/>
      <c r="D700" s="28">
        <f>IF(D626="","",D626)</f>
        <v>33664</v>
      </c>
      <c r="E700" s="29" t="str">
        <f t="shared" si="293"/>
        <v/>
      </c>
      <c r="F700" s="50">
        <f>B675</f>
        <v>19</v>
      </c>
      <c r="G700" s="59"/>
      <c r="H700" s="64"/>
      <c r="I700" s="106"/>
      <c r="J700" s="105"/>
      <c r="K700" s="106"/>
      <c r="L700" s="105"/>
      <c r="M700" s="106"/>
      <c r="N700" s="105"/>
      <c r="O700" s="106"/>
      <c r="P700" s="105"/>
      <c r="Q700" s="106"/>
      <c r="R700" s="105"/>
      <c r="S700" s="59"/>
      <c r="T700" s="64"/>
      <c r="U700" s="44"/>
      <c r="W700" s="59"/>
      <c r="X700" s="64"/>
      <c r="Y700" s="106"/>
      <c r="Z700" s="105" t="s">
        <v>13</v>
      </c>
      <c r="AA700" s="106"/>
      <c r="AB700" s="105"/>
      <c r="AC700" s="106"/>
      <c r="AD700" s="105"/>
      <c r="AE700" s="106"/>
      <c r="AF700" s="105"/>
      <c r="AG700" s="106"/>
      <c r="AH700" s="105"/>
      <c r="AI700" s="59"/>
      <c r="AJ700" s="64"/>
      <c r="AK700" s="44"/>
      <c r="AM700" s="49"/>
      <c r="AN700" s="49"/>
      <c r="AO700" s="49"/>
      <c r="AP700" s="49"/>
      <c r="AQ700" s="49"/>
      <c r="AR700" s="40"/>
      <c r="AS700" s="51"/>
      <c r="AU700" s="49"/>
      <c r="AW700" s="52"/>
      <c r="BA700" s="2"/>
      <c r="BB700" s="2"/>
      <c r="BC700" s="101"/>
      <c r="BD700" s="101"/>
    </row>
    <row r="701" spans="2:56" s="84" customFormat="1" x14ac:dyDescent="0.35">
      <c r="B701" s="30" t="str">
        <f>IF(B627="","",B627)</f>
        <v>Knox Michaud, Jessy</v>
      </c>
      <c r="C701" s="31"/>
      <c r="D701" s="32"/>
      <c r="E701" s="33">
        <f t="shared" si="293"/>
        <v>93542</v>
      </c>
      <c r="F701" s="50">
        <f>B675</f>
        <v>19</v>
      </c>
      <c r="G701" s="69"/>
      <c r="H701" s="70"/>
      <c r="I701" s="104"/>
      <c r="J701" s="103">
        <v>8</v>
      </c>
      <c r="K701" s="104"/>
      <c r="L701" s="103">
        <v>8</v>
      </c>
      <c r="M701" s="104"/>
      <c r="N701" s="103">
        <v>8</v>
      </c>
      <c r="O701" s="104"/>
      <c r="P701" s="103">
        <v>8</v>
      </c>
      <c r="Q701" s="104"/>
      <c r="R701" s="103">
        <v>8</v>
      </c>
      <c r="S701" s="69"/>
      <c r="T701" s="70"/>
      <c r="U701" s="71">
        <f t="shared" ref="U701" si="303">SUM(G701:T701)</f>
        <v>40</v>
      </c>
      <c r="V701" s="72"/>
      <c r="W701" s="69"/>
      <c r="X701" s="70"/>
      <c r="Y701" s="104"/>
      <c r="Z701" s="103">
        <v>8</v>
      </c>
      <c r="AA701" s="104"/>
      <c r="AB701" s="103">
        <v>8</v>
      </c>
      <c r="AC701" s="104"/>
      <c r="AD701" s="103">
        <v>8</v>
      </c>
      <c r="AE701" s="104"/>
      <c r="AF701" s="103">
        <v>8</v>
      </c>
      <c r="AG701" s="104"/>
      <c r="AH701" s="103">
        <v>8</v>
      </c>
      <c r="AI701" s="69"/>
      <c r="AJ701" s="70"/>
      <c r="AK701" s="71">
        <f>SUM(W701:AJ701)</f>
        <v>40</v>
      </c>
      <c r="AL701" s="72"/>
      <c r="AM701" s="73">
        <f>SUMIF($G700:$T700,"",$G701:$T701)+SUMIF($W700:$AJ700,"",$W701:$AJ701)-AN701</f>
        <v>72</v>
      </c>
      <c r="AN701" s="88">
        <f>IF(SUMIF($G700:$T700,"",$G701:$T701)+SUMIF($G700:$T700,"F",$G701:$T701)+SUMIF($G700:$T700,"V",$G701:$T701)-40&lt;0,0,SUMIF($G700:$T700,"",$G701:$T701)+SUMIF($G700:$T700,"F",$G701:$T701)+SUMIF($G700:$T700,"V",$G701:$T701)-($U$9/2))+IF(SUMIF($W700:$AJ700,"",$W701:$AJ701)+SUMIF($W700:$AJ700,"F",$W701:$AJ701)+SUMIF($W700:$AJ700,"V",$W701:$AJ701)-40&lt;0,0,SUMIF($W700:$AJ700,"",$W701:$AJ701)+SUMIF($W700:$AJ700,"F",$W701:$AJ701)+SUMIF($W700:$AJ700,"V",$W701:$AJ701)-($U$9/2))</f>
        <v>0</v>
      </c>
      <c r="AO701" s="73">
        <f>SUMIF($G700:$T700,"M",$G701:$T701)+SUMIF($W700:$AJ700,"M",$W701:$AJ701)</f>
        <v>0</v>
      </c>
      <c r="AP701" s="73">
        <f>SUMIF($G700:$T700,"F",$G701:$T701)+SUMIF($W700:$AJ700,"F",$W701:$AJ701)</f>
        <v>8</v>
      </c>
      <c r="AQ701" s="73">
        <f>SUMIF($G700:$T700,"V",$G701:$T701)+SUMIF($W700:$AJ700,"V",$W701:$AJ701)</f>
        <v>0</v>
      </c>
      <c r="AR701" s="74">
        <f>SUMIF($G700:$T700,"O",$G701:$T701)+SUMIF($W700:$AJ700,"O",$W701:$AJ701)</f>
        <v>0</v>
      </c>
      <c r="AS701" s="75">
        <f>SUM(AM701:AR701)</f>
        <v>80</v>
      </c>
      <c r="AT701" s="72"/>
      <c r="AU701" s="73">
        <f>SUMIF($G700:$T700,"A",$G701:$T701)+SUMIF($W700:$AJ700,"A",$W701:$AJ701)</f>
        <v>0</v>
      </c>
      <c r="AV701" s="72"/>
      <c r="AW701" s="76">
        <f>IF(B701="",0,IF($U$9="",0,$U$9))</f>
        <v>80</v>
      </c>
      <c r="BA701" s="2"/>
      <c r="BB701" s="2"/>
      <c r="BC701" s="101"/>
      <c r="BD701" s="101"/>
    </row>
    <row r="702" spans="2:56" s="84" customFormat="1" x14ac:dyDescent="0.35">
      <c r="B702" s="26"/>
      <c r="C702" s="27"/>
      <c r="D702" s="28">
        <f>IF(D628="","",D628)</f>
        <v>14206</v>
      </c>
      <c r="E702" s="29" t="str">
        <f t="shared" si="293"/>
        <v/>
      </c>
      <c r="F702" s="50">
        <f>B675</f>
        <v>19</v>
      </c>
      <c r="G702" s="59"/>
      <c r="H702" s="64"/>
      <c r="I702" s="106"/>
      <c r="J702" s="105"/>
      <c r="K702" s="106"/>
      <c r="L702" s="105"/>
      <c r="M702" s="106"/>
      <c r="N702" s="105" t="s">
        <v>12</v>
      </c>
      <c r="O702" s="106"/>
      <c r="P702" s="105" t="s">
        <v>12</v>
      </c>
      <c r="Q702" s="106"/>
      <c r="R702" s="105" t="s">
        <v>1</v>
      </c>
      <c r="S702" s="59"/>
      <c r="T702" s="64"/>
      <c r="U702" s="44"/>
      <c r="W702" s="59"/>
      <c r="X702" s="64"/>
      <c r="Y702" s="106"/>
      <c r="Z702" s="105" t="s">
        <v>13</v>
      </c>
      <c r="AA702" s="106"/>
      <c r="AB702" s="105"/>
      <c r="AC702" s="106"/>
      <c r="AD702" s="105"/>
      <c r="AE702" s="106"/>
      <c r="AF702" s="105"/>
      <c r="AG702" s="106"/>
      <c r="AH702" s="105"/>
      <c r="AI702" s="59"/>
      <c r="AJ702" s="64"/>
      <c r="AK702" s="44"/>
      <c r="AM702" s="49"/>
      <c r="AN702" s="49"/>
      <c r="AO702" s="49"/>
      <c r="AP702" s="49"/>
      <c r="AQ702" s="49"/>
      <c r="AR702" s="40"/>
      <c r="AS702" s="51"/>
      <c r="AU702" s="49"/>
      <c r="AW702" s="52"/>
      <c r="BA702" s="2"/>
      <c r="BB702" s="2"/>
      <c r="BC702" s="101"/>
      <c r="BD702" s="101"/>
    </row>
    <row r="703" spans="2:56" s="84" customFormat="1" x14ac:dyDescent="0.35">
      <c r="B703" s="30" t="str">
        <f>IF(B629="","",B629)</f>
        <v>Landry, Bernard</v>
      </c>
      <c r="C703" s="31"/>
      <c r="D703" s="32"/>
      <c r="E703" s="33">
        <f t="shared" si="293"/>
        <v>93545</v>
      </c>
      <c r="F703" s="50">
        <f>B675</f>
        <v>19</v>
      </c>
      <c r="G703" s="69"/>
      <c r="H703" s="70"/>
      <c r="I703" s="104"/>
      <c r="J703" s="103">
        <v>8</v>
      </c>
      <c r="K703" s="104"/>
      <c r="L703" s="103">
        <v>8</v>
      </c>
      <c r="M703" s="104"/>
      <c r="N703" s="103">
        <v>8</v>
      </c>
      <c r="O703" s="104"/>
      <c r="P703" s="103">
        <v>8</v>
      </c>
      <c r="Q703" s="104"/>
      <c r="R703" s="103">
        <v>8</v>
      </c>
      <c r="S703" s="69"/>
      <c r="T703" s="70"/>
      <c r="U703" s="71">
        <f t="shared" ref="U703" si="304">SUM(G703:T703)</f>
        <v>40</v>
      </c>
      <c r="V703" s="72"/>
      <c r="W703" s="69"/>
      <c r="X703" s="70"/>
      <c r="Y703" s="104"/>
      <c r="Z703" s="103">
        <v>8</v>
      </c>
      <c r="AA703" s="104"/>
      <c r="AB703" s="103">
        <v>8</v>
      </c>
      <c r="AC703" s="104"/>
      <c r="AD703" s="103">
        <v>8</v>
      </c>
      <c r="AE703" s="104"/>
      <c r="AF703" s="103">
        <v>8</v>
      </c>
      <c r="AG703" s="104"/>
      <c r="AH703" s="103">
        <v>8</v>
      </c>
      <c r="AI703" s="69"/>
      <c r="AJ703" s="70"/>
      <c r="AK703" s="71">
        <f>SUM(W703:AJ703)</f>
        <v>40</v>
      </c>
      <c r="AL703" s="72"/>
      <c r="AM703" s="73">
        <f>SUMIF($G702:$T702,"",$G703:$T703)+SUMIF($W702:$AJ702,"",$W703:$AJ703)-AN703</f>
        <v>48</v>
      </c>
      <c r="AN703" s="88">
        <f>IF(SUMIF($G702:$T702,"",$G703:$T703)+SUMIF($G702:$T702,"F",$G703:$T703)+SUMIF($G702:$T702,"V",$G703:$T703)-40&lt;0,0,SUMIF($G702:$T702,"",$G703:$T703)+SUMIF($G702:$T702,"F",$G703:$T703)+SUMIF($G702:$T702,"V",$G703:$T703)-($U$9/2))+IF(SUMIF($W702:$AJ702,"",$W703:$AJ703)+SUMIF($W702:$AJ702,"F",$W703:$AJ703)+SUMIF($W702:$AJ702,"V",$W703:$AJ703)-40&lt;0,0,SUMIF($W702:$AJ702,"",$W703:$AJ703)+SUMIF($W702:$AJ702,"F",$W703:$AJ703)+SUMIF($W702:$AJ702,"V",$W703:$AJ703)-($U$9/2))</f>
        <v>0</v>
      </c>
      <c r="AO703" s="73">
        <f>SUMIF($G702:$T702,"M",$G703:$T703)+SUMIF($W702:$AJ702,"M",$W703:$AJ703)</f>
        <v>16</v>
      </c>
      <c r="AP703" s="73">
        <f>SUMIF($G702:$T702,"F",$G703:$T703)+SUMIF($W702:$AJ702,"F",$W703:$AJ703)</f>
        <v>8</v>
      </c>
      <c r="AQ703" s="73">
        <f>SUMIF($G702:$T702,"V",$G703:$T703)+SUMIF($W702:$AJ702,"V",$W703:$AJ703)</f>
        <v>8</v>
      </c>
      <c r="AR703" s="74">
        <f>SUMIF($G702:$T702,"O",$G703:$T703)+SUMIF($W702:$AJ702,"O",$W703:$AJ703)</f>
        <v>0</v>
      </c>
      <c r="AS703" s="75">
        <f>SUM(AM703:AR703)</f>
        <v>80</v>
      </c>
      <c r="AT703" s="72"/>
      <c r="AU703" s="73">
        <f>SUMIF($G702:$T702,"A",$G703:$T703)+SUMIF($W702:$AJ702,"A",$W703:$AJ703)</f>
        <v>0</v>
      </c>
      <c r="AV703" s="72"/>
      <c r="AW703" s="76">
        <f>IF(B703="",0,IF($U$9="",0,$U$9))</f>
        <v>80</v>
      </c>
      <c r="BA703" s="2"/>
      <c r="BB703" s="2"/>
      <c r="BC703" s="101"/>
      <c r="BD703" s="101"/>
    </row>
    <row r="704" spans="2:56" s="84" customFormat="1" x14ac:dyDescent="0.35">
      <c r="B704" s="26"/>
      <c r="C704" s="27"/>
      <c r="D704" s="28">
        <f>IF(D630="","",D630)</f>
        <v>92257</v>
      </c>
      <c r="E704" s="29" t="str">
        <f t="shared" si="293"/>
        <v/>
      </c>
      <c r="F704" s="50">
        <f>B675</f>
        <v>19</v>
      </c>
      <c r="G704" s="59"/>
      <c r="H704" s="64"/>
      <c r="I704" s="106"/>
      <c r="J704" s="105"/>
      <c r="K704" s="106"/>
      <c r="L704" s="105"/>
      <c r="M704" s="106"/>
      <c r="N704" s="105"/>
      <c r="O704" s="106"/>
      <c r="P704" s="105"/>
      <c r="Q704" s="106"/>
      <c r="R704" s="105"/>
      <c r="S704" s="59"/>
      <c r="T704" s="64"/>
      <c r="U704" s="44"/>
      <c r="W704" s="59"/>
      <c r="X704" s="64"/>
      <c r="Y704" s="106"/>
      <c r="Z704" s="105" t="s">
        <v>13</v>
      </c>
      <c r="AA704" s="106"/>
      <c r="AB704" s="105"/>
      <c r="AC704" s="106"/>
      <c r="AD704" s="105"/>
      <c r="AE704" s="106"/>
      <c r="AF704" s="105"/>
      <c r="AG704" s="106"/>
      <c r="AH704" s="105"/>
      <c r="AI704" s="59"/>
      <c r="AJ704" s="64"/>
      <c r="AK704" s="44"/>
      <c r="AM704" s="49"/>
      <c r="AN704" s="49"/>
      <c r="AO704" s="49"/>
      <c r="AP704" s="49"/>
      <c r="AQ704" s="49"/>
      <c r="AR704" s="40"/>
      <c r="AS704" s="51"/>
      <c r="AU704" s="49"/>
      <c r="AW704" s="52"/>
      <c r="BA704" s="2"/>
      <c r="BB704" s="2"/>
      <c r="BC704" s="101"/>
      <c r="BD704" s="101"/>
    </row>
    <row r="705" spans="1:56" s="84" customFormat="1" x14ac:dyDescent="0.35">
      <c r="B705" s="30" t="str">
        <f>IF(B631="","",B631)</f>
        <v>Lelievre, Anik</v>
      </c>
      <c r="C705" s="31"/>
      <c r="D705" s="32"/>
      <c r="E705" s="33">
        <f t="shared" si="293"/>
        <v>93513</v>
      </c>
      <c r="F705" s="50">
        <f>B675</f>
        <v>19</v>
      </c>
      <c r="G705" s="69"/>
      <c r="H705" s="70"/>
      <c r="I705" s="104"/>
      <c r="J705" s="103">
        <v>8</v>
      </c>
      <c r="K705" s="104"/>
      <c r="L705" s="103">
        <v>8</v>
      </c>
      <c r="M705" s="104"/>
      <c r="N705" s="103">
        <v>8</v>
      </c>
      <c r="O705" s="104"/>
      <c r="P705" s="103">
        <v>8</v>
      </c>
      <c r="Q705" s="104"/>
      <c r="R705" s="103">
        <v>8</v>
      </c>
      <c r="S705" s="69"/>
      <c r="T705" s="70"/>
      <c r="U705" s="71">
        <f t="shared" ref="U705" si="305">SUM(G705:T705)</f>
        <v>40</v>
      </c>
      <c r="V705" s="72"/>
      <c r="W705" s="69"/>
      <c r="X705" s="70"/>
      <c r="Y705" s="104"/>
      <c r="Z705" s="103">
        <v>8</v>
      </c>
      <c r="AA705" s="104"/>
      <c r="AB705" s="103">
        <v>8</v>
      </c>
      <c r="AC705" s="104"/>
      <c r="AD705" s="103">
        <v>8</v>
      </c>
      <c r="AE705" s="104"/>
      <c r="AF705" s="103">
        <v>8</v>
      </c>
      <c r="AG705" s="104"/>
      <c r="AH705" s="103">
        <v>8</v>
      </c>
      <c r="AI705" s="69"/>
      <c r="AJ705" s="70"/>
      <c r="AK705" s="71">
        <f>SUM(W705:AJ705)</f>
        <v>40</v>
      </c>
      <c r="AL705" s="72"/>
      <c r="AM705" s="73">
        <f>SUMIF($G704:$T704,"",$G705:$T705)+SUMIF($W704:$AJ704,"",$W705:$AJ705)-AN705</f>
        <v>72</v>
      </c>
      <c r="AN705" s="88">
        <f>IF(SUMIF($G704:$T704,"",$G705:$T705)+SUMIF($G704:$T704,"F",$G705:$T705)+SUMIF($G704:$T704,"V",$G705:$T705)-40&lt;0,0,SUMIF($G704:$T704,"",$G705:$T705)+SUMIF($G704:$T704,"F",$G705:$T705)+SUMIF($G704:$T704,"V",$G705:$T705)-($U$9/2))+IF(SUMIF($W704:$AJ704,"",$W705:$AJ705)+SUMIF($W704:$AJ704,"F",$W705:$AJ705)+SUMIF($W704:$AJ704,"V",$W705:$AJ705)-40&lt;0,0,SUMIF($W704:$AJ704,"",$W705:$AJ705)+SUMIF($W704:$AJ704,"F",$W705:$AJ705)+SUMIF($W704:$AJ704,"V",$W705:$AJ705)-($U$9/2))</f>
        <v>0</v>
      </c>
      <c r="AO705" s="73">
        <f>SUMIF($G704:$T704,"M",$G705:$T705)+SUMIF($W704:$AJ704,"M",$W705:$AJ705)</f>
        <v>0</v>
      </c>
      <c r="AP705" s="73">
        <f>SUMIF($G704:$T704,"F",$G705:$T705)+SUMIF($W704:$AJ704,"F",$W705:$AJ705)</f>
        <v>8</v>
      </c>
      <c r="AQ705" s="73">
        <f>SUMIF($G704:$T704,"V",$G705:$T705)+SUMIF($W704:$AJ704,"V",$W705:$AJ705)</f>
        <v>0</v>
      </c>
      <c r="AR705" s="74">
        <f>SUMIF($G704:$T704,"O",$G705:$T705)+SUMIF($W704:$AJ704,"O",$W705:$AJ705)</f>
        <v>0</v>
      </c>
      <c r="AS705" s="75">
        <f>SUM(AM705:AR705)</f>
        <v>80</v>
      </c>
      <c r="AT705" s="72"/>
      <c r="AU705" s="73">
        <f>SUMIF($G704:$T704,"A",$G705:$T705)+SUMIF($W704:$AJ704,"A",$W705:$AJ705)</f>
        <v>0</v>
      </c>
      <c r="AV705" s="72"/>
      <c r="AW705" s="76">
        <f>IF(B705="",0,IF($U$9="",0,$U$9))</f>
        <v>80</v>
      </c>
      <c r="BA705" s="2"/>
      <c r="BB705" s="2"/>
      <c r="BC705" s="101"/>
      <c r="BD705" s="101"/>
    </row>
    <row r="706" spans="1:56" s="84" customFormat="1" x14ac:dyDescent="0.35">
      <c r="B706" s="26"/>
      <c r="C706" s="27"/>
      <c r="D706" s="28">
        <f>IF(D632="","",D632)</f>
        <v>81042</v>
      </c>
      <c r="E706" s="29" t="str">
        <f t="shared" si="293"/>
        <v/>
      </c>
      <c r="F706" s="50">
        <f>B675</f>
        <v>19</v>
      </c>
      <c r="G706" s="59"/>
      <c r="H706" s="64"/>
      <c r="I706" s="106"/>
      <c r="J706" s="105" t="s">
        <v>1</v>
      </c>
      <c r="K706" s="106"/>
      <c r="L706" s="105" t="s">
        <v>1</v>
      </c>
      <c r="M706" s="106"/>
      <c r="N706" s="105"/>
      <c r="O706" s="106"/>
      <c r="P706" s="105"/>
      <c r="Q706" s="106"/>
      <c r="R706" s="105"/>
      <c r="S706" s="59"/>
      <c r="T706" s="64"/>
      <c r="U706" s="44"/>
      <c r="W706" s="59"/>
      <c r="X706" s="64"/>
      <c r="Y706" s="106"/>
      <c r="Z706" s="105" t="s">
        <v>13</v>
      </c>
      <c r="AA706" s="106"/>
      <c r="AB706" s="105"/>
      <c r="AC706" s="106"/>
      <c r="AD706" s="105"/>
      <c r="AE706" s="106"/>
      <c r="AF706" s="105"/>
      <c r="AG706" s="106"/>
      <c r="AH706" s="105"/>
      <c r="AI706" s="59"/>
      <c r="AJ706" s="64"/>
      <c r="AK706" s="44"/>
      <c r="AM706" s="49"/>
      <c r="AN706" s="49"/>
      <c r="AO706" s="49"/>
      <c r="AP706" s="49"/>
      <c r="AQ706" s="49"/>
      <c r="AR706" s="40"/>
      <c r="AS706" s="51"/>
      <c r="AU706" s="49"/>
      <c r="AW706" s="52"/>
      <c r="BA706" s="2"/>
      <c r="BB706" s="2"/>
      <c r="BC706" s="101"/>
      <c r="BD706" s="101"/>
    </row>
    <row r="707" spans="1:56" s="84" customFormat="1" x14ac:dyDescent="0.35">
      <c r="B707" s="30" t="str">
        <f>IF(B633="","",B633)</f>
        <v>Letarte, Martin</v>
      </c>
      <c r="C707" s="31"/>
      <c r="D707" s="32"/>
      <c r="E707" s="33">
        <f t="shared" si="293"/>
        <v>93545</v>
      </c>
      <c r="F707" s="50">
        <f>B675</f>
        <v>19</v>
      </c>
      <c r="G707" s="69"/>
      <c r="H707" s="70"/>
      <c r="I707" s="104"/>
      <c r="J707" s="103">
        <v>8</v>
      </c>
      <c r="K707" s="104"/>
      <c r="L707" s="103">
        <v>8</v>
      </c>
      <c r="M707" s="104"/>
      <c r="N707" s="103">
        <v>8</v>
      </c>
      <c r="O707" s="104"/>
      <c r="P707" s="103">
        <v>8</v>
      </c>
      <c r="Q707" s="104"/>
      <c r="R707" s="103">
        <v>8</v>
      </c>
      <c r="S707" s="69"/>
      <c r="T707" s="70"/>
      <c r="U707" s="71">
        <f t="shared" ref="U707" si="306">SUM(G707:T707)</f>
        <v>40</v>
      </c>
      <c r="V707" s="72"/>
      <c r="W707" s="69"/>
      <c r="X707" s="70"/>
      <c r="Y707" s="104"/>
      <c r="Z707" s="103">
        <v>8</v>
      </c>
      <c r="AA707" s="104"/>
      <c r="AB707" s="103">
        <v>8</v>
      </c>
      <c r="AC707" s="104"/>
      <c r="AD707" s="103">
        <v>8</v>
      </c>
      <c r="AE707" s="104"/>
      <c r="AF707" s="103">
        <v>8</v>
      </c>
      <c r="AG707" s="104"/>
      <c r="AH707" s="103">
        <v>8</v>
      </c>
      <c r="AI707" s="69"/>
      <c r="AJ707" s="70"/>
      <c r="AK707" s="71">
        <f>SUM(W707:AJ707)</f>
        <v>40</v>
      </c>
      <c r="AL707" s="72"/>
      <c r="AM707" s="73">
        <f>SUMIF($G706:$T706,"",$G707:$T707)+SUMIF($W706:$AJ706,"",$W707:$AJ707)-AN707</f>
        <v>56</v>
      </c>
      <c r="AN707" s="88">
        <f>IF(SUMIF($G706:$T706,"",$G707:$T707)+SUMIF($G706:$T706,"F",$G707:$T707)+SUMIF($G706:$T706,"V",$G707:$T707)-40&lt;0,0,SUMIF($G706:$T706,"",$G707:$T707)+SUMIF($G706:$T706,"F",$G707:$T707)+SUMIF($G706:$T706,"V",$G707:$T707)-($U$9/2))+IF(SUMIF($W706:$AJ706,"",$W707:$AJ707)+SUMIF($W706:$AJ706,"F",$W707:$AJ707)+SUMIF($W706:$AJ706,"V",$W707:$AJ707)-40&lt;0,0,SUMIF($W706:$AJ706,"",$W707:$AJ707)+SUMIF($W706:$AJ706,"F",$W707:$AJ707)+SUMIF($W706:$AJ706,"V",$W707:$AJ707)-($U$9/2))</f>
        <v>0</v>
      </c>
      <c r="AO707" s="73">
        <f>SUMIF($G706:$T706,"M",$G707:$T707)+SUMIF($W706:$AJ706,"M",$W707:$AJ707)</f>
        <v>0</v>
      </c>
      <c r="AP707" s="73">
        <f>SUMIF($G706:$T706,"F",$G707:$T707)+SUMIF($W706:$AJ706,"F",$W707:$AJ707)</f>
        <v>8</v>
      </c>
      <c r="AQ707" s="73">
        <f>SUMIF($G706:$T706,"V",$G707:$T707)+SUMIF($W706:$AJ706,"V",$W707:$AJ707)</f>
        <v>16</v>
      </c>
      <c r="AR707" s="74">
        <f>SUMIF($G706:$T706,"O",$G707:$T707)+SUMIF($W706:$AJ706,"O",$W707:$AJ707)</f>
        <v>0</v>
      </c>
      <c r="AS707" s="75">
        <f>SUM(AM707:AR707)</f>
        <v>80</v>
      </c>
      <c r="AT707" s="72"/>
      <c r="AU707" s="73">
        <f>SUMIF($G706:$T706,"A",$G707:$T707)+SUMIF($W706:$AJ706,"A",$W707:$AJ707)</f>
        <v>0</v>
      </c>
      <c r="AV707" s="72"/>
      <c r="AW707" s="76">
        <f>IF(B707="",0,IF($U$9="",0,$U$9))</f>
        <v>80</v>
      </c>
      <c r="BA707" s="2"/>
      <c r="BB707" s="2"/>
      <c r="BC707" s="101"/>
      <c r="BD707" s="101"/>
    </row>
    <row r="708" spans="1:56" s="84" customFormat="1" x14ac:dyDescent="0.35">
      <c r="B708" s="26"/>
      <c r="C708" s="27"/>
      <c r="D708" s="28">
        <f>IF(D634="","",D634)</f>
        <v>23930</v>
      </c>
      <c r="E708" s="29" t="str">
        <f t="shared" si="293"/>
        <v/>
      </c>
      <c r="F708" s="50">
        <f>B675</f>
        <v>19</v>
      </c>
      <c r="G708" s="59"/>
      <c r="H708" s="64"/>
      <c r="I708" s="106"/>
      <c r="J708" s="105"/>
      <c r="K708" s="106"/>
      <c r="L708" s="105"/>
      <c r="M708" s="106"/>
      <c r="N708" s="105"/>
      <c r="O708" s="106"/>
      <c r="P708" s="105"/>
      <c r="Q708" s="106"/>
      <c r="R708" s="105"/>
      <c r="S708" s="59"/>
      <c r="T708" s="64"/>
      <c r="U708" s="44"/>
      <c r="W708" s="59"/>
      <c r="X708" s="64"/>
      <c r="Y708" s="106"/>
      <c r="Z708" s="105" t="s">
        <v>13</v>
      </c>
      <c r="AA708" s="106"/>
      <c r="AB708" s="105"/>
      <c r="AC708" s="106"/>
      <c r="AD708" s="105"/>
      <c r="AE708" s="106"/>
      <c r="AF708" s="105"/>
      <c r="AG708" s="106"/>
      <c r="AH708" s="105"/>
      <c r="AI708" s="59"/>
      <c r="AJ708" s="64"/>
      <c r="AK708" s="44"/>
      <c r="AM708" s="49"/>
      <c r="AN708" s="49"/>
      <c r="AO708" s="49"/>
      <c r="AP708" s="49"/>
      <c r="AQ708" s="49"/>
      <c r="AR708" s="40"/>
      <c r="AS708" s="51"/>
      <c r="AU708" s="49"/>
      <c r="AW708" s="52"/>
      <c r="BA708" s="2"/>
      <c r="BB708" s="2"/>
      <c r="BC708" s="101"/>
      <c r="BD708" s="101"/>
    </row>
    <row r="709" spans="1:56" s="84" customFormat="1" x14ac:dyDescent="0.35">
      <c r="B709" s="30" t="str">
        <f>IF(B635="","",B635)</f>
        <v>Martinez Parada, José Francisco</v>
      </c>
      <c r="C709" s="31"/>
      <c r="D709" s="32"/>
      <c r="E709" s="33">
        <f t="shared" si="293"/>
        <v>93545</v>
      </c>
      <c r="F709" s="50">
        <f>B675</f>
        <v>19</v>
      </c>
      <c r="G709" s="69"/>
      <c r="H709" s="70"/>
      <c r="I709" s="104"/>
      <c r="J709" s="103">
        <v>8</v>
      </c>
      <c r="K709" s="104"/>
      <c r="L709" s="103">
        <v>8</v>
      </c>
      <c r="M709" s="104"/>
      <c r="N709" s="103">
        <v>8</v>
      </c>
      <c r="O709" s="104"/>
      <c r="P709" s="103">
        <v>8</v>
      </c>
      <c r="Q709" s="104"/>
      <c r="R709" s="103">
        <v>8</v>
      </c>
      <c r="S709" s="69"/>
      <c r="T709" s="70"/>
      <c r="U709" s="71">
        <f t="shared" ref="U709" si="307">SUM(G709:T709)</f>
        <v>40</v>
      </c>
      <c r="V709" s="72"/>
      <c r="W709" s="69"/>
      <c r="X709" s="70"/>
      <c r="Y709" s="104"/>
      <c r="Z709" s="103">
        <v>8</v>
      </c>
      <c r="AA709" s="104"/>
      <c r="AB709" s="103">
        <v>8</v>
      </c>
      <c r="AC709" s="104"/>
      <c r="AD709" s="103">
        <v>8</v>
      </c>
      <c r="AE709" s="104"/>
      <c r="AF709" s="103">
        <v>8</v>
      </c>
      <c r="AG709" s="104"/>
      <c r="AH709" s="103">
        <v>8</v>
      </c>
      <c r="AI709" s="69"/>
      <c r="AJ709" s="70"/>
      <c r="AK709" s="71">
        <f>SUM(W709:AJ709)</f>
        <v>40</v>
      </c>
      <c r="AL709" s="72"/>
      <c r="AM709" s="73">
        <f>SUMIF($G708:$T708,"",$G709:$T709)+SUMIF($W708:$AJ708,"",$W709:$AJ709)-AN709</f>
        <v>72</v>
      </c>
      <c r="AN709" s="88">
        <f>IF(SUMIF($G708:$T708,"",$G709:$T709)+SUMIF($G708:$T708,"F",$G709:$T709)+SUMIF($G708:$T708,"V",$G709:$T709)-40&lt;0,0,SUMIF($G708:$T708,"",$G709:$T709)+SUMIF($G708:$T708,"F",$G709:$T709)+SUMIF($G708:$T708,"V",$G709:$T709)-($U$9/2))+IF(SUMIF($W708:$AJ708,"",$W709:$AJ709)+SUMIF($W708:$AJ708,"F",$W709:$AJ709)+SUMIF($W708:$AJ708,"V",$W709:$AJ709)-40&lt;0,0,SUMIF($W708:$AJ708,"",$W709:$AJ709)+SUMIF($W708:$AJ708,"F",$W709:$AJ709)+SUMIF($W708:$AJ708,"V",$W709:$AJ709)-($U$9/2))</f>
        <v>0</v>
      </c>
      <c r="AO709" s="73">
        <f>SUMIF($G708:$T708,"M",$G709:$T709)+SUMIF($W708:$AJ708,"M",$W709:$AJ709)</f>
        <v>0</v>
      </c>
      <c r="AP709" s="73">
        <f>SUMIF($G708:$T708,"F",$G709:$T709)+SUMIF($W708:$AJ708,"F",$W709:$AJ709)</f>
        <v>8</v>
      </c>
      <c r="AQ709" s="73">
        <f>SUMIF($G708:$T708,"V",$G709:$T709)+SUMIF($W708:$AJ708,"V",$W709:$AJ709)</f>
        <v>0</v>
      </c>
      <c r="AR709" s="74">
        <f>SUMIF($G708:$T708,"O",$G709:$T709)+SUMIF($W708:$AJ708,"O",$W709:$AJ709)</f>
        <v>0</v>
      </c>
      <c r="AS709" s="75">
        <f>SUM(AM709:AR709)</f>
        <v>80</v>
      </c>
      <c r="AT709" s="72"/>
      <c r="AU709" s="73">
        <f>SUMIF($G708:$T708,"A",$G709:$T709)+SUMIF($W708:$AJ708,"A",$W709:$AJ709)</f>
        <v>0</v>
      </c>
      <c r="AV709" s="72"/>
      <c r="AW709" s="76">
        <f>IF(B709="",0,IF($U$9="",0,$U$9))</f>
        <v>80</v>
      </c>
      <c r="BA709" s="2"/>
      <c r="BB709" s="2"/>
      <c r="BC709" s="101"/>
      <c r="BD709" s="101"/>
    </row>
    <row r="710" spans="1:56" s="84" customFormat="1" x14ac:dyDescent="0.35">
      <c r="B710" s="26"/>
      <c r="C710" s="27"/>
      <c r="D710" s="28">
        <f>IF(D636="","",D636)</f>
        <v>11792</v>
      </c>
      <c r="E710" s="29" t="str">
        <f t="shared" si="293"/>
        <v/>
      </c>
      <c r="F710" s="50">
        <f>B675</f>
        <v>19</v>
      </c>
      <c r="G710" s="59"/>
      <c r="H710" s="64"/>
      <c r="I710" s="106"/>
      <c r="J710" s="105"/>
      <c r="K710" s="106"/>
      <c r="L710" s="105"/>
      <c r="M710" s="106"/>
      <c r="N710" s="105"/>
      <c r="O710" s="106"/>
      <c r="P710" s="105"/>
      <c r="Q710" s="106"/>
      <c r="R710" s="105"/>
      <c r="S710" s="59"/>
      <c r="T710" s="64"/>
      <c r="U710" s="44"/>
      <c r="W710" s="59"/>
      <c r="X710" s="64"/>
      <c r="Y710" s="106"/>
      <c r="Z710" s="105" t="s">
        <v>13</v>
      </c>
      <c r="AA710" s="106"/>
      <c r="AB710" s="105"/>
      <c r="AC710" s="106"/>
      <c r="AD710" s="105"/>
      <c r="AE710" s="106"/>
      <c r="AF710" s="105"/>
      <c r="AG710" s="106"/>
      <c r="AH710" s="105"/>
      <c r="AI710" s="59"/>
      <c r="AJ710" s="64"/>
      <c r="AK710" s="44"/>
      <c r="AM710" s="49"/>
      <c r="AN710" s="49"/>
      <c r="AO710" s="49"/>
      <c r="AP710" s="49"/>
      <c r="AQ710" s="49"/>
      <c r="AR710" s="40"/>
      <c r="AS710" s="51"/>
      <c r="AU710" s="49"/>
      <c r="AW710" s="52"/>
      <c r="BA710" s="2"/>
      <c r="BB710" s="2"/>
      <c r="BC710" s="101"/>
      <c r="BD710" s="101"/>
    </row>
    <row r="711" spans="1:56" s="84" customFormat="1" x14ac:dyDescent="0.35">
      <c r="B711" s="30" t="str">
        <f>IF(B637="","",B637)</f>
        <v>Pellerin, Pierre</v>
      </c>
      <c r="C711" s="31"/>
      <c r="D711" s="32"/>
      <c r="E711" s="33">
        <f t="shared" si="293"/>
        <v>93595935</v>
      </c>
      <c r="F711" s="50">
        <f>B675</f>
        <v>19</v>
      </c>
      <c r="G711" s="69"/>
      <c r="H711" s="70"/>
      <c r="I711" s="104"/>
      <c r="J711" s="103">
        <v>8</v>
      </c>
      <c r="K711" s="104"/>
      <c r="L711" s="103">
        <v>8</v>
      </c>
      <c r="M711" s="104"/>
      <c r="N711" s="103">
        <v>8</v>
      </c>
      <c r="O711" s="104"/>
      <c r="P711" s="103">
        <v>8</v>
      </c>
      <c r="Q711" s="104"/>
      <c r="R711" s="103">
        <v>8</v>
      </c>
      <c r="S711" s="69"/>
      <c r="T711" s="70"/>
      <c r="U711" s="71">
        <f t="shared" ref="U711" si="308">SUM(G711:T711)</f>
        <v>40</v>
      </c>
      <c r="V711" s="72"/>
      <c r="W711" s="69"/>
      <c r="X711" s="70"/>
      <c r="Y711" s="104"/>
      <c r="Z711" s="103">
        <v>8</v>
      </c>
      <c r="AA711" s="104"/>
      <c r="AB711" s="103">
        <v>8</v>
      </c>
      <c r="AC711" s="104"/>
      <c r="AD711" s="103">
        <v>8</v>
      </c>
      <c r="AE711" s="104"/>
      <c r="AF711" s="103">
        <v>8</v>
      </c>
      <c r="AG711" s="104"/>
      <c r="AH711" s="103">
        <v>8</v>
      </c>
      <c r="AI711" s="69"/>
      <c r="AJ711" s="70"/>
      <c r="AK711" s="71">
        <f>SUM(Z711:AH711)</f>
        <v>40</v>
      </c>
      <c r="AL711" s="72"/>
      <c r="AM711" s="73">
        <f>SUMIF($G710:$T710,"",$G711:$T711)+SUMIF($W710:$AJ710,"",$W711:$AJ711)-AN711</f>
        <v>72</v>
      </c>
      <c r="AN711" s="88">
        <f>IF(SUMIF($G710:$T710,"",$G711:$T711)+SUMIF($G710:$T710,"F",$G711:$T711)+SUMIF($G710:$T710,"V",$G711:$T711)-40&lt;0,0,SUMIF($G710:$T710,"",$G711:$T711)+SUMIF($G710:$T710,"F",$G711:$T711)+SUMIF($G710:$T710,"V",$G711:$T711)-($U$9/2))+IF(SUMIF($W710:$AJ710,"",$W711:$AJ711)+SUMIF($W710:$AJ710,"F",$W711:$AJ711)+SUMIF($W710:$AJ710,"V",$W711:$AJ711)-40&lt;0,0,SUMIF($W710:$AJ710,"",$W711:$AJ711)+SUMIF($W710:$AJ710,"F",$W711:$AJ711)+SUMIF($W710:$AJ710,"V",$W711:$AJ711)-($U$9/2))</f>
        <v>0</v>
      </c>
      <c r="AO711" s="73">
        <f>SUMIF($G710:$T710,"M",$G711:$T711)+SUMIF($W710:$AJ710,"M",$W711:$AJ711)</f>
        <v>0</v>
      </c>
      <c r="AP711" s="73">
        <f>SUMIF($G710:$T710,"F",$G711:$T711)+SUMIF($W710:$AJ710,"F",$W711:$AJ711)</f>
        <v>8</v>
      </c>
      <c r="AQ711" s="73">
        <f>SUMIF($G710:$T710,"V",$G711:$T711)+SUMIF($W710:$AJ710,"V",$W711:$AJ711)</f>
        <v>0</v>
      </c>
      <c r="AR711" s="74">
        <f>SUMIF($G710:$T710,"O",$G711:$T711)+SUMIF($W710:$AJ710,"O",$W711:$AJ711)</f>
        <v>0</v>
      </c>
      <c r="AS711" s="75">
        <f>SUM(AM711:AR711)</f>
        <v>80</v>
      </c>
      <c r="AT711" s="72"/>
      <c r="AU711" s="73">
        <f>SUMIF($G710:$T710,"A",$G711:$T711)+SUMIF($W710:$AJ710,"A",$W711:$AJ711)</f>
        <v>0</v>
      </c>
      <c r="AV711" s="72"/>
      <c r="AW711" s="76">
        <f>IF(B711="",0,IF($U$9="",0,$U$9))</f>
        <v>80</v>
      </c>
      <c r="BA711" s="2"/>
      <c r="BB711" s="2"/>
      <c r="BC711" s="101"/>
      <c r="BD711" s="101"/>
    </row>
    <row r="712" spans="1:56" s="84" customFormat="1" x14ac:dyDescent="0.35">
      <c r="B712" s="26"/>
      <c r="C712" s="27"/>
      <c r="D712" s="28">
        <f>IF(D638="","",D638)</f>
        <v>81043</v>
      </c>
      <c r="E712" s="29" t="str">
        <f t="shared" si="293"/>
        <v/>
      </c>
      <c r="F712" s="50">
        <f>B675</f>
        <v>19</v>
      </c>
      <c r="G712" s="59"/>
      <c r="H712" s="64"/>
      <c r="I712" s="106"/>
      <c r="J712" s="105"/>
      <c r="K712" s="106"/>
      <c r="L712" s="105"/>
      <c r="M712" s="106"/>
      <c r="N712" s="105"/>
      <c r="O712" s="106"/>
      <c r="P712" s="105"/>
      <c r="Q712" s="106"/>
      <c r="R712" s="105" t="s">
        <v>1</v>
      </c>
      <c r="S712" s="59"/>
      <c r="T712" s="64"/>
      <c r="U712" s="44"/>
      <c r="W712" s="59"/>
      <c r="X712" s="64"/>
      <c r="Y712" s="106"/>
      <c r="Z712" s="105" t="s">
        <v>13</v>
      </c>
      <c r="AA712" s="106"/>
      <c r="AB712" s="105"/>
      <c r="AC712" s="106"/>
      <c r="AD712" s="105"/>
      <c r="AE712" s="106"/>
      <c r="AF712" s="105"/>
      <c r="AG712" s="106"/>
      <c r="AH712" s="105"/>
      <c r="AI712" s="59"/>
      <c r="AJ712" s="64"/>
      <c r="AK712" s="44"/>
      <c r="AM712" s="49"/>
      <c r="AN712" s="49"/>
      <c r="AO712" s="49"/>
      <c r="AP712" s="49"/>
      <c r="AQ712" s="49"/>
      <c r="AR712" s="40"/>
      <c r="AS712" s="51"/>
      <c r="AU712" s="49"/>
      <c r="AW712" s="52"/>
      <c r="BA712" s="2"/>
      <c r="BB712" s="2"/>
      <c r="BC712" s="101"/>
      <c r="BD712" s="101"/>
    </row>
    <row r="713" spans="1:56" s="84" customFormat="1" x14ac:dyDescent="0.35">
      <c r="B713" s="30" t="str">
        <f>IF(B639="","",B639)</f>
        <v>Rodrigue, Frank</v>
      </c>
      <c r="C713" s="31"/>
      <c r="D713" s="32"/>
      <c r="E713" s="33">
        <f t="shared" ref="E713:E729" si="309">IF(E639="","",E639)</f>
        <v>93545</v>
      </c>
      <c r="F713" s="50">
        <f>B675</f>
        <v>19</v>
      </c>
      <c r="G713" s="69"/>
      <c r="H713" s="70"/>
      <c r="I713" s="104"/>
      <c r="J713" s="103">
        <v>8</v>
      </c>
      <c r="K713" s="104"/>
      <c r="L713" s="103">
        <v>8</v>
      </c>
      <c r="M713" s="104"/>
      <c r="N713" s="103">
        <v>8</v>
      </c>
      <c r="O713" s="104"/>
      <c r="P713" s="103">
        <v>8</v>
      </c>
      <c r="Q713" s="104"/>
      <c r="R713" s="103">
        <v>8</v>
      </c>
      <c r="S713" s="69"/>
      <c r="T713" s="70"/>
      <c r="U713" s="71">
        <f t="shared" ref="U713" si="310">SUM(G713:T713)</f>
        <v>40</v>
      </c>
      <c r="V713" s="72"/>
      <c r="W713" s="69"/>
      <c r="X713" s="70"/>
      <c r="Y713" s="104"/>
      <c r="Z713" s="103">
        <v>8</v>
      </c>
      <c r="AA713" s="104"/>
      <c r="AB713" s="103">
        <v>8</v>
      </c>
      <c r="AC713" s="104"/>
      <c r="AD713" s="103">
        <v>8</v>
      </c>
      <c r="AE713" s="104"/>
      <c r="AF713" s="103">
        <v>8</v>
      </c>
      <c r="AG713" s="104"/>
      <c r="AH713" s="103">
        <v>8</v>
      </c>
      <c r="AI713" s="69"/>
      <c r="AJ713" s="70"/>
      <c r="AK713" s="71">
        <f>SUM(W713:AJ713)</f>
        <v>40</v>
      </c>
      <c r="AL713" s="72"/>
      <c r="AM713" s="73">
        <f>SUMIF($G712:$T712,"",$G713:$T713)+SUMIF($W712:$AJ712,"",$W713:$AJ713)-AN713</f>
        <v>64</v>
      </c>
      <c r="AN713" s="88">
        <f>IF(SUMIF($G712:$T712,"",$G713:$T713)+SUMIF($G712:$T712,"F",$G713:$T713)+SUMIF($G712:$T712,"V",$G713:$T713)-40&lt;0,0,SUMIF($G712:$T712,"",$G713:$T713)+SUMIF($G712:$T712,"F",$G713:$T713)+SUMIF($G712:$T712,"V",$G713:$T713)-($U$9/2))+IF(SUMIF($W712:$AJ712,"",$W713:$AJ713)+SUMIF($W712:$AJ712,"F",$W713:$AJ713)+SUMIF($W712:$AJ712,"V",$W713:$AJ713)-40&lt;0,0,SUMIF($W712:$AJ712,"",$W713:$AJ713)+SUMIF($W712:$AJ712,"F",$W713:$AJ713)+SUMIF($W712:$AJ712,"V",$W713:$AJ713)-($U$9/2))</f>
        <v>0</v>
      </c>
      <c r="AO713" s="73">
        <f>SUMIF($G712:$T712,"M",$G713:$T713)+SUMIF($W712:$AJ712,"M",$W713:$AJ713)</f>
        <v>0</v>
      </c>
      <c r="AP713" s="73">
        <f>SUMIF($G712:$T712,"F",$G713:$T713)+SUMIF($W712:$AJ712,"F",$W713:$AJ713)</f>
        <v>8</v>
      </c>
      <c r="AQ713" s="73">
        <f>SUMIF($G712:$T712,"V",$G713:$T713)+SUMIF($W712:$AJ712,"V",$W713:$AJ713)</f>
        <v>8</v>
      </c>
      <c r="AR713" s="74">
        <f>SUMIF($G712:$T712,"O",$G713:$T713)+SUMIF($W712:$AJ712,"O",$W713:$AJ713)</f>
        <v>0</v>
      </c>
      <c r="AS713" s="75">
        <f>SUM(AM713:AR713)</f>
        <v>80</v>
      </c>
      <c r="AT713" s="72"/>
      <c r="AU713" s="73">
        <f>SUMIF($G712:$T712,"A",$G713:$T713)+SUMIF($W712:$AJ712,"A",$W713:$AJ713)</f>
        <v>0</v>
      </c>
      <c r="AV713" s="72"/>
      <c r="AW713" s="76">
        <f>IF(B713="",0,IF($U$9="",0,$U$9))</f>
        <v>80</v>
      </c>
      <c r="BA713" s="2"/>
      <c r="BB713" s="2"/>
      <c r="BC713" s="101"/>
      <c r="BD713" s="101"/>
    </row>
    <row r="714" spans="1:56" s="84" customFormat="1" x14ac:dyDescent="0.35">
      <c r="B714" s="26"/>
      <c r="C714" s="27"/>
      <c r="D714" s="28">
        <f>IF(D640="","",D640)</f>
        <v>72673</v>
      </c>
      <c r="E714" s="29" t="str">
        <f t="shared" si="309"/>
        <v/>
      </c>
      <c r="F714" s="50">
        <f>B675</f>
        <v>19</v>
      </c>
      <c r="G714" s="59"/>
      <c r="H714" s="64"/>
      <c r="I714" s="106"/>
      <c r="J714" s="105"/>
      <c r="K714" s="106"/>
      <c r="L714" s="105"/>
      <c r="M714" s="106"/>
      <c r="N714" s="105"/>
      <c r="O714" s="106"/>
      <c r="P714" s="105"/>
      <c r="Q714" s="106"/>
      <c r="R714" s="105"/>
      <c r="S714" s="59"/>
      <c r="T714" s="64"/>
      <c r="U714" s="44"/>
      <c r="W714" s="59"/>
      <c r="X714" s="64"/>
      <c r="Y714" s="106"/>
      <c r="Z714" s="105"/>
      <c r="AA714" s="106"/>
      <c r="AB714" s="105"/>
      <c r="AC714" s="106"/>
      <c r="AD714" s="105"/>
      <c r="AE714" s="106"/>
      <c r="AF714" s="105"/>
      <c r="AG714" s="106"/>
      <c r="AH714" s="105"/>
      <c r="AI714" s="59"/>
      <c r="AJ714" s="64"/>
      <c r="AK714" s="44"/>
      <c r="AM714" s="49"/>
      <c r="AN714" s="49"/>
      <c r="AO714" s="49"/>
      <c r="AP714" s="49"/>
      <c r="AQ714" s="49"/>
      <c r="AR714" s="40"/>
      <c r="AS714" s="51"/>
      <c r="AU714" s="49"/>
      <c r="AW714" s="52"/>
      <c r="BA714" s="2"/>
      <c r="BB714" s="2"/>
      <c r="BC714" s="101"/>
      <c r="BD714" s="101"/>
    </row>
    <row r="715" spans="1:56" s="84" customFormat="1" x14ac:dyDescent="0.35">
      <c r="B715" s="30" t="str">
        <f>IF(B641="","",B641)</f>
        <v>St-Georges, Manuel (avance $2,000)</v>
      </c>
      <c r="C715" s="31"/>
      <c r="D715" s="32"/>
      <c r="E715" s="33">
        <f t="shared" si="309"/>
        <v>93595935</v>
      </c>
      <c r="F715" s="50">
        <f>B675</f>
        <v>19</v>
      </c>
      <c r="G715" s="69"/>
      <c r="H715" s="70"/>
      <c r="I715" s="104"/>
      <c r="J715" s="103" t="s">
        <v>69</v>
      </c>
      <c r="K715" s="104"/>
      <c r="L715" s="103" t="s">
        <v>69</v>
      </c>
      <c r="M715" s="104"/>
      <c r="N715" s="103" t="s">
        <v>69</v>
      </c>
      <c r="O715" s="104"/>
      <c r="P715" s="103" t="s">
        <v>69</v>
      </c>
      <c r="Q715" s="104"/>
      <c r="R715" s="103" t="s">
        <v>69</v>
      </c>
      <c r="S715" s="69"/>
      <c r="T715" s="70"/>
      <c r="U715" s="71">
        <f t="shared" ref="U715" si="311">SUM(G715:T715)</f>
        <v>0</v>
      </c>
      <c r="V715" s="72"/>
      <c r="W715" s="69"/>
      <c r="X715" s="70"/>
      <c r="Y715" s="104"/>
      <c r="Z715" s="103" t="s">
        <v>69</v>
      </c>
      <c r="AA715" s="104"/>
      <c r="AB715" s="103" t="s">
        <v>69</v>
      </c>
      <c r="AC715" s="104"/>
      <c r="AD715" s="103" t="s">
        <v>69</v>
      </c>
      <c r="AE715" s="104"/>
      <c r="AF715" s="103" t="s">
        <v>69</v>
      </c>
      <c r="AG715" s="104"/>
      <c r="AH715" s="103" t="s">
        <v>69</v>
      </c>
      <c r="AI715" s="69"/>
      <c r="AJ715" s="70"/>
      <c r="AK715" s="71">
        <f>SUM(W715:AJ715)</f>
        <v>0</v>
      </c>
      <c r="AL715" s="72"/>
      <c r="AM715" s="73">
        <f>SUMIF($G714:$T714,"",$G715:$T715)+SUMIF($W714:$AJ714,"",$W715:$AJ715)-AN715</f>
        <v>0</v>
      </c>
      <c r="AN715" s="88">
        <f>IF(SUMIF($G714:$T714,"",$G715:$T715)+SUMIF($G714:$T714,"F",$G715:$T715)+SUMIF($G714:$T714,"V",$G715:$T715)-40&lt;0,0,SUMIF($G714:$T714,"",$G715:$T715)+SUMIF($G714:$T714,"F",$G715:$T715)+SUMIF($G714:$T714,"V",$G715:$T715)-($U$9/2))+IF(SUMIF($W714:$AJ714,"",$W715:$AJ715)+SUMIF($W714:$AJ714,"F",$W715:$AJ715)+SUMIF($W714:$AJ714,"V",$W715:$AJ715)-40&lt;0,0,SUMIF($W714:$AJ714,"",$W715:$AJ715)+SUMIF($W714:$AJ714,"F",$W715:$AJ715)+SUMIF($W714:$AJ714,"V",$W715:$AJ715)-($U$9/2))</f>
        <v>0</v>
      </c>
      <c r="AO715" s="73">
        <f>SUMIF($G714:$T714,"M",$G715:$T715)+SUMIF($W714:$AJ714,"M",$W715:$AJ715)</f>
        <v>0</v>
      </c>
      <c r="AP715" s="73">
        <f>SUMIF($G714:$T714,"F",$G715:$T715)+SUMIF($W714:$AJ714,"F",$W715:$AJ715)</f>
        <v>0</v>
      </c>
      <c r="AQ715" s="73">
        <f>SUMIF($G714:$T714,"V",$G715:$T715)+SUMIF($W714:$AJ714,"V",$W715:$AJ715)</f>
        <v>0</v>
      </c>
      <c r="AR715" s="74">
        <f>SUMIF($G714:$T714,"O",$G715:$T715)+SUMIF($W714:$AJ714,"O",$W715:$AJ715)</f>
        <v>0</v>
      </c>
      <c r="AS715" s="75">
        <f>SUM(AM715:AR715)</f>
        <v>0</v>
      </c>
      <c r="AT715" s="72"/>
      <c r="AU715" s="73">
        <f>SUMIF($G714:$T714,"A",$G715:$T715)+SUMIF($W714:$AJ714,"A",$W715:$AJ715)</f>
        <v>0</v>
      </c>
      <c r="AV715" s="72"/>
      <c r="AW715" s="76">
        <f>IF(B715="",0,IF($U$9="",0,$U$9))</f>
        <v>80</v>
      </c>
      <c r="BA715" s="2"/>
      <c r="BB715" s="2"/>
      <c r="BC715" s="101"/>
      <c r="BD715" s="101"/>
    </row>
    <row r="716" spans="1:56" s="84" customFormat="1" x14ac:dyDescent="0.35">
      <c r="B716" s="26"/>
      <c r="C716" s="27"/>
      <c r="D716" s="28" t="str">
        <f>IF(D642="","",D642)</f>
        <v/>
      </c>
      <c r="E716" s="29" t="str">
        <f t="shared" si="309"/>
        <v/>
      </c>
      <c r="F716" s="50">
        <f>B675</f>
        <v>19</v>
      </c>
      <c r="G716" s="59"/>
      <c r="H716" s="64"/>
      <c r="I716" s="106"/>
      <c r="J716" s="105"/>
      <c r="K716" s="106"/>
      <c r="L716" s="105"/>
      <c r="M716" s="106"/>
      <c r="N716" s="105"/>
      <c r="O716" s="106"/>
      <c r="P716" s="105"/>
      <c r="Q716" s="106"/>
      <c r="R716" s="105"/>
      <c r="S716" s="59"/>
      <c r="T716" s="64"/>
      <c r="U716" s="44"/>
      <c r="W716" s="59"/>
      <c r="X716" s="64"/>
      <c r="Y716" s="106"/>
      <c r="Z716" s="105"/>
      <c r="AA716" s="106"/>
      <c r="AB716" s="105"/>
      <c r="AC716" s="106"/>
      <c r="AD716" s="105"/>
      <c r="AE716" s="106"/>
      <c r="AF716" s="105"/>
      <c r="AG716" s="106"/>
      <c r="AH716" s="105"/>
      <c r="AI716" s="59"/>
      <c r="AJ716" s="64"/>
      <c r="AK716" s="44"/>
      <c r="AM716" s="49"/>
      <c r="AN716" s="49"/>
      <c r="AO716" s="49"/>
      <c r="AP716" s="49"/>
      <c r="AQ716" s="49"/>
      <c r="AR716" s="40"/>
      <c r="AS716" s="51"/>
      <c r="AU716" s="49"/>
      <c r="AW716" s="52"/>
      <c r="BA716" s="2"/>
      <c r="BB716" s="2"/>
      <c r="BC716" s="101"/>
      <c r="BD716" s="101"/>
    </row>
    <row r="717" spans="1:56" s="84" customFormat="1" x14ac:dyDescent="0.35">
      <c r="B717" s="30" t="str">
        <f>IF(B643="","",B643)</f>
        <v/>
      </c>
      <c r="C717" s="31"/>
      <c r="D717" s="32"/>
      <c r="E717" s="33" t="str">
        <f t="shared" si="309"/>
        <v/>
      </c>
      <c r="F717" s="50">
        <f>B675</f>
        <v>19</v>
      </c>
      <c r="G717" s="69"/>
      <c r="H717" s="70"/>
      <c r="I717" s="104"/>
      <c r="J717" s="103"/>
      <c r="K717" s="104"/>
      <c r="L717" s="103"/>
      <c r="M717" s="104"/>
      <c r="N717" s="103"/>
      <c r="O717" s="104"/>
      <c r="P717" s="103"/>
      <c r="Q717" s="104"/>
      <c r="R717" s="103"/>
      <c r="S717" s="69"/>
      <c r="T717" s="70"/>
      <c r="U717" s="71">
        <f t="shared" ref="U717" si="312">SUM(G717:T717)</f>
        <v>0</v>
      </c>
      <c r="V717" s="72"/>
      <c r="W717" s="69"/>
      <c r="X717" s="70"/>
      <c r="Y717" s="104"/>
      <c r="Z717" s="103"/>
      <c r="AA717" s="104"/>
      <c r="AB717" s="103"/>
      <c r="AC717" s="104"/>
      <c r="AD717" s="103"/>
      <c r="AE717" s="104"/>
      <c r="AF717" s="103"/>
      <c r="AG717" s="104"/>
      <c r="AH717" s="103"/>
      <c r="AI717" s="69"/>
      <c r="AJ717" s="70"/>
      <c r="AK717" s="71">
        <f>SUM(W717:AJ717)</f>
        <v>0</v>
      </c>
      <c r="AL717" s="72"/>
      <c r="AM717" s="73">
        <f>SUMIF($G716:$T716,"",$G717:$T717)+SUMIF($W716:$AJ716,"",$W717:$AJ717)-AN717</f>
        <v>0</v>
      </c>
      <c r="AN717" s="88">
        <f>IF(SUMIF($G716:$T716,"",$G717:$T717)+SUMIF($G716:$T716,"F",$G717:$T717)+SUMIF($G716:$T716,"V",$G717:$T717)-40&lt;0,0,SUMIF($G716:$T716,"",$G717:$T717)+SUMIF($G716:$T716,"F",$G717:$T717)+SUMIF($G716:$T716,"V",$G717:$T717)-($U$9/2))+IF(SUMIF($W716:$AJ716,"",$W717:$AJ717)+SUMIF($W716:$AJ716,"F",$W717:$AJ717)+SUMIF($W716:$AJ716,"V",$W717:$AJ717)-40&lt;0,0,SUMIF($W716:$AJ716,"",$W717:$AJ717)+SUMIF($W716:$AJ716,"F",$W717:$AJ717)+SUMIF($W716:$AJ716,"V",$W717:$AJ717)-($U$9/2))</f>
        <v>0</v>
      </c>
      <c r="AO717" s="73">
        <f>SUMIF($G716:$T716,"M",$G717:$T717)+SUMIF($W716:$AJ716,"M",$W717:$AJ717)</f>
        <v>0</v>
      </c>
      <c r="AP717" s="73">
        <f>SUMIF($G716:$T716,"F",$G717:$T717)+SUMIF($W716:$AJ716,"F",$W717:$AJ717)</f>
        <v>0</v>
      </c>
      <c r="AQ717" s="73">
        <f>SUMIF($G716:$T716,"V",$G717:$T717)+SUMIF($W716:$AJ716,"V",$W717:$AJ717)</f>
        <v>0</v>
      </c>
      <c r="AR717" s="74">
        <f>SUMIF($G716:$T716,"O",$G717:$T717)+SUMIF($W716:$AJ716,"O",$W717:$AJ717)</f>
        <v>0</v>
      </c>
      <c r="AS717" s="75">
        <f>SUM(AM717:AR717)</f>
        <v>0</v>
      </c>
      <c r="AT717" s="72"/>
      <c r="AU717" s="73">
        <f>SUMIF($G716:$T716,"A",$G717:$T717)+SUMIF($W716:$AJ716,"A",$W717:$AJ717)</f>
        <v>0</v>
      </c>
      <c r="AV717" s="72"/>
      <c r="AW717" s="76">
        <f>IF(B717="",0,IF($U$9="",0,$U$9))</f>
        <v>0</v>
      </c>
      <c r="BA717" s="2"/>
      <c r="BB717" s="2"/>
      <c r="BC717" s="101"/>
      <c r="BD717" s="101"/>
    </row>
    <row r="718" spans="1:56" s="84" customFormat="1" x14ac:dyDescent="0.35">
      <c r="B718" s="26"/>
      <c r="C718" s="27"/>
      <c r="D718" s="28">
        <f>IF(D644="","",D644)</f>
        <v>23736</v>
      </c>
      <c r="E718" s="29" t="str">
        <f t="shared" si="309"/>
        <v/>
      </c>
      <c r="F718" s="50">
        <f>B675</f>
        <v>19</v>
      </c>
      <c r="G718" s="59"/>
      <c r="H718" s="64"/>
      <c r="I718" s="106"/>
      <c r="J718" s="105"/>
      <c r="K718" s="106"/>
      <c r="L718" s="105"/>
      <c r="M718" s="106"/>
      <c r="N718" s="105"/>
      <c r="O718" s="106"/>
      <c r="P718" s="105"/>
      <c r="Q718" s="106"/>
      <c r="R718" s="105"/>
      <c r="S718" s="59"/>
      <c r="T718" s="64"/>
      <c r="U718" s="44"/>
      <c r="W718" s="59"/>
      <c r="X718" s="64"/>
      <c r="Y718" s="106"/>
      <c r="Z718" s="105" t="s">
        <v>13</v>
      </c>
      <c r="AA718" s="106"/>
      <c r="AB718" s="105"/>
      <c r="AC718" s="106"/>
      <c r="AD718" s="105"/>
      <c r="AE718" s="106"/>
      <c r="AF718" s="105"/>
      <c r="AG718" s="106"/>
      <c r="AH718" s="105" t="s">
        <v>1</v>
      </c>
      <c r="AI718" s="59"/>
      <c r="AJ718" s="64"/>
      <c r="AK718" s="44"/>
      <c r="AM718" s="49"/>
      <c r="AN718" s="49"/>
      <c r="AO718" s="49"/>
      <c r="AP718" s="49"/>
      <c r="AQ718" s="49"/>
      <c r="AR718" s="40"/>
      <c r="AS718" s="51"/>
      <c r="AU718" s="49"/>
      <c r="AW718" s="52"/>
      <c r="BA718" s="2"/>
      <c r="BB718" s="2"/>
      <c r="BC718" s="101"/>
      <c r="BD718" s="101"/>
    </row>
    <row r="719" spans="1:56" s="84" customFormat="1" x14ac:dyDescent="0.35">
      <c r="B719" s="30" t="str">
        <f>IF(B645="","",B645)</f>
        <v>Voster, Jean-Michel</v>
      </c>
      <c r="C719" s="31"/>
      <c r="D719" s="32"/>
      <c r="E719" s="33">
        <f t="shared" si="309"/>
        <v>93545</v>
      </c>
      <c r="F719" s="50">
        <f>B675</f>
        <v>19</v>
      </c>
      <c r="G719" s="69"/>
      <c r="H719" s="70"/>
      <c r="I719" s="104"/>
      <c r="J719" s="103">
        <v>8</v>
      </c>
      <c r="K719" s="104"/>
      <c r="L719" s="103">
        <v>7.75</v>
      </c>
      <c r="M719" s="104"/>
      <c r="N719" s="103">
        <v>8.25</v>
      </c>
      <c r="O719" s="104"/>
      <c r="P719" s="103">
        <v>8.5</v>
      </c>
      <c r="Q719" s="104"/>
      <c r="R719" s="103">
        <v>8</v>
      </c>
      <c r="S719" s="69"/>
      <c r="T719" s="70"/>
      <c r="U719" s="71">
        <f t="shared" ref="U719" si="313">SUM(G719:T719)</f>
        <v>40.5</v>
      </c>
      <c r="V719" s="72"/>
      <c r="W719" s="69"/>
      <c r="X719" s="70"/>
      <c r="Y719" s="104"/>
      <c r="Z719" s="103">
        <v>8</v>
      </c>
      <c r="AA719" s="104"/>
      <c r="AB719" s="103">
        <v>7.5</v>
      </c>
      <c r="AC719" s="104"/>
      <c r="AD719" s="103">
        <v>6.75</v>
      </c>
      <c r="AE719" s="104"/>
      <c r="AF719" s="103">
        <v>7.75</v>
      </c>
      <c r="AG719" s="104"/>
      <c r="AH719" s="103">
        <v>8</v>
      </c>
      <c r="AI719" s="69"/>
      <c r="AJ719" s="70"/>
      <c r="AK719" s="71">
        <f>SUM(W719:AJ719)</f>
        <v>38</v>
      </c>
      <c r="AL719" s="72"/>
      <c r="AM719" s="73">
        <f>SUMIF($G718:$T718,"",$G719:$T719)+SUMIF($W718:$AJ718,"",$W719:$AJ719)-AN719</f>
        <v>62</v>
      </c>
      <c r="AN719" s="88">
        <f>IF(SUMIF($G718:$T718,"",$G719:$T719)+SUMIF($G718:$T718,"F",$G719:$T719)+SUMIF($G718:$T718,"V",$G719:$T719)-40&lt;0,0,SUMIF($G718:$T718,"",$G719:$T719)+SUMIF($G718:$T718,"F",$G719:$T719)+SUMIF($G718:$T718,"V",$G719:$T719)-($U$9/2))+IF(SUMIF($W718:$AJ718,"",$W719:$AJ719)+SUMIF($W718:$AJ718,"F",$W719:$AJ719)+SUMIF($W718:$AJ718,"V",$W719:$AJ719)-40&lt;0,0,SUMIF($W718:$AJ718,"",$W719:$AJ719)+SUMIF($W718:$AJ718,"F",$W719:$AJ719)+SUMIF($W718:$AJ718,"V",$W719:$AJ719)-($U$9/2))</f>
        <v>0.5</v>
      </c>
      <c r="AO719" s="73">
        <f>SUMIF($G718:$T718,"M",$G719:$T719)+SUMIF($W718:$AJ718,"M",$W719:$AJ719)</f>
        <v>0</v>
      </c>
      <c r="AP719" s="73">
        <f>SUMIF($G718:$T718,"F",$G719:$T719)+SUMIF($W718:$AJ718,"F",$W719:$AJ719)</f>
        <v>8</v>
      </c>
      <c r="AQ719" s="73">
        <f>SUMIF($G718:$T718,"V",$G719:$T719)+SUMIF($W718:$AJ718,"V",$W719:$AJ719)</f>
        <v>8</v>
      </c>
      <c r="AR719" s="74">
        <f>SUMIF($G718:$T718,"O",$G719:$T719)+SUMIF($W718:$AJ718,"O",$W719:$AJ719)</f>
        <v>0</v>
      </c>
      <c r="AS719" s="75">
        <f>SUM(AM719:AR719)</f>
        <v>78.5</v>
      </c>
      <c r="AT719" s="72"/>
      <c r="AU719" s="73">
        <f>SUMIF($G718:$T718,"A",$G719:$T719)+SUMIF($W718:$AJ718,"A",$W719:$AJ719)</f>
        <v>0</v>
      </c>
      <c r="AV719" s="72"/>
      <c r="AW719" s="76">
        <f>IF(B719="",0,IF($U$9="",0,$U$9))</f>
        <v>80</v>
      </c>
      <c r="BA719" s="2"/>
      <c r="BB719" s="2"/>
      <c r="BC719" s="101"/>
      <c r="BD719" s="101"/>
    </row>
    <row r="720" spans="1:56" s="53" customFormat="1" ht="15" customHeight="1" x14ac:dyDescent="0.35">
      <c r="A720" s="84"/>
      <c r="B720" s="26"/>
      <c r="C720" s="27"/>
      <c r="D720" s="28" t="str">
        <f>IF(D646="","",D646)</f>
        <v/>
      </c>
      <c r="E720" s="29" t="str">
        <f t="shared" si="309"/>
        <v/>
      </c>
      <c r="F720" s="50">
        <f>B675</f>
        <v>19</v>
      </c>
      <c r="G720" s="59"/>
      <c r="H720" s="64"/>
      <c r="I720" s="106"/>
      <c r="J720" s="105"/>
      <c r="K720" s="106"/>
      <c r="L720" s="105"/>
      <c r="M720" s="106"/>
      <c r="N720" s="105"/>
      <c r="O720" s="106"/>
      <c r="P720" s="105"/>
      <c r="Q720" s="106"/>
      <c r="R720" s="105"/>
      <c r="S720" s="59"/>
      <c r="T720" s="64"/>
      <c r="U720" s="44"/>
      <c r="V720" s="84"/>
      <c r="W720" s="59"/>
      <c r="X720" s="64"/>
      <c r="Y720" s="106"/>
      <c r="Z720" s="105"/>
      <c r="AA720" s="106"/>
      <c r="AB720" s="105"/>
      <c r="AC720" s="106"/>
      <c r="AD720" s="105"/>
      <c r="AE720" s="106"/>
      <c r="AF720" s="105"/>
      <c r="AG720" s="106"/>
      <c r="AH720" s="105"/>
      <c r="AI720" s="59"/>
      <c r="AJ720" s="64"/>
      <c r="AK720" s="44"/>
      <c r="AL720" s="84"/>
      <c r="AM720" s="49"/>
      <c r="AN720" s="49"/>
      <c r="AO720" s="49"/>
      <c r="AP720" s="49"/>
      <c r="AQ720" s="49"/>
      <c r="AR720" s="40"/>
      <c r="AS720" s="51"/>
      <c r="AT720" s="84"/>
      <c r="AU720" s="49"/>
      <c r="AV720" s="84"/>
      <c r="AW720" s="52"/>
      <c r="AX720" s="84"/>
      <c r="BA720" s="2"/>
      <c r="BB720" s="2"/>
      <c r="BC720" s="101"/>
      <c r="BD720" s="101"/>
    </row>
    <row r="721" spans="1:56" s="57" customFormat="1" ht="15" customHeight="1" x14ac:dyDescent="0.35">
      <c r="A721" s="84"/>
      <c r="B721" s="30" t="str">
        <f>IF(B647="","",B647)</f>
        <v/>
      </c>
      <c r="C721" s="31"/>
      <c r="D721" s="32"/>
      <c r="E721" s="33" t="str">
        <f t="shared" si="309"/>
        <v/>
      </c>
      <c r="F721" s="50">
        <f>B675</f>
        <v>19</v>
      </c>
      <c r="G721" s="69"/>
      <c r="H721" s="70"/>
      <c r="I721" s="104"/>
      <c r="J721" s="103"/>
      <c r="K721" s="104"/>
      <c r="L721" s="103"/>
      <c r="M721" s="104"/>
      <c r="N721" s="103"/>
      <c r="O721" s="104"/>
      <c r="P721" s="103"/>
      <c r="Q721" s="104"/>
      <c r="R721" s="103"/>
      <c r="S721" s="69"/>
      <c r="T721" s="70"/>
      <c r="U721" s="71">
        <f t="shared" ref="U721" si="314">SUM(G721:T721)</f>
        <v>0</v>
      </c>
      <c r="V721" s="72"/>
      <c r="W721" s="69"/>
      <c r="X721" s="70"/>
      <c r="Y721" s="104"/>
      <c r="Z721" s="103"/>
      <c r="AA721" s="104"/>
      <c r="AB721" s="103"/>
      <c r="AC721" s="104"/>
      <c r="AD721" s="103"/>
      <c r="AE721" s="104"/>
      <c r="AF721" s="103"/>
      <c r="AG721" s="104"/>
      <c r="AH721" s="103"/>
      <c r="AI721" s="69"/>
      <c r="AJ721" s="70"/>
      <c r="AK721" s="71">
        <f>SUM(W721:AJ721)</f>
        <v>0</v>
      </c>
      <c r="AL721" s="72"/>
      <c r="AM721" s="73">
        <f>SUMIF($G720:$T720,"",$G721:$T721)+SUMIF($W720:$AJ720,"",$W721:$AJ721)-AN721</f>
        <v>0</v>
      </c>
      <c r="AN721" s="88">
        <f>IF(SUMIF($G720:$T720,"",$G721:$T721)+SUMIF($G720:$T720,"F",$G721:$T721)+SUMIF($G720:$T720,"V",$G721:$T721)-40&lt;0,0,SUMIF($G720:$T720,"",$G721:$T721)+SUMIF($G720:$T720,"F",$G721:$T721)+SUMIF($G720:$T720,"V",$G721:$T721)-($U$9/2))+IF(SUMIF($W720:$AJ720,"",$W721:$AJ721)+SUMIF($W720:$AJ720,"F",$W721:$AJ721)+SUMIF($W720:$AJ720,"V",$W721:$AJ721)-40&lt;0,0,SUMIF($W720:$AJ720,"",$W721:$AJ721)+SUMIF($W720:$AJ720,"F",$W721:$AJ721)+SUMIF($W720:$AJ720,"V",$W721:$AJ721)-($U$9/2))</f>
        <v>0</v>
      </c>
      <c r="AO721" s="73">
        <f>SUMIF($G720:$T720,"M",$G721:$T721)+SUMIF($W720:$AJ720,"M",$W721:$AJ721)</f>
        <v>0</v>
      </c>
      <c r="AP721" s="73">
        <f>SUMIF($G720:$T720,"F",$G721:$T721)+SUMIF($W720:$AJ720,"F",$W721:$AJ721)</f>
        <v>0</v>
      </c>
      <c r="AQ721" s="73">
        <f>SUMIF($G720:$T720,"V",$G721:$T721)+SUMIF($W720:$AJ720,"V",$W721:$AJ721)</f>
        <v>0</v>
      </c>
      <c r="AR721" s="74">
        <f>SUMIF($G720:$T720,"O",$G721:$T721)+SUMIF($W720:$AJ720,"O",$W721:$AJ721)</f>
        <v>0</v>
      </c>
      <c r="AS721" s="75">
        <f>SUM(AM721:AR721)</f>
        <v>0</v>
      </c>
      <c r="AT721" s="72"/>
      <c r="AU721" s="73">
        <f>SUMIF($G720:$T720,"A",$G721:$T721)+SUMIF($W720:$AJ720,"A",$W721:$AJ721)</f>
        <v>0</v>
      </c>
      <c r="AV721" s="72"/>
      <c r="AW721" s="76">
        <f>IF(B721="",0,IF($U$9="",0,$U$9))</f>
        <v>0</v>
      </c>
      <c r="AX721" s="84"/>
      <c r="BA721" s="2"/>
      <c r="BB721" s="2"/>
      <c r="BC721" s="101"/>
      <c r="BD721" s="101"/>
    </row>
    <row r="722" spans="1:56" s="53" customFormat="1" ht="15" customHeight="1" x14ac:dyDescent="0.35">
      <c r="A722" s="84"/>
      <c r="B722" s="26"/>
      <c r="C722" s="27"/>
      <c r="D722" s="28" t="str">
        <f>IF(D648="","",D648)</f>
        <v/>
      </c>
      <c r="E722" s="29" t="str">
        <f t="shared" si="309"/>
        <v/>
      </c>
      <c r="F722" s="50">
        <f>B675</f>
        <v>19</v>
      </c>
      <c r="G722" s="59"/>
      <c r="H722" s="64"/>
      <c r="I722" s="106"/>
      <c r="J722" s="105"/>
      <c r="K722" s="106"/>
      <c r="L722" s="105"/>
      <c r="M722" s="106"/>
      <c r="N722" s="105"/>
      <c r="O722" s="106"/>
      <c r="P722" s="105"/>
      <c r="Q722" s="106"/>
      <c r="R722" s="105"/>
      <c r="S722" s="59"/>
      <c r="T722" s="64"/>
      <c r="U722" s="44"/>
      <c r="V722" s="84"/>
      <c r="W722" s="59"/>
      <c r="X722" s="64"/>
      <c r="Y722" s="106"/>
      <c r="Z722" s="105"/>
      <c r="AA722" s="106"/>
      <c r="AB722" s="105"/>
      <c r="AC722" s="106"/>
      <c r="AD722" s="105"/>
      <c r="AE722" s="106"/>
      <c r="AF722" s="105"/>
      <c r="AG722" s="106"/>
      <c r="AH722" s="105"/>
      <c r="AI722" s="59"/>
      <c r="AJ722" s="64"/>
      <c r="AK722" s="44"/>
      <c r="AL722" s="84"/>
      <c r="AM722" s="49"/>
      <c r="AN722" s="49"/>
      <c r="AO722" s="49"/>
      <c r="AP722" s="49"/>
      <c r="AQ722" s="49"/>
      <c r="AR722" s="40"/>
      <c r="AS722" s="51"/>
      <c r="AT722" s="84"/>
      <c r="AU722" s="49"/>
      <c r="AV722" s="84"/>
      <c r="AW722" s="52"/>
      <c r="AX722" s="84"/>
      <c r="BA722" s="2"/>
      <c r="BB722" s="2"/>
      <c r="BC722" s="101"/>
      <c r="BD722" s="101"/>
    </row>
    <row r="723" spans="1:56" s="53" customFormat="1" x14ac:dyDescent="0.35">
      <c r="A723" s="84"/>
      <c r="B723" s="30" t="str">
        <f>IF(B649="","",B649)</f>
        <v/>
      </c>
      <c r="C723" s="31"/>
      <c r="D723" s="32"/>
      <c r="E723" s="33" t="str">
        <f t="shared" si="309"/>
        <v/>
      </c>
      <c r="F723" s="50">
        <f>B675</f>
        <v>19</v>
      </c>
      <c r="G723" s="69"/>
      <c r="H723" s="70"/>
      <c r="I723" s="104"/>
      <c r="J723" s="103"/>
      <c r="K723" s="104"/>
      <c r="L723" s="103"/>
      <c r="M723" s="104"/>
      <c r="N723" s="103"/>
      <c r="O723" s="104"/>
      <c r="P723" s="103"/>
      <c r="Q723" s="104"/>
      <c r="R723" s="103"/>
      <c r="S723" s="69"/>
      <c r="T723" s="70"/>
      <c r="U723" s="71">
        <f t="shared" ref="U723" si="315">SUM(G723:T723)</f>
        <v>0</v>
      </c>
      <c r="V723" s="72"/>
      <c r="W723" s="69"/>
      <c r="X723" s="70"/>
      <c r="Y723" s="104"/>
      <c r="Z723" s="103"/>
      <c r="AA723" s="104"/>
      <c r="AB723" s="103"/>
      <c r="AC723" s="104"/>
      <c r="AD723" s="103"/>
      <c r="AE723" s="104"/>
      <c r="AF723" s="103"/>
      <c r="AG723" s="104"/>
      <c r="AH723" s="103"/>
      <c r="AI723" s="69"/>
      <c r="AJ723" s="70"/>
      <c r="AK723" s="71">
        <f>SUM(W723:AJ723)</f>
        <v>0</v>
      </c>
      <c r="AL723" s="72"/>
      <c r="AM723" s="73">
        <f>SUMIF($G722:$T722,"",$G723:$T723)+SUMIF($W722:$AJ722,"",$W723:$AJ723)-AN723</f>
        <v>0</v>
      </c>
      <c r="AN723" s="88">
        <f>IF(SUMIF($G722:$T722,"",$G723:$T723)+SUMIF($G722:$T722,"F",$G723:$T723)+SUMIF($G722:$T722,"V",$G723:$T723)-40&lt;0,0,SUMIF($G722:$T722,"",$G723:$T723)+SUMIF($G722:$T722,"F",$G723:$T723)+SUMIF($G722:$T722,"V",$G723:$T723)-($U$9/2))+IF(SUMIF($W722:$AJ722,"",$W723:$AJ723)+SUMIF($W722:$AJ722,"F",$W723:$AJ723)+SUMIF($W722:$AJ722,"V",$W723:$AJ723)-40&lt;0,0,SUMIF($W722:$AJ722,"",$W723:$AJ723)+SUMIF($W722:$AJ722,"F",$W723:$AJ723)+SUMIF($W722:$AJ722,"V",$W723:$AJ723)-($U$9/2))</f>
        <v>0</v>
      </c>
      <c r="AO723" s="73">
        <f>SUMIF($G722:$T722,"M",$G723:$T723)+SUMIF($W722:$AJ722,"M",$W723:$AJ723)</f>
        <v>0</v>
      </c>
      <c r="AP723" s="73">
        <f>SUMIF($G722:$T722,"F",$G723:$T723)+SUMIF($W722:$AJ722,"F",$W723:$AJ723)</f>
        <v>0</v>
      </c>
      <c r="AQ723" s="73">
        <f>SUMIF($G722:$T722,"V",$G723:$T723)+SUMIF($W722:$AJ722,"V",$W723:$AJ723)</f>
        <v>0</v>
      </c>
      <c r="AR723" s="74">
        <f>SUMIF($G722:$T722,"O",$G723:$T723)+SUMIF($W722:$AJ722,"O",$W723:$AJ723)</f>
        <v>0</v>
      </c>
      <c r="AS723" s="75">
        <f>SUM(AM723:AR723)</f>
        <v>0</v>
      </c>
      <c r="AT723" s="72"/>
      <c r="AU723" s="73">
        <f>SUMIF($G722:$T722,"A",$G723:$T723)+SUMIF($W722:$AJ722,"A",$W723:$AJ723)</f>
        <v>0</v>
      </c>
      <c r="AV723" s="72"/>
      <c r="AW723" s="76">
        <f>IF(B723="",0,IF($U$9="",0,$U$9))</f>
        <v>0</v>
      </c>
      <c r="AX723" s="84"/>
      <c r="BA723" s="2"/>
      <c r="BB723" s="2"/>
      <c r="BC723" s="101"/>
      <c r="BD723" s="101"/>
    </row>
    <row r="724" spans="1:56" s="53" customFormat="1" x14ac:dyDescent="0.35">
      <c r="A724" s="84"/>
      <c r="B724" s="26"/>
      <c r="C724" s="27"/>
      <c r="D724" s="28" t="str">
        <f>IF(D650="","",D650)</f>
        <v/>
      </c>
      <c r="E724" s="29" t="str">
        <f t="shared" si="309"/>
        <v/>
      </c>
      <c r="F724" s="50">
        <f>B675</f>
        <v>19</v>
      </c>
      <c r="G724" s="59"/>
      <c r="H724" s="64"/>
      <c r="I724" s="58"/>
      <c r="J724" s="65"/>
      <c r="K724" s="58"/>
      <c r="L724" s="65"/>
      <c r="M724" s="58"/>
      <c r="N724" s="65"/>
      <c r="O724" s="58"/>
      <c r="P724" s="65"/>
      <c r="Q724" s="58"/>
      <c r="R724" s="65"/>
      <c r="S724" s="59"/>
      <c r="T724" s="64"/>
      <c r="U724" s="44"/>
      <c r="V724" s="84"/>
      <c r="W724" s="59"/>
      <c r="X724" s="64"/>
      <c r="Y724" s="58"/>
      <c r="Z724" s="65"/>
      <c r="AA724" s="58"/>
      <c r="AB724" s="65"/>
      <c r="AC724" s="58"/>
      <c r="AD724" s="65"/>
      <c r="AE724" s="58"/>
      <c r="AF724" s="65"/>
      <c r="AG724" s="58"/>
      <c r="AH724" s="65"/>
      <c r="AI724" s="59"/>
      <c r="AJ724" s="64"/>
      <c r="AK724" s="44"/>
      <c r="AL724" s="84"/>
      <c r="AM724" s="49"/>
      <c r="AN724" s="49"/>
      <c r="AO724" s="49"/>
      <c r="AP724" s="49"/>
      <c r="AQ724" s="49"/>
      <c r="AR724" s="40"/>
      <c r="AS724" s="51"/>
      <c r="AT724" s="84"/>
      <c r="AU724" s="49"/>
      <c r="AV724" s="84"/>
      <c r="AW724" s="52"/>
      <c r="AX724" s="84"/>
      <c r="BA724" s="2"/>
      <c r="BB724" s="2"/>
      <c r="BC724" s="101"/>
      <c r="BD724" s="101"/>
    </row>
    <row r="725" spans="1:56" s="53" customFormat="1" x14ac:dyDescent="0.35">
      <c r="A725" s="84"/>
      <c r="B725" s="30" t="str">
        <f>IF(B651="","",B651)</f>
        <v/>
      </c>
      <c r="C725" s="31"/>
      <c r="D725" s="32"/>
      <c r="E725" s="33" t="str">
        <f t="shared" si="309"/>
        <v/>
      </c>
      <c r="F725" s="50">
        <f>B675</f>
        <v>19</v>
      </c>
      <c r="G725" s="69"/>
      <c r="H725" s="70"/>
      <c r="I725" s="67"/>
      <c r="J725" s="68"/>
      <c r="K725" s="67"/>
      <c r="L725" s="68"/>
      <c r="M725" s="67"/>
      <c r="N725" s="68"/>
      <c r="O725" s="67"/>
      <c r="P725" s="68"/>
      <c r="Q725" s="67"/>
      <c r="R725" s="68"/>
      <c r="S725" s="69"/>
      <c r="T725" s="70"/>
      <c r="U725" s="71">
        <f t="shared" ref="U725" si="316">SUM(G725:T725)</f>
        <v>0</v>
      </c>
      <c r="V725" s="72"/>
      <c r="W725" s="69"/>
      <c r="X725" s="70"/>
      <c r="Y725" s="67"/>
      <c r="Z725" s="68"/>
      <c r="AA725" s="67"/>
      <c r="AB725" s="68"/>
      <c r="AC725" s="67"/>
      <c r="AD725" s="68"/>
      <c r="AE725" s="67"/>
      <c r="AF725" s="68"/>
      <c r="AG725" s="67"/>
      <c r="AH725" s="68"/>
      <c r="AI725" s="69"/>
      <c r="AJ725" s="70"/>
      <c r="AK725" s="71">
        <v>0</v>
      </c>
      <c r="AL725" s="72"/>
      <c r="AM725" s="73">
        <f>SUMIF($G724:$T724,"",$G725:$T725)+SUMIF($W724:$AJ724,"",$W725:$AJ725)-AN725</f>
        <v>0</v>
      </c>
      <c r="AN725" s="88">
        <f>IF(SUMIF($G724:$T724,"",$G725:$T725)+SUMIF($G724:$T724,"F",$G725:$T725)+SUMIF($G724:$T724,"V",$G725:$T725)-40&lt;0,0,SUMIF($G724:$T724,"",$G725:$T725)+SUMIF($G724:$T724,"F",$G725:$T725)+SUMIF($G724:$T724,"V",$G725:$T725)-($U$9/2))+IF(SUMIF($W724:$AJ724,"",$W725:$AJ725)+SUMIF($W724:$AJ724,"F",$W725:$AJ725)+SUMIF($W724:$AJ724,"V",$W725:$AJ725)-40&lt;0,0,SUMIF($W724:$AJ724,"",$W725:$AJ725)+SUMIF($W724:$AJ724,"F",$W725:$AJ725)+SUMIF($W724:$AJ724,"V",$W725:$AJ725)-($U$9/2))</f>
        <v>0</v>
      </c>
      <c r="AO725" s="73">
        <f>SUMIF($G724:$T724,"M",$G725:$T725)+SUMIF($W724:$AJ724,"M",$W725:$AJ725)</f>
        <v>0</v>
      </c>
      <c r="AP725" s="73">
        <f>SUMIF($G724:$T724,"F",$G725:$T725)+SUMIF($W724:$AJ724,"F",$W725:$AJ725)</f>
        <v>0</v>
      </c>
      <c r="AQ725" s="73">
        <f>SUMIF($G724:$T724,"V",$G725:$T725)+SUMIF($W724:$AJ724,"V",$W725:$AJ725)</f>
        <v>0</v>
      </c>
      <c r="AR725" s="74">
        <f>SUMIF($G724:$T724,"O",$G725:$T725)+SUMIF($W724:$AJ724,"O",$W725:$AJ725)</f>
        <v>0</v>
      </c>
      <c r="AS725" s="75">
        <f>SUM(AM725:AR725)</f>
        <v>0</v>
      </c>
      <c r="AT725" s="72"/>
      <c r="AU725" s="73">
        <f>SUMIF($G724:$T724,"A",$G725:$T725)+SUMIF($W724:$AJ724,"A",$W725:$AJ725)</f>
        <v>0</v>
      </c>
      <c r="AV725" s="72"/>
      <c r="AW725" s="76">
        <f>IF(B725="",0,IF($U$9="",0,$U$9))</f>
        <v>0</v>
      </c>
      <c r="AX725" s="84"/>
      <c r="BA725" s="2"/>
      <c r="BB725" s="2"/>
      <c r="BC725" s="101"/>
      <c r="BD725" s="101"/>
    </row>
    <row r="726" spans="1:56" s="53" customFormat="1" x14ac:dyDescent="0.35">
      <c r="A726" s="84"/>
      <c r="B726" s="26"/>
      <c r="C726" s="27"/>
      <c r="D726" s="28" t="str">
        <f>IF(D652="","",D652)</f>
        <v/>
      </c>
      <c r="E726" s="29" t="str">
        <f t="shared" si="309"/>
        <v/>
      </c>
      <c r="F726" s="50">
        <f>B675</f>
        <v>19</v>
      </c>
      <c r="G726" s="59"/>
      <c r="H726" s="64"/>
      <c r="I726" s="58"/>
      <c r="J726" s="65"/>
      <c r="K726" s="58"/>
      <c r="L726" s="65"/>
      <c r="M726" s="58"/>
      <c r="N726" s="65"/>
      <c r="O726" s="58"/>
      <c r="P726" s="65"/>
      <c r="Q726" s="58"/>
      <c r="R726" s="65"/>
      <c r="S726" s="59"/>
      <c r="T726" s="64"/>
      <c r="U726" s="44"/>
      <c r="V726" s="84"/>
      <c r="W726" s="59"/>
      <c r="X726" s="64"/>
      <c r="Y726" s="58"/>
      <c r="Z726" s="65"/>
      <c r="AA726" s="58"/>
      <c r="AB726" s="65"/>
      <c r="AC726" s="58"/>
      <c r="AD726" s="65"/>
      <c r="AE726" s="58"/>
      <c r="AF726" s="65"/>
      <c r="AG726" s="58"/>
      <c r="AH726" s="65"/>
      <c r="AI726" s="59"/>
      <c r="AJ726" s="64"/>
      <c r="AK726" s="44"/>
      <c r="AL726" s="84"/>
      <c r="AM726" s="49"/>
      <c r="AN726" s="49"/>
      <c r="AO726" s="49"/>
      <c r="AP726" s="49"/>
      <c r="AQ726" s="49"/>
      <c r="AR726" s="40"/>
      <c r="AS726" s="51"/>
      <c r="AT726" s="84"/>
      <c r="AU726" s="49"/>
      <c r="AV726" s="84"/>
      <c r="AW726" s="52"/>
      <c r="AX726" s="84"/>
      <c r="BA726" s="2"/>
      <c r="BB726" s="2"/>
      <c r="BC726" s="101"/>
      <c r="BD726" s="101"/>
    </row>
    <row r="727" spans="1:56" s="53" customFormat="1" x14ac:dyDescent="0.35">
      <c r="A727" s="84"/>
      <c r="B727" s="30" t="str">
        <f>IF(B653="","",B653)</f>
        <v/>
      </c>
      <c r="C727" s="31"/>
      <c r="D727" s="32"/>
      <c r="E727" s="33" t="str">
        <f t="shared" si="309"/>
        <v/>
      </c>
      <c r="F727" s="50">
        <f>B675</f>
        <v>19</v>
      </c>
      <c r="G727" s="69"/>
      <c r="H727" s="70"/>
      <c r="I727" s="67"/>
      <c r="J727" s="68"/>
      <c r="K727" s="67"/>
      <c r="L727" s="68"/>
      <c r="M727" s="67"/>
      <c r="N727" s="68"/>
      <c r="O727" s="67"/>
      <c r="P727" s="68"/>
      <c r="Q727" s="67"/>
      <c r="R727" s="68"/>
      <c r="S727" s="69"/>
      <c r="T727" s="70"/>
      <c r="U727" s="71">
        <f t="shared" ref="U727" si="317">SUM(G727:T727)</f>
        <v>0</v>
      </c>
      <c r="V727" s="72"/>
      <c r="W727" s="69"/>
      <c r="X727" s="70"/>
      <c r="Y727" s="67"/>
      <c r="Z727" s="68"/>
      <c r="AA727" s="67"/>
      <c r="AB727" s="68"/>
      <c r="AC727" s="67"/>
      <c r="AD727" s="68"/>
      <c r="AE727" s="67"/>
      <c r="AF727" s="68"/>
      <c r="AG727" s="67"/>
      <c r="AH727" s="68"/>
      <c r="AI727" s="69"/>
      <c r="AJ727" s="70"/>
      <c r="AK727" s="71">
        <v>0</v>
      </c>
      <c r="AL727" s="72"/>
      <c r="AM727" s="73">
        <v>0</v>
      </c>
      <c r="AN727" s="88">
        <v>0</v>
      </c>
      <c r="AO727" s="73">
        <v>0</v>
      </c>
      <c r="AP727" s="73">
        <v>0</v>
      </c>
      <c r="AQ727" s="73">
        <v>0</v>
      </c>
      <c r="AR727" s="74">
        <v>0</v>
      </c>
      <c r="AS727" s="75">
        <v>0</v>
      </c>
      <c r="AT727" s="72"/>
      <c r="AU727" s="73">
        <f>SUMIF($G726:$T726,"A",$G727:$T727)+SUMIF($W726:$AJ726,"A",$W727:$AJ727)</f>
        <v>0</v>
      </c>
      <c r="AV727" s="72"/>
      <c r="AW727" s="76">
        <f>IF(B727="",0,IF($U$9="",0,$U$9))</f>
        <v>0</v>
      </c>
      <c r="AX727" s="84"/>
      <c r="BA727" s="2"/>
      <c r="BB727" s="2"/>
      <c r="BC727" s="101"/>
      <c r="BD727" s="101"/>
    </row>
    <row r="728" spans="1:56" s="53" customFormat="1" x14ac:dyDescent="0.35">
      <c r="A728" s="84"/>
      <c r="B728" s="26"/>
      <c r="C728" s="27"/>
      <c r="D728" s="28" t="str">
        <f>IF(D654="","",D654)</f>
        <v/>
      </c>
      <c r="E728" s="29" t="str">
        <f t="shared" si="309"/>
        <v/>
      </c>
      <c r="F728" s="50">
        <f>B675</f>
        <v>19</v>
      </c>
      <c r="G728" s="59"/>
      <c r="H728" s="64"/>
      <c r="I728" s="58"/>
      <c r="J728" s="65"/>
      <c r="K728" s="58"/>
      <c r="L728" s="65"/>
      <c r="M728" s="58"/>
      <c r="N728" s="65"/>
      <c r="O728" s="58"/>
      <c r="P728" s="65"/>
      <c r="Q728" s="58"/>
      <c r="R728" s="65"/>
      <c r="S728" s="59"/>
      <c r="T728" s="64"/>
      <c r="U728" s="44"/>
      <c r="V728" s="84"/>
      <c r="W728" s="59"/>
      <c r="X728" s="64"/>
      <c r="Y728" s="58"/>
      <c r="Z728" s="65"/>
      <c r="AA728" s="58"/>
      <c r="AB728" s="65"/>
      <c r="AC728" s="58"/>
      <c r="AD728" s="65"/>
      <c r="AE728" s="58"/>
      <c r="AF728" s="65"/>
      <c r="AG728" s="58"/>
      <c r="AH728" s="65"/>
      <c r="AI728" s="59"/>
      <c r="AJ728" s="64"/>
      <c r="AK728" s="44"/>
      <c r="AL728" s="84"/>
      <c r="AM728" s="49"/>
      <c r="AN728" s="49"/>
      <c r="AO728" s="49"/>
      <c r="AP728" s="49"/>
      <c r="AQ728" s="49"/>
      <c r="AR728" s="40"/>
      <c r="AS728" s="51"/>
      <c r="AT728" s="84"/>
      <c r="AU728" s="49"/>
      <c r="AV728" s="84"/>
      <c r="AW728" s="52"/>
      <c r="AX728" s="84"/>
      <c r="BA728" s="2"/>
      <c r="BB728" s="2"/>
      <c r="BC728" s="101"/>
      <c r="BD728" s="101"/>
    </row>
    <row r="729" spans="1:56" s="53" customFormat="1" ht="15" thickBot="1" x14ac:dyDescent="0.4">
      <c r="A729" s="84"/>
      <c r="B729" s="30" t="str">
        <f>IF(B655="","",B655)</f>
        <v/>
      </c>
      <c r="C729" s="31"/>
      <c r="D729" s="32"/>
      <c r="E729" s="33" t="str">
        <f t="shared" si="309"/>
        <v/>
      </c>
      <c r="F729" s="50">
        <f>B675</f>
        <v>19</v>
      </c>
      <c r="G729" s="69"/>
      <c r="H729" s="70"/>
      <c r="I729" s="67"/>
      <c r="J729" s="68"/>
      <c r="K729" s="67"/>
      <c r="L729" s="68"/>
      <c r="M729" s="67"/>
      <c r="N729" s="68"/>
      <c r="O729" s="67"/>
      <c r="P729" s="68"/>
      <c r="Q729" s="67"/>
      <c r="R729" s="68"/>
      <c r="S729" s="69"/>
      <c r="T729" s="70"/>
      <c r="U729" s="71">
        <f t="shared" ref="U729" si="318">SUM(G729:T729)</f>
        <v>0</v>
      </c>
      <c r="V729" s="72"/>
      <c r="W729" s="69"/>
      <c r="X729" s="70"/>
      <c r="Y729" s="67"/>
      <c r="Z729" s="68"/>
      <c r="AA729" s="67"/>
      <c r="AB729" s="68"/>
      <c r="AC729" s="67"/>
      <c r="AD729" s="68"/>
      <c r="AE729" s="67"/>
      <c r="AF729" s="68"/>
      <c r="AG729" s="67"/>
      <c r="AH729" s="68"/>
      <c r="AI729" s="69"/>
      <c r="AJ729" s="70"/>
      <c r="AK729" s="71">
        <v>0</v>
      </c>
      <c r="AL729" s="72"/>
      <c r="AM729" s="73">
        <v>0</v>
      </c>
      <c r="AN729" s="88">
        <v>0</v>
      </c>
      <c r="AO729" s="73">
        <v>0</v>
      </c>
      <c r="AP729" s="73">
        <v>0</v>
      </c>
      <c r="AQ729" s="73">
        <v>0</v>
      </c>
      <c r="AR729" s="74">
        <v>0</v>
      </c>
      <c r="AS729" s="75">
        <v>0</v>
      </c>
      <c r="AT729" s="72"/>
      <c r="AU729" s="73">
        <f>SUMIF($G728:$T728,"A",$G729:$T729)+SUMIF($W728:$AJ728,"A",$W729:$AJ729)</f>
        <v>0</v>
      </c>
      <c r="AV729" s="72"/>
      <c r="AW729" s="76">
        <f>IF(B729="",0,IF($U$9="",0,$U$9))</f>
        <v>0</v>
      </c>
      <c r="AX729" s="84"/>
      <c r="BA729" s="2"/>
      <c r="BB729" s="2"/>
      <c r="BC729" s="101"/>
      <c r="BD729" s="101"/>
    </row>
    <row r="730" spans="1:56" s="53" customFormat="1" ht="27.75" customHeight="1" thickBot="1" x14ac:dyDescent="0.4">
      <c r="A730" s="84"/>
      <c r="B730" s="149" t="s">
        <v>7</v>
      </c>
      <c r="C730" s="150"/>
      <c r="D730" s="150"/>
      <c r="E730" s="151"/>
      <c r="F730" s="97"/>
      <c r="G730" s="152">
        <f>SUM(G680:H729)</f>
        <v>0</v>
      </c>
      <c r="H730" s="152"/>
      <c r="I730" s="152">
        <f>SUM(I680:J729)</f>
        <v>128.25</v>
      </c>
      <c r="J730" s="152"/>
      <c r="K730" s="152">
        <f>SUM(K680:L729)</f>
        <v>128.75</v>
      </c>
      <c r="L730" s="152"/>
      <c r="M730" s="152">
        <f>SUM(M680:N729)</f>
        <v>129.25</v>
      </c>
      <c r="N730" s="152"/>
      <c r="O730" s="152">
        <f>SUM(O680:P729)</f>
        <v>128.75</v>
      </c>
      <c r="P730" s="152"/>
      <c r="Q730" s="152">
        <f>SUM(Q680:R729)</f>
        <v>126.75</v>
      </c>
      <c r="R730" s="152"/>
      <c r="S730" s="152">
        <f>SUM(S680:T729)</f>
        <v>0</v>
      </c>
      <c r="T730" s="153"/>
      <c r="U730" s="77">
        <f>SUM(U680:U729)</f>
        <v>641.75</v>
      </c>
      <c r="V730" s="78"/>
      <c r="W730" s="152">
        <f>SUM(W680:X729)</f>
        <v>0</v>
      </c>
      <c r="X730" s="152"/>
      <c r="Y730" s="152">
        <f>SUM(Y680:Z729)</f>
        <v>128</v>
      </c>
      <c r="Z730" s="152"/>
      <c r="AA730" s="152">
        <f>SUM(AA680:AB729)</f>
        <v>127.5</v>
      </c>
      <c r="AB730" s="152"/>
      <c r="AC730" s="152">
        <f>SUM(AC680:AD729)</f>
        <v>126.5</v>
      </c>
      <c r="AD730" s="152"/>
      <c r="AE730" s="152">
        <f>SUM(AE680:AF729)</f>
        <v>128</v>
      </c>
      <c r="AF730" s="152"/>
      <c r="AG730" s="152">
        <f>SUM(AG680:AH729)</f>
        <v>127.25</v>
      </c>
      <c r="AH730" s="152"/>
      <c r="AI730" s="152">
        <f>SUM(AI680:AJ729)</f>
        <v>0</v>
      </c>
      <c r="AJ730" s="152"/>
      <c r="AK730" s="77">
        <f>SUM(AK680:AK729)</f>
        <v>637.25</v>
      </c>
      <c r="AL730" s="78"/>
      <c r="AM730" s="79">
        <f t="shared" ref="AM730:AS730" si="319">SUM(AM680:AM729)</f>
        <v>1083.25</v>
      </c>
      <c r="AN730" s="79">
        <f t="shared" si="319"/>
        <v>3.75</v>
      </c>
      <c r="AO730" s="79">
        <f t="shared" si="319"/>
        <v>24</v>
      </c>
      <c r="AP730" s="79">
        <f t="shared" si="319"/>
        <v>128</v>
      </c>
      <c r="AQ730" s="79">
        <f t="shared" si="319"/>
        <v>40</v>
      </c>
      <c r="AR730" s="80">
        <f t="shared" si="319"/>
        <v>0</v>
      </c>
      <c r="AS730" s="81">
        <f t="shared" si="319"/>
        <v>1279</v>
      </c>
      <c r="AT730" s="78"/>
      <c r="AU730" s="82">
        <f>SUM(AU680:AU729)</f>
        <v>0</v>
      </c>
      <c r="AV730" s="78"/>
      <c r="AW730" s="83">
        <f>SUM(AW680:AW729)</f>
        <v>1520</v>
      </c>
      <c r="AX730" s="84"/>
      <c r="BA730" s="2"/>
      <c r="BB730" s="2"/>
      <c r="BC730" s="101"/>
      <c r="BD730" s="101"/>
    </row>
    <row r="731" spans="1:56" s="53" customFormat="1" ht="15" thickTop="1" x14ac:dyDescent="0.35">
      <c r="B731" s="54"/>
      <c r="F731" s="98"/>
      <c r="G731" s="55"/>
      <c r="H731" s="55"/>
      <c r="I731" s="55"/>
      <c r="J731" s="55"/>
      <c r="K731" s="55"/>
      <c r="L731" s="55"/>
      <c r="M731" s="55"/>
      <c r="N731" s="55"/>
      <c r="O731" s="55"/>
      <c r="P731" s="55"/>
      <c r="Q731" s="55"/>
      <c r="R731" s="55"/>
      <c r="S731" s="55"/>
      <c r="T731" s="55"/>
      <c r="U731" s="56"/>
      <c r="V731" s="55"/>
      <c r="W731" s="55"/>
      <c r="X731" s="55"/>
      <c r="Y731" s="55"/>
      <c r="Z731" s="55"/>
      <c r="AA731" s="55"/>
      <c r="AB731" s="55"/>
      <c r="AC731" s="55"/>
      <c r="AD731" s="55"/>
      <c r="AE731" s="55"/>
      <c r="AF731" s="55"/>
      <c r="AG731" s="55"/>
      <c r="AH731" s="55"/>
      <c r="AI731" s="55"/>
      <c r="AJ731" s="55"/>
      <c r="AK731" s="56"/>
      <c r="AL731" s="55"/>
      <c r="AM731" s="55"/>
      <c r="AN731" s="55"/>
      <c r="AO731" s="55"/>
      <c r="AP731" s="55"/>
      <c r="AQ731" s="55"/>
      <c r="AR731" s="55"/>
      <c r="AS731" s="55"/>
      <c r="AT731" s="55"/>
      <c r="AU731" s="55"/>
      <c r="AV731" s="55"/>
      <c r="AW731" s="55"/>
      <c r="BA731" s="2"/>
      <c r="BB731" s="2"/>
      <c r="BC731" s="101"/>
      <c r="BD731" s="101"/>
    </row>
    <row r="732" spans="1:56" s="53" customFormat="1" x14ac:dyDescent="0.35">
      <c r="B732" s="54" t="s">
        <v>52</v>
      </c>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c r="AH732" s="141"/>
      <c r="AI732" s="141"/>
      <c r="AJ732" s="141"/>
      <c r="AK732" s="56"/>
      <c r="AL732" s="55"/>
      <c r="AM732" s="55"/>
      <c r="AN732" s="55"/>
      <c r="AO732" s="55"/>
      <c r="AP732" s="55"/>
      <c r="AQ732" s="55"/>
      <c r="AR732" s="55"/>
      <c r="AS732" s="55"/>
      <c r="AT732" s="55"/>
      <c r="AU732" s="55"/>
      <c r="AV732" s="55"/>
      <c r="AW732" s="55"/>
      <c r="BA732" s="2"/>
      <c r="BB732" s="2"/>
      <c r="BC732" s="101"/>
      <c r="BD732" s="101"/>
    </row>
    <row r="733" spans="1:56" s="84" customFormat="1" x14ac:dyDescent="0.35">
      <c r="A733" s="53"/>
      <c r="B733" s="54"/>
      <c r="C733" s="53"/>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c r="AH733" s="141"/>
      <c r="AI733" s="141"/>
      <c r="AJ733" s="141"/>
      <c r="AK733" s="56"/>
      <c r="AL733" s="55"/>
      <c r="AM733" s="55"/>
      <c r="AN733" s="55"/>
      <c r="AO733" s="55"/>
      <c r="AP733" s="55"/>
      <c r="AQ733" s="55"/>
      <c r="AR733" s="55"/>
      <c r="AS733" s="55"/>
      <c r="AT733" s="55"/>
      <c r="AU733" s="55"/>
      <c r="AV733" s="55"/>
      <c r="AW733" s="55"/>
      <c r="AX733" s="53"/>
      <c r="BA733" s="2"/>
      <c r="BB733" s="2"/>
      <c r="BC733" s="101"/>
      <c r="BD733" s="101"/>
    </row>
    <row r="734" spans="1:56" s="84" customFormat="1" x14ac:dyDescent="0.35">
      <c r="A734" s="53"/>
      <c r="B734" s="54"/>
      <c r="C734" s="53"/>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c r="AH734" s="141"/>
      <c r="AI734" s="141"/>
      <c r="AJ734" s="141"/>
      <c r="AK734" s="56"/>
      <c r="AL734" s="55"/>
      <c r="AM734" s="55"/>
      <c r="AN734" s="55"/>
      <c r="AO734" s="55"/>
      <c r="AP734" s="55"/>
      <c r="AQ734" s="55"/>
      <c r="AR734" s="55"/>
      <c r="AS734" s="55"/>
      <c r="AT734" s="55"/>
      <c r="AU734" s="55"/>
      <c r="AV734" s="55"/>
      <c r="AW734" s="55"/>
      <c r="AX734" s="53"/>
      <c r="BA734" s="2"/>
      <c r="BB734" s="2"/>
      <c r="BC734" s="101"/>
      <c r="BD734" s="101"/>
    </row>
    <row r="735" spans="1:56" s="84" customFormat="1" ht="15" customHeight="1" x14ac:dyDescent="0.35">
      <c r="A735" s="53"/>
      <c r="B735" s="54"/>
      <c r="C735" s="53"/>
      <c r="D735" s="53"/>
      <c r="E735" s="53"/>
      <c r="F735" s="98"/>
      <c r="G735" s="55"/>
      <c r="H735" s="55"/>
      <c r="I735" s="55"/>
      <c r="J735" s="55"/>
      <c r="K735" s="55"/>
      <c r="L735" s="55"/>
      <c r="M735" s="55"/>
      <c r="N735" s="55"/>
      <c r="O735" s="55"/>
      <c r="P735" s="55"/>
      <c r="Q735" s="55"/>
      <c r="R735" s="55"/>
      <c r="S735" s="55"/>
      <c r="T735" s="55"/>
      <c r="U735" s="56"/>
      <c r="V735" s="55"/>
      <c r="W735" s="55"/>
      <c r="X735" s="55"/>
      <c r="Y735" s="55"/>
      <c r="Z735" s="55"/>
      <c r="AA735" s="55"/>
      <c r="AB735" s="55"/>
      <c r="AC735" s="55"/>
      <c r="AD735" s="55"/>
      <c r="AE735" s="55"/>
      <c r="AF735" s="55"/>
      <c r="AG735" s="55"/>
      <c r="AH735" s="55"/>
      <c r="AI735" s="55"/>
      <c r="AJ735" s="55"/>
      <c r="AK735" s="56"/>
      <c r="AL735" s="55"/>
      <c r="AM735" s="55"/>
      <c r="AN735" s="55"/>
      <c r="AO735" s="55"/>
      <c r="AP735" s="55"/>
      <c r="AQ735" s="55"/>
      <c r="AR735" s="55"/>
      <c r="AS735" s="55"/>
      <c r="AT735" s="55"/>
      <c r="AU735" s="55"/>
      <c r="AV735" s="55"/>
      <c r="AW735" s="55"/>
      <c r="AX735" s="53"/>
      <c r="BA735" s="2"/>
      <c r="BB735" s="2"/>
      <c r="BC735" s="101"/>
      <c r="BD735" s="101"/>
    </row>
    <row r="736" spans="1:56" s="84" customFormat="1" ht="15" customHeight="1" x14ac:dyDescent="0.35">
      <c r="A736" s="53"/>
      <c r="B736" s="54" t="s">
        <v>53</v>
      </c>
      <c r="C736" s="53"/>
      <c r="D736" s="31" t="s">
        <v>86</v>
      </c>
      <c r="E736" s="34"/>
      <c r="F736" s="99"/>
      <c r="G736" s="34"/>
      <c r="H736" s="34"/>
      <c r="I736" s="34"/>
      <c r="J736" s="34"/>
      <c r="K736" s="53"/>
      <c r="L736" s="55" t="s">
        <v>8</v>
      </c>
      <c r="M736" s="53"/>
      <c r="N736" s="142">
        <f ca="1">NOW()</f>
        <v>44720.650928935182</v>
      </c>
      <c r="O736" s="142"/>
      <c r="P736" s="142"/>
      <c r="Q736" s="53"/>
      <c r="R736" s="53"/>
      <c r="S736" s="53"/>
      <c r="T736" s="53"/>
      <c r="U736" s="53"/>
      <c r="V736" s="55"/>
      <c r="W736" s="55"/>
      <c r="X736" s="55"/>
      <c r="Y736" s="55"/>
      <c r="Z736" s="55"/>
      <c r="AA736" s="55"/>
      <c r="AB736" s="55"/>
      <c r="AC736" s="55"/>
      <c r="AD736" s="55"/>
      <c r="AE736" s="55"/>
      <c r="AF736" s="55"/>
      <c r="AG736" s="55"/>
      <c r="AH736" s="55"/>
      <c r="AI736" s="55"/>
      <c r="AJ736" s="55"/>
      <c r="AK736" s="56"/>
      <c r="AL736" s="55"/>
      <c r="AM736" s="55"/>
      <c r="AN736" s="55"/>
      <c r="AO736" s="55"/>
      <c r="AP736" s="55"/>
      <c r="AQ736" s="55"/>
      <c r="AR736" s="55"/>
      <c r="AS736" s="55"/>
      <c r="AT736" s="55"/>
      <c r="AU736" s="55"/>
      <c r="AV736" s="55"/>
      <c r="AW736" s="55"/>
      <c r="AX736" s="53"/>
      <c r="BA736" s="2"/>
      <c r="BB736" s="2"/>
      <c r="BC736" s="101"/>
      <c r="BD736" s="101"/>
    </row>
    <row r="737" spans="1:56" s="84" customFormat="1" x14ac:dyDescent="0.35">
      <c r="A737" s="53"/>
      <c r="B737" s="54"/>
      <c r="C737" s="53"/>
      <c r="D737" s="53"/>
      <c r="E737" s="53"/>
      <c r="F737" s="98"/>
      <c r="G737" s="55"/>
      <c r="H737" s="55"/>
      <c r="I737" s="55"/>
      <c r="J737" s="55"/>
      <c r="K737" s="53"/>
      <c r="L737" s="55"/>
      <c r="M737" s="53"/>
      <c r="N737" s="55"/>
      <c r="O737" s="56"/>
      <c r="P737" s="53"/>
      <c r="Q737" s="53"/>
      <c r="R737" s="53"/>
      <c r="S737" s="53"/>
      <c r="T737" s="53"/>
      <c r="U737" s="53"/>
      <c r="V737" s="55"/>
      <c r="W737" s="55"/>
      <c r="X737" s="55"/>
      <c r="Y737" s="55"/>
      <c r="Z737" s="55"/>
      <c r="AA737" s="55"/>
      <c r="AB737" s="55"/>
      <c r="AC737" s="55"/>
      <c r="AD737" s="55"/>
      <c r="AE737" s="55"/>
      <c r="AF737" s="55"/>
      <c r="AG737" s="55"/>
      <c r="AH737" s="55"/>
      <c r="AI737" s="55"/>
      <c r="AJ737" s="55"/>
      <c r="AK737" s="56"/>
      <c r="AL737" s="55"/>
      <c r="AM737" s="55"/>
      <c r="AN737" s="55"/>
      <c r="AO737" s="55"/>
      <c r="AP737" s="55"/>
      <c r="AQ737" s="55"/>
      <c r="AR737" s="55"/>
      <c r="AS737" s="55"/>
      <c r="AT737" s="55"/>
      <c r="AU737" s="55"/>
      <c r="AV737" s="55"/>
      <c r="AW737" s="55"/>
      <c r="AX737" s="53"/>
      <c r="BA737" s="2"/>
      <c r="BB737" s="2"/>
      <c r="BC737" s="101"/>
      <c r="BD737" s="101"/>
    </row>
    <row r="738" spans="1:56" s="84" customFormat="1" x14ac:dyDescent="0.35">
      <c r="A738" s="53"/>
      <c r="B738" s="54" t="s">
        <v>54</v>
      </c>
      <c r="C738" s="53"/>
      <c r="D738" s="31"/>
      <c r="E738" s="34"/>
      <c r="F738" s="99"/>
      <c r="G738" s="34"/>
      <c r="H738" s="34"/>
      <c r="I738" s="34"/>
      <c r="J738" s="34"/>
      <c r="K738" s="53"/>
      <c r="L738" s="55" t="s">
        <v>8</v>
      </c>
      <c r="M738" s="53"/>
      <c r="N738" s="142">
        <f ca="1">NOW()</f>
        <v>44720.650928935182</v>
      </c>
      <c r="O738" s="142"/>
      <c r="P738" s="142"/>
      <c r="Q738" s="53"/>
      <c r="R738" s="53"/>
      <c r="S738" s="53"/>
      <c r="T738" s="53"/>
      <c r="U738" s="53"/>
      <c r="V738" s="55"/>
      <c r="W738" s="55"/>
      <c r="X738" s="55"/>
      <c r="Y738" s="55"/>
      <c r="Z738" s="55"/>
      <c r="AA738" s="55"/>
      <c r="AB738" s="55"/>
      <c r="AC738" s="55"/>
      <c r="AD738" s="55"/>
      <c r="AE738" s="55"/>
      <c r="AF738" s="55"/>
      <c r="AG738" s="55"/>
      <c r="AH738" s="55"/>
      <c r="AI738" s="55"/>
      <c r="AJ738" s="55"/>
      <c r="AK738" s="56"/>
      <c r="AL738" s="55"/>
      <c r="AM738" s="55"/>
      <c r="AN738" s="55"/>
      <c r="AO738" s="55"/>
      <c r="AP738" s="55"/>
      <c r="AQ738" s="55"/>
      <c r="AR738" s="55"/>
      <c r="AS738" s="55"/>
      <c r="AT738" s="55"/>
      <c r="AU738" s="55"/>
      <c r="AV738" s="55"/>
      <c r="AW738" s="55"/>
      <c r="AX738" s="53"/>
      <c r="BA738" s="2"/>
      <c r="BB738" s="2"/>
      <c r="BC738" s="101"/>
      <c r="BD738" s="101"/>
    </row>
    <row r="739" spans="1:56" s="84" customFormat="1" x14ac:dyDescent="0.35">
      <c r="A739" s="53"/>
      <c r="B739" s="54"/>
      <c r="C739" s="53"/>
      <c r="D739" s="53"/>
      <c r="E739" s="53"/>
      <c r="F739" s="98"/>
      <c r="G739" s="55"/>
      <c r="H739" s="55"/>
      <c r="I739" s="55"/>
      <c r="J739" s="55"/>
      <c r="K739" s="55"/>
      <c r="L739" s="55"/>
      <c r="M739" s="55"/>
      <c r="N739" s="55"/>
      <c r="O739" s="55"/>
      <c r="P739" s="55"/>
      <c r="Q739" s="55"/>
      <c r="R739" s="55"/>
      <c r="S739" s="55"/>
      <c r="T739" s="55"/>
      <c r="U739" s="56"/>
      <c r="V739" s="55"/>
      <c r="W739" s="55"/>
      <c r="X739" s="55"/>
      <c r="Y739" s="55"/>
      <c r="Z739" s="55"/>
      <c r="AA739" s="55"/>
      <c r="AB739" s="55"/>
      <c r="AC739" s="55"/>
      <c r="AD739" s="55"/>
      <c r="AE739" s="55"/>
      <c r="AF739" s="55"/>
      <c r="AG739" s="55"/>
      <c r="AH739" s="55"/>
      <c r="AI739" s="55"/>
      <c r="AJ739" s="55"/>
      <c r="AK739" s="56"/>
      <c r="AL739" s="55"/>
      <c r="AM739" s="55"/>
      <c r="AN739" s="55"/>
      <c r="AO739" s="55"/>
      <c r="AP739" s="55"/>
      <c r="AQ739" s="55"/>
      <c r="AR739" s="55"/>
      <c r="AS739" s="55"/>
      <c r="AT739" s="55"/>
      <c r="AU739" s="55"/>
      <c r="AV739" s="55"/>
      <c r="AW739" s="55"/>
      <c r="AX739" s="53"/>
      <c r="BA739" s="2"/>
      <c r="BB739" s="2"/>
      <c r="BC739" s="101"/>
      <c r="BD739" s="101"/>
    </row>
    <row r="740" spans="1:56" s="84" customFormat="1" x14ac:dyDescent="0.35">
      <c r="A740" s="53"/>
      <c r="B740" s="54" t="s">
        <v>9</v>
      </c>
      <c r="C740" s="53"/>
      <c r="D740" s="53"/>
      <c r="E740" s="53"/>
      <c r="F740" s="98"/>
      <c r="G740" s="55"/>
      <c r="H740" s="55"/>
      <c r="I740" s="55"/>
      <c r="J740" s="55"/>
      <c r="K740" s="55"/>
      <c r="L740" s="55"/>
      <c r="M740" s="55"/>
      <c r="N740" s="55"/>
      <c r="O740" s="55"/>
      <c r="P740" s="55"/>
      <c r="Q740" s="55"/>
      <c r="R740" s="55"/>
      <c r="S740" s="55"/>
      <c r="T740" s="55"/>
      <c r="U740" s="56"/>
      <c r="V740" s="55"/>
      <c r="W740" s="55"/>
      <c r="X740" s="55"/>
      <c r="Y740" s="55"/>
      <c r="Z740" s="55"/>
      <c r="AA740" s="55"/>
      <c r="AB740" s="55"/>
      <c r="AC740" s="55"/>
      <c r="AD740" s="55"/>
      <c r="AE740" s="55"/>
      <c r="AF740" s="55"/>
      <c r="AG740" s="55"/>
      <c r="AH740" s="55"/>
      <c r="AI740" s="55"/>
      <c r="AJ740" s="55"/>
      <c r="AK740" s="56"/>
      <c r="AL740" s="55"/>
      <c r="AM740" s="55"/>
      <c r="AN740" s="55"/>
      <c r="AO740" s="55"/>
      <c r="AP740" s="55"/>
      <c r="AQ740" s="55"/>
      <c r="AR740" s="55"/>
      <c r="AS740" s="55"/>
      <c r="AT740" s="55"/>
      <c r="AU740" s="55"/>
      <c r="AV740" s="55"/>
      <c r="AW740" s="55"/>
      <c r="AX740" s="53"/>
      <c r="BA740" s="2"/>
      <c r="BB740" s="2"/>
      <c r="BC740" s="101"/>
      <c r="BD740" s="101"/>
    </row>
    <row r="741" spans="1:56" x14ac:dyDescent="0.35">
      <c r="BA741" s="2"/>
      <c r="BB741" s="2"/>
      <c r="BC741" s="101"/>
      <c r="BD741" s="101"/>
    </row>
    <row r="742" spans="1:56" x14ac:dyDescent="0.35">
      <c r="BA742" s="2"/>
      <c r="BB742" s="2"/>
      <c r="BC742" s="101"/>
      <c r="BD742" s="101"/>
    </row>
    <row r="743" spans="1:56" s="84" customFormat="1" ht="28.5" x14ac:dyDescent="0.65">
      <c r="F743" s="50"/>
      <c r="G743" s="143" t="s">
        <v>10</v>
      </c>
      <c r="H743" s="143"/>
      <c r="I743" s="143"/>
      <c r="J743" s="143"/>
      <c r="K743" s="143"/>
      <c r="L743" s="143"/>
      <c r="M743" s="143"/>
      <c r="N743" s="143"/>
      <c r="O743" s="143"/>
      <c r="P743" s="143"/>
      <c r="Q743" s="143"/>
      <c r="R743" s="143"/>
      <c r="S743" s="143"/>
      <c r="T743" s="143"/>
      <c r="U743" s="143"/>
      <c r="W743" s="37" t="s">
        <v>12</v>
      </c>
      <c r="X743" s="86" t="s">
        <v>11</v>
      </c>
      <c r="BA743" s="2"/>
      <c r="BB743" s="2"/>
      <c r="BC743" s="101"/>
      <c r="BD743" s="101"/>
    </row>
    <row r="744" spans="1:56" s="84" customFormat="1" x14ac:dyDescent="0.35">
      <c r="F744" s="50"/>
      <c r="G744" s="84" t="s">
        <v>0</v>
      </c>
      <c r="W744" s="37" t="s">
        <v>13</v>
      </c>
      <c r="X744" s="86" t="s">
        <v>14</v>
      </c>
      <c r="BA744" s="2"/>
      <c r="BB744" s="2"/>
      <c r="BC744" s="101"/>
      <c r="BD744" s="101"/>
    </row>
    <row r="745" spans="1:56" s="84" customFormat="1" x14ac:dyDescent="0.35">
      <c r="F745" s="50"/>
      <c r="W745" s="37" t="s">
        <v>1</v>
      </c>
      <c r="X745" s="86" t="s">
        <v>15</v>
      </c>
      <c r="BA745" s="2"/>
      <c r="BB745" s="2"/>
      <c r="BC745" s="101"/>
      <c r="BD745" s="101"/>
    </row>
    <row r="746" spans="1:56" s="84" customFormat="1" x14ac:dyDescent="0.35">
      <c r="F746" s="50"/>
      <c r="W746" s="37" t="s">
        <v>2</v>
      </c>
      <c r="X746" s="86" t="s">
        <v>16</v>
      </c>
      <c r="BA746" s="2"/>
      <c r="BB746" s="2"/>
      <c r="BC746" s="101"/>
      <c r="BD746" s="101"/>
    </row>
    <row r="747" spans="1:56" s="84" customFormat="1" ht="15" customHeight="1" x14ac:dyDescent="0.35">
      <c r="B747" s="154" t="s">
        <v>35</v>
      </c>
      <c r="F747" s="50"/>
      <c r="G747" s="154" t="s">
        <v>36</v>
      </c>
      <c r="H747" s="154"/>
      <c r="I747" s="154"/>
      <c r="K747" s="154" t="s">
        <v>36</v>
      </c>
      <c r="L747" s="154"/>
      <c r="M747" s="154"/>
      <c r="W747" s="37" t="s">
        <v>3</v>
      </c>
      <c r="X747" s="86" t="s">
        <v>17</v>
      </c>
      <c r="BA747" s="2"/>
      <c r="BB747" s="2"/>
      <c r="BC747" s="101"/>
      <c r="BD747" s="101"/>
    </row>
    <row r="748" spans="1:56" s="84" customFormat="1" x14ac:dyDescent="0.35">
      <c r="B748" s="155"/>
      <c r="D748" s="37" t="s">
        <v>34</v>
      </c>
      <c r="F748" s="50"/>
      <c r="G748" s="154"/>
      <c r="H748" s="154"/>
      <c r="I748" s="154"/>
      <c r="K748" s="154"/>
      <c r="L748" s="154"/>
      <c r="M748" s="154"/>
      <c r="W748" s="38"/>
      <c r="BA748" s="2"/>
      <c r="BB748" s="2"/>
      <c r="BC748" s="101"/>
      <c r="BD748" s="101"/>
    </row>
    <row r="749" spans="1:56" s="84" customFormat="1" x14ac:dyDescent="0.35">
      <c r="B749" s="100">
        <f>B675+1</f>
        <v>20</v>
      </c>
      <c r="D749" s="100">
        <f>D675</f>
        <v>2021</v>
      </c>
      <c r="E749" s="87" t="s">
        <v>38</v>
      </c>
      <c r="F749" s="50"/>
      <c r="G749" s="156">
        <f>K675+1</f>
        <v>44451</v>
      </c>
      <c r="H749" s="157"/>
      <c r="I749" s="158"/>
      <c r="J749" s="37" t="s">
        <v>37</v>
      </c>
      <c r="K749" s="156">
        <f>IF(G749="","",G749+13)</f>
        <v>44464</v>
      </c>
      <c r="L749" s="157"/>
      <c r="M749" s="158"/>
      <c r="P749" s="159" t="s">
        <v>39</v>
      </c>
      <c r="Q749" s="160"/>
      <c r="R749" s="160"/>
      <c r="S749" s="160"/>
      <c r="T749" s="161"/>
      <c r="U749" s="24">
        <v>80</v>
      </c>
      <c r="BA749" s="2"/>
      <c r="BB749" s="2"/>
      <c r="BC749" s="101"/>
      <c r="BD749" s="101"/>
    </row>
    <row r="750" spans="1:56" s="84" customFormat="1" x14ac:dyDescent="0.35">
      <c r="F750" s="50"/>
      <c r="AM750" s="144" t="s">
        <v>4</v>
      </c>
      <c r="AN750" s="144"/>
      <c r="AO750" s="144"/>
      <c r="AP750" s="144"/>
      <c r="AQ750" s="144"/>
      <c r="AR750" s="144"/>
      <c r="AS750" s="144"/>
      <c r="AU750" s="100" t="s">
        <v>4</v>
      </c>
      <c r="BA750" s="2"/>
      <c r="BB750" s="2"/>
      <c r="BC750" s="101"/>
      <c r="BD750" s="101"/>
    </row>
    <row r="751" spans="1:56" s="84" customFormat="1" ht="15" customHeight="1" x14ac:dyDescent="0.35">
      <c r="B751" s="40"/>
      <c r="C751" s="41"/>
      <c r="D751" s="42" t="s">
        <v>32</v>
      </c>
      <c r="E751" s="43" t="s">
        <v>5</v>
      </c>
      <c r="F751" s="50"/>
      <c r="G751" s="162">
        <f>G749</f>
        <v>44451</v>
      </c>
      <c r="H751" s="163"/>
      <c r="I751" s="162">
        <f>IF(G751="","",G751+1)</f>
        <v>44452</v>
      </c>
      <c r="J751" s="163"/>
      <c r="K751" s="162">
        <f>IF(I751="","",I751+1)</f>
        <v>44453</v>
      </c>
      <c r="L751" s="163"/>
      <c r="M751" s="162">
        <f>IF(K751="","",K751+1)</f>
        <v>44454</v>
      </c>
      <c r="N751" s="163"/>
      <c r="O751" s="162">
        <f>IF(M751="","",M751+1)</f>
        <v>44455</v>
      </c>
      <c r="P751" s="163"/>
      <c r="Q751" s="162">
        <f>IF(O751="","",O751+1)</f>
        <v>44456</v>
      </c>
      <c r="R751" s="163"/>
      <c r="S751" s="162">
        <f>IF(Q751="","",Q751+1)</f>
        <v>44457</v>
      </c>
      <c r="T751" s="164"/>
      <c r="U751" s="44"/>
      <c r="W751" s="162">
        <f>IF(S751="","",S751+1)</f>
        <v>44458</v>
      </c>
      <c r="X751" s="163"/>
      <c r="Y751" s="162">
        <f>IF(W751="","",W751+1)</f>
        <v>44459</v>
      </c>
      <c r="Z751" s="163"/>
      <c r="AA751" s="162">
        <f>IF(Y751="","",Y751+1)</f>
        <v>44460</v>
      </c>
      <c r="AB751" s="163"/>
      <c r="AC751" s="162">
        <f>IF(AA751="","",AA751+1)</f>
        <v>44461</v>
      </c>
      <c r="AD751" s="163"/>
      <c r="AE751" s="162">
        <f>IF(AC751="","",AC751+1)</f>
        <v>44462</v>
      </c>
      <c r="AF751" s="163"/>
      <c r="AG751" s="162">
        <f>IF(AE751="","",AE751+1)</f>
        <v>44463</v>
      </c>
      <c r="AH751" s="163"/>
      <c r="AI751" s="162">
        <f>IF(AG751="","",AG751+1)</f>
        <v>44464</v>
      </c>
      <c r="AJ751" s="164"/>
      <c r="AK751" s="44"/>
      <c r="AM751" s="145" t="s">
        <v>18</v>
      </c>
      <c r="AN751" s="165" t="s">
        <v>55</v>
      </c>
      <c r="AO751" s="145" t="s">
        <v>19</v>
      </c>
      <c r="AP751" s="145" t="s">
        <v>20</v>
      </c>
      <c r="AQ751" s="145" t="s">
        <v>21</v>
      </c>
      <c r="AR751" s="166" t="s">
        <v>22</v>
      </c>
      <c r="AS751" s="167" t="s">
        <v>23</v>
      </c>
      <c r="AU751" s="144" t="s">
        <v>6</v>
      </c>
      <c r="AW751" s="145" t="s">
        <v>24</v>
      </c>
      <c r="BA751" s="2"/>
      <c r="BB751" s="2"/>
      <c r="BC751" s="101"/>
      <c r="BD751" s="101"/>
    </row>
    <row r="752" spans="1:56" s="84" customFormat="1" x14ac:dyDescent="0.35">
      <c r="B752" s="45" t="s">
        <v>33</v>
      </c>
      <c r="C752" s="46"/>
      <c r="D752" s="47"/>
      <c r="E752" s="47"/>
      <c r="F752" s="50"/>
      <c r="G752" s="146" t="s">
        <v>25</v>
      </c>
      <c r="H752" s="147"/>
      <c r="I752" s="146" t="s">
        <v>26</v>
      </c>
      <c r="J752" s="147"/>
      <c r="K752" s="146" t="s">
        <v>27</v>
      </c>
      <c r="L752" s="147"/>
      <c r="M752" s="146" t="s">
        <v>28</v>
      </c>
      <c r="N752" s="147"/>
      <c r="O752" s="146" t="s">
        <v>29</v>
      </c>
      <c r="P752" s="147"/>
      <c r="Q752" s="146" t="s">
        <v>30</v>
      </c>
      <c r="R752" s="147"/>
      <c r="S752" s="146" t="s">
        <v>31</v>
      </c>
      <c r="T752" s="148"/>
      <c r="U752" s="48" t="s">
        <v>7</v>
      </c>
      <c r="W752" s="146" t="s">
        <v>25</v>
      </c>
      <c r="X752" s="147"/>
      <c r="Y752" s="146" t="s">
        <v>26</v>
      </c>
      <c r="Z752" s="147"/>
      <c r="AA752" s="146" t="s">
        <v>27</v>
      </c>
      <c r="AB752" s="147"/>
      <c r="AC752" s="146" t="s">
        <v>28</v>
      </c>
      <c r="AD752" s="147"/>
      <c r="AE752" s="146" t="s">
        <v>29</v>
      </c>
      <c r="AF752" s="147"/>
      <c r="AG752" s="146" t="s">
        <v>30</v>
      </c>
      <c r="AH752" s="147"/>
      <c r="AI752" s="146" t="s">
        <v>31</v>
      </c>
      <c r="AJ752" s="148"/>
      <c r="AK752" s="48" t="s">
        <v>7</v>
      </c>
      <c r="AM752" s="145"/>
      <c r="AN752" s="165"/>
      <c r="AO752" s="145"/>
      <c r="AP752" s="145"/>
      <c r="AQ752" s="145"/>
      <c r="AR752" s="166"/>
      <c r="AS752" s="167"/>
      <c r="AU752" s="144"/>
      <c r="AW752" s="145"/>
      <c r="BA752" s="2"/>
      <c r="BB752" s="2"/>
      <c r="BC752" s="101"/>
      <c r="BD752" s="101"/>
    </row>
    <row r="753" spans="2:56" s="84" customFormat="1" x14ac:dyDescent="0.35">
      <c r="B753" s="63"/>
      <c r="C753" s="25"/>
      <c r="D753" s="25"/>
      <c r="E753" s="25"/>
      <c r="F753" s="50"/>
      <c r="BA753" s="2"/>
      <c r="BB753" s="2"/>
      <c r="BC753" s="101"/>
      <c r="BD753" s="101"/>
    </row>
    <row r="754" spans="2:56" s="84" customFormat="1" x14ac:dyDescent="0.35">
      <c r="B754" s="26"/>
      <c r="C754" s="27"/>
      <c r="D754" s="28">
        <f>IF(D680="","",D680)</f>
        <v>31428</v>
      </c>
      <c r="E754" s="29" t="str">
        <f>IF(E680="","",E680)</f>
        <v/>
      </c>
      <c r="F754" s="50">
        <f>B749</f>
        <v>20</v>
      </c>
      <c r="G754" s="59"/>
      <c r="H754" s="64"/>
      <c r="I754" s="106"/>
      <c r="J754" s="105"/>
      <c r="K754" s="106"/>
      <c r="L754" s="105"/>
      <c r="M754" s="106"/>
      <c r="N754" s="105"/>
      <c r="O754" s="106"/>
      <c r="P754" s="105"/>
      <c r="Q754" s="106"/>
      <c r="R754" s="105"/>
      <c r="S754" s="59"/>
      <c r="T754" s="64"/>
      <c r="U754" s="44"/>
      <c r="W754" s="59"/>
      <c r="X754" s="64"/>
      <c r="Y754" s="106"/>
      <c r="Z754" s="105"/>
      <c r="AA754" s="106"/>
      <c r="AB754" s="105"/>
      <c r="AC754" s="106"/>
      <c r="AD754" s="105"/>
      <c r="AE754" s="106"/>
      <c r="AF754" s="105"/>
      <c r="AG754" s="106"/>
      <c r="AH754" s="105"/>
      <c r="AI754" s="59"/>
      <c r="AJ754" s="64"/>
      <c r="AK754" s="44"/>
      <c r="AM754" s="49"/>
      <c r="AN754" s="49"/>
      <c r="AO754" s="49"/>
      <c r="AP754" s="49"/>
      <c r="AQ754" s="49"/>
      <c r="AR754" s="40"/>
      <c r="AS754" s="51"/>
      <c r="AU754" s="49"/>
      <c r="AW754" s="52"/>
      <c r="BA754" s="2"/>
      <c r="BB754" s="2"/>
      <c r="BC754" s="101"/>
      <c r="BD754" s="101"/>
    </row>
    <row r="755" spans="2:56" s="84" customFormat="1" x14ac:dyDescent="0.35">
      <c r="B755" s="30" t="str">
        <f>IF(B681="","",B681)</f>
        <v>Gaulin, Francis</v>
      </c>
      <c r="C755" s="31"/>
      <c r="D755" s="32"/>
      <c r="E755" s="33">
        <f t="shared" ref="E755:E786" si="320">IF(E681="","",E681)</f>
        <v>93542</v>
      </c>
      <c r="F755" s="50">
        <f>B749</f>
        <v>20</v>
      </c>
      <c r="G755" s="95"/>
      <c r="H755" s="70"/>
      <c r="I755" s="104"/>
      <c r="J755" s="103">
        <v>8</v>
      </c>
      <c r="K755" s="104"/>
      <c r="L755" s="103">
        <v>8</v>
      </c>
      <c r="M755" s="104"/>
      <c r="N755" s="103">
        <v>8</v>
      </c>
      <c r="O755" s="104"/>
      <c r="P755" s="103">
        <v>8</v>
      </c>
      <c r="Q755" s="104"/>
      <c r="R755" s="103">
        <v>8</v>
      </c>
      <c r="S755" s="69"/>
      <c r="T755" s="70"/>
      <c r="U755" s="71">
        <f>SUM(G755:T755)</f>
        <v>40</v>
      </c>
      <c r="V755" s="72"/>
      <c r="W755" s="69"/>
      <c r="X755" s="70"/>
      <c r="Y755" s="104"/>
      <c r="Z755" s="103">
        <v>8</v>
      </c>
      <c r="AA755" s="104"/>
      <c r="AB755" s="103">
        <v>8</v>
      </c>
      <c r="AC755" s="104"/>
      <c r="AD755" s="103">
        <v>8</v>
      </c>
      <c r="AE755" s="104"/>
      <c r="AF755" s="103">
        <v>8</v>
      </c>
      <c r="AG755" s="104"/>
      <c r="AH755" s="103">
        <v>8</v>
      </c>
      <c r="AI755" s="69"/>
      <c r="AJ755" s="70"/>
      <c r="AK755" s="71">
        <f>SUM(W755:AJ755)</f>
        <v>40</v>
      </c>
      <c r="AL755" s="72"/>
      <c r="AM755" s="73">
        <f>SUMIF($G754:$T754,"",$G755:$T755)+SUMIF($W754:$AJ754,"",$W755:$AJ755)-AN755</f>
        <v>80</v>
      </c>
      <c r="AN755" s="88">
        <f>IF(SUMIF($G754:$T754,"",$G755:$T755)+SUMIF($G754:$T754,"F",$G755:$T755)+SUMIF($G754:$T754,"V",$G755:$T755)-40&lt;0,0,SUMIF($G754:$T754,"",$G755:$T755)+SUMIF($G754:$T754,"F",$G755:$T755)+SUMIF($G754:$T754,"V",$G755:$T755)-($U$9/2))+IF(SUMIF($W754:$AJ754,"",$W755:$AJ755)+SUMIF($W754:$AJ754,"F",$W755:$AJ755)+SUMIF($W754:$AJ754,"V",$W755:$AJ755)-40&lt;0,0,SUMIF($W754:$AJ754,"",$W755:$AJ755)+SUMIF($W754:$AJ754,"F",$W755:$AJ755)+SUMIF($W754:$AJ754,"V",$W755:$AJ755)-($U$9/2))</f>
        <v>0</v>
      </c>
      <c r="AO755" s="73">
        <f>SUMIF($G754:$T754,"M",$G755:$T755)+SUMIF($W754:$AJ754,"M",$W755:$AJ755)</f>
        <v>0</v>
      </c>
      <c r="AP755" s="73">
        <f>SUMIF($G754:$T754,"F",$G755:$T755)+SUMIF($W754:$AJ754,"F",$W755:$AJ755)</f>
        <v>0</v>
      </c>
      <c r="AQ755" s="73">
        <f>SUMIF($G754:$T754,"V",$G755:$T755)+SUMIF($W754:$AJ754,"V",$W755:$AJ755)</f>
        <v>0</v>
      </c>
      <c r="AR755" s="74">
        <f>SUMIF($G754:$T754,"O",$G755:$T755)+SUMIF($W754:$AJ754,"O",$W755:$AJ755)</f>
        <v>0</v>
      </c>
      <c r="AS755" s="75">
        <f>SUM(AM755:AR755)</f>
        <v>80</v>
      </c>
      <c r="AT755" s="72"/>
      <c r="AU755" s="73">
        <f>SUMIF($G754:$T754,"A",$G755:$T755)+SUMIF($W754:$AJ754,"A",$W755:$AJ755)</f>
        <v>0</v>
      </c>
      <c r="AV755" s="72"/>
      <c r="AW755" s="76">
        <f>IF(B755="",0,IF($U$9="",0,$U$9))</f>
        <v>80</v>
      </c>
      <c r="BA755" s="2"/>
      <c r="BB755" s="2"/>
      <c r="BC755" s="101"/>
      <c r="BD755" s="101"/>
    </row>
    <row r="756" spans="2:56" s="84" customFormat="1" x14ac:dyDescent="0.35">
      <c r="B756" s="26"/>
      <c r="C756" s="27"/>
      <c r="D756" s="28">
        <f>IF(D682="","",D682)</f>
        <v>24287</v>
      </c>
      <c r="E756" s="29" t="str">
        <f t="shared" si="320"/>
        <v/>
      </c>
      <c r="F756" s="50">
        <f>B749</f>
        <v>20</v>
      </c>
      <c r="G756" s="59"/>
      <c r="H756" s="64"/>
      <c r="I756" s="106"/>
      <c r="J756" s="105"/>
      <c r="K756" s="106"/>
      <c r="L756" s="105"/>
      <c r="M756" s="106"/>
      <c r="N756" s="105"/>
      <c r="O756" s="106"/>
      <c r="P756" s="105"/>
      <c r="Q756" s="106"/>
      <c r="R756" s="105"/>
      <c r="S756" s="59"/>
      <c r="T756" s="64"/>
      <c r="U756" s="44"/>
      <c r="W756" s="59"/>
      <c r="X756" s="64"/>
      <c r="Y756" s="106"/>
      <c r="Z756" s="105"/>
      <c r="AA756" s="106"/>
      <c r="AB756" s="105"/>
      <c r="AC756" s="106"/>
      <c r="AD756" s="105"/>
      <c r="AE756" s="106"/>
      <c r="AF756" s="105"/>
      <c r="AG756" s="106"/>
      <c r="AH756" s="105"/>
      <c r="AI756" s="59"/>
      <c r="AJ756" s="64"/>
      <c r="AK756" s="44"/>
      <c r="AM756" s="49"/>
      <c r="AN756" s="49"/>
      <c r="AO756" s="49"/>
      <c r="AP756" s="49"/>
      <c r="AQ756" s="49"/>
      <c r="AR756" s="40"/>
      <c r="AS756" s="51"/>
      <c r="AU756" s="49"/>
      <c r="AW756" s="52"/>
      <c r="BA756" s="2"/>
      <c r="BB756" s="2"/>
      <c r="BC756" s="101"/>
      <c r="BD756" s="101"/>
    </row>
    <row r="757" spans="2:56" s="84" customFormat="1" x14ac:dyDescent="0.35">
      <c r="B757" s="30" t="str">
        <f>IF(B683="","",B683)</f>
        <v>Barrata, Dominic(Avance $500.00)</v>
      </c>
      <c r="C757" s="31"/>
      <c r="D757" s="32"/>
      <c r="E757" s="33">
        <f t="shared" si="320"/>
        <v>93595935</v>
      </c>
      <c r="F757" s="50">
        <f>B749</f>
        <v>20</v>
      </c>
      <c r="G757" s="69"/>
      <c r="H757" s="70"/>
      <c r="I757" s="104"/>
      <c r="J757" s="103" t="s">
        <v>69</v>
      </c>
      <c r="K757" s="104"/>
      <c r="L757" s="103" t="s">
        <v>69</v>
      </c>
      <c r="M757" s="104"/>
      <c r="N757" s="103" t="s">
        <v>69</v>
      </c>
      <c r="O757" s="104"/>
      <c r="P757" s="103" t="s">
        <v>69</v>
      </c>
      <c r="Q757" s="104"/>
      <c r="R757" s="103" t="s">
        <v>69</v>
      </c>
      <c r="S757" s="69"/>
      <c r="T757" s="70"/>
      <c r="U757" s="71">
        <f t="shared" ref="U757" si="321">SUM(G757:T757)</f>
        <v>0</v>
      </c>
      <c r="V757" s="72"/>
      <c r="W757" s="69"/>
      <c r="X757" s="70"/>
      <c r="Y757" s="104"/>
      <c r="Z757" s="103" t="s">
        <v>69</v>
      </c>
      <c r="AA757" s="104"/>
      <c r="AB757" s="103" t="s">
        <v>69</v>
      </c>
      <c r="AC757" s="104"/>
      <c r="AD757" s="103" t="s">
        <v>69</v>
      </c>
      <c r="AE757" s="104"/>
      <c r="AF757" s="103" t="s">
        <v>69</v>
      </c>
      <c r="AG757" s="104"/>
      <c r="AH757" s="103" t="s">
        <v>69</v>
      </c>
      <c r="AI757" s="69"/>
      <c r="AJ757" s="70"/>
      <c r="AK757" s="71">
        <f>SUM(W757:AJ757)</f>
        <v>0</v>
      </c>
      <c r="AL757" s="72"/>
      <c r="AM757" s="73">
        <f>SUMIF($G756:$T756,"",$G757:$T757)+SUMIF($W756:$AJ756,"",$W757:$AJ757)-AN757</f>
        <v>0</v>
      </c>
      <c r="AN757" s="88">
        <f>IF(SUMIF($G756:$T756,"",$G757:$T757)+SUMIF($G756:$T756,"F",$G757:$T757)+SUMIF($G756:$T756,"V",$G757:$T757)-40&lt;0,0,SUMIF($G756:$T756,"",$G757:$T757)+SUMIF($G756:$T756,"F",$G757:$T757)+SUMIF($G756:$T756,"V",$G757:$T757)-($U$9/2))+IF(SUMIF($W756:$AJ756,"",$W757:$AJ757)+SUMIF($W756:$AJ756,"F",$W757:$AJ757)+SUMIF($W756:$AJ756,"V",$W757:$AJ757)-40&lt;0,0,SUMIF($W756:$AJ756,"",$W757:$AJ757)+SUMIF($W756:$AJ756,"F",$W757:$AJ757)+SUMIF($W756:$AJ756,"V",$W757:$AJ757)-($U$9/2))</f>
        <v>0</v>
      </c>
      <c r="AO757" s="73">
        <f>SUMIF($G756:$T756,"M",$G757:$T757)+SUMIF($W756:$AJ756,"M",$W757:$AJ757)</f>
        <v>0</v>
      </c>
      <c r="AP757" s="73">
        <f>SUMIF($G756:$T756,"F",$G757:$T757)+SUMIF($W756:$AJ756,"F",$W757:$AJ757)</f>
        <v>0</v>
      </c>
      <c r="AQ757" s="73">
        <f>SUMIF($G756:$T756,"V",$G757:$T757)+SUMIF($W756:$AJ756,"V",$W757:$AJ757)</f>
        <v>0</v>
      </c>
      <c r="AR757" s="74">
        <f>SUMIF($G756:$T756,"O",$G757:$T757)+SUMIF($W756:$AJ756,"O",$W757:$AJ757)</f>
        <v>0</v>
      </c>
      <c r="AS757" s="75">
        <f>SUM(AM757:AR757)</f>
        <v>0</v>
      </c>
      <c r="AT757" s="72"/>
      <c r="AU757" s="73">
        <f>SUMIF($G756:$T756,"A",$G757:$T757)+SUMIF($W756:$AJ756,"A",$W757:$AJ757)</f>
        <v>0</v>
      </c>
      <c r="AV757" s="72"/>
      <c r="AW757" s="76">
        <f>IF(B757="",0,IF($U$9="",0,$U$9))</f>
        <v>80</v>
      </c>
      <c r="BA757" s="2"/>
      <c r="BB757" s="2"/>
      <c r="BC757" s="101"/>
      <c r="BD757" s="101"/>
    </row>
    <row r="758" spans="2:56" s="84" customFormat="1" x14ac:dyDescent="0.35">
      <c r="B758" s="26"/>
      <c r="C758" s="27"/>
      <c r="D758" s="28">
        <f>IF(D684="","",D684)</f>
        <v>92032</v>
      </c>
      <c r="E758" s="29" t="str">
        <f t="shared" si="320"/>
        <v/>
      </c>
      <c r="F758" s="50">
        <f>B749</f>
        <v>20</v>
      </c>
      <c r="G758" s="59"/>
      <c r="H758" s="64"/>
      <c r="I758" s="106"/>
      <c r="J758" s="105"/>
      <c r="K758" s="106"/>
      <c r="L758" s="105"/>
      <c r="M758" s="106"/>
      <c r="N758" s="105"/>
      <c r="O758" s="106"/>
      <c r="P758" s="105"/>
      <c r="Q758" s="106"/>
      <c r="R758" s="105"/>
      <c r="S758" s="59"/>
      <c r="T758" s="64"/>
      <c r="U758" s="44"/>
      <c r="W758" s="59"/>
      <c r="X758" s="64"/>
      <c r="Y758" s="106"/>
      <c r="Z758" s="105"/>
      <c r="AA758" s="106"/>
      <c r="AB758" s="105"/>
      <c r="AC758" s="106"/>
      <c r="AD758" s="105"/>
      <c r="AE758" s="106"/>
      <c r="AF758" s="105"/>
      <c r="AG758" s="106"/>
      <c r="AH758" s="105"/>
      <c r="AI758" s="59"/>
      <c r="AJ758" s="64"/>
      <c r="AK758" s="44"/>
      <c r="AM758" s="49"/>
      <c r="AN758" s="49"/>
      <c r="AO758" s="49"/>
      <c r="AP758" s="49"/>
      <c r="AQ758" s="49"/>
      <c r="AR758" s="40"/>
      <c r="AS758" s="51"/>
      <c r="AU758" s="49"/>
      <c r="AW758" s="52"/>
      <c r="BA758" s="2"/>
      <c r="BB758" s="2"/>
      <c r="BC758" s="101"/>
      <c r="BD758" s="101"/>
    </row>
    <row r="759" spans="2:56" s="84" customFormat="1" x14ac:dyDescent="0.35">
      <c r="B759" s="30" t="str">
        <f>IF(B685="","",B685)</f>
        <v>Benoit, Jean-Paul(Avance $1,600.00)</v>
      </c>
      <c r="C759" s="31"/>
      <c r="D759" s="32"/>
      <c r="E759" s="33">
        <f t="shared" si="320"/>
        <v>93595935</v>
      </c>
      <c r="F759" s="50">
        <f>B749</f>
        <v>20</v>
      </c>
      <c r="G759" s="69"/>
      <c r="H759" s="70"/>
      <c r="I759" s="104"/>
      <c r="J759" s="103" t="s">
        <v>69</v>
      </c>
      <c r="K759" s="104"/>
      <c r="L759" s="103" t="s">
        <v>69</v>
      </c>
      <c r="M759" s="104"/>
      <c r="N759" s="103" t="s">
        <v>69</v>
      </c>
      <c r="O759" s="104"/>
      <c r="P759" s="103" t="s">
        <v>69</v>
      </c>
      <c r="Q759" s="104"/>
      <c r="R759" s="103" t="s">
        <v>69</v>
      </c>
      <c r="S759" s="69"/>
      <c r="T759" s="70"/>
      <c r="U759" s="71">
        <f t="shared" ref="U759" si="322">SUM(G759:T759)</f>
        <v>0</v>
      </c>
      <c r="V759" s="72"/>
      <c r="W759" s="69"/>
      <c r="X759" s="70"/>
      <c r="Y759" s="104"/>
      <c r="Z759" s="103" t="s">
        <v>69</v>
      </c>
      <c r="AA759" s="104"/>
      <c r="AB759" s="103" t="s">
        <v>69</v>
      </c>
      <c r="AC759" s="104"/>
      <c r="AD759" s="103" t="s">
        <v>69</v>
      </c>
      <c r="AE759" s="104"/>
      <c r="AF759" s="103" t="s">
        <v>69</v>
      </c>
      <c r="AG759" s="104"/>
      <c r="AH759" s="103" t="s">
        <v>69</v>
      </c>
      <c r="AI759" s="69"/>
      <c r="AJ759" s="70"/>
      <c r="AK759" s="71">
        <f>SUM(W759:AJ759)</f>
        <v>0</v>
      </c>
      <c r="AL759" s="72"/>
      <c r="AM759" s="73">
        <f>SUMIF($G758:$T758,"",$G759:$T759)+SUMIF($W758:$AJ758,"",$W759:$AJ759)-AN759</f>
        <v>0</v>
      </c>
      <c r="AN759" s="88">
        <f>IF(SUMIF($G758:$T758,"",$G759:$T759)+SUMIF($G758:$T758,"F",$G759:$T759)+SUMIF($G758:$T758,"V",$G759:$T759)-40&lt;0,0,SUMIF($G758:$T758,"",$G759:$T759)+SUMIF($G758:$T758,"F",$G759:$T759)+SUMIF($G758:$T758,"V",$G759:$T759)-($U$9/2))+IF(SUMIF($W758:$AJ758,"",$W759:$AJ759)+SUMIF($W758:$AJ758,"F",$W759:$AJ759)+SUMIF($W758:$AJ758,"V",$W759:$AJ759)-40&lt;0,0,SUMIF($W758:$AJ758,"",$W759:$AJ759)+SUMIF($W758:$AJ758,"F",$W759:$AJ759)+SUMIF($W758:$AJ758,"V",$W759:$AJ759)-($U$9/2))</f>
        <v>0</v>
      </c>
      <c r="AO759" s="73">
        <f>SUMIF($G758:$T758,"M",$G759:$T759)+SUMIF($W758:$AJ758,"M",$W759:$AJ759)</f>
        <v>0</v>
      </c>
      <c r="AP759" s="73">
        <f>SUMIF($G758:$T758,"F",$G759:$T759)+SUMIF($W758:$AJ758,"F",$W759:$AJ759)</f>
        <v>0</v>
      </c>
      <c r="AQ759" s="73">
        <f>SUMIF($G758:$T758,"V",$G759:$T759)+SUMIF($W758:$AJ758,"V",$W759:$AJ759)</f>
        <v>0</v>
      </c>
      <c r="AR759" s="74">
        <f>SUMIF($G758:$T758,"O",$G759:$T759)+SUMIF($W758:$AJ758,"O",$W759:$AJ759)</f>
        <v>0</v>
      </c>
      <c r="AS759" s="75">
        <f>SUM(AM759:AR759)</f>
        <v>0</v>
      </c>
      <c r="AT759" s="72"/>
      <c r="AU759" s="73">
        <f>SUMIF($G758:$T758,"A",$G759:$T759)+SUMIF($W758:$AJ758,"A",$W759:$AJ759)</f>
        <v>0</v>
      </c>
      <c r="AV759" s="72"/>
      <c r="AW759" s="76">
        <f>IF(B759="",0,IF($U$9="",0,$U$9))</f>
        <v>80</v>
      </c>
      <c r="BA759" s="2"/>
      <c r="BB759" s="2"/>
      <c r="BC759" s="101"/>
      <c r="BD759" s="101"/>
    </row>
    <row r="760" spans="2:56" s="84" customFormat="1" x14ac:dyDescent="0.35">
      <c r="B760" s="26"/>
      <c r="C760" s="27"/>
      <c r="D760" s="28">
        <f>IF(D686="","",D686)</f>
        <v>81077</v>
      </c>
      <c r="E760" s="29" t="str">
        <f t="shared" si="320"/>
        <v/>
      </c>
      <c r="F760" s="50">
        <f>B749</f>
        <v>20</v>
      </c>
      <c r="G760" s="93"/>
      <c r="H760" s="94"/>
      <c r="I760" s="106"/>
      <c r="J760" s="105"/>
      <c r="K760" s="106"/>
      <c r="L760" s="105"/>
      <c r="M760" s="106"/>
      <c r="N760" s="105"/>
      <c r="O760" s="106"/>
      <c r="P760" s="105"/>
      <c r="Q760" s="106"/>
      <c r="R760" s="105"/>
      <c r="S760" s="59"/>
      <c r="T760" s="64"/>
      <c r="U760" s="44"/>
      <c r="W760" s="59"/>
      <c r="X760" s="64"/>
      <c r="Y760" s="106"/>
      <c r="Z760" s="105"/>
      <c r="AA760" s="106"/>
      <c r="AB760" s="105"/>
      <c r="AC760" s="106"/>
      <c r="AD760" s="105"/>
      <c r="AE760" s="106"/>
      <c r="AF760" s="105"/>
      <c r="AG760" s="106"/>
      <c r="AH760" s="105"/>
      <c r="AI760" s="59"/>
      <c r="AJ760" s="64"/>
      <c r="AK760" s="44"/>
      <c r="AM760" s="49"/>
      <c r="AN760" s="49"/>
      <c r="AO760" s="49"/>
      <c r="AP760" s="49"/>
      <c r="AQ760" s="49"/>
      <c r="AR760" s="40"/>
      <c r="AS760" s="51"/>
      <c r="AU760" s="49"/>
      <c r="AW760" s="52"/>
      <c r="BA760" s="2"/>
      <c r="BB760" s="2"/>
      <c r="BC760" s="101"/>
      <c r="BD760" s="101"/>
    </row>
    <row r="761" spans="2:56" s="84" customFormat="1" x14ac:dyDescent="0.35">
      <c r="B761" s="30" t="str">
        <f>IF(B687="","",B687)</f>
        <v>Bourassa, Julie</v>
      </c>
      <c r="C761" s="31"/>
      <c r="D761" s="32"/>
      <c r="E761" s="33">
        <f t="shared" si="320"/>
        <v>93540</v>
      </c>
      <c r="F761" s="50">
        <f>B749</f>
        <v>20</v>
      </c>
      <c r="G761" s="93"/>
      <c r="H761" s="94"/>
      <c r="I761" s="104"/>
      <c r="J761" s="103">
        <v>8</v>
      </c>
      <c r="K761" s="104"/>
      <c r="L761" s="103">
        <v>8.5</v>
      </c>
      <c r="M761" s="104"/>
      <c r="N761" s="103">
        <v>8</v>
      </c>
      <c r="O761" s="104"/>
      <c r="P761" s="103">
        <v>8.5</v>
      </c>
      <c r="Q761" s="104"/>
      <c r="R761" s="103">
        <v>8</v>
      </c>
      <c r="S761" s="69"/>
      <c r="T761" s="70"/>
      <c r="U761" s="71">
        <f t="shared" ref="U761" si="323">SUM(G761:T761)</f>
        <v>41</v>
      </c>
      <c r="V761" s="72"/>
      <c r="W761" s="69"/>
      <c r="X761" s="70"/>
      <c r="Y761" s="104"/>
      <c r="Z761" s="103">
        <v>8.5</v>
      </c>
      <c r="AA761" s="104"/>
      <c r="AB761" s="103">
        <v>8.5</v>
      </c>
      <c r="AC761" s="104"/>
      <c r="AD761" s="103">
        <v>8</v>
      </c>
      <c r="AE761" s="104"/>
      <c r="AF761" s="103">
        <v>8.5</v>
      </c>
      <c r="AG761" s="104"/>
      <c r="AH761" s="103">
        <v>7.5</v>
      </c>
      <c r="AI761" s="69"/>
      <c r="AJ761" s="70"/>
      <c r="AK761" s="71">
        <f>SUM(W761:AJ761)</f>
        <v>41</v>
      </c>
      <c r="AL761" s="72"/>
      <c r="AM761" s="73">
        <f>SUMIF($G760:$T760,"",$G761:$T761)+SUMIF($W760:$AJ760,"",$W761:$AJ761)-AN761</f>
        <v>80</v>
      </c>
      <c r="AN761" s="88">
        <f>IF(SUMIF($G760:$T760,"",$G761:$T761)+SUMIF($G760:$T760,"F",$G761:$T761)+SUMIF($G760:$T760,"V",$G761:$T761)-40&lt;0,0,SUMIF($G760:$T760,"",$G761:$T761)+SUMIF($G760:$T760,"F",$G761:$T761)+SUMIF($G760:$T760,"V",$G761:$T761)-($U$9/2))+IF(SUMIF($W760:$AJ760,"",$W761:$AJ761)+SUMIF($W760:$AJ760,"F",$W761:$AJ761)+SUMIF($W760:$AJ760,"V",$W761:$AJ761)-40&lt;0,0,SUMIF($W760:$AJ760,"",$W761:$AJ761)+SUMIF($W760:$AJ760,"F",$W761:$AJ761)+SUMIF($W760:$AJ760,"V",$W761:$AJ761)-($U$9/2))</f>
        <v>2</v>
      </c>
      <c r="AO761" s="73">
        <f>SUMIF($G760:$T760,"M",$G761:$T761)+SUMIF($W760:$AJ760,"M",$W761:$AJ761)</f>
        <v>0</v>
      </c>
      <c r="AP761" s="73">
        <f>SUMIF($G760:$T760,"F",$G761:$T761)+SUMIF($W760:$AJ760,"F",$W761:$AJ761)</f>
        <v>0</v>
      </c>
      <c r="AQ761" s="73">
        <f>SUMIF($G760:$T760,"V",$G761:$T761)+SUMIF($W760:$AJ760,"V",$W761:$AJ761)</f>
        <v>0</v>
      </c>
      <c r="AR761" s="74">
        <f>SUMIF($G760:$T760,"O",$G761:$T761)+SUMIF($W760:$AJ760,"O",$W761:$AJ761)</f>
        <v>0</v>
      </c>
      <c r="AS761" s="75">
        <f>SUM(AM761:AR761)</f>
        <v>82</v>
      </c>
      <c r="AT761" s="72"/>
      <c r="AU761" s="73">
        <f>SUMIF($G760:$T760,"A",$G761:$T761)+SUMIF($W760:$AJ760,"A",$W761:$AJ761)</f>
        <v>0</v>
      </c>
      <c r="AV761" s="72"/>
      <c r="AW761" s="76">
        <f>IF(B761="",0,IF($U$9="",0,$U$9))</f>
        <v>80</v>
      </c>
      <c r="BA761" s="2"/>
      <c r="BB761" s="2"/>
      <c r="BC761" s="101"/>
      <c r="BD761" s="101"/>
    </row>
    <row r="762" spans="2:56" s="84" customFormat="1" x14ac:dyDescent="0.35">
      <c r="B762" s="26"/>
      <c r="C762" s="27"/>
      <c r="D762" s="28">
        <f>IF(D688="","",D688)</f>
        <v>78475</v>
      </c>
      <c r="E762" s="29" t="str">
        <f t="shared" si="320"/>
        <v/>
      </c>
      <c r="F762" s="50">
        <f>B749</f>
        <v>20</v>
      </c>
      <c r="G762" s="59"/>
      <c r="H762" s="64"/>
      <c r="I762" s="106"/>
      <c r="J762" s="105"/>
      <c r="K762" s="106"/>
      <c r="L762" s="105"/>
      <c r="M762" s="106"/>
      <c r="N762" s="105"/>
      <c r="O762" s="106"/>
      <c r="P762" s="105"/>
      <c r="Q762" s="106"/>
      <c r="R762" s="105"/>
      <c r="S762" s="59"/>
      <c r="T762" s="64"/>
      <c r="U762" s="44"/>
      <c r="W762" s="59"/>
      <c r="X762" s="64"/>
      <c r="Y762" s="106"/>
      <c r="Z762" s="105"/>
      <c r="AA762" s="106"/>
      <c r="AB762" s="105"/>
      <c r="AC762" s="106"/>
      <c r="AD762" s="105"/>
      <c r="AE762" s="106"/>
      <c r="AF762" s="105"/>
      <c r="AG762" s="106"/>
      <c r="AH762" s="105"/>
      <c r="AI762" s="59"/>
      <c r="AJ762" s="64"/>
      <c r="AK762" s="44"/>
      <c r="AM762" s="49"/>
      <c r="AN762" s="49"/>
      <c r="AO762" s="49"/>
      <c r="AP762" s="49"/>
      <c r="AQ762" s="49"/>
      <c r="AR762" s="40"/>
      <c r="AS762" s="51"/>
      <c r="AU762" s="49"/>
      <c r="AW762" s="52"/>
      <c r="BA762" s="2"/>
      <c r="BB762" s="2"/>
      <c r="BC762" s="101"/>
      <c r="BD762" s="101"/>
    </row>
    <row r="763" spans="2:56" s="84" customFormat="1" x14ac:dyDescent="0.35">
      <c r="B763" s="30" t="str">
        <f>IF(B689="","",B689)</f>
        <v>Charbonneau, Samuel</v>
      </c>
      <c r="C763" s="31"/>
      <c r="D763" s="32"/>
      <c r="E763" s="33">
        <f t="shared" si="320"/>
        <v>93540</v>
      </c>
      <c r="F763" s="50">
        <f>B749</f>
        <v>20</v>
      </c>
      <c r="G763" s="69"/>
      <c r="H763" s="70"/>
      <c r="I763" s="104"/>
      <c r="J763" s="103">
        <v>8.5</v>
      </c>
      <c r="K763" s="104"/>
      <c r="L763" s="103">
        <v>8</v>
      </c>
      <c r="M763" s="104"/>
      <c r="N763" s="103">
        <v>8.5</v>
      </c>
      <c r="O763" s="104"/>
      <c r="P763" s="103">
        <v>8</v>
      </c>
      <c r="Q763" s="104"/>
      <c r="R763" s="103">
        <v>8</v>
      </c>
      <c r="S763" s="69"/>
      <c r="T763" s="70"/>
      <c r="U763" s="71">
        <f t="shared" ref="U763" si="324">SUM(G763:T763)</f>
        <v>41</v>
      </c>
      <c r="V763" s="72"/>
      <c r="W763" s="69"/>
      <c r="X763" s="70"/>
      <c r="Y763" s="104"/>
      <c r="Z763" s="103">
        <v>8</v>
      </c>
      <c r="AA763" s="104"/>
      <c r="AB763" s="103">
        <v>8.5</v>
      </c>
      <c r="AC763" s="104"/>
      <c r="AD763" s="103">
        <v>8</v>
      </c>
      <c r="AE763" s="104"/>
      <c r="AF763" s="103">
        <v>8.5</v>
      </c>
      <c r="AG763" s="104"/>
      <c r="AH763" s="103">
        <v>8</v>
      </c>
      <c r="AI763" s="69"/>
      <c r="AJ763" s="70"/>
      <c r="AK763" s="71">
        <f>SUM(W763:AJ763)</f>
        <v>41</v>
      </c>
      <c r="AL763" s="72"/>
      <c r="AM763" s="73">
        <f>SUMIF($G762:$T762,"",$G763:$T763)+SUMIF($W762:$AJ762,"",$W763:$AJ763)-AN763</f>
        <v>80</v>
      </c>
      <c r="AN763" s="88">
        <f>IF(SUMIF($G762:$T762,"",$G763:$T763)+SUMIF($G762:$T762,"F",$G763:$T763)+SUMIF($G762:$T762,"V",$G763:$T763)-40&lt;0,0,SUMIF($G762:$T762,"",$G763:$T763)+SUMIF($G762:$T762,"F",$G763:$T763)+SUMIF($G762:$T762,"V",$G763:$T763)-($U$9/2))+IF(SUMIF($W762:$AJ762,"",$W763:$AJ763)+SUMIF($W762:$AJ762,"F",$W763:$AJ763)+SUMIF($W762:$AJ762,"V",$W763:$AJ763)-40&lt;0,0,SUMIF($W762:$AJ762,"",$W763:$AJ763)+SUMIF($W762:$AJ762,"F",$W763:$AJ763)+SUMIF($W762:$AJ762,"V",$W763:$AJ763)-($U$9/2))</f>
        <v>2</v>
      </c>
      <c r="AO763" s="73">
        <f>SUMIF($G762:$T762,"M",$G763:$T763)+SUMIF($W762:$AJ762,"M",$W763:$AJ763)</f>
        <v>0</v>
      </c>
      <c r="AP763" s="73">
        <f>SUMIF($G762:$T762,"F",$G763:$T763)+SUMIF($W762:$AJ762,"F",$W763:$AJ763)</f>
        <v>0</v>
      </c>
      <c r="AQ763" s="73">
        <f>SUMIF($G762:$T762,"V",$G763:$T763)+SUMIF($W762:$AJ762,"V",$W763:$AJ763)</f>
        <v>0</v>
      </c>
      <c r="AR763" s="74">
        <f>SUMIF($G762:$T762,"O",$G763:$T763)+SUMIF($W762:$AJ762,"O",$W763:$AJ763)</f>
        <v>0</v>
      </c>
      <c r="AS763" s="75">
        <f>SUM(AM763:AR763)</f>
        <v>82</v>
      </c>
      <c r="AT763" s="72"/>
      <c r="AU763" s="73">
        <f>SUMIF($G762:$T762,"A",$G763:$T763)+SUMIF($W762:$AJ762,"A",$W763:$AJ763)</f>
        <v>0</v>
      </c>
      <c r="AV763" s="72"/>
      <c r="AW763" s="76">
        <f>IF(B763="",0,IF($U$9="",0,$U$9))</f>
        <v>80</v>
      </c>
      <c r="BA763" s="2"/>
      <c r="BB763" s="2"/>
      <c r="BC763" s="101"/>
      <c r="BD763" s="101"/>
    </row>
    <row r="764" spans="2:56" s="84" customFormat="1" x14ac:dyDescent="0.35">
      <c r="B764" s="26"/>
      <c r="C764" s="27"/>
      <c r="D764" s="28">
        <f>IF(D690="","",D690)</f>
        <v>24238</v>
      </c>
      <c r="E764" s="29" t="str">
        <f t="shared" si="320"/>
        <v/>
      </c>
      <c r="F764" s="50">
        <f>B749</f>
        <v>20</v>
      </c>
      <c r="G764" s="59"/>
      <c r="H764" s="64"/>
      <c r="I764" s="106"/>
      <c r="J764" s="105"/>
      <c r="K764" s="106"/>
      <c r="L764" s="105"/>
      <c r="M764" s="106"/>
      <c r="N764" s="105"/>
      <c r="O764" s="106"/>
      <c r="P764" s="105"/>
      <c r="Q764" s="106"/>
      <c r="R764" s="105"/>
      <c r="S764" s="59"/>
      <c r="T764" s="64"/>
      <c r="U764" s="44"/>
      <c r="W764" s="59"/>
      <c r="X764" s="64"/>
      <c r="Y764" s="106"/>
      <c r="Z764" s="105"/>
      <c r="AA764" s="106"/>
      <c r="AB764" s="105"/>
      <c r="AC764" s="106"/>
      <c r="AD764" s="105"/>
      <c r="AE764" s="106"/>
      <c r="AF764" s="105"/>
      <c r="AG764" s="106"/>
      <c r="AH764" s="105"/>
      <c r="AI764" s="59"/>
      <c r="AJ764" s="64"/>
      <c r="AK764" s="44"/>
      <c r="AM764" s="49"/>
      <c r="AN764" s="49"/>
      <c r="AO764" s="49"/>
      <c r="AP764" s="49"/>
      <c r="AQ764" s="49"/>
      <c r="AR764" s="40"/>
      <c r="AS764" s="51"/>
      <c r="AU764" s="49"/>
      <c r="AW764" s="52"/>
      <c r="BA764" s="2"/>
      <c r="BB764" s="2"/>
      <c r="BC764" s="101"/>
      <c r="BD764" s="101"/>
    </row>
    <row r="765" spans="2:56" s="84" customFormat="1" x14ac:dyDescent="0.35">
      <c r="B765" s="30" t="str">
        <f>IF(B691="","",B691)</f>
        <v>Curtis, Jason</v>
      </c>
      <c r="C765" s="31"/>
      <c r="D765" s="32"/>
      <c r="E765" s="33">
        <f t="shared" si="320"/>
        <v>93595935</v>
      </c>
      <c r="F765" s="50">
        <f>B749</f>
        <v>20</v>
      </c>
      <c r="G765" s="69"/>
      <c r="H765" s="70"/>
      <c r="I765" s="104"/>
      <c r="J765" s="103">
        <v>8</v>
      </c>
      <c r="K765" s="104"/>
      <c r="L765" s="103">
        <v>8</v>
      </c>
      <c r="M765" s="104"/>
      <c r="N765" s="103">
        <v>8</v>
      </c>
      <c r="O765" s="104"/>
      <c r="P765" s="103">
        <v>8</v>
      </c>
      <c r="Q765" s="104"/>
      <c r="R765" s="103">
        <v>8</v>
      </c>
      <c r="S765" s="69"/>
      <c r="T765" s="70"/>
      <c r="U765" s="71">
        <f t="shared" ref="U765" si="325">SUM(G765:T765)</f>
        <v>40</v>
      </c>
      <c r="V765" s="72"/>
      <c r="W765" s="69"/>
      <c r="X765" s="70"/>
      <c r="Y765" s="104"/>
      <c r="Z765" s="103">
        <v>8</v>
      </c>
      <c r="AA765" s="104"/>
      <c r="AB765" s="103">
        <v>8</v>
      </c>
      <c r="AC765" s="104"/>
      <c r="AD765" s="103">
        <v>8</v>
      </c>
      <c r="AE765" s="104"/>
      <c r="AF765" s="103">
        <v>8</v>
      </c>
      <c r="AG765" s="104"/>
      <c r="AH765" s="103">
        <v>8</v>
      </c>
      <c r="AI765" s="69"/>
      <c r="AJ765" s="70"/>
      <c r="AK765" s="71">
        <f>SUM(W765:AJ765)</f>
        <v>40</v>
      </c>
      <c r="AL765" s="72"/>
      <c r="AM765" s="73">
        <f>SUMIF($G764:$T764,"",$G765:$T765)+SUMIF($W764:$AJ764,"",$W765:$AJ765)-AN765</f>
        <v>80</v>
      </c>
      <c r="AN765" s="88">
        <f>IF(SUMIF($G764:$T764,"",$G765:$T765)+SUMIF($G764:$T764,"F",$G765:$T765)+SUMIF($G764:$T764,"V",$G765:$T765)-40&lt;0,0,SUMIF($G764:$T764,"",$G765:$T765)+SUMIF($G764:$T764,"F",$G765:$T765)+SUMIF($G764:$T764,"V",$G765:$T765)-($U$9/2))+IF(SUMIF($W764:$AJ764,"",$W765:$AJ765)+SUMIF($W764:$AJ764,"F",$W765:$AJ765)+SUMIF($W764:$AJ764,"V",$W765:$AJ765)-40&lt;0,0,SUMIF($W764:$AJ764,"",$W765:$AJ765)+SUMIF($W764:$AJ764,"F",$W765:$AJ765)+SUMIF($W764:$AJ764,"V",$W765:$AJ765)-($U$9/2))</f>
        <v>0</v>
      </c>
      <c r="AO765" s="73">
        <f>SUMIF($G764:$T764,"M",$G765:$T765)+SUMIF($W764:$AJ764,"M",$W765:$AJ765)</f>
        <v>0</v>
      </c>
      <c r="AP765" s="73">
        <f>SUMIF($G764:$T764,"F",$G765:$T765)+SUMIF($W764:$AJ764,"F",$W765:$AJ765)</f>
        <v>0</v>
      </c>
      <c r="AQ765" s="73">
        <f>SUMIF($G764:$T764,"V",$G765:$T765)+SUMIF($W764:$AJ764,"V",$W765:$AJ765)</f>
        <v>0</v>
      </c>
      <c r="AR765" s="74">
        <f>SUMIF($G764:$T764,"O",$G765:$T765)+SUMIF($W764:$AJ764,"O",$W765:$AJ765)</f>
        <v>0</v>
      </c>
      <c r="AS765" s="75">
        <f>SUM(AM765:AR765)</f>
        <v>80</v>
      </c>
      <c r="AT765" s="72"/>
      <c r="AU765" s="73">
        <f>SUMIF($G764:$T764,"A",$G765:$T765)+SUMIF($W764:$AJ764,"A",$W765:$AJ765)</f>
        <v>0</v>
      </c>
      <c r="AV765" s="72"/>
      <c r="AW765" s="76">
        <f>IF(B765="",0,IF($U$9="",0,$U$9))</f>
        <v>80</v>
      </c>
      <c r="BA765" s="2"/>
      <c r="BB765" s="2"/>
      <c r="BC765" s="101"/>
      <c r="BD765" s="101"/>
    </row>
    <row r="766" spans="2:56" s="84" customFormat="1" x14ac:dyDescent="0.35">
      <c r="B766" s="26"/>
      <c r="C766" s="27"/>
      <c r="D766" s="28">
        <f>IF(D692="","",D692)</f>
        <v>79709</v>
      </c>
      <c r="E766" s="29" t="str">
        <f t="shared" si="320"/>
        <v/>
      </c>
      <c r="F766" s="50">
        <f>B749</f>
        <v>20</v>
      </c>
      <c r="G766" s="59"/>
      <c r="H766" s="64"/>
      <c r="I766" s="106"/>
      <c r="J766" s="105"/>
      <c r="K766" s="106"/>
      <c r="L766" s="105"/>
      <c r="M766" s="106"/>
      <c r="N766" s="105"/>
      <c r="O766" s="106"/>
      <c r="P766" s="105"/>
      <c r="Q766" s="106"/>
      <c r="R766" s="105"/>
      <c r="S766" s="59"/>
      <c r="T766" s="64"/>
      <c r="U766" s="44"/>
      <c r="W766" s="59"/>
      <c r="X766" s="64"/>
      <c r="Y766" s="106"/>
      <c r="Z766" s="105"/>
      <c r="AA766" s="106"/>
      <c r="AB766" s="105"/>
      <c r="AC766" s="106"/>
      <c r="AD766" s="105"/>
      <c r="AE766" s="106"/>
      <c r="AF766" s="105"/>
      <c r="AG766" s="106"/>
      <c r="AH766" s="105"/>
      <c r="AI766" s="59"/>
      <c r="AJ766" s="64"/>
      <c r="AK766" s="44"/>
      <c r="AM766" s="49"/>
      <c r="AN766" s="49"/>
      <c r="AO766" s="49"/>
      <c r="AP766" s="49"/>
      <c r="AQ766" s="49"/>
      <c r="AR766" s="40"/>
      <c r="AS766" s="51"/>
      <c r="AU766" s="49"/>
      <c r="AW766" s="52"/>
      <c r="BA766" s="2"/>
      <c r="BB766" s="2"/>
      <c r="BC766" s="101"/>
      <c r="BD766" s="101"/>
    </row>
    <row r="767" spans="2:56" s="84" customFormat="1" x14ac:dyDescent="0.35">
      <c r="B767" s="30" t="str">
        <f>IF(B693="","",B693)</f>
        <v>De Rose, Natale</v>
      </c>
      <c r="C767" s="31"/>
      <c r="D767" s="32"/>
      <c r="E767" s="33">
        <f t="shared" si="320"/>
        <v>93595935</v>
      </c>
      <c r="F767" s="50">
        <f>B749</f>
        <v>20</v>
      </c>
      <c r="G767" s="69"/>
      <c r="H767" s="70"/>
      <c r="I767" s="104"/>
      <c r="J767" s="103">
        <v>8</v>
      </c>
      <c r="K767" s="104"/>
      <c r="L767" s="103">
        <v>8</v>
      </c>
      <c r="M767" s="104"/>
      <c r="N767" s="103">
        <v>8</v>
      </c>
      <c r="O767" s="104"/>
      <c r="P767" s="103">
        <v>8</v>
      </c>
      <c r="Q767" s="104"/>
      <c r="R767" s="103">
        <v>8</v>
      </c>
      <c r="S767" s="69"/>
      <c r="T767" s="70"/>
      <c r="U767" s="71">
        <f t="shared" ref="U767" si="326">SUM(G767:T767)</f>
        <v>40</v>
      </c>
      <c r="V767" s="72"/>
      <c r="W767" s="69"/>
      <c r="X767" s="70"/>
      <c r="Y767" s="104"/>
      <c r="Z767" s="103">
        <v>8</v>
      </c>
      <c r="AA767" s="104"/>
      <c r="AB767" s="103">
        <v>8</v>
      </c>
      <c r="AC767" s="104"/>
      <c r="AD767" s="103">
        <v>8</v>
      </c>
      <c r="AE767" s="104"/>
      <c r="AF767" s="103">
        <v>8</v>
      </c>
      <c r="AG767" s="104"/>
      <c r="AH767" s="103">
        <v>8</v>
      </c>
      <c r="AI767" s="69"/>
      <c r="AJ767" s="70"/>
      <c r="AK767" s="71">
        <f>SUM(W767:AJ767)</f>
        <v>40</v>
      </c>
      <c r="AL767" s="72"/>
      <c r="AM767" s="73">
        <f>SUMIF($G766:$T766,"",$G767:$T767)+SUMIF($W766:$AJ766,"",$W767:$AJ767)-AN767</f>
        <v>80</v>
      </c>
      <c r="AN767" s="88">
        <f>IF(SUMIF($G766:$T766,"",$G767:$T767)+SUMIF($G766:$T766,"F",$G767:$T767)+SUMIF($G766:$T766,"V",$G767:$T767)-40&lt;0,0,SUMIF($G766:$T766,"",$G767:$T767)+SUMIF($G766:$T766,"F",$G767:$T767)+SUMIF($G766:$T766,"V",$G767:$T767)-($U$9/2))+IF(SUMIF($W766:$AJ766,"",$W767:$AJ767)+SUMIF($W766:$AJ766,"F",$W767:$AJ767)+SUMIF($W766:$AJ766,"V",$W767:$AJ767)-40&lt;0,0,SUMIF($W766:$AJ766,"",$W767:$AJ767)+SUMIF($W766:$AJ766,"F",$W767:$AJ767)+SUMIF($W766:$AJ766,"V",$W767:$AJ767)-($U$9/2))</f>
        <v>0</v>
      </c>
      <c r="AO767" s="73">
        <f>SUMIF($G766:$T766,"M",$G767:$T767)+SUMIF($W766:$AJ766,"M",$W767:$AJ767)</f>
        <v>0</v>
      </c>
      <c r="AP767" s="73">
        <f>SUMIF($G766:$T766,"F",$G767:$T767)+SUMIF($W766:$AJ766,"F",$W767:$AJ767)</f>
        <v>0</v>
      </c>
      <c r="AQ767" s="73">
        <f>SUMIF($G766:$T766,"V",$G767:$T767)+SUMIF($W766:$AJ766,"V",$W767:$AJ767)</f>
        <v>0</v>
      </c>
      <c r="AR767" s="74">
        <f>SUMIF($G766:$T766,"O",$G767:$T767)+SUMIF($W766:$AJ766,"O",$W767:$AJ767)</f>
        <v>0</v>
      </c>
      <c r="AS767" s="75">
        <f>SUM(AM767:AR767)</f>
        <v>80</v>
      </c>
      <c r="AT767" s="72"/>
      <c r="AU767" s="73">
        <f>SUMIF($G766:$T766,"A",$G767:$T767)+SUMIF($W766:$AJ766,"A",$W767:$AJ767)</f>
        <v>0</v>
      </c>
      <c r="AV767" s="72"/>
      <c r="AW767" s="76">
        <f>IF(B767="",0,IF($U$9="",0,$U$9))</f>
        <v>80</v>
      </c>
      <c r="BA767" s="2"/>
      <c r="BB767" s="2"/>
      <c r="BC767" s="101"/>
      <c r="BD767" s="101"/>
    </row>
    <row r="768" spans="2:56" s="84" customFormat="1" x14ac:dyDescent="0.35">
      <c r="B768" s="26"/>
      <c r="C768" s="27"/>
      <c r="D768" s="28">
        <f>IF(D694="","",D694)</f>
        <v>92027</v>
      </c>
      <c r="E768" s="29" t="str">
        <f t="shared" si="320"/>
        <v/>
      </c>
      <c r="F768" s="50">
        <f>B749</f>
        <v>20</v>
      </c>
      <c r="G768" s="59"/>
      <c r="H768" s="64"/>
      <c r="I768" s="106"/>
      <c r="J768" s="105"/>
      <c r="K768" s="106"/>
      <c r="L768" s="105"/>
      <c r="M768" s="106"/>
      <c r="N768" s="105"/>
      <c r="O768" s="106"/>
      <c r="P768" s="105"/>
      <c r="Q768" s="106"/>
      <c r="R768" s="105"/>
      <c r="S768" s="59"/>
      <c r="T768" s="64"/>
      <c r="U768" s="44"/>
      <c r="W768" s="59"/>
      <c r="X768" s="64"/>
      <c r="Y768" s="106"/>
      <c r="Z768" s="105"/>
      <c r="AA768" s="106"/>
      <c r="AB768" s="105"/>
      <c r="AC768" s="106"/>
      <c r="AD768" s="105"/>
      <c r="AE768" s="106"/>
      <c r="AF768" s="105"/>
      <c r="AG768" s="106"/>
      <c r="AH768" s="105"/>
      <c r="AI768" s="59"/>
      <c r="AJ768" s="64"/>
      <c r="AK768" s="44"/>
      <c r="AM768" s="49"/>
      <c r="AN768" s="49"/>
      <c r="AO768" s="49"/>
      <c r="AP768" s="49"/>
      <c r="AQ768" s="49"/>
      <c r="AR768" s="40"/>
      <c r="AS768" s="51"/>
      <c r="AU768" s="49"/>
      <c r="AW768" s="52"/>
      <c r="BA768" s="2"/>
      <c r="BB768" s="2"/>
      <c r="BC768" s="101"/>
      <c r="BD768" s="101"/>
    </row>
    <row r="769" spans="2:56" s="84" customFormat="1" x14ac:dyDescent="0.35">
      <c r="B769" s="30" t="str">
        <f>IF(B695="","",B695)</f>
        <v>Descoteaux, Gerald</v>
      </c>
      <c r="C769" s="31"/>
      <c r="D769" s="32"/>
      <c r="E769" s="33">
        <f t="shared" si="320"/>
        <v>93595935</v>
      </c>
      <c r="F769" s="50">
        <f>B749</f>
        <v>20</v>
      </c>
      <c r="G769" s="69"/>
      <c r="H769" s="70"/>
      <c r="I769" s="104"/>
      <c r="J769" s="103">
        <v>8</v>
      </c>
      <c r="K769" s="104"/>
      <c r="L769" s="103">
        <v>8</v>
      </c>
      <c r="M769" s="104"/>
      <c r="N769" s="103">
        <v>8</v>
      </c>
      <c r="O769" s="104"/>
      <c r="P769" s="103">
        <v>8</v>
      </c>
      <c r="Q769" s="104"/>
      <c r="R769" s="103">
        <v>8</v>
      </c>
      <c r="S769" s="69"/>
      <c r="T769" s="70"/>
      <c r="U769" s="71">
        <f t="shared" ref="U769" si="327">SUM(G769:T769)</f>
        <v>40</v>
      </c>
      <c r="V769" s="72"/>
      <c r="W769" s="69"/>
      <c r="X769" s="70"/>
      <c r="Y769" s="104"/>
      <c r="Z769" s="103">
        <v>8</v>
      </c>
      <c r="AA769" s="104"/>
      <c r="AB769" s="103">
        <v>8</v>
      </c>
      <c r="AC769" s="104"/>
      <c r="AD769" s="103">
        <v>8</v>
      </c>
      <c r="AE769" s="104"/>
      <c r="AF769" s="103">
        <v>8</v>
      </c>
      <c r="AG769" s="104"/>
      <c r="AH769" s="103">
        <v>8</v>
      </c>
      <c r="AI769" s="69"/>
      <c r="AJ769" s="70"/>
      <c r="AK769" s="71">
        <f>SUM(W769:AJ769)</f>
        <v>40</v>
      </c>
      <c r="AL769" s="72"/>
      <c r="AM769" s="73">
        <f>SUMIF($G768:$T768,"",$G769:$T769)+SUMIF($W768:$AJ768,"",$W769:$AJ769)-AN769</f>
        <v>80</v>
      </c>
      <c r="AN769" s="88">
        <f>IF(SUMIF($G768:$T768,"",$G769:$T769)+SUMIF($G768:$T768,"F",$G769:$T769)+SUMIF($G768:$T768,"V",$G769:$T769)-40&lt;0,0,SUMIF($G768:$T768,"",$G769:$T769)+SUMIF($G768:$T768,"F",$G769:$T769)+SUMIF($G768:$T768,"V",$G769:$T769)-($U$9/2))+IF(SUMIF($W768:$AJ768,"",$W769:$AJ769)+SUMIF($W768:$AJ768,"F",$W769:$AJ769)+SUMIF($W768:$AJ768,"V",$W769:$AJ769)-40&lt;0,0,SUMIF($W768:$AJ768,"",$W769:$AJ769)+SUMIF($W768:$AJ768,"F",$W769:$AJ769)+SUMIF($W768:$AJ768,"V",$W769:$AJ769)-($U$9/2))</f>
        <v>0</v>
      </c>
      <c r="AO769" s="73">
        <f>SUMIF($G768:$T768,"M",$G769:$T769)+SUMIF($W768:$AJ768,"M",$W769:$AJ769)</f>
        <v>0</v>
      </c>
      <c r="AP769" s="73">
        <f>SUMIF($G768:$T768,"F",$G769:$T769)+SUMIF($W768:$AJ768,"F",$W769:$AJ769)</f>
        <v>0</v>
      </c>
      <c r="AQ769" s="73">
        <f>SUMIF($G768:$T768,"V",$G769:$T769)+SUMIF($W768:$AJ768,"V",$W769:$AJ769)</f>
        <v>0</v>
      </c>
      <c r="AR769" s="74">
        <f>SUMIF($G768:$T768,"O",$G769:$T769)+SUMIF($W768:$AJ768,"O",$W769:$AJ769)</f>
        <v>0</v>
      </c>
      <c r="AS769" s="75">
        <f>SUM(AM769:AR769)</f>
        <v>80</v>
      </c>
      <c r="AT769" s="72"/>
      <c r="AU769" s="73">
        <f>SUMIF($G768:$T768,"A",$G769:$T769)+SUMIF($W768:$AJ768,"A",$W769:$AJ769)</f>
        <v>0</v>
      </c>
      <c r="AV769" s="72"/>
      <c r="AW769" s="76">
        <f>IF(B769="",0,IF($U$9="",0,$U$9))</f>
        <v>80</v>
      </c>
      <c r="BA769" s="2"/>
      <c r="BB769" s="2"/>
      <c r="BC769" s="101"/>
      <c r="BD769" s="101"/>
    </row>
    <row r="770" spans="2:56" s="84" customFormat="1" x14ac:dyDescent="0.35">
      <c r="B770" s="26"/>
      <c r="C770" s="27"/>
      <c r="D770" s="28">
        <f>IF(D696="","",D696)</f>
        <v>73795</v>
      </c>
      <c r="E770" s="29" t="str">
        <f t="shared" si="320"/>
        <v/>
      </c>
      <c r="F770" s="50">
        <f>B749</f>
        <v>20</v>
      </c>
      <c r="G770" s="59"/>
      <c r="H770" s="64"/>
      <c r="I770" s="106"/>
      <c r="J770" s="105"/>
      <c r="K770" s="106"/>
      <c r="L770" s="105"/>
      <c r="M770" s="106"/>
      <c r="N770" s="105"/>
      <c r="O770" s="106"/>
      <c r="P770" s="105"/>
      <c r="Q770" s="106"/>
      <c r="R770" s="105"/>
      <c r="S770" s="59"/>
      <c r="T770" s="64"/>
      <c r="U770" s="44"/>
      <c r="W770" s="59"/>
      <c r="X770" s="64"/>
      <c r="Y770" s="106"/>
      <c r="Z770" s="105"/>
      <c r="AA770" s="106"/>
      <c r="AB770" s="105"/>
      <c r="AC770" s="106"/>
      <c r="AD770" s="105"/>
      <c r="AE770" s="106"/>
      <c r="AF770" s="105"/>
      <c r="AG770" s="106"/>
      <c r="AH770" s="105" t="s">
        <v>1</v>
      </c>
      <c r="AI770" s="59"/>
      <c r="AJ770" s="64"/>
      <c r="AK770" s="44"/>
      <c r="AM770" s="49"/>
      <c r="AN770" s="49"/>
      <c r="AO770" s="49"/>
      <c r="AP770" s="49"/>
      <c r="AQ770" s="49"/>
      <c r="AR770" s="40"/>
      <c r="AS770" s="51"/>
      <c r="AU770" s="49"/>
      <c r="AW770" s="52"/>
      <c r="BA770" s="2"/>
      <c r="BB770" s="2"/>
      <c r="BC770" s="101"/>
      <c r="BD770" s="101"/>
    </row>
    <row r="771" spans="2:56" s="84" customFormat="1" x14ac:dyDescent="0.35">
      <c r="B771" s="30" t="str">
        <f>IF(B697="","",B697)</f>
        <v>Fortin, Veronique</v>
      </c>
      <c r="C771" s="31"/>
      <c r="D771" s="32"/>
      <c r="E771" s="33">
        <f t="shared" si="320"/>
        <v>93540</v>
      </c>
      <c r="F771" s="50">
        <f>B749</f>
        <v>20</v>
      </c>
      <c r="G771" s="69"/>
      <c r="H771" s="70"/>
      <c r="I771" s="104"/>
      <c r="J771" s="103">
        <v>8</v>
      </c>
      <c r="K771" s="104"/>
      <c r="L771" s="103">
        <v>8</v>
      </c>
      <c r="M771" s="104"/>
      <c r="N771" s="103">
        <v>8</v>
      </c>
      <c r="O771" s="104"/>
      <c r="P771" s="103">
        <v>8</v>
      </c>
      <c r="Q771" s="104"/>
      <c r="R771" s="103">
        <v>7.5</v>
      </c>
      <c r="S771" s="69"/>
      <c r="T771" s="70"/>
      <c r="U771" s="71">
        <f t="shared" ref="U771" si="328">SUM(G771:T771)</f>
        <v>39.5</v>
      </c>
      <c r="V771" s="72"/>
      <c r="W771" s="69"/>
      <c r="X771" s="70"/>
      <c r="Y771" s="104"/>
      <c r="Z771" s="103">
        <v>8</v>
      </c>
      <c r="AA771" s="104"/>
      <c r="AB771" s="103">
        <v>8</v>
      </c>
      <c r="AC771" s="104"/>
      <c r="AD771" s="103">
        <v>8</v>
      </c>
      <c r="AE771" s="104"/>
      <c r="AF771" s="103">
        <v>8</v>
      </c>
      <c r="AG771" s="104"/>
      <c r="AH771" s="103">
        <v>8</v>
      </c>
      <c r="AI771" s="69"/>
      <c r="AJ771" s="70"/>
      <c r="AK771" s="71">
        <f>SUM(W771:AJ771)</f>
        <v>40</v>
      </c>
      <c r="AL771" s="72"/>
      <c r="AM771" s="73">
        <f>SUMIF($G770:$T770,"",$G771:$T771)+SUMIF($W770:$AJ770,"",$W771:$AJ771)-AN771</f>
        <v>71.5</v>
      </c>
      <c r="AN771" s="88">
        <f>IF(SUMIF($G770:$T770,"",$G771:$T771)+SUMIF($G770:$T770,"F",$G771:$T771)+SUMIF($G770:$T770,"V",$G771:$T771)-40&lt;0,0,SUMIF($G770:$T770,"",$G771:$T771)+SUMIF($G770:$T770,"F",$G771:$T771)+SUMIF($G770:$T770,"V",$G771:$T771)-($U$9/2))+IF(SUMIF($W770:$AJ770,"",$W771:$AJ771)+SUMIF($W770:$AJ770,"F",$W771:$AJ771)+SUMIF($W770:$AJ770,"V",$W771:$AJ771)-40&lt;0,0,SUMIF($W770:$AJ770,"",$W771:$AJ771)+SUMIF($W770:$AJ770,"F",$W771:$AJ771)+SUMIF($W770:$AJ770,"V",$W771:$AJ771)-($U$9/2))</f>
        <v>0</v>
      </c>
      <c r="AO771" s="73">
        <f>SUMIF($G770:$T770,"M",$G771:$T771)+SUMIF($W770:$AJ770,"M",$W771:$AJ771)</f>
        <v>0</v>
      </c>
      <c r="AP771" s="73">
        <f>SUMIF($G770:$T770,"F",$G771:$T771)+SUMIF($W770:$AJ770,"F",$W771:$AJ771)</f>
        <v>0</v>
      </c>
      <c r="AQ771" s="73">
        <f>SUMIF($G770:$T770,"V",$G771:$T771)+SUMIF($W770:$AJ770,"V",$W771:$AJ771)</f>
        <v>8</v>
      </c>
      <c r="AR771" s="74">
        <f>SUMIF($G770:$T770,"O",$G771:$T771)+SUMIF($W770:$AJ770,"O",$W771:$AJ771)</f>
        <v>0</v>
      </c>
      <c r="AS771" s="75">
        <f>SUM(AM771:AR771)</f>
        <v>79.5</v>
      </c>
      <c r="AT771" s="72"/>
      <c r="AU771" s="73">
        <f>SUMIF($G770:$T770,"A",$G771:$T771)+SUMIF($W770:$AJ770,"A",$W771:$AJ771)</f>
        <v>0</v>
      </c>
      <c r="AV771" s="72"/>
      <c r="AW771" s="76">
        <f>IF(B771="",0,IF($U$9="",0,$U$9))</f>
        <v>80</v>
      </c>
      <c r="BA771" s="2"/>
      <c r="BB771" s="2"/>
      <c r="BC771" s="101"/>
      <c r="BD771" s="101"/>
    </row>
    <row r="772" spans="2:56" s="84" customFormat="1" x14ac:dyDescent="0.35">
      <c r="B772" s="26"/>
      <c r="C772" s="27"/>
      <c r="D772" s="28">
        <f>IF(D698="","",D698)</f>
        <v>23206</v>
      </c>
      <c r="E772" s="29" t="str">
        <f t="shared" si="320"/>
        <v/>
      </c>
      <c r="F772" s="50">
        <f>B749</f>
        <v>20</v>
      </c>
      <c r="G772" s="59"/>
      <c r="H772" s="64"/>
      <c r="I772" s="106"/>
      <c r="J772" s="105"/>
      <c r="K772" s="106"/>
      <c r="L772" s="105"/>
      <c r="M772" s="106"/>
      <c r="N772" s="105"/>
      <c r="O772" s="106"/>
      <c r="P772" s="105"/>
      <c r="Q772" s="106"/>
      <c r="R772" s="105"/>
      <c r="S772" s="59"/>
      <c r="T772" s="64"/>
      <c r="U772" s="44"/>
      <c r="W772" s="59"/>
      <c r="X772" s="64"/>
      <c r="Y772" s="106"/>
      <c r="Z772" s="105"/>
      <c r="AA772" s="106"/>
      <c r="AB772" s="105"/>
      <c r="AC772" s="106"/>
      <c r="AD772" s="105"/>
      <c r="AE772" s="106"/>
      <c r="AF772" s="105"/>
      <c r="AG772" s="106"/>
      <c r="AH772" s="105"/>
      <c r="AI772" s="59"/>
      <c r="AJ772" s="64"/>
      <c r="AK772" s="44"/>
      <c r="AM772" s="49"/>
      <c r="AN772" s="49"/>
      <c r="AO772" s="49"/>
      <c r="AP772" s="49"/>
      <c r="AQ772" s="49"/>
      <c r="AR772" s="40"/>
      <c r="AS772" s="51"/>
      <c r="AU772" s="49"/>
      <c r="AW772" s="52"/>
      <c r="BA772" s="2"/>
      <c r="BB772" s="2"/>
      <c r="BC772" s="101"/>
      <c r="BD772" s="101"/>
    </row>
    <row r="773" spans="2:56" s="84" customFormat="1" x14ac:dyDescent="0.35">
      <c r="B773" s="30" t="str">
        <f>IF(B699="","",B699)</f>
        <v>Gadbois, Dominic</v>
      </c>
      <c r="C773" s="31"/>
      <c r="D773" s="32"/>
      <c r="E773" s="33">
        <f t="shared" si="320"/>
        <v>93545</v>
      </c>
      <c r="F773" s="50">
        <f>B749</f>
        <v>20</v>
      </c>
      <c r="G773" s="69"/>
      <c r="H773" s="70"/>
      <c r="I773" s="104"/>
      <c r="J773" s="103">
        <v>8</v>
      </c>
      <c r="K773" s="104"/>
      <c r="L773" s="103">
        <v>7.5</v>
      </c>
      <c r="M773" s="104"/>
      <c r="N773" s="103">
        <v>7.75</v>
      </c>
      <c r="O773" s="104"/>
      <c r="P773" s="103">
        <v>7.5</v>
      </c>
      <c r="Q773" s="104"/>
      <c r="R773" s="103">
        <v>7.5</v>
      </c>
      <c r="S773" s="69"/>
      <c r="T773" s="70"/>
      <c r="U773" s="71">
        <f t="shared" ref="U773" si="329">SUM(G773:T773)</f>
        <v>38.25</v>
      </c>
      <c r="V773" s="72"/>
      <c r="W773" s="69"/>
      <c r="X773" s="70"/>
      <c r="Y773" s="104"/>
      <c r="Z773" s="103">
        <v>8</v>
      </c>
      <c r="AA773" s="104"/>
      <c r="AB773" s="103">
        <v>8</v>
      </c>
      <c r="AC773" s="104"/>
      <c r="AD773" s="103">
        <v>8</v>
      </c>
      <c r="AE773" s="104"/>
      <c r="AF773" s="103">
        <v>8</v>
      </c>
      <c r="AG773" s="104"/>
      <c r="AH773" s="103">
        <v>8</v>
      </c>
      <c r="AI773" s="69"/>
      <c r="AJ773" s="70"/>
      <c r="AK773" s="71">
        <f>SUM(W773:AJ773)</f>
        <v>40</v>
      </c>
      <c r="AL773" s="72"/>
      <c r="AM773" s="73">
        <f>SUMIF($G772:$T772,"",$G773:$T773)+SUMIF($W772:$AJ772,"",$W773:$AJ773)-AN773</f>
        <v>78.25</v>
      </c>
      <c r="AN773" s="88">
        <f>IF(SUMIF($G772:$T772,"",$G773:$T773)+SUMIF($G772:$T772,"F",$G773:$T773)+SUMIF($G772:$T772,"V",$G773:$T773)-40&lt;0,0,SUMIF($G772:$T772,"",$G773:$T773)+SUMIF($G772:$T772,"F",$G773:$T773)+SUMIF($G772:$T772,"V",$G773:$T773)-($U$9/2))+IF(SUMIF($W772:$AJ772,"",$W773:$AJ773)+SUMIF($W772:$AJ772,"F",$W773:$AJ773)+SUMIF($W772:$AJ772,"V",$W773:$AJ773)-40&lt;0,0,SUMIF($W772:$AJ772,"",$W773:$AJ773)+SUMIF($W772:$AJ772,"F",$W773:$AJ773)+SUMIF($W772:$AJ772,"V",$W773:$AJ773)-($U$9/2))</f>
        <v>0</v>
      </c>
      <c r="AO773" s="73">
        <f>SUMIF($G772:$T772,"M",$G773:$T773)+SUMIF($W772:$AJ772,"M",$W773:$AJ773)</f>
        <v>0</v>
      </c>
      <c r="AP773" s="73">
        <f>SUMIF($G772:$T772,"F",$G773:$T773)+SUMIF($W772:$AJ772,"F",$W773:$AJ773)</f>
        <v>0</v>
      </c>
      <c r="AQ773" s="73">
        <f>SUMIF($G772:$T772,"V",$G773:$T773)+SUMIF($W772:$AJ772,"V",$W773:$AJ773)</f>
        <v>0</v>
      </c>
      <c r="AR773" s="74">
        <f>SUMIF($G772:$T772,"O",$G773:$T773)+SUMIF($W772:$AJ772,"O",$W773:$AJ773)</f>
        <v>0</v>
      </c>
      <c r="AS773" s="75">
        <f>SUM(AM773:AR773)</f>
        <v>78.25</v>
      </c>
      <c r="AT773" s="72"/>
      <c r="AU773" s="73">
        <f>SUMIF($G772:$T772,"A",$G773:$T773)+SUMIF($W772:$AJ772,"A",$W773:$AJ773)</f>
        <v>0</v>
      </c>
      <c r="AV773" s="72"/>
      <c r="AW773" s="76">
        <f>IF(B773="",0,IF($U$9="",0,$U$9))</f>
        <v>80</v>
      </c>
      <c r="BA773" s="2"/>
      <c r="BB773" s="2"/>
      <c r="BC773" s="101"/>
      <c r="BD773" s="101"/>
    </row>
    <row r="774" spans="2:56" s="84" customFormat="1" x14ac:dyDescent="0.35">
      <c r="B774" s="26"/>
      <c r="C774" s="27"/>
      <c r="D774" s="28">
        <f>IF(D700="","",D700)</f>
        <v>33664</v>
      </c>
      <c r="E774" s="29" t="str">
        <f t="shared" si="320"/>
        <v/>
      </c>
      <c r="F774" s="50">
        <f>B749</f>
        <v>20</v>
      </c>
      <c r="G774" s="59"/>
      <c r="H774" s="64"/>
      <c r="I774" s="106"/>
      <c r="J774" s="105"/>
      <c r="K774" s="106"/>
      <c r="L774" s="105"/>
      <c r="M774" s="106"/>
      <c r="N774" s="105"/>
      <c r="O774" s="106"/>
      <c r="P774" s="105"/>
      <c r="Q774" s="106"/>
      <c r="R774" s="105"/>
      <c r="S774" s="59"/>
      <c r="T774" s="64"/>
      <c r="U774" s="44"/>
      <c r="W774" s="59"/>
      <c r="X774" s="64"/>
      <c r="Y774" s="106"/>
      <c r="Z774" s="105"/>
      <c r="AA774" s="106"/>
      <c r="AB774" s="105"/>
      <c r="AC774" s="106"/>
      <c r="AD774" s="105"/>
      <c r="AE774" s="106"/>
      <c r="AF774" s="105"/>
      <c r="AG774" s="106"/>
      <c r="AH774" s="105"/>
      <c r="AI774" s="59"/>
      <c r="AJ774" s="64"/>
      <c r="AK774" s="44"/>
      <c r="AM774" s="49"/>
      <c r="AN774" s="49"/>
      <c r="AO774" s="49"/>
      <c r="AP774" s="49"/>
      <c r="AQ774" s="49"/>
      <c r="AR774" s="40"/>
      <c r="AS774" s="51"/>
      <c r="AU774" s="49"/>
      <c r="AW774" s="52"/>
      <c r="BA774" s="2"/>
      <c r="BB774" s="2"/>
      <c r="BC774" s="101"/>
      <c r="BD774" s="101"/>
    </row>
    <row r="775" spans="2:56" s="84" customFormat="1" x14ac:dyDescent="0.35">
      <c r="B775" s="30" t="str">
        <f>IF(B701="","",B701)</f>
        <v>Knox Michaud, Jessy</v>
      </c>
      <c r="C775" s="31"/>
      <c r="D775" s="32"/>
      <c r="E775" s="33">
        <f t="shared" si="320"/>
        <v>93542</v>
      </c>
      <c r="F775" s="50">
        <f>B749</f>
        <v>20</v>
      </c>
      <c r="G775" s="69"/>
      <c r="H775" s="70"/>
      <c r="I775" s="104"/>
      <c r="J775" s="103">
        <v>8</v>
      </c>
      <c r="K775" s="104"/>
      <c r="L775" s="103">
        <v>8</v>
      </c>
      <c r="M775" s="104"/>
      <c r="N775" s="103">
        <v>7.75</v>
      </c>
      <c r="O775" s="104"/>
      <c r="P775" s="103">
        <v>8</v>
      </c>
      <c r="Q775" s="104"/>
      <c r="R775" s="103">
        <v>8</v>
      </c>
      <c r="S775" s="69"/>
      <c r="T775" s="70"/>
      <c r="U775" s="71">
        <f t="shared" ref="U775" si="330">SUM(G775:T775)</f>
        <v>39.75</v>
      </c>
      <c r="V775" s="72"/>
      <c r="W775" s="69"/>
      <c r="X775" s="70"/>
      <c r="Y775" s="104"/>
      <c r="Z775" s="103">
        <v>8</v>
      </c>
      <c r="AA775" s="104"/>
      <c r="AB775" s="103">
        <v>8</v>
      </c>
      <c r="AC775" s="104"/>
      <c r="AD775" s="103">
        <v>8</v>
      </c>
      <c r="AE775" s="104"/>
      <c r="AF775" s="103">
        <v>8</v>
      </c>
      <c r="AG775" s="104"/>
      <c r="AH775" s="103">
        <v>8</v>
      </c>
      <c r="AI775" s="69"/>
      <c r="AJ775" s="70"/>
      <c r="AK775" s="71">
        <f>SUM(W775:AJ775)</f>
        <v>40</v>
      </c>
      <c r="AL775" s="72"/>
      <c r="AM775" s="73">
        <f>SUMIF($G774:$T774,"",$G775:$T775)+SUMIF($W774:$AJ774,"",$W775:$AJ775)-AN775</f>
        <v>79.75</v>
      </c>
      <c r="AN775" s="88">
        <f>IF(SUMIF($G774:$T774,"",$G775:$T775)+SUMIF($G774:$T774,"F",$G775:$T775)+SUMIF($G774:$T774,"V",$G775:$T775)-40&lt;0,0,SUMIF($G774:$T774,"",$G775:$T775)+SUMIF($G774:$T774,"F",$G775:$T775)+SUMIF($G774:$T774,"V",$G775:$T775)-($U$9/2))+IF(SUMIF($W774:$AJ774,"",$W775:$AJ775)+SUMIF($W774:$AJ774,"F",$W775:$AJ775)+SUMIF($W774:$AJ774,"V",$W775:$AJ775)-40&lt;0,0,SUMIF($W774:$AJ774,"",$W775:$AJ775)+SUMIF($W774:$AJ774,"F",$W775:$AJ775)+SUMIF($W774:$AJ774,"V",$W775:$AJ775)-($U$9/2))</f>
        <v>0</v>
      </c>
      <c r="AO775" s="73">
        <f>SUMIF($G774:$T774,"M",$G775:$T775)+SUMIF($W774:$AJ774,"M",$W775:$AJ775)</f>
        <v>0</v>
      </c>
      <c r="AP775" s="73">
        <f>SUMIF($G774:$T774,"F",$G775:$T775)+SUMIF($W774:$AJ774,"F",$W775:$AJ775)</f>
        <v>0</v>
      </c>
      <c r="AQ775" s="73">
        <f>SUMIF($G774:$T774,"V",$G775:$T775)+SUMIF($W774:$AJ774,"V",$W775:$AJ775)</f>
        <v>0</v>
      </c>
      <c r="AR775" s="74">
        <f>SUMIF($G774:$T774,"O",$G775:$T775)+SUMIF($W774:$AJ774,"O",$W775:$AJ775)</f>
        <v>0</v>
      </c>
      <c r="AS775" s="75">
        <f>SUM(AM775:AR775)</f>
        <v>79.75</v>
      </c>
      <c r="AT775" s="72"/>
      <c r="AU775" s="73">
        <f>SUMIF($G774:$T774,"A",$G775:$T775)+SUMIF($W774:$AJ774,"A",$W775:$AJ775)</f>
        <v>0</v>
      </c>
      <c r="AV775" s="72"/>
      <c r="AW775" s="76">
        <f>IF(B775="",0,IF($U$9="",0,$U$9))</f>
        <v>80</v>
      </c>
      <c r="BA775" s="2"/>
      <c r="BB775" s="2"/>
      <c r="BC775" s="101"/>
      <c r="BD775" s="101"/>
    </row>
    <row r="776" spans="2:56" s="84" customFormat="1" x14ac:dyDescent="0.35">
      <c r="B776" s="26"/>
      <c r="C776" s="27"/>
      <c r="D776" s="28">
        <f>IF(D702="","",D702)</f>
        <v>14206</v>
      </c>
      <c r="E776" s="29" t="str">
        <f t="shared" si="320"/>
        <v/>
      </c>
      <c r="F776" s="50">
        <f>B749</f>
        <v>20</v>
      </c>
      <c r="G776" s="59"/>
      <c r="H776" s="64"/>
      <c r="I776" s="106"/>
      <c r="J776" s="105"/>
      <c r="K776" s="106"/>
      <c r="L776" s="105"/>
      <c r="M776" s="106"/>
      <c r="N776" s="105"/>
      <c r="O776" s="106"/>
      <c r="P776" s="105"/>
      <c r="Q776" s="106"/>
      <c r="R776" s="105"/>
      <c r="S776" s="59"/>
      <c r="T776" s="64"/>
      <c r="U776" s="44"/>
      <c r="W776" s="59"/>
      <c r="X776" s="64"/>
      <c r="Y776" s="106"/>
      <c r="Z776" s="105"/>
      <c r="AA776" s="106"/>
      <c r="AB776" s="105"/>
      <c r="AC776" s="106"/>
      <c r="AD776" s="105"/>
      <c r="AE776" s="106"/>
      <c r="AF776" s="105"/>
      <c r="AG776" s="106"/>
      <c r="AH776" s="105"/>
      <c r="AI776" s="59"/>
      <c r="AJ776" s="64"/>
      <c r="AK776" s="44"/>
      <c r="AM776" s="49"/>
      <c r="AN776" s="49"/>
      <c r="AO776" s="49"/>
      <c r="AP776" s="49"/>
      <c r="AQ776" s="49"/>
      <c r="AR776" s="40"/>
      <c r="AS776" s="51"/>
      <c r="AU776" s="49"/>
      <c r="AW776" s="52"/>
      <c r="BA776" s="2"/>
      <c r="BB776" s="2"/>
      <c r="BC776" s="101"/>
      <c r="BD776" s="101"/>
    </row>
    <row r="777" spans="2:56" s="84" customFormat="1" x14ac:dyDescent="0.35">
      <c r="B777" s="30" t="str">
        <f>IF(B703="","",B703)</f>
        <v>Landry, Bernard</v>
      </c>
      <c r="C777" s="31"/>
      <c r="D777" s="32"/>
      <c r="E777" s="33">
        <f t="shared" si="320"/>
        <v>93545</v>
      </c>
      <c r="F777" s="50">
        <f>B749</f>
        <v>20</v>
      </c>
      <c r="G777" s="69"/>
      <c r="H777" s="70"/>
      <c r="I777" s="104"/>
      <c r="J777" s="103">
        <v>8</v>
      </c>
      <c r="K777" s="104"/>
      <c r="L777" s="103">
        <v>8</v>
      </c>
      <c r="M777" s="104"/>
      <c r="N777" s="103">
        <v>8</v>
      </c>
      <c r="O777" s="104"/>
      <c r="P777" s="103">
        <v>8</v>
      </c>
      <c r="Q777" s="104"/>
      <c r="R777" s="103">
        <v>8</v>
      </c>
      <c r="S777" s="69"/>
      <c r="T777" s="70"/>
      <c r="U777" s="71">
        <f t="shared" ref="U777" si="331">SUM(G777:T777)</f>
        <v>40</v>
      </c>
      <c r="V777" s="72"/>
      <c r="W777" s="69"/>
      <c r="X777" s="70"/>
      <c r="Y777" s="104"/>
      <c r="Z777" s="103">
        <v>8</v>
      </c>
      <c r="AA777" s="104"/>
      <c r="AB777" s="103">
        <v>8</v>
      </c>
      <c r="AC777" s="104"/>
      <c r="AD777" s="103">
        <v>8</v>
      </c>
      <c r="AE777" s="104"/>
      <c r="AF777" s="103">
        <v>8</v>
      </c>
      <c r="AG777" s="104"/>
      <c r="AH777" s="103">
        <v>8</v>
      </c>
      <c r="AI777" s="69"/>
      <c r="AJ777" s="70"/>
      <c r="AK777" s="71">
        <f>SUM(W777:AJ777)</f>
        <v>40</v>
      </c>
      <c r="AL777" s="72"/>
      <c r="AM777" s="73">
        <f>SUMIF($G776:$T776,"",$G777:$T777)+SUMIF($W776:$AJ776,"",$W777:$AJ777)-AN777</f>
        <v>80</v>
      </c>
      <c r="AN777" s="88">
        <f>IF(SUMIF($G776:$T776,"",$G777:$T777)+SUMIF($G776:$T776,"F",$G777:$T777)+SUMIF($G776:$T776,"V",$G777:$T777)-40&lt;0,0,SUMIF($G776:$T776,"",$G777:$T777)+SUMIF($G776:$T776,"F",$G777:$T777)+SUMIF($G776:$T776,"V",$G777:$T777)-($U$9/2))+IF(SUMIF($W776:$AJ776,"",$W777:$AJ777)+SUMIF($W776:$AJ776,"F",$W777:$AJ777)+SUMIF($W776:$AJ776,"V",$W777:$AJ777)-40&lt;0,0,SUMIF($W776:$AJ776,"",$W777:$AJ777)+SUMIF($W776:$AJ776,"F",$W777:$AJ777)+SUMIF($W776:$AJ776,"V",$W777:$AJ777)-($U$9/2))</f>
        <v>0</v>
      </c>
      <c r="AO777" s="73">
        <f>SUMIF($G776:$T776,"M",$G777:$T777)+SUMIF($W776:$AJ776,"M",$W777:$AJ777)</f>
        <v>0</v>
      </c>
      <c r="AP777" s="73">
        <f>SUMIF($G776:$T776,"F",$G777:$T777)+SUMIF($W776:$AJ776,"F",$W777:$AJ777)</f>
        <v>0</v>
      </c>
      <c r="AQ777" s="73">
        <f>SUMIF($G776:$T776,"V",$G777:$T777)+SUMIF($W776:$AJ776,"V",$W777:$AJ777)</f>
        <v>0</v>
      </c>
      <c r="AR777" s="74">
        <f>SUMIF($G776:$T776,"O",$G777:$T777)+SUMIF($W776:$AJ776,"O",$W777:$AJ777)</f>
        <v>0</v>
      </c>
      <c r="AS777" s="75">
        <f>SUM(AM777:AR777)</f>
        <v>80</v>
      </c>
      <c r="AT777" s="72"/>
      <c r="AU777" s="73">
        <f>SUMIF($G776:$T776,"A",$G777:$T777)+SUMIF($W776:$AJ776,"A",$W777:$AJ777)</f>
        <v>0</v>
      </c>
      <c r="AV777" s="72"/>
      <c r="AW777" s="76">
        <f>IF(B777="",0,IF($U$9="",0,$U$9))</f>
        <v>80</v>
      </c>
      <c r="BA777" s="2"/>
      <c r="BB777" s="2"/>
      <c r="BC777" s="101"/>
      <c r="BD777" s="101"/>
    </row>
    <row r="778" spans="2:56" s="84" customFormat="1" x14ac:dyDescent="0.35">
      <c r="B778" s="26"/>
      <c r="C778" s="27"/>
      <c r="D778" s="28">
        <f>IF(D704="","",D704)</f>
        <v>92257</v>
      </c>
      <c r="E778" s="29" t="str">
        <f t="shared" si="320"/>
        <v/>
      </c>
      <c r="F778" s="50">
        <f>B749</f>
        <v>20</v>
      </c>
      <c r="G778" s="59"/>
      <c r="H778" s="64"/>
      <c r="I778" s="106"/>
      <c r="J778" s="105"/>
      <c r="K778" s="106"/>
      <c r="L778" s="105"/>
      <c r="M778" s="106"/>
      <c r="N778" s="105"/>
      <c r="O778" s="106"/>
      <c r="P778" s="105"/>
      <c r="Q778" s="106"/>
      <c r="R778" s="105"/>
      <c r="S778" s="59"/>
      <c r="T778" s="64"/>
      <c r="U778" s="44"/>
      <c r="W778" s="59"/>
      <c r="X778" s="64"/>
      <c r="Y778" s="106"/>
      <c r="Z778" s="105"/>
      <c r="AA778" s="106"/>
      <c r="AB778" s="105"/>
      <c r="AC778" s="106"/>
      <c r="AD778" s="105"/>
      <c r="AE778" s="106"/>
      <c r="AF778" s="105"/>
      <c r="AG778" s="106"/>
      <c r="AH778" s="105"/>
      <c r="AI778" s="59"/>
      <c r="AJ778" s="64"/>
      <c r="AK778" s="44"/>
      <c r="AM778" s="49"/>
      <c r="AN778" s="49"/>
      <c r="AO778" s="49"/>
      <c r="AP778" s="49"/>
      <c r="AQ778" s="49"/>
      <c r="AR778" s="40"/>
      <c r="AS778" s="51"/>
      <c r="AU778" s="49"/>
      <c r="AW778" s="52"/>
      <c r="BA778" s="2"/>
      <c r="BB778" s="2"/>
      <c r="BC778" s="101"/>
      <c r="BD778" s="101"/>
    </row>
    <row r="779" spans="2:56" s="84" customFormat="1" x14ac:dyDescent="0.35">
      <c r="B779" s="30" t="str">
        <f>IF(B705="","",B705)</f>
        <v>Lelievre, Anik</v>
      </c>
      <c r="C779" s="31"/>
      <c r="D779" s="32"/>
      <c r="E779" s="33">
        <f t="shared" si="320"/>
        <v>93513</v>
      </c>
      <c r="F779" s="50">
        <f>B749</f>
        <v>20</v>
      </c>
      <c r="G779" s="69"/>
      <c r="H779" s="70"/>
      <c r="I779" s="104"/>
      <c r="J779" s="103">
        <v>8</v>
      </c>
      <c r="K779" s="104"/>
      <c r="L779" s="103">
        <v>8</v>
      </c>
      <c r="M779" s="104"/>
      <c r="N779" s="103">
        <v>8</v>
      </c>
      <c r="O779" s="104"/>
      <c r="P779" s="103">
        <v>8</v>
      </c>
      <c r="Q779" s="104"/>
      <c r="R779" s="103">
        <v>8</v>
      </c>
      <c r="S779" s="69"/>
      <c r="T779" s="70"/>
      <c r="U779" s="71">
        <f t="shared" ref="U779" si="332">SUM(G779:T779)</f>
        <v>40</v>
      </c>
      <c r="V779" s="72"/>
      <c r="W779" s="69"/>
      <c r="X779" s="70"/>
      <c r="Y779" s="104"/>
      <c r="Z779" s="103">
        <v>8</v>
      </c>
      <c r="AA779" s="104"/>
      <c r="AB779" s="103">
        <v>8</v>
      </c>
      <c r="AC779" s="104"/>
      <c r="AD779" s="103">
        <v>8</v>
      </c>
      <c r="AE779" s="104"/>
      <c r="AF779" s="103">
        <v>8</v>
      </c>
      <c r="AG779" s="104"/>
      <c r="AH779" s="103">
        <v>8</v>
      </c>
      <c r="AI779" s="69"/>
      <c r="AJ779" s="70"/>
      <c r="AK779" s="71">
        <f>SUM(W779:AJ779)</f>
        <v>40</v>
      </c>
      <c r="AL779" s="72"/>
      <c r="AM779" s="73">
        <f>SUMIF($G778:$T778,"",$G779:$T779)+SUMIF($W778:$AJ778,"",$W779:$AJ779)-AN779</f>
        <v>80</v>
      </c>
      <c r="AN779" s="88">
        <f>IF(SUMIF($G778:$T778,"",$G779:$T779)+SUMIF($G778:$T778,"F",$G779:$T779)+SUMIF($G778:$T778,"V",$G779:$T779)-40&lt;0,0,SUMIF($G778:$T778,"",$G779:$T779)+SUMIF($G778:$T778,"F",$G779:$T779)+SUMIF($G778:$T778,"V",$G779:$T779)-($U$9/2))+IF(SUMIF($W778:$AJ778,"",$W779:$AJ779)+SUMIF($W778:$AJ778,"F",$W779:$AJ779)+SUMIF($W778:$AJ778,"V",$W779:$AJ779)-40&lt;0,0,SUMIF($W778:$AJ778,"",$W779:$AJ779)+SUMIF($W778:$AJ778,"F",$W779:$AJ779)+SUMIF($W778:$AJ778,"V",$W779:$AJ779)-($U$9/2))</f>
        <v>0</v>
      </c>
      <c r="AO779" s="73">
        <f>SUMIF($G778:$T778,"M",$G779:$T779)+SUMIF($W778:$AJ778,"M",$W779:$AJ779)</f>
        <v>0</v>
      </c>
      <c r="AP779" s="73">
        <f>SUMIF($G778:$T778,"F",$G779:$T779)+SUMIF($W778:$AJ778,"F",$W779:$AJ779)</f>
        <v>0</v>
      </c>
      <c r="AQ779" s="73">
        <f>SUMIF($G778:$T778,"V",$G779:$T779)+SUMIF($W778:$AJ778,"V",$W779:$AJ779)</f>
        <v>0</v>
      </c>
      <c r="AR779" s="74">
        <f>SUMIF($G778:$T778,"O",$G779:$T779)+SUMIF($W778:$AJ778,"O",$W779:$AJ779)</f>
        <v>0</v>
      </c>
      <c r="AS779" s="75">
        <f>SUM(AM779:AR779)</f>
        <v>80</v>
      </c>
      <c r="AT779" s="72"/>
      <c r="AU779" s="73">
        <f>SUMIF($G778:$T778,"A",$G779:$T779)+SUMIF($W778:$AJ778,"A",$W779:$AJ779)</f>
        <v>0</v>
      </c>
      <c r="AV779" s="72"/>
      <c r="AW779" s="76">
        <f>IF(B779="",0,IF($U$9="",0,$U$9))</f>
        <v>80</v>
      </c>
      <c r="BA779" s="2"/>
      <c r="BB779" s="2"/>
      <c r="BC779" s="101"/>
      <c r="BD779" s="101"/>
    </row>
    <row r="780" spans="2:56" s="84" customFormat="1" x14ac:dyDescent="0.35">
      <c r="B780" s="26"/>
      <c r="C780" s="27"/>
      <c r="D780" s="28">
        <f>IF(D706="","",D706)</f>
        <v>81042</v>
      </c>
      <c r="E780" s="29" t="str">
        <f t="shared" si="320"/>
        <v/>
      </c>
      <c r="F780" s="50">
        <f>B749</f>
        <v>20</v>
      </c>
      <c r="G780" s="59"/>
      <c r="H780" s="64"/>
      <c r="I780" s="106"/>
      <c r="J780" s="105"/>
      <c r="K780" s="106"/>
      <c r="L780" s="105" t="s">
        <v>1</v>
      </c>
      <c r="M780" s="106"/>
      <c r="N780" s="105"/>
      <c r="O780" s="106"/>
      <c r="P780" s="105"/>
      <c r="Q780" s="106"/>
      <c r="R780" s="105"/>
      <c r="S780" s="59"/>
      <c r="T780" s="64"/>
      <c r="U780" s="44"/>
      <c r="W780" s="59"/>
      <c r="X780" s="64"/>
      <c r="Y780" s="106"/>
      <c r="Z780" s="105"/>
      <c r="AA780" s="106"/>
      <c r="AB780" s="105"/>
      <c r="AC780" s="106"/>
      <c r="AD780" s="105"/>
      <c r="AE780" s="106"/>
      <c r="AF780" s="105"/>
      <c r="AG780" s="106"/>
      <c r="AH780" s="105"/>
      <c r="AI780" s="59"/>
      <c r="AJ780" s="64"/>
      <c r="AK780" s="44"/>
      <c r="AM780" s="49"/>
      <c r="AN780" s="49"/>
      <c r="AO780" s="49"/>
      <c r="AP780" s="49"/>
      <c r="AQ780" s="49"/>
      <c r="AR780" s="40"/>
      <c r="AS780" s="51"/>
      <c r="AU780" s="49"/>
      <c r="AW780" s="52"/>
      <c r="BA780" s="2"/>
      <c r="BB780" s="2"/>
      <c r="BC780" s="101"/>
      <c r="BD780" s="101"/>
    </row>
    <row r="781" spans="2:56" s="84" customFormat="1" x14ac:dyDescent="0.35">
      <c r="B781" s="30" t="str">
        <f>IF(B707="","",B707)</f>
        <v>Letarte, Martin</v>
      </c>
      <c r="C781" s="31"/>
      <c r="D781" s="32"/>
      <c r="E781" s="33">
        <f t="shared" si="320"/>
        <v>93545</v>
      </c>
      <c r="F781" s="50">
        <f>B749</f>
        <v>20</v>
      </c>
      <c r="G781" s="69"/>
      <c r="H781" s="70"/>
      <c r="I781" s="104"/>
      <c r="J781" s="103">
        <v>8</v>
      </c>
      <c r="K781" s="104"/>
      <c r="L781" s="103">
        <v>8</v>
      </c>
      <c r="M781" s="104"/>
      <c r="N781" s="103">
        <v>8</v>
      </c>
      <c r="O781" s="104"/>
      <c r="P781" s="103">
        <v>8</v>
      </c>
      <c r="Q781" s="104"/>
      <c r="R781" s="103">
        <v>8</v>
      </c>
      <c r="S781" s="69"/>
      <c r="T781" s="70"/>
      <c r="U781" s="71">
        <f t="shared" ref="U781" si="333">SUM(G781:T781)</f>
        <v>40</v>
      </c>
      <c r="V781" s="72"/>
      <c r="W781" s="69"/>
      <c r="X781" s="70"/>
      <c r="Y781" s="104"/>
      <c r="Z781" s="103">
        <v>8</v>
      </c>
      <c r="AA781" s="104"/>
      <c r="AB781" s="103">
        <v>8</v>
      </c>
      <c r="AC781" s="104"/>
      <c r="AD781" s="103">
        <v>8</v>
      </c>
      <c r="AE781" s="104"/>
      <c r="AF781" s="103">
        <v>8</v>
      </c>
      <c r="AG781" s="104"/>
      <c r="AH781" s="103">
        <v>8</v>
      </c>
      <c r="AI781" s="69"/>
      <c r="AJ781" s="70"/>
      <c r="AK781" s="71">
        <f>SUM(W781:AJ781)</f>
        <v>40</v>
      </c>
      <c r="AL781" s="72"/>
      <c r="AM781" s="73">
        <f>SUMIF($G780:$T780,"",$G781:$T781)+SUMIF($W780:$AJ780,"",$W781:$AJ781)-AN781</f>
        <v>72</v>
      </c>
      <c r="AN781" s="88">
        <f>IF(SUMIF($G780:$T780,"",$G781:$T781)+SUMIF($G780:$T780,"F",$G781:$T781)+SUMIF($G780:$T780,"V",$G781:$T781)-40&lt;0,0,SUMIF($G780:$T780,"",$G781:$T781)+SUMIF($G780:$T780,"F",$G781:$T781)+SUMIF($G780:$T780,"V",$G781:$T781)-($U$9/2))+IF(SUMIF($W780:$AJ780,"",$W781:$AJ781)+SUMIF($W780:$AJ780,"F",$W781:$AJ781)+SUMIF($W780:$AJ780,"V",$W781:$AJ781)-40&lt;0,0,SUMIF($W780:$AJ780,"",$W781:$AJ781)+SUMIF($W780:$AJ780,"F",$W781:$AJ781)+SUMIF($W780:$AJ780,"V",$W781:$AJ781)-($U$9/2))</f>
        <v>0</v>
      </c>
      <c r="AO781" s="73">
        <f>SUMIF($G780:$T780,"M",$G781:$T781)+SUMIF($W780:$AJ780,"M",$W781:$AJ781)</f>
        <v>0</v>
      </c>
      <c r="AP781" s="73">
        <f>SUMIF($G780:$T780,"F",$G781:$T781)+SUMIF($W780:$AJ780,"F",$W781:$AJ781)</f>
        <v>0</v>
      </c>
      <c r="AQ781" s="73">
        <f>SUMIF($G780:$T780,"V",$G781:$T781)+SUMIF($W780:$AJ780,"V",$W781:$AJ781)</f>
        <v>8</v>
      </c>
      <c r="AR781" s="74">
        <f>SUMIF($G780:$T780,"O",$G781:$T781)+SUMIF($W780:$AJ780,"O",$W781:$AJ781)</f>
        <v>0</v>
      </c>
      <c r="AS781" s="75">
        <f>SUM(AM781:AR781)</f>
        <v>80</v>
      </c>
      <c r="AT781" s="72"/>
      <c r="AU781" s="73">
        <f>SUMIF($G780:$T780,"A",$G781:$T781)+SUMIF($W780:$AJ780,"A",$W781:$AJ781)</f>
        <v>0</v>
      </c>
      <c r="AV781" s="72"/>
      <c r="AW781" s="76">
        <f>IF(B781="",0,IF($U$9="",0,$U$9))</f>
        <v>80</v>
      </c>
      <c r="BA781" s="2"/>
      <c r="BB781" s="2"/>
      <c r="BC781" s="101"/>
      <c r="BD781" s="101"/>
    </row>
    <row r="782" spans="2:56" s="84" customFormat="1" x14ac:dyDescent="0.35">
      <c r="B782" s="26"/>
      <c r="C782" s="27"/>
      <c r="D782" s="28">
        <f>IF(D708="","",D708)</f>
        <v>23930</v>
      </c>
      <c r="E782" s="29" t="str">
        <f t="shared" si="320"/>
        <v/>
      </c>
      <c r="F782" s="50">
        <f>B749</f>
        <v>20</v>
      </c>
      <c r="G782" s="59"/>
      <c r="H782" s="64"/>
      <c r="I782" s="106"/>
      <c r="J782" s="105"/>
      <c r="K782" s="106"/>
      <c r="L782" s="105"/>
      <c r="M782" s="106"/>
      <c r="N782" s="105"/>
      <c r="O782" s="106"/>
      <c r="P782" s="105"/>
      <c r="Q782" s="106"/>
      <c r="R782" s="105"/>
      <c r="S782" s="59"/>
      <c r="T782" s="64"/>
      <c r="U782" s="44"/>
      <c r="W782" s="59"/>
      <c r="X782" s="64"/>
      <c r="Y782" s="106"/>
      <c r="Z782" s="105"/>
      <c r="AA782" s="106"/>
      <c r="AB782" s="105"/>
      <c r="AC782" s="106"/>
      <c r="AD782" s="105"/>
      <c r="AE782" s="106"/>
      <c r="AF782" s="105"/>
      <c r="AG782" s="106"/>
      <c r="AH782" s="105"/>
      <c r="AI782" s="59"/>
      <c r="AJ782" s="64"/>
      <c r="AK782" s="44"/>
      <c r="AM782" s="49"/>
      <c r="AN782" s="49"/>
      <c r="AO782" s="49"/>
      <c r="AP782" s="49"/>
      <c r="AQ782" s="49"/>
      <c r="AR782" s="40"/>
      <c r="AS782" s="51"/>
      <c r="AU782" s="49"/>
      <c r="AW782" s="52"/>
      <c r="BA782" s="2"/>
      <c r="BB782" s="2"/>
      <c r="BC782" s="101"/>
      <c r="BD782" s="101"/>
    </row>
    <row r="783" spans="2:56" s="84" customFormat="1" x14ac:dyDescent="0.35">
      <c r="B783" s="30" t="str">
        <f>IF(B709="","",B709)</f>
        <v>Martinez Parada, José Francisco</v>
      </c>
      <c r="C783" s="31"/>
      <c r="D783" s="32"/>
      <c r="E783" s="33">
        <f t="shared" si="320"/>
        <v>93545</v>
      </c>
      <c r="F783" s="50">
        <f>B749</f>
        <v>20</v>
      </c>
      <c r="G783" s="69"/>
      <c r="H783" s="70"/>
      <c r="I783" s="104"/>
      <c r="J783" s="103">
        <v>8</v>
      </c>
      <c r="K783" s="104"/>
      <c r="L783" s="103">
        <v>8</v>
      </c>
      <c r="M783" s="104"/>
      <c r="N783" s="103">
        <v>8</v>
      </c>
      <c r="O783" s="104"/>
      <c r="P783" s="103">
        <v>8</v>
      </c>
      <c r="Q783" s="104"/>
      <c r="R783" s="103">
        <v>8</v>
      </c>
      <c r="S783" s="69"/>
      <c r="T783" s="70"/>
      <c r="U783" s="71">
        <f t="shared" ref="U783" si="334">SUM(G783:T783)</f>
        <v>40</v>
      </c>
      <c r="V783" s="72"/>
      <c r="W783" s="69"/>
      <c r="X783" s="70"/>
      <c r="Y783" s="104"/>
      <c r="Z783" s="103">
        <v>8</v>
      </c>
      <c r="AA783" s="104"/>
      <c r="AB783" s="103">
        <v>8</v>
      </c>
      <c r="AC783" s="104"/>
      <c r="AD783" s="103">
        <v>8</v>
      </c>
      <c r="AE783" s="104"/>
      <c r="AF783" s="103">
        <v>8</v>
      </c>
      <c r="AG783" s="104"/>
      <c r="AH783" s="103">
        <v>8</v>
      </c>
      <c r="AI783" s="69"/>
      <c r="AJ783" s="70"/>
      <c r="AK783" s="71">
        <f>SUM(W783:AJ783)</f>
        <v>40</v>
      </c>
      <c r="AL783" s="72"/>
      <c r="AM783" s="73">
        <f>SUMIF($G782:$T782,"",$G783:$T783)+SUMIF($W782:$AJ782,"",$W783:$AJ783)-AN783</f>
        <v>80</v>
      </c>
      <c r="AN783" s="88">
        <f>IF(SUMIF($G782:$T782,"",$G783:$T783)+SUMIF($G782:$T782,"F",$G783:$T783)+SUMIF($G782:$T782,"V",$G783:$T783)-40&lt;0,0,SUMIF($G782:$T782,"",$G783:$T783)+SUMIF($G782:$T782,"F",$G783:$T783)+SUMIF($G782:$T782,"V",$G783:$T783)-($U$9/2))+IF(SUMIF($W782:$AJ782,"",$W783:$AJ783)+SUMIF($W782:$AJ782,"F",$W783:$AJ783)+SUMIF($W782:$AJ782,"V",$W783:$AJ783)-40&lt;0,0,SUMIF($W782:$AJ782,"",$W783:$AJ783)+SUMIF($W782:$AJ782,"F",$W783:$AJ783)+SUMIF($W782:$AJ782,"V",$W783:$AJ783)-($U$9/2))</f>
        <v>0</v>
      </c>
      <c r="AO783" s="73">
        <f>SUMIF($G782:$T782,"M",$G783:$T783)+SUMIF($W782:$AJ782,"M",$W783:$AJ783)</f>
        <v>0</v>
      </c>
      <c r="AP783" s="73">
        <f>SUMIF($G782:$T782,"F",$G783:$T783)+SUMIF($W782:$AJ782,"F",$W783:$AJ783)</f>
        <v>0</v>
      </c>
      <c r="AQ783" s="73">
        <f>SUMIF($G782:$T782,"V",$G783:$T783)+SUMIF($W782:$AJ782,"V",$W783:$AJ783)</f>
        <v>0</v>
      </c>
      <c r="AR783" s="74">
        <f>SUMIF($G782:$T782,"O",$G783:$T783)+SUMIF($W782:$AJ782,"O",$W783:$AJ783)</f>
        <v>0</v>
      </c>
      <c r="AS783" s="75">
        <f>SUM(AM783:AR783)</f>
        <v>80</v>
      </c>
      <c r="AT783" s="72"/>
      <c r="AU783" s="73">
        <f>SUMIF($G782:$T782,"A",$G783:$T783)+SUMIF($W782:$AJ782,"A",$W783:$AJ783)</f>
        <v>0</v>
      </c>
      <c r="AV783" s="72"/>
      <c r="AW783" s="76">
        <f>IF(B783="",0,IF($U$9="",0,$U$9))</f>
        <v>80</v>
      </c>
      <c r="BA783" s="2"/>
      <c r="BB783" s="2"/>
      <c r="BC783" s="101"/>
      <c r="BD783" s="101"/>
    </row>
    <row r="784" spans="2:56" s="84" customFormat="1" x14ac:dyDescent="0.35">
      <c r="B784" s="26"/>
      <c r="C784" s="27"/>
      <c r="D784" s="28">
        <f>IF(D710="","",D710)</f>
        <v>11792</v>
      </c>
      <c r="E784" s="29" t="str">
        <f t="shared" si="320"/>
        <v/>
      </c>
      <c r="F784" s="50">
        <f>B749</f>
        <v>20</v>
      </c>
      <c r="G784" s="59"/>
      <c r="H784" s="64"/>
      <c r="I784" s="106"/>
      <c r="J784" s="105"/>
      <c r="K784" s="106"/>
      <c r="L784" s="105"/>
      <c r="M784" s="106"/>
      <c r="N784" s="105"/>
      <c r="O784" s="106"/>
      <c r="P784" s="105"/>
      <c r="Q784" s="106"/>
      <c r="R784" s="105"/>
      <c r="S784" s="59"/>
      <c r="T784" s="64"/>
      <c r="U784" s="44"/>
      <c r="W784" s="59"/>
      <c r="X784" s="64"/>
      <c r="Y784" s="106"/>
      <c r="Z784" s="105"/>
      <c r="AA784" s="106"/>
      <c r="AB784" s="105"/>
      <c r="AC784" s="106"/>
      <c r="AD784" s="105"/>
      <c r="AE784" s="106"/>
      <c r="AF784" s="105"/>
      <c r="AG784" s="106"/>
      <c r="AH784" s="105"/>
      <c r="AI784" s="59"/>
      <c r="AJ784" s="64"/>
      <c r="AK784" s="44"/>
      <c r="AM784" s="49"/>
      <c r="AN784" s="49"/>
      <c r="AO784" s="49"/>
      <c r="AP784" s="49"/>
      <c r="AQ784" s="49"/>
      <c r="AR784" s="40"/>
      <c r="AS784" s="51"/>
      <c r="AU784" s="49"/>
      <c r="AW784" s="52"/>
      <c r="BA784" s="2"/>
      <c r="BB784" s="2"/>
      <c r="BC784" s="101"/>
      <c r="BD784" s="101"/>
    </row>
    <row r="785" spans="1:56" s="84" customFormat="1" x14ac:dyDescent="0.35">
      <c r="B785" s="30" t="str">
        <f>IF(B711="","",B711)</f>
        <v>Pellerin, Pierre</v>
      </c>
      <c r="C785" s="31"/>
      <c r="D785" s="32"/>
      <c r="E785" s="33">
        <f t="shared" si="320"/>
        <v>93595935</v>
      </c>
      <c r="F785" s="50">
        <f>B749</f>
        <v>20</v>
      </c>
      <c r="G785" s="69"/>
      <c r="H785" s="70"/>
      <c r="I785" s="104"/>
      <c r="J785" s="103">
        <v>8</v>
      </c>
      <c r="K785" s="104"/>
      <c r="L785" s="103">
        <v>8</v>
      </c>
      <c r="M785" s="104"/>
      <c r="N785" s="103">
        <v>8</v>
      </c>
      <c r="O785" s="104"/>
      <c r="P785" s="103">
        <v>8</v>
      </c>
      <c r="Q785" s="104"/>
      <c r="R785" s="103">
        <v>8</v>
      </c>
      <c r="S785" s="69"/>
      <c r="T785" s="70"/>
      <c r="U785" s="71">
        <f t="shared" ref="U785" si="335">SUM(G785:T785)</f>
        <v>40</v>
      </c>
      <c r="V785" s="72"/>
      <c r="W785" s="69"/>
      <c r="X785" s="70"/>
      <c r="Y785" s="104"/>
      <c r="Z785" s="103">
        <v>8</v>
      </c>
      <c r="AA785" s="104"/>
      <c r="AB785" s="103">
        <v>8</v>
      </c>
      <c r="AC785" s="104"/>
      <c r="AD785" s="103">
        <v>8</v>
      </c>
      <c r="AE785" s="104"/>
      <c r="AF785" s="103">
        <v>8</v>
      </c>
      <c r="AG785" s="104"/>
      <c r="AH785" s="103">
        <v>8</v>
      </c>
      <c r="AI785" s="69"/>
      <c r="AJ785" s="70"/>
      <c r="AK785" s="71">
        <f>SUM(Z785:AH785)</f>
        <v>40</v>
      </c>
      <c r="AL785" s="72"/>
      <c r="AM785" s="73">
        <f>SUMIF($G784:$T784,"",$G785:$T785)+SUMIF($W784:$AJ784,"",$W785:$AJ785)-AN785</f>
        <v>80</v>
      </c>
      <c r="AN785" s="88">
        <f>IF(SUMIF($G784:$T784,"",$G785:$T785)+SUMIF($G784:$T784,"F",$G785:$T785)+SUMIF($G784:$T784,"V",$G785:$T785)-40&lt;0,0,SUMIF($G784:$T784,"",$G785:$T785)+SUMIF($G784:$T784,"F",$G785:$T785)+SUMIF($G784:$T784,"V",$G785:$T785)-($U$9/2))+IF(SUMIF($W784:$AJ784,"",$W785:$AJ785)+SUMIF($W784:$AJ784,"F",$W785:$AJ785)+SUMIF($W784:$AJ784,"V",$W785:$AJ785)-40&lt;0,0,SUMIF($W784:$AJ784,"",$W785:$AJ785)+SUMIF($W784:$AJ784,"F",$W785:$AJ785)+SUMIF($W784:$AJ784,"V",$W785:$AJ785)-($U$9/2))</f>
        <v>0</v>
      </c>
      <c r="AO785" s="73">
        <f>SUMIF($G784:$T784,"M",$G785:$T785)+SUMIF($W784:$AJ784,"M",$W785:$AJ785)</f>
        <v>0</v>
      </c>
      <c r="AP785" s="73">
        <f>SUMIF($G784:$T784,"F",$G785:$T785)+SUMIF($W784:$AJ784,"F",$W785:$AJ785)</f>
        <v>0</v>
      </c>
      <c r="AQ785" s="73">
        <f>SUMIF($G784:$T784,"V",$G785:$T785)+SUMIF($W784:$AJ784,"V",$W785:$AJ785)</f>
        <v>0</v>
      </c>
      <c r="AR785" s="74">
        <f>SUMIF($G784:$T784,"O",$G785:$T785)+SUMIF($W784:$AJ784,"O",$W785:$AJ785)</f>
        <v>0</v>
      </c>
      <c r="AS785" s="75">
        <f>SUM(AM785:AR785)</f>
        <v>80</v>
      </c>
      <c r="AT785" s="72"/>
      <c r="AU785" s="73">
        <f>SUMIF($G784:$T784,"A",$G785:$T785)+SUMIF($W784:$AJ784,"A",$W785:$AJ785)</f>
        <v>0</v>
      </c>
      <c r="AV785" s="72"/>
      <c r="AW785" s="76">
        <f>IF(B785="",0,IF($U$9="",0,$U$9))</f>
        <v>80</v>
      </c>
      <c r="BA785" s="2"/>
      <c r="BB785" s="2"/>
      <c r="BC785" s="101"/>
      <c r="BD785" s="101"/>
    </row>
    <row r="786" spans="1:56" s="84" customFormat="1" x14ac:dyDescent="0.35">
      <c r="B786" s="26"/>
      <c r="C786" s="27"/>
      <c r="D786" s="28">
        <f>IF(D712="","",D712)</f>
        <v>81043</v>
      </c>
      <c r="E786" s="29" t="str">
        <f t="shared" si="320"/>
        <v/>
      </c>
      <c r="F786" s="50">
        <f>B749</f>
        <v>20</v>
      </c>
      <c r="G786" s="59"/>
      <c r="H786" s="64"/>
      <c r="I786" s="106"/>
      <c r="J786" s="105"/>
      <c r="K786" s="106"/>
      <c r="L786" s="105"/>
      <c r="M786" s="106"/>
      <c r="N786" s="105"/>
      <c r="O786" s="106"/>
      <c r="P786" s="105"/>
      <c r="Q786" s="106"/>
      <c r="R786" s="105"/>
      <c r="S786" s="59"/>
      <c r="T786" s="64"/>
      <c r="U786" s="44"/>
      <c r="W786" s="59"/>
      <c r="X786" s="64"/>
      <c r="Y786" s="106"/>
      <c r="Z786" s="105" t="s">
        <v>12</v>
      </c>
      <c r="AA786" s="106"/>
      <c r="AB786" s="105"/>
      <c r="AC786" s="106"/>
      <c r="AD786" s="105"/>
      <c r="AE786" s="106"/>
      <c r="AF786" s="105"/>
      <c r="AG786" s="106"/>
      <c r="AH786" s="105"/>
      <c r="AI786" s="59"/>
      <c r="AJ786" s="64"/>
      <c r="AK786" s="44"/>
      <c r="AM786" s="49"/>
      <c r="AN786" s="49"/>
      <c r="AO786" s="49"/>
      <c r="AP786" s="49"/>
      <c r="AQ786" s="49"/>
      <c r="AR786" s="40"/>
      <c r="AS786" s="51"/>
      <c r="AU786" s="49"/>
      <c r="AW786" s="52"/>
      <c r="BA786" s="2"/>
      <c r="BB786" s="2"/>
      <c r="BC786" s="101"/>
      <c r="BD786" s="101"/>
    </row>
    <row r="787" spans="1:56" s="84" customFormat="1" x14ac:dyDescent="0.35">
      <c r="B787" s="30" t="str">
        <f>IF(B713="","",B713)</f>
        <v>Rodrigue, Frank</v>
      </c>
      <c r="C787" s="31"/>
      <c r="D787" s="32"/>
      <c r="E787" s="33">
        <f t="shared" ref="E787:E803" si="336">IF(E713="","",E713)</f>
        <v>93545</v>
      </c>
      <c r="F787" s="50">
        <f>B749</f>
        <v>20</v>
      </c>
      <c r="G787" s="69"/>
      <c r="H787" s="70"/>
      <c r="I787" s="104"/>
      <c r="J787" s="103">
        <v>8</v>
      </c>
      <c r="K787" s="104"/>
      <c r="L787" s="103">
        <v>8</v>
      </c>
      <c r="M787" s="104"/>
      <c r="N787" s="103">
        <v>8</v>
      </c>
      <c r="O787" s="104"/>
      <c r="P787" s="103">
        <v>8</v>
      </c>
      <c r="Q787" s="104"/>
      <c r="R787" s="103">
        <v>8</v>
      </c>
      <c r="S787" s="69"/>
      <c r="T787" s="70"/>
      <c r="U787" s="71">
        <f t="shared" ref="U787" si="337">SUM(G787:T787)</f>
        <v>40</v>
      </c>
      <c r="V787" s="72"/>
      <c r="W787" s="69"/>
      <c r="X787" s="70"/>
      <c r="Y787" s="104"/>
      <c r="Z787" s="103">
        <v>8</v>
      </c>
      <c r="AA787" s="104"/>
      <c r="AB787" s="103">
        <v>8</v>
      </c>
      <c r="AC787" s="104"/>
      <c r="AD787" s="103">
        <v>8</v>
      </c>
      <c r="AE787" s="104"/>
      <c r="AF787" s="103">
        <v>8</v>
      </c>
      <c r="AG787" s="104"/>
      <c r="AH787" s="103">
        <v>8</v>
      </c>
      <c r="AI787" s="69"/>
      <c r="AJ787" s="70"/>
      <c r="AK787" s="71">
        <f>SUM(W787:AJ787)</f>
        <v>40</v>
      </c>
      <c r="AL787" s="72"/>
      <c r="AM787" s="73">
        <f>SUMIF($G786:$T786,"",$G787:$T787)+SUMIF($W786:$AJ786,"",$W787:$AJ787)-AN787</f>
        <v>72</v>
      </c>
      <c r="AN787" s="88">
        <f>IF(SUMIF($G786:$T786,"",$G787:$T787)+SUMIF($G786:$T786,"F",$G787:$T787)+SUMIF($G786:$T786,"V",$G787:$T787)-40&lt;0,0,SUMIF($G786:$T786,"",$G787:$T787)+SUMIF($G786:$T786,"F",$G787:$T787)+SUMIF($G786:$T786,"V",$G787:$T787)-($U$9/2))+IF(SUMIF($W786:$AJ786,"",$W787:$AJ787)+SUMIF($W786:$AJ786,"F",$W787:$AJ787)+SUMIF($W786:$AJ786,"V",$W787:$AJ787)-40&lt;0,0,SUMIF($W786:$AJ786,"",$W787:$AJ787)+SUMIF($W786:$AJ786,"F",$W787:$AJ787)+SUMIF($W786:$AJ786,"V",$W787:$AJ787)-($U$9/2))</f>
        <v>0</v>
      </c>
      <c r="AO787" s="73">
        <f>SUMIF($G786:$T786,"M",$G787:$T787)+SUMIF($W786:$AJ786,"M",$W787:$AJ787)</f>
        <v>8</v>
      </c>
      <c r="AP787" s="73">
        <f>SUMIF($G786:$T786,"F",$G787:$T787)+SUMIF($W786:$AJ786,"F",$W787:$AJ787)</f>
        <v>0</v>
      </c>
      <c r="AQ787" s="73">
        <f>SUMIF($G786:$T786,"V",$G787:$T787)+SUMIF($W786:$AJ786,"V",$W787:$AJ787)</f>
        <v>0</v>
      </c>
      <c r="AR787" s="74">
        <f>SUMIF($G786:$T786,"O",$G787:$T787)+SUMIF($W786:$AJ786,"O",$W787:$AJ787)</f>
        <v>0</v>
      </c>
      <c r="AS787" s="75">
        <f>SUM(AM787:AR787)</f>
        <v>80</v>
      </c>
      <c r="AT787" s="72"/>
      <c r="AU787" s="73">
        <f>SUMIF($G786:$T786,"A",$G787:$T787)+SUMIF($W786:$AJ786,"A",$W787:$AJ787)</f>
        <v>0</v>
      </c>
      <c r="AV787" s="72"/>
      <c r="AW787" s="76">
        <f>IF(B787="",0,IF($U$9="",0,$U$9))</f>
        <v>80</v>
      </c>
      <c r="BA787" s="2"/>
      <c r="BB787" s="2"/>
      <c r="BC787" s="101"/>
      <c r="BD787" s="101"/>
    </row>
    <row r="788" spans="1:56" s="84" customFormat="1" x14ac:dyDescent="0.35">
      <c r="B788" s="26"/>
      <c r="C788" s="27"/>
      <c r="D788" s="28">
        <f>IF(D714="","",D714)</f>
        <v>72673</v>
      </c>
      <c r="E788" s="29" t="str">
        <f t="shared" si="336"/>
        <v/>
      </c>
      <c r="F788" s="50">
        <f>B749</f>
        <v>20</v>
      </c>
      <c r="G788" s="59"/>
      <c r="H788" s="64"/>
      <c r="I788" s="106"/>
      <c r="J788" s="105"/>
      <c r="K788" s="106"/>
      <c r="L788" s="105"/>
      <c r="M788" s="106"/>
      <c r="N788" s="105"/>
      <c r="O788" s="106"/>
      <c r="P788" s="105"/>
      <c r="Q788" s="106"/>
      <c r="R788" s="105"/>
      <c r="S788" s="59"/>
      <c r="T788" s="64"/>
      <c r="U788" s="44"/>
      <c r="W788" s="59"/>
      <c r="X788" s="64"/>
      <c r="Y788" s="106"/>
      <c r="Z788" s="105"/>
      <c r="AA788" s="106"/>
      <c r="AB788" s="105"/>
      <c r="AC788" s="106"/>
      <c r="AD788" s="105"/>
      <c r="AE788" s="106"/>
      <c r="AF788" s="105"/>
      <c r="AG788" s="106"/>
      <c r="AH788" s="105"/>
      <c r="AI788" s="59"/>
      <c r="AJ788" s="64"/>
      <c r="AK788" s="44"/>
      <c r="AM788" s="49"/>
      <c r="AN788" s="49"/>
      <c r="AO788" s="49"/>
      <c r="AP788" s="49"/>
      <c r="AQ788" s="49"/>
      <c r="AR788" s="40"/>
      <c r="AS788" s="51"/>
      <c r="AU788" s="49"/>
      <c r="AW788" s="52"/>
      <c r="BA788" s="2"/>
      <c r="BB788" s="2"/>
      <c r="BC788" s="101"/>
      <c r="BD788" s="101"/>
    </row>
    <row r="789" spans="1:56" s="84" customFormat="1" x14ac:dyDescent="0.35">
      <c r="B789" s="30" t="str">
        <f>IF(B715="","",B715)</f>
        <v>St-Georges, Manuel (avance $2,000)</v>
      </c>
      <c r="C789" s="31"/>
      <c r="D789" s="32"/>
      <c r="E789" s="33">
        <f t="shared" si="336"/>
        <v>93595935</v>
      </c>
      <c r="F789" s="50">
        <f>B749</f>
        <v>20</v>
      </c>
      <c r="G789" s="69"/>
      <c r="H789" s="70"/>
      <c r="I789" s="104"/>
      <c r="J789" s="103" t="s">
        <v>69</v>
      </c>
      <c r="K789" s="104"/>
      <c r="L789" s="103" t="s">
        <v>69</v>
      </c>
      <c r="M789" s="104"/>
      <c r="N789" s="103" t="s">
        <v>69</v>
      </c>
      <c r="O789" s="104"/>
      <c r="P789" s="103" t="s">
        <v>69</v>
      </c>
      <c r="Q789" s="104"/>
      <c r="R789" s="103" t="s">
        <v>69</v>
      </c>
      <c r="S789" s="69"/>
      <c r="T789" s="70"/>
      <c r="U789" s="71">
        <f t="shared" ref="U789" si="338">SUM(G789:T789)</f>
        <v>0</v>
      </c>
      <c r="V789" s="72"/>
      <c r="W789" s="69"/>
      <c r="X789" s="70"/>
      <c r="Y789" s="104"/>
      <c r="Z789" s="103" t="s">
        <v>69</v>
      </c>
      <c r="AA789" s="104"/>
      <c r="AB789" s="103" t="s">
        <v>69</v>
      </c>
      <c r="AC789" s="104"/>
      <c r="AD789" s="103" t="s">
        <v>69</v>
      </c>
      <c r="AE789" s="104"/>
      <c r="AF789" s="103" t="s">
        <v>69</v>
      </c>
      <c r="AG789" s="104"/>
      <c r="AH789" s="103" t="s">
        <v>69</v>
      </c>
      <c r="AI789" s="69"/>
      <c r="AJ789" s="70"/>
      <c r="AK789" s="71">
        <f>SUM(W789:AJ789)</f>
        <v>0</v>
      </c>
      <c r="AL789" s="72"/>
      <c r="AM789" s="73">
        <f>SUMIF($G788:$T788,"",$G789:$T789)+SUMIF($W788:$AJ788,"",$W789:$AJ789)-AN789</f>
        <v>0</v>
      </c>
      <c r="AN789" s="88">
        <f>IF(SUMIF($G788:$T788,"",$G789:$T789)+SUMIF($G788:$T788,"F",$G789:$T789)+SUMIF($G788:$T788,"V",$G789:$T789)-40&lt;0,0,SUMIF($G788:$T788,"",$G789:$T789)+SUMIF($G788:$T788,"F",$G789:$T789)+SUMIF($G788:$T788,"V",$G789:$T789)-($U$9/2))+IF(SUMIF($W788:$AJ788,"",$W789:$AJ789)+SUMIF($W788:$AJ788,"F",$W789:$AJ789)+SUMIF($W788:$AJ788,"V",$W789:$AJ789)-40&lt;0,0,SUMIF($W788:$AJ788,"",$W789:$AJ789)+SUMIF($W788:$AJ788,"F",$W789:$AJ789)+SUMIF($W788:$AJ788,"V",$W789:$AJ789)-($U$9/2))</f>
        <v>0</v>
      </c>
      <c r="AO789" s="73">
        <f>SUMIF($G788:$T788,"M",$G789:$T789)+SUMIF($W788:$AJ788,"M",$W789:$AJ789)</f>
        <v>0</v>
      </c>
      <c r="AP789" s="73">
        <f>SUMIF($G788:$T788,"F",$G789:$T789)+SUMIF($W788:$AJ788,"F",$W789:$AJ789)</f>
        <v>0</v>
      </c>
      <c r="AQ789" s="73">
        <f>SUMIF($G788:$T788,"V",$G789:$T789)+SUMIF($W788:$AJ788,"V",$W789:$AJ789)</f>
        <v>0</v>
      </c>
      <c r="AR789" s="74">
        <f>SUMIF($G788:$T788,"O",$G789:$T789)+SUMIF($W788:$AJ788,"O",$W789:$AJ789)</f>
        <v>0</v>
      </c>
      <c r="AS789" s="75">
        <f>SUM(AM789:AR789)</f>
        <v>0</v>
      </c>
      <c r="AT789" s="72"/>
      <c r="AU789" s="73">
        <f>SUMIF($G788:$T788,"A",$G789:$T789)+SUMIF($W788:$AJ788,"A",$W789:$AJ789)</f>
        <v>0</v>
      </c>
      <c r="AV789" s="72"/>
      <c r="AW789" s="76">
        <f>IF(B789="",0,IF($U$9="",0,$U$9))</f>
        <v>80</v>
      </c>
      <c r="BA789" s="2"/>
      <c r="BB789" s="2"/>
      <c r="BC789" s="101"/>
      <c r="BD789" s="101"/>
    </row>
    <row r="790" spans="1:56" s="84" customFormat="1" x14ac:dyDescent="0.35">
      <c r="B790" s="26"/>
      <c r="C790" s="27"/>
      <c r="D790" s="28" t="str">
        <f>IF(D716="","",D716)</f>
        <v/>
      </c>
      <c r="E790" s="29" t="str">
        <f t="shared" si="336"/>
        <v/>
      </c>
      <c r="F790" s="50">
        <f>B749</f>
        <v>20</v>
      </c>
      <c r="G790" s="59"/>
      <c r="H790" s="64"/>
      <c r="I790" s="106"/>
      <c r="J790" s="105"/>
      <c r="K790" s="106"/>
      <c r="L790" s="105"/>
      <c r="M790" s="106"/>
      <c r="N790" s="105"/>
      <c r="O790" s="106"/>
      <c r="P790" s="105"/>
      <c r="Q790" s="106"/>
      <c r="R790" s="105"/>
      <c r="S790" s="59"/>
      <c r="T790" s="64"/>
      <c r="U790" s="44"/>
      <c r="W790" s="59"/>
      <c r="X790" s="64"/>
      <c r="Y790" s="106"/>
      <c r="Z790" s="105"/>
      <c r="AA790" s="106"/>
      <c r="AB790" s="105"/>
      <c r="AC790" s="106"/>
      <c r="AD790" s="105"/>
      <c r="AE790" s="106"/>
      <c r="AF790" s="105"/>
      <c r="AG790" s="106"/>
      <c r="AH790" s="105"/>
      <c r="AI790" s="59"/>
      <c r="AJ790" s="64"/>
      <c r="AK790" s="44"/>
      <c r="AM790" s="49"/>
      <c r="AN790" s="49"/>
      <c r="AO790" s="49"/>
      <c r="AP790" s="49"/>
      <c r="AQ790" s="49"/>
      <c r="AR790" s="40"/>
      <c r="AS790" s="51"/>
      <c r="AU790" s="49"/>
      <c r="AW790" s="52"/>
      <c r="BA790" s="2"/>
      <c r="BB790" s="2"/>
      <c r="BC790" s="101"/>
      <c r="BD790" s="101"/>
    </row>
    <row r="791" spans="1:56" s="84" customFormat="1" x14ac:dyDescent="0.35">
      <c r="B791" s="30" t="str">
        <f>IF(B717="","",B717)</f>
        <v/>
      </c>
      <c r="C791" s="31"/>
      <c r="D791" s="32"/>
      <c r="E791" s="33" t="str">
        <f t="shared" si="336"/>
        <v/>
      </c>
      <c r="F791" s="50">
        <f>B749</f>
        <v>20</v>
      </c>
      <c r="G791" s="69"/>
      <c r="H791" s="70"/>
      <c r="I791" s="104"/>
      <c r="J791" s="103"/>
      <c r="K791" s="104"/>
      <c r="L791" s="103"/>
      <c r="M791" s="104"/>
      <c r="N791" s="103"/>
      <c r="O791" s="104"/>
      <c r="P791" s="103"/>
      <c r="Q791" s="104"/>
      <c r="R791" s="103"/>
      <c r="S791" s="69"/>
      <c r="T791" s="70"/>
      <c r="U791" s="71">
        <f t="shared" ref="U791" si="339">SUM(G791:T791)</f>
        <v>0</v>
      </c>
      <c r="V791" s="72"/>
      <c r="W791" s="69"/>
      <c r="X791" s="70"/>
      <c r="Y791" s="104"/>
      <c r="Z791" s="103"/>
      <c r="AA791" s="104"/>
      <c r="AB791" s="103"/>
      <c r="AC791" s="104"/>
      <c r="AD791" s="103"/>
      <c r="AE791" s="104"/>
      <c r="AF791" s="103"/>
      <c r="AG791" s="104"/>
      <c r="AH791" s="103"/>
      <c r="AI791" s="69"/>
      <c r="AJ791" s="70"/>
      <c r="AK791" s="71">
        <f>SUM(W791:AJ791)</f>
        <v>0</v>
      </c>
      <c r="AL791" s="72"/>
      <c r="AM791" s="73">
        <f>SUMIF($G790:$T790,"",$G791:$T791)+SUMIF($W790:$AJ790,"",$W791:$AJ791)-AN791</f>
        <v>0</v>
      </c>
      <c r="AN791" s="88">
        <f>IF(SUMIF($G790:$T790,"",$G791:$T791)+SUMIF($G790:$T790,"F",$G791:$T791)+SUMIF($G790:$T790,"V",$G791:$T791)-40&lt;0,0,SUMIF($G790:$T790,"",$G791:$T791)+SUMIF($G790:$T790,"F",$G791:$T791)+SUMIF($G790:$T790,"V",$G791:$T791)-($U$9/2))+IF(SUMIF($W790:$AJ790,"",$W791:$AJ791)+SUMIF($W790:$AJ790,"F",$W791:$AJ791)+SUMIF($W790:$AJ790,"V",$W791:$AJ791)-40&lt;0,0,SUMIF($W790:$AJ790,"",$W791:$AJ791)+SUMIF($W790:$AJ790,"F",$W791:$AJ791)+SUMIF($W790:$AJ790,"V",$W791:$AJ791)-($U$9/2))</f>
        <v>0</v>
      </c>
      <c r="AO791" s="73">
        <f>SUMIF($G790:$T790,"M",$G791:$T791)+SUMIF($W790:$AJ790,"M",$W791:$AJ791)</f>
        <v>0</v>
      </c>
      <c r="AP791" s="73">
        <f>SUMIF($G790:$T790,"F",$G791:$T791)+SUMIF($W790:$AJ790,"F",$W791:$AJ791)</f>
        <v>0</v>
      </c>
      <c r="AQ791" s="73">
        <f>SUMIF($G790:$T790,"V",$G791:$T791)+SUMIF($W790:$AJ790,"V",$W791:$AJ791)</f>
        <v>0</v>
      </c>
      <c r="AR791" s="74">
        <f>SUMIF($G790:$T790,"O",$G791:$T791)+SUMIF($W790:$AJ790,"O",$W791:$AJ791)</f>
        <v>0</v>
      </c>
      <c r="AS791" s="75">
        <f>SUM(AM791:AR791)</f>
        <v>0</v>
      </c>
      <c r="AT791" s="72"/>
      <c r="AU791" s="73">
        <f>SUMIF($G790:$T790,"A",$G791:$T791)+SUMIF($W790:$AJ790,"A",$W791:$AJ791)</f>
        <v>0</v>
      </c>
      <c r="AV791" s="72"/>
      <c r="AW791" s="76">
        <f>IF(B791="",0,IF($U$9="",0,$U$9))</f>
        <v>0</v>
      </c>
      <c r="BA791" s="2"/>
      <c r="BB791" s="2"/>
      <c r="BC791" s="101"/>
      <c r="BD791" s="101"/>
    </row>
    <row r="792" spans="1:56" s="84" customFormat="1" x14ac:dyDescent="0.35">
      <c r="B792" s="26"/>
      <c r="C792" s="27"/>
      <c r="D792" s="28">
        <f>IF(D718="","",D718)</f>
        <v>23736</v>
      </c>
      <c r="E792" s="29" t="str">
        <f t="shared" si="336"/>
        <v/>
      </c>
      <c r="F792" s="50">
        <f>B749</f>
        <v>20</v>
      </c>
      <c r="G792" s="59"/>
      <c r="H792" s="64"/>
      <c r="I792" s="106"/>
      <c r="J792" s="105"/>
      <c r="K792" s="106"/>
      <c r="L792" s="105"/>
      <c r="M792" s="106"/>
      <c r="N792" s="105"/>
      <c r="O792" s="106"/>
      <c r="P792" s="105"/>
      <c r="Q792" s="106"/>
      <c r="R792" s="105"/>
      <c r="S792" s="59"/>
      <c r="T792" s="64"/>
      <c r="U792" s="44"/>
      <c r="W792" s="59"/>
      <c r="X792" s="64"/>
      <c r="Y792" s="106"/>
      <c r="Z792" s="105"/>
      <c r="AA792" s="106"/>
      <c r="AB792" s="105"/>
      <c r="AC792" s="106"/>
      <c r="AD792" s="105"/>
      <c r="AE792" s="106"/>
      <c r="AF792" s="105"/>
      <c r="AG792" s="106"/>
      <c r="AH792" s="105"/>
      <c r="AI792" s="59"/>
      <c r="AJ792" s="64"/>
      <c r="AK792" s="44"/>
      <c r="AM792" s="49"/>
      <c r="AN792" s="49"/>
      <c r="AO792" s="49"/>
      <c r="AP792" s="49"/>
      <c r="AQ792" s="49"/>
      <c r="AR792" s="40"/>
      <c r="AS792" s="51"/>
      <c r="AU792" s="49"/>
      <c r="AW792" s="52"/>
      <c r="BA792" s="2"/>
      <c r="BB792" s="2"/>
      <c r="BC792" s="101"/>
      <c r="BD792" s="101"/>
    </row>
    <row r="793" spans="1:56" s="84" customFormat="1" x14ac:dyDescent="0.35">
      <c r="B793" s="30" t="str">
        <f>IF(B719="","",B719)</f>
        <v>Voster, Jean-Michel</v>
      </c>
      <c r="C793" s="31"/>
      <c r="D793" s="32"/>
      <c r="E793" s="33">
        <f t="shared" si="336"/>
        <v>93545</v>
      </c>
      <c r="F793" s="50">
        <f>B749</f>
        <v>20</v>
      </c>
      <c r="G793" s="69"/>
      <c r="H793" s="70"/>
      <c r="I793" s="104"/>
      <c r="J793" s="103">
        <v>8</v>
      </c>
      <c r="K793" s="104"/>
      <c r="L793" s="103">
        <v>8</v>
      </c>
      <c r="M793" s="104"/>
      <c r="N793" s="103">
        <v>8.25</v>
      </c>
      <c r="O793" s="104"/>
      <c r="P793" s="103">
        <v>8</v>
      </c>
      <c r="Q793" s="104"/>
      <c r="R793" s="103">
        <v>7.5</v>
      </c>
      <c r="S793" s="69"/>
      <c r="T793" s="70"/>
      <c r="U793" s="71">
        <f t="shared" ref="U793" si="340">SUM(G793:T793)</f>
        <v>39.75</v>
      </c>
      <c r="V793" s="72"/>
      <c r="W793" s="69"/>
      <c r="X793" s="70"/>
      <c r="Y793" s="104"/>
      <c r="Z793" s="103">
        <v>8</v>
      </c>
      <c r="AA793" s="104"/>
      <c r="AB793" s="103">
        <v>8</v>
      </c>
      <c r="AC793" s="104"/>
      <c r="AD793" s="103">
        <v>8</v>
      </c>
      <c r="AE793" s="104"/>
      <c r="AF793" s="103">
        <v>8</v>
      </c>
      <c r="AG793" s="104"/>
      <c r="AH793" s="103">
        <v>8</v>
      </c>
      <c r="AI793" s="69"/>
      <c r="AJ793" s="70"/>
      <c r="AK793" s="71">
        <f>SUM(W793:AJ793)</f>
        <v>40</v>
      </c>
      <c r="AL793" s="72"/>
      <c r="AM793" s="73">
        <f>SUMIF($G792:$T792,"",$G793:$T793)+SUMIF($W792:$AJ792,"",$W793:$AJ793)-AN793</f>
        <v>79.75</v>
      </c>
      <c r="AN793" s="88">
        <f>IF(SUMIF($G792:$T792,"",$G793:$T793)+SUMIF($G792:$T792,"F",$G793:$T793)+SUMIF($G792:$T792,"V",$G793:$T793)-40&lt;0,0,SUMIF($G792:$T792,"",$G793:$T793)+SUMIF($G792:$T792,"F",$G793:$T793)+SUMIF($G792:$T792,"V",$G793:$T793)-($U$9/2))+IF(SUMIF($W792:$AJ792,"",$W793:$AJ793)+SUMIF($W792:$AJ792,"F",$W793:$AJ793)+SUMIF($W792:$AJ792,"V",$W793:$AJ793)-40&lt;0,0,SUMIF($W792:$AJ792,"",$W793:$AJ793)+SUMIF($W792:$AJ792,"F",$W793:$AJ793)+SUMIF($W792:$AJ792,"V",$W793:$AJ793)-($U$9/2))</f>
        <v>0</v>
      </c>
      <c r="AO793" s="73">
        <f>SUMIF($G792:$T792,"M",$G793:$T793)+SUMIF($W792:$AJ792,"M",$W793:$AJ793)</f>
        <v>0</v>
      </c>
      <c r="AP793" s="73">
        <f>SUMIF($G792:$T792,"F",$G793:$T793)+SUMIF($W792:$AJ792,"F",$W793:$AJ793)</f>
        <v>0</v>
      </c>
      <c r="AQ793" s="73">
        <f>SUMIF($G792:$T792,"V",$G793:$T793)+SUMIF($W792:$AJ792,"V",$W793:$AJ793)</f>
        <v>0</v>
      </c>
      <c r="AR793" s="74">
        <f>SUMIF($G792:$T792,"O",$G793:$T793)+SUMIF($W792:$AJ792,"O",$W793:$AJ793)</f>
        <v>0</v>
      </c>
      <c r="AS793" s="75">
        <f>SUM(AM793:AR793)</f>
        <v>79.75</v>
      </c>
      <c r="AT793" s="72"/>
      <c r="AU793" s="73">
        <f>SUMIF($G792:$T792,"A",$G793:$T793)+SUMIF($W792:$AJ792,"A",$W793:$AJ793)</f>
        <v>0</v>
      </c>
      <c r="AV793" s="72"/>
      <c r="AW793" s="76">
        <f>IF(B793="",0,IF($U$9="",0,$U$9))</f>
        <v>80</v>
      </c>
      <c r="BA793" s="2"/>
      <c r="BB793" s="2"/>
      <c r="BC793" s="101"/>
      <c r="BD793" s="101"/>
    </row>
    <row r="794" spans="1:56" s="53" customFormat="1" ht="15" customHeight="1" x14ac:dyDescent="0.35">
      <c r="A794" s="84"/>
      <c r="B794" s="26"/>
      <c r="C794" s="27"/>
      <c r="D794" s="28" t="str">
        <f>IF(D720="","",D720)</f>
        <v/>
      </c>
      <c r="E794" s="29" t="str">
        <f t="shared" si="336"/>
        <v/>
      </c>
      <c r="F794" s="50">
        <f>B749</f>
        <v>20</v>
      </c>
      <c r="G794" s="59"/>
      <c r="H794" s="64"/>
      <c r="I794" s="106"/>
      <c r="J794" s="105" t="s">
        <v>3</v>
      </c>
      <c r="K794" s="106"/>
      <c r="L794" s="105" t="s">
        <v>3</v>
      </c>
      <c r="M794" s="106"/>
      <c r="N794" s="105" t="s">
        <v>3</v>
      </c>
      <c r="O794" s="106"/>
      <c r="P794" s="105" t="s">
        <v>3</v>
      </c>
      <c r="Q794" s="106"/>
      <c r="R794" s="105" t="s">
        <v>3</v>
      </c>
      <c r="S794" s="59"/>
      <c r="T794" s="64"/>
      <c r="U794" s="44"/>
      <c r="V794" s="84"/>
      <c r="W794" s="59"/>
      <c r="X794" s="64"/>
      <c r="Y794" s="106"/>
      <c r="Z794" s="105" t="s">
        <v>2</v>
      </c>
      <c r="AA794" s="106"/>
      <c r="AB794" s="105" t="s">
        <v>2</v>
      </c>
      <c r="AC794" s="106"/>
      <c r="AD794" s="105" t="s">
        <v>2</v>
      </c>
      <c r="AE794" s="106"/>
      <c r="AF794" s="105" t="s">
        <v>2</v>
      </c>
      <c r="AG794" s="106"/>
      <c r="AH794" s="105" t="s">
        <v>2</v>
      </c>
      <c r="AI794" s="59"/>
      <c r="AJ794" s="64"/>
      <c r="AK794" s="44"/>
      <c r="AL794" s="84"/>
      <c r="AM794" s="49"/>
      <c r="AN794" s="49"/>
      <c r="AO794" s="49"/>
      <c r="AP794" s="49"/>
      <c r="AQ794" s="49"/>
      <c r="AR794" s="40"/>
      <c r="AS794" s="51"/>
      <c r="AT794" s="84"/>
      <c r="AU794" s="49"/>
      <c r="AV794" s="84"/>
      <c r="AW794" s="52"/>
      <c r="AX794" s="84"/>
      <c r="BA794" s="2"/>
      <c r="BB794" s="2"/>
      <c r="BC794" s="101"/>
      <c r="BD794" s="101"/>
    </row>
    <row r="795" spans="1:56" s="57" customFormat="1" ht="15" customHeight="1" x14ac:dyDescent="0.35">
      <c r="A795" s="84"/>
      <c r="B795" s="30" t="s">
        <v>93</v>
      </c>
      <c r="C795" s="31"/>
      <c r="D795" s="32"/>
      <c r="E795" s="33">
        <v>93540</v>
      </c>
      <c r="F795" s="50">
        <f>B749</f>
        <v>20</v>
      </c>
      <c r="G795" s="69"/>
      <c r="H795" s="70"/>
      <c r="I795" s="104"/>
      <c r="J795" s="103">
        <v>0</v>
      </c>
      <c r="K795" s="104"/>
      <c r="L795" s="103">
        <v>0</v>
      </c>
      <c r="M795" s="104"/>
      <c r="N795" s="103">
        <v>0</v>
      </c>
      <c r="O795" s="104"/>
      <c r="P795" s="103">
        <v>0</v>
      </c>
      <c r="Q795" s="104"/>
      <c r="R795" s="103">
        <v>0</v>
      </c>
      <c r="S795" s="69"/>
      <c r="T795" s="70"/>
      <c r="U795" s="71">
        <f t="shared" ref="U795" si="341">SUM(G795:T795)</f>
        <v>0</v>
      </c>
      <c r="V795" s="72"/>
      <c r="W795" s="69"/>
      <c r="X795" s="70"/>
      <c r="Y795" s="104"/>
      <c r="Z795" s="103">
        <v>0</v>
      </c>
      <c r="AA795" s="104"/>
      <c r="AB795" s="103">
        <v>0</v>
      </c>
      <c r="AC795" s="104"/>
      <c r="AD795" s="103">
        <v>0</v>
      </c>
      <c r="AE795" s="104"/>
      <c r="AF795" s="103">
        <v>0</v>
      </c>
      <c r="AG795" s="104"/>
      <c r="AH795" s="103">
        <v>0</v>
      </c>
      <c r="AI795" s="69"/>
      <c r="AJ795" s="70"/>
      <c r="AK795" s="71">
        <f>SUM(W795:AJ795)</f>
        <v>0</v>
      </c>
      <c r="AL795" s="72"/>
      <c r="AM795" s="73">
        <f>SUMIF($G794:$T794,"",$G795:$T795)+SUMIF($W794:$AJ794,"",$W795:$AJ795)-AN795</f>
        <v>0</v>
      </c>
      <c r="AN795" s="88">
        <f>IF(SUMIF($G794:$T794,"",$G795:$T795)+SUMIF($G794:$T794,"F",$G795:$T795)+SUMIF($G794:$T794,"V",$G795:$T795)-40&lt;0,0,SUMIF($G794:$T794,"",$G795:$T795)+SUMIF($G794:$T794,"F",$G795:$T795)+SUMIF($G794:$T794,"V",$G795:$T795)-($U$9/2))+IF(SUMIF($W794:$AJ794,"",$W795:$AJ795)+SUMIF($W794:$AJ794,"F",$W795:$AJ795)+SUMIF($W794:$AJ794,"V",$W795:$AJ795)-40&lt;0,0,SUMIF($W794:$AJ794,"",$W795:$AJ795)+SUMIF($W794:$AJ794,"F",$W795:$AJ795)+SUMIF($W794:$AJ794,"V",$W795:$AJ795)-($U$9/2))</f>
        <v>0</v>
      </c>
      <c r="AO795" s="73">
        <f>SUMIF($G794:$T794,"M",$G795:$T795)+SUMIF($W794:$AJ794,"M",$W795:$AJ795)</f>
        <v>0</v>
      </c>
      <c r="AP795" s="73">
        <f>SUMIF($G794:$T794,"F",$G795:$T795)+SUMIF($W794:$AJ794,"F",$W795:$AJ795)</f>
        <v>0</v>
      </c>
      <c r="AQ795" s="73">
        <f>SUMIF($G794:$T794,"V",$G795:$T795)+SUMIF($W794:$AJ794,"V",$W795:$AJ795)</f>
        <v>0</v>
      </c>
      <c r="AR795" s="74">
        <f>SUMIF($G794:$T794,"O",$G795:$T795)+SUMIF($W794:$AJ794,"O",$W795:$AJ795)</f>
        <v>0</v>
      </c>
      <c r="AS795" s="75">
        <f>SUM(AM795:AR795)</f>
        <v>0</v>
      </c>
      <c r="AT795" s="72"/>
      <c r="AU795" s="73">
        <f>SUMIF($G794:$T794,"A",$G795:$T795)+SUMIF($W794:$AJ794,"A",$W795:$AJ795)</f>
        <v>0</v>
      </c>
      <c r="AV795" s="72"/>
      <c r="AW795" s="76">
        <f>IF(B795="",0,IF($U$9="",0,$U$9))</f>
        <v>80</v>
      </c>
      <c r="AX795" s="84"/>
      <c r="BA795" s="2"/>
      <c r="BB795" s="2"/>
      <c r="BC795" s="101"/>
      <c r="BD795" s="101"/>
    </row>
    <row r="796" spans="1:56" s="53" customFormat="1" ht="15" customHeight="1" x14ac:dyDescent="0.35">
      <c r="A796" s="84"/>
      <c r="B796" s="26"/>
      <c r="C796" s="27"/>
      <c r="D796" s="28" t="str">
        <f>IF(D722="","",D722)</f>
        <v/>
      </c>
      <c r="E796" s="29" t="str">
        <f t="shared" si="336"/>
        <v/>
      </c>
      <c r="F796" s="50">
        <f>B749</f>
        <v>20</v>
      </c>
      <c r="G796" s="59"/>
      <c r="H796" s="64"/>
      <c r="I796" s="106"/>
      <c r="J796" s="105"/>
      <c r="K796" s="106"/>
      <c r="L796" s="105"/>
      <c r="M796" s="106"/>
      <c r="N796" s="105"/>
      <c r="O796" s="106"/>
      <c r="P796" s="105"/>
      <c r="Q796" s="106"/>
      <c r="R796" s="105"/>
      <c r="S796" s="59"/>
      <c r="T796" s="64"/>
      <c r="U796" s="44"/>
      <c r="V796" s="84"/>
      <c r="W796" s="59"/>
      <c r="X796" s="64"/>
      <c r="Y796" s="106"/>
      <c r="Z796" s="105"/>
      <c r="AA796" s="106"/>
      <c r="AB796" s="105"/>
      <c r="AC796" s="106"/>
      <c r="AD796" s="105"/>
      <c r="AE796" s="106"/>
      <c r="AF796" s="105"/>
      <c r="AG796" s="106"/>
      <c r="AH796" s="105"/>
      <c r="AI796" s="59"/>
      <c r="AJ796" s="64"/>
      <c r="AK796" s="44"/>
      <c r="AL796" s="84"/>
      <c r="AM796" s="49"/>
      <c r="AN796" s="49"/>
      <c r="AO796" s="49"/>
      <c r="AP796" s="49"/>
      <c r="AQ796" s="49"/>
      <c r="AR796" s="40"/>
      <c r="AS796" s="51"/>
      <c r="AT796" s="84"/>
      <c r="AU796" s="49"/>
      <c r="AV796" s="84"/>
      <c r="AW796" s="52"/>
      <c r="AX796" s="84"/>
      <c r="BA796" s="2"/>
      <c r="BB796" s="2"/>
      <c r="BC796" s="101"/>
      <c r="BD796" s="101"/>
    </row>
    <row r="797" spans="1:56" s="53" customFormat="1" x14ac:dyDescent="0.35">
      <c r="A797" s="84"/>
      <c r="B797" s="30" t="str">
        <f>IF(B723="","",B723)</f>
        <v/>
      </c>
      <c r="C797" s="31"/>
      <c r="D797" s="32"/>
      <c r="E797" s="33" t="str">
        <f t="shared" si="336"/>
        <v/>
      </c>
      <c r="F797" s="50">
        <f>B749</f>
        <v>20</v>
      </c>
      <c r="G797" s="69"/>
      <c r="H797" s="70"/>
      <c r="I797" s="104"/>
      <c r="J797" s="103"/>
      <c r="K797" s="104"/>
      <c r="L797" s="103"/>
      <c r="M797" s="104"/>
      <c r="N797" s="103"/>
      <c r="O797" s="104"/>
      <c r="P797" s="103"/>
      <c r="Q797" s="104"/>
      <c r="R797" s="103"/>
      <c r="S797" s="69"/>
      <c r="T797" s="70"/>
      <c r="U797" s="71">
        <f t="shared" ref="U797" si="342">SUM(G797:T797)</f>
        <v>0</v>
      </c>
      <c r="V797" s="72"/>
      <c r="W797" s="69"/>
      <c r="X797" s="70"/>
      <c r="Y797" s="104"/>
      <c r="Z797" s="103"/>
      <c r="AA797" s="104"/>
      <c r="AB797" s="103"/>
      <c r="AC797" s="104"/>
      <c r="AD797" s="103"/>
      <c r="AE797" s="104"/>
      <c r="AF797" s="103"/>
      <c r="AG797" s="104"/>
      <c r="AH797" s="103"/>
      <c r="AI797" s="69"/>
      <c r="AJ797" s="70"/>
      <c r="AK797" s="71">
        <f>SUM(W797:AJ797)</f>
        <v>0</v>
      </c>
      <c r="AL797" s="72"/>
      <c r="AM797" s="73">
        <f>SUMIF($G796:$T796,"",$G797:$T797)+SUMIF($W796:$AJ796,"",$W797:$AJ797)-AN797</f>
        <v>0</v>
      </c>
      <c r="AN797" s="88">
        <f>IF(SUMIF($G796:$T796,"",$G797:$T797)+SUMIF($G796:$T796,"F",$G797:$T797)+SUMIF($G796:$T796,"V",$G797:$T797)-40&lt;0,0,SUMIF($G796:$T796,"",$G797:$T797)+SUMIF($G796:$T796,"F",$G797:$T797)+SUMIF($G796:$T796,"V",$G797:$T797)-($U$9/2))+IF(SUMIF($W796:$AJ796,"",$W797:$AJ797)+SUMIF($W796:$AJ796,"F",$W797:$AJ797)+SUMIF($W796:$AJ796,"V",$W797:$AJ797)-40&lt;0,0,SUMIF($W796:$AJ796,"",$W797:$AJ797)+SUMIF($W796:$AJ796,"F",$W797:$AJ797)+SUMIF($W796:$AJ796,"V",$W797:$AJ797)-($U$9/2))</f>
        <v>0</v>
      </c>
      <c r="AO797" s="73">
        <f>SUMIF($G796:$T796,"M",$G797:$T797)+SUMIF($W796:$AJ796,"M",$W797:$AJ797)</f>
        <v>0</v>
      </c>
      <c r="AP797" s="73">
        <f>SUMIF($G796:$T796,"F",$G797:$T797)+SUMIF($W796:$AJ796,"F",$W797:$AJ797)</f>
        <v>0</v>
      </c>
      <c r="AQ797" s="73">
        <f>SUMIF($G796:$T796,"V",$G797:$T797)+SUMIF($W796:$AJ796,"V",$W797:$AJ797)</f>
        <v>0</v>
      </c>
      <c r="AR797" s="74">
        <f>SUMIF($G796:$T796,"O",$G797:$T797)+SUMIF($W796:$AJ796,"O",$W797:$AJ797)</f>
        <v>0</v>
      </c>
      <c r="AS797" s="75">
        <f>SUM(AM797:AR797)</f>
        <v>0</v>
      </c>
      <c r="AT797" s="72"/>
      <c r="AU797" s="73">
        <f>SUMIF($G796:$T796,"A",$G797:$T797)+SUMIF($W796:$AJ796,"A",$W797:$AJ797)</f>
        <v>0</v>
      </c>
      <c r="AV797" s="72"/>
      <c r="AW797" s="76">
        <f>IF(B797="",0,IF($U$9="",0,$U$9))</f>
        <v>0</v>
      </c>
      <c r="AX797" s="84"/>
      <c r="BA797" s="2"/>
      <c r="BB797" s="2"/>
      <c r="BC797" s="101"/>
      <c r="BD797" s="101"/>
    </row>
    <row r="798" spans="1:56" s="53" customFormat="1" x14ac:dyDescent="0.35">
      <c r="A798" s="84"/>
      <c r="B798" s="26"/>
      <c r="C798" s="27"/>
      <c r="D798" s="28" t="str">
        <f>IF(D724="","",D724)</f>
        <v/>
      </c>
      <c r="E798" s="29" t="str">
        <f t="shared" si="336"/>
        <v/>
      </c>
      <c r="F798" s="50">
        <f>B749</f>
        <v>20</v>
      </c>
      <c r="G798" s="59"/>
      <c r="H798" s="64"/>
      <c r="I798" s="58"/>
      <c r="J798" s="65"/>
      <c r="K798" s="58"/>
      <c r="L798" s="65"/>
      <c r="M798" s="58"/>
      <c r="N798" s="65"/>
      <c r="O798" s="58"/>
      <c r="P798" s="65"/>
      <c r="Q798" s="58"/>
      <c r="R798" s="65"/>
      <c r="S798" s="59"/>
      <c r="T798" s="64"/>
      <c r="U798" s="44"/>
      <c r="V798" s="84"/>
      <c r="W798" s="59"/>
      <c r="X798" s="64"/>
      <c r="Y798" s="58"/>
      <c r="Z798" s="65"/>
      <c r="AA798" s="58"/>
      <c r="AB798" s="65"/>
      <c r="AC798" s="58"/>
      <c r="AD798" s="65"/>
      <c r="AE798" s="58"/>
      <c r="AF798" s="65"/>
      <c r="AG798" s="58"/>
      <c r="AH798" s="65"/>
      <c r="AI798" s="59"/>
      <c r="AJ798" s="64"/>
      <c r="AK798" s="44"/>
      <c r="AL798" s="84"/>
      <c r="AM798" s="49"/>
      <c r="AN798" s="49"/>
      <c r="AO798" s="49"/>
      <c r="AP798" s="49"/>
      <c r="AQ798" s="49"/>
      <c r="AR798" s="40"/>
      <c r="AS798" s="51"/>
      <c r="AT798" s="84"/>
      <c r="AU798" s="49"/>
      <c r="AV798" s="84"/>
      <c r="AW798" s="52"/>
      <c r="AX798" s="84"/>
      <c r="BA798" s="2"/>
      <c r="BB798" s="2"/>
      <c r="BC798" s="101"/>
      <c r="BD798" s="101"/>
    </row>
    <row r="799" spans="1:56" s="53" customFormat="1" x14ac:dyDescent="0.35">
      <c r="A799" s="84"/>
      <c r="B799" s="30" t="str">
        <f>IF(B725="","",B725)</f>
        <v/>
      </c>
      <c r="C799" s="31"/>
      <c r="D799" s="32"/>
      <c r="E799" s="33" t="str">
        <f t="shared" si="336"/>
        <v/>
      </c>
      <c r="F799" s="50">
        <f>B749</f>
        <v>20</v>
      </c>
      <c r="G799" s="69"/>
      <c r="H799" s="70"/>
      <c r="I799" s="67"/>
      <c r="J799" s="68"/>
      <c r="K799" s="67"/>
      <c r="L799" s="68"/>
      <c r="M799" s="67"/>
      <c r="N799" s="68"/>
      <c r="O799" s="67"/>
      <c r="P799" s="68"/>
      <c r="Q799" s="67"/>
      <c r="R799" s="68"/>
      <c r="S799" s="69"/>
      <c r="T799" s="70"/>
      <c r="U799" s="71">
        <f t="shared" ref="U799" si="343">SUM(G799:T799)</f>
        <v>0</v>
      </c>
      <c r="V799" s="72"/>
      <c r="W799" s="69"/>
      <c r="X799" s="70"/>
      <c r="Y799" s="67"/>
      <c r="Z799" s="68"/>
      <c r="AA799" s="67"/>
      <c r="AB799" s="68"/>
      <c r="AC799" s="67"/>
      <c r="AD799" s="68"/>
      <c r="AE799" s="67"/>
      <c r="AF799" s="68"/>
      <c r="AG799" s="67"/>
      <c r="AH799" s="68"/>
      <c r="AI799" s="69"/>
      <c r="AJ799" s="70"/>
      <c r="AK799" s="71">
        <v>0</v>
      </c>
      <c r="AL799" s="72"/>
      <c r="AM799" s="73">
        <f>SUMIF($G798:$T798,"",$G799:$T799)+SUMIF($W798:$AJ798,"",$W799:$AJ799)-AN799</f>
        <v>0</v>
      </c>
      <c r="AN799" s="88">
        <f>IF(SUMIF($G798:$T798,"",$G799:$T799)+SUMIF($G798:$T798,"F",$G799:$T799)+SUMIF($G798:$T798,"V",$G799:$T799)-40&lt;0,0,SUMIF($G798:$T798,"",$G799:$T799)+SUMIF($G798:$T798,"F",$G799:$T799)+SUMIF($G798:$T798,"V",$G799:$T799)-($U$9/2))+IF(SUMIF($W798:$AJ798,"",$W799:$AJ799)+SUMIF($W798:$AJ798,"F",$W799:$AJ799)+SUMIF($W798:$AJ798,"V",$W799:$AJ799)-40&lt;0,0,SUMIF($W798:$AJ798,"",$W799:$AJ799)+SUMIF($W798:$AJ798,"F",$W799:$AJ799)+SUMIF($W798:$AJ798,"V",$W799:$AJ799)-($U$9/2))</f>
        <v>0</v>
      </c>
      <c r="AO799" s="73">
        <f>SUMIF($G798:$T798,"M",$G799:$T799)+SUMIF($W798:$AJ798,"M",$W799:$AJ799)</f>
        <v>0</v>
      </c>
      <c r="AP799" s="73">
        <f>SUMIF($G798:$T798,"F",$G799:$T799)+SUMIF($W798:$AJ798,"F",$W799:$AJ799)</f>
        <v>0</v>
      </c>
      <c r="AQ799" s="73">
        <f>SUMIF($G798:$T798,"V",$G799:$T799)+SUMIF($W798:$AJ798,"V",$W799:$AJ799)</f>
        <v>0</v>
      </c>
      <c r="AR799" s="74">
        <f>SUMIF($G798:$T798,"O",$G799:$T799)+SUMIF($W798:$AJ798,"O",$W799:$AJ799)</f>
        <v>0</v>
      </c>
      <c r="AS799" s="75">
        <f>SUM(AM799:AR799)</f>
        <v>0</v>
      </c>
      <c r="AT799" s="72"/>
      <c r="AU799" s="73">
        <f>SUMIF($G798:$T798,"A",$G799:$T799)+SUMIF($W798:$AJ798,"A",$W799:$AJ799)</f>
        <v>0</v>
      </c>
      <c r="AV799" s="72"/>
      <c r="AW799" s="76">
        <f>IF(B799="",0,IF($U$9="",0,$U$9))</f>
        <v>0</v>
      </c>
      <c r="AX799" s="84"/>
      <c r="BA799" s="2"/>
      <c r="BB799" s="2"/>
      <c r="BC799" s="101"/>
      <c r="BD799" s="101"/>
    </row>
    <row r="800" spans="1:56" s="53" customFormat="1" x14ac:dyDescent="0.35">
      <c r="A800" s="84"/>
      <c r="B800" s="26"/>
      <c r="C800" s="27"/>
      <c r="D800" s="28" t="str">
        <f>IF(D726="","",D726)</f>
        <v/>
      </c>
      <c r="E800" s="29" t="str">
        <f t="shared" si="336"/>
        <v/>
      </c>
      <c r="F800" s="50">
        <f>B749</f>
        <v>20</v>
      </c>
      <c r="G800" s="59"/>
      <c r="H800" s="64"/>
      <c r="I800" s="58"/>
      <c r="J800" s="65"/>
      <c r="K800" s="58"/>
      <c r="L800" s="65"/>
      <c r="M800" s="58"/>
      <c r="N800" s="65"/>
      <c r="O800" s="58"/>
      <c r="P800" s="65"/>
      <c r="Q800" s="58"/>
      <c r="R800" s="65"/>
      <c r="S800" s="59"/>
      <c r="T800" s="64"/>
      <c r="U800" s="44"/>
      <c r="V800" s="84"/>
      <c r="W800" s="59"/>
      <c r="X800" s="64"/>
      <c r="Y800" s="58"/>
      <c r="Z800" s="65"/>
      <c r="AA800" s="58"/>
      <c r="AB800" s="65"/>
      <c r="AC800" s="58"/>
      <c r="AD800" s="65"/>
      <c r="AE800" s="58"/>
      <c r="AF800" s="65"/>
      <c r="AG800" s="58"/>
      <c r="AH800" s="65"/>
      <c r="AI800" s="59"/>
      <c r="AJ800" s="64"/>
      <c r="AK800" s="44"/>
      <c r="AL800" s="84"/>
      <c r="AM800" s="49"/>
      <c r="AN800" s="49"/>
      <c r="AO800" s="49"/>
      <c r="AP800" s="49"/>
      <c r="AQ800" s="49"/>
      <c r="AR800" s="40"/>
      <c r="AS800" s="51"/>
      <c r="AT800" s="84"/>
      <c r="AU800" s="49"/>
      <c r="AV800" s="84"/>
      <c r="AW800" s="52"/>
      <c r="AX800" s="84"/>
      <c r="BA800" s="2"/>
      <c r="BB800" s="2"/>
      <c r="BC800" s="101"/>
      <c r="BD800" s="101"/>
    </row>
    <row r="801" spans="1:56" s="53" customFormat="1" x14ac:dyDescent="0.35">
      <c r="A801" s="84"/>
      <c r="B801" s="30" t="str">
        <f>IF(B727="","",B727)</f>
        <v/>
      </c>
      <c r="C801" s="31"/>
      <c r="D801" s="32"/>
      <c r="E801" s="33" t="str">
        <f t="shared" si="336"/>
        <v/>
      </c>
      <c r="F801" s="50">
        <f>B749</f>
        <v>20</v>
      </c>
      <c r="G801" s="69"/>
      <c r="H801" s="70"/>
      <c r="I801" s="67"/>
      <c r="J801" s="68"/>
      <c r="K801" s="67"/>
      <c r="L801" s="68"/>
      <c r="M801" s="67"/>
      <c r="N801" s="68"/>
      <c r="O801" s="67"/>
      <c r="P801" s="68"/>
      <c r="Q801" s="67"/>
      <c r="R801" s="68"/>
      <c r="S801" s="69"/>
      <c r="T801" s="70"/>
      <c r="U801" s="71">
        <f t="shared" ref="U801" si="344">SUM(G801:T801)</f>
        <v>0</v>
      </c>
      <c r="V801" s="72"/>
      <c r="W801" s="69"/>
      <c r="X801" s="70"/>
      <c r="Y801" s="67"/>
      <c r="Z801" s="68"/>
      <c r="AA801" s="67"/>
      <c r="AB801" s="68"/>
      <c r="AC801" s="67"/>
      <c r="AD801" s="68"/>
      <c r="AE801" s="67"/>
      <c r="AF801" s="68"/>
      <c r="AG801" s="67"/>
      <c r="AH801" s="68"/>
      <c r="AI801" s="69"/>
      <c r="AJ801" s="70"/>
      <c r="AK801" s="71">
        <v>0</v>
      </c>
      <c r="AL801" s="72"/>
      <c r="AM801" s="73">
        <v>0</v>
      </c>
      <c r="AN801" s="88">
        <v>0</v>
      </c>
      <c r="AO801" s="73">
        <v>0</v>
      </c>
      <c r="AP801" s="73">
        <v>0</v>
      </c>
      <c r="AQ801" s="73">
        <v>0</v>
      </c>
      <c r="AR801" s="74">
        <v>0</v>
      </c>
      <c r="AS801" s="75">
        <v>0</v>
      </c>
      <c r="AT801" s="72"/>
      <c r="AU801" s="73">
        <f>SUMIF($G800:$T800,"A",$G801:$T801)+SUMIF($W800:$AJ800,"A",$W801:$AJ801)</f>
        <v>0</v>
      </c>
      <c r="AV801" s="72"/>
      <c r="AW801" s="76">
        <f>IF(B801="",0,IF($U$9="",0,$U$9))</f>
        <v>0</v>
      </c>
      <c r="AX801" s="84"/>
      <c r="BA801" s="2"/>
      <c r="BB801" s="2"/>
      <c r="BC801" s="101"/>
      <c r="BD801" s="101"/>
    </row>
    <row r="802" spans="1:56" s="53" customFormat="1" x14ac:dyDescent="0.35">
      <c r="A802" s="84"/>
      <c r="B802" s="26"/>
      <c r="C802" s="27"/>
      <c r="D802" s="28" t="str">
        <f>IF(D728="","",D728)</f>
        <v/>
      </c>
      <c r="E802" s="29" t="str">
        <f t="shared" si="336"/>
        <v/>
      </c>
      <c r="F802" s="50">
        <f>B749</f>
        <v>20</v>
      </c>
      <c r="G802" s="59"/>
      <c r="H802" s="64"/>
      <c r="I802" s="58"/>
      <c r="J802" s="65"/>
      <c r="K802" s="58"/>
      <c r="L802" s="65"/>
      <c r="M802" s="58"/>
      <c r="N802" s="65"/>
      <c r="O802" s="58"/>
      <c r="P802" s="65"/>
      <c r="Q802" s="58"/>
      <c r="R802" s="65"/>
      <c r="S802" s="59"/>
      <c r="T802" s="64"/>
      <c r="U802" s="44"/>
      <c r="V802" s="84"/>
      <c r="W802" s="59"/>
      <c r="X802" s="64"/>
      <c r="Y802" s="58"/>
      <c r="Z802" s="65"/>
      <c r="AA802" s="58"/>
      <c r="AB802" s="65"/>
      <c r="AC802" s="58"/>
      <c r="AD802" s="65"/>
      <c r="AE802" s="58"/>
      <c r="AF802" s="65"/>
      <c r="AG802" s="58"/>
      <c r="AH802" s="65"/>
      <c r="AI802" s="59"/>
      <c r="AJ802" s="64"/>
      <c r="AK802" s="44"/>
      <c r="AL802" s="84"/>
      <c r="AM802" s="49"/>
      <c r="AN802" s="49"/>
      <c r="AO802" s="49"/>
      <c r="AP802" s="49"/>
      <c r="AQ802" s="49"/>
      <c r="AR802" s="40"/>
      <c r="AS802" s="51"/>
      <c r="AT802" s="84"/>
      <c r="AU802" s="49"/>
      <c r="AV802" s="84"/>
      <c r="AW802" s="52"/>
      <c r="AX802" s="84"/>
      <c r="BA802" s="2"/>
      <c r="BB802" s="2"/>
      <c r="BC802" s="101"/>
      <c r="BD802" s="101"/>
    </row>
    <row r="803" spans="1:56" s="53" customFormat="1" ht="15" thickBot="1" x14ac:dyDescent="0.4">
      <c r="A803" s="84"/>
      <c r="B803" s="30" t="str">
        <f>IF(B729="","",B729)</f>
        <v/>
      </c>
      <c r="C803" s="31"/>
      <c r="D803" s="32"/>
      <c r="E803" s="33" t="str">
        <f t="shared" si="336"/>
        <v/>
      </c>
      <c r="F803" s="50">
        <f>B749</f>
        <v>20</v>
      </c>
      <c r="G803" s="69"/>
      <c r="H803" s="70"/>
      <c r="I803" s="67"/>
      <c r="J803" s="68"/>
      <c r="K803" s="67"/>
      <c r="L803" s="68"/>
      <c r="M803" s="67"/>
      <c r="N803" s="68"/>
      <c r="O803" s="67"/>
      <c r="P803" s="68"/>
      <c r="Q803" s="67"/>
      <c r="R803" s="68"/>
      <c r="S803" s="69"/>
      <c r="T803" s="70"/>
      <c r="U803" s="71">
        <f t="shared" ref="U803" si="345">SUM(G803:T803)</f>
        <v>0</v>
      </c>
      <c r="V803" s="72"/>
      <c r="W803" s="69"/>
      <c r="X803" s="70"/>
      <c r="Y803" s="67"/>
      <c r="Z803" s="68"/>
      <c r="AA803" s="67"/>
      <c r="AB803" s="68"/>
      <c r="AC803" s="67"/>
      <c r="AD803" s="68"/>
      <c r="AE803" s="67"/>
      <c r="AF803" s="68"/>
      <c r="AG803" s="67"/>
      <c r="AH803" s="68"/>
      <c r="AI803" s="69"/>
      <c r="AJ803" s="70"/>
      <c r="AK803" s="71">
        <v>0</v>
      </c>
      <c r="AL803" s="72"/>
      <c r="AM803" s="73">
        <v>0</v>
      </c>
      <c r="AN803" s="88">
        <v>0</v>
      </c>
      <c r="AO803" s="73">
        <v>0</v>
      </c>
      <c r="AP803" s="73">
        <v>0</v>
      </c>
      <c r="AQ803" s="73">
        <v>0</v>
      </c>
      <c r="AR803" s="74">
        <v>0</v>
      </c>
      <c r="AS803" s="75">
        <v>0</v>
      </c>
      <c r="AT803" s="72"/>
      <c r="AU803" s="73">
        <f>SUMIF($G802:$T802,"A",$G803:$T803)+SUMIF($W802:$AJ802,"A",$W803:$AJ803)</f>
        <v>0</v>
      </c>
      <c r="AV803" s="72"/>
      <c r="AW803" s="76">
        <f>IF(B803="",0,IF($U$9="",0,$U$9))</f>
        <v>0</v>
      </c>
      <c r="AX803" s="84"/>
      <c r="BA803" s="2"/>
      <c r="BB803" s="2"/>
      <c r="BC803" s="101"/>
      <c r="BD803" s="101"/>
    </row>
    <row r="804" spans="1:56" s="53" customFormat="1" ht="27.75" customHeight="1" thickBot="1" x14ac:dyDescent="0.4">
      <c r="A804" s="84"/>
      <c r="B804" s="149" t="s">
        <v>7</v>
      </c>
      <c r="C804" s="150"/>
      <c r="D804" s="150"/>
      <c r="E804" s="151"/>
      <c r="F804" s="97"/>
      <c r="G804" s="152">
        <f>SUM(G754:H803)</f>
        <v>0</v>
      </c>
      <c r="H804" s="152"/>
      <c r="I804" s="152">
        <f>SUM(I754:J803)</f>
        <v>128.5</v>
      </c>
      <c r="J804" s="152"/>
      <c r="K804" s="152">
        <f>SUM(K754:L803)</f>
        <v>128</v>
      </c>
      <c r="L804" s="152"/>
      <c r="M804" s="152">
        <f>SUM(M754:N803)</f>
        <v>128.25</v>
      </c>
      <c r="N804" s="152"/>
      <c r="O804" s="152">
        <f>SUM(O754:P803)</f>
        <v>128</v>
      </c>
      <c r="P804" s="152"/>
      <c r="Q804" s="152">
        <f>SUM(Q754:R803)</f>
        <v>126.5</v>
      </c>
      <c r="R804" s="152"/>
      <c r="S804" s="152">
        <f>SUM(S754:T803)</f>
        <v>0</v>
      </c>
      <c r="T804" s="153"/>
      <c r="U804" s="77">
        <f>SUM(U754:U803)</f>
        <v>639.25</v>
      </c>
      <c r="V804" s="78"/>
      <c r="W804" s="152">
        <f>SUM(W754:X803)</f>
        <v>0</v>
      </c>
      <c r="X804" s="152"/>
      <c r="Y804" s="152">
        <f>SUM(Y754:Z803)</f>
        <v>128.5</v>
      </c>
      <c r="Z804" s="152"/>
      <c r="AA804" s="152">
        <f>SUM(AA754:AB803)</f>
        <v>129</v>
      </c>
      <c r="AB804" s="152"/>
      <c r="AC804" s="152">
        <f>SUM(AC754:AD803)</f>
        <v>128</v>
      </c>
      <c r="AD804" s="152"/>
      <c r="AE804" s="152">
        <f>SUM(AE754:AF803)</f>
        <v>129</v>
      </c>
      <c r="AF804" s="152"/>
      <c r="AG804" s="152">
        <f>SUM(AG754:AH803)</f>
        <v>127.5</v>
      </c>
      <c r="AH804" s="152"/>
      <c r="AI804" s="152">
        <f>SUM(AI754:AJ803)</f>
        <v>0</v>
      </c>
      <c r="AJ804" s="152"/>
      <c r="AK804" s="77">
        <f>SUM(AK754:AK803)</f>
        <v>642</v>
      </c>
      <c r="AL804" s="78"/>
      <c r="AM804" s="79">
        <f t="shared" ref="AM804:AS804" si="346">SUM(AM754:AM803)</f>
        <v>1253.25</v>
      </c>
      <c r="AN804" s="79">
        <f t="shared" si="346"/>
        <v>4</v>
      </c>
      <c r="AO804" s="79">
        <f t="shared" si="346"/>
        <v>8</v>
      </c>
      <c r="AP804" s="79">
        <f t="shared" si="346"/>
        <v>0</v>
      </c>
      <c r="AQ804" s="79">
        <f t="shared" si="346"/>
        <v>16</v>
      </c>
      <c r="AR804" s="80">
        <f t="shared" si="346"/>
        <v>0</v>
      </c>
      <c r="AS804" s="81">
        <f t="shared" si="346"/>
        <v>1281.25</v>
      </c>
      <c r="AT804" s="78"/>
      <c r="AU804" s="82">
        <f>SUM(AU754:AU803)</f>
        <v>0</v>
      </c>
      <c r="AV804" s="78"/>
      <c r="AW804" s="83">
        <f>SUM(AW754:AW803)</f>
        <v>1600</v>
      </c>
      <c r="AX804" s="84"/>
      <c r="BA804" s="2"/>
      <c r="BB804" s="2"/>
      <c r="BC804" s="101"/>
      <c r="BD804" s="101"/>
    </row>
    <row r="805" spans="1:56" s="53" customFormat="1" ht="15" thickTop="1" x14ac:dyDescent="0.35">
      <c r="B805" s="54"/>
      <c r="F805" s="98"/>
      <c r="G805" s="55"/>
      <c r="H805" s="55"/>
      <c r="I805" s="55"/>
      <c r="J805" s="55"/>
      <c r="K805" s="55"/>
      <c r="L805" s="55"/>
      <c r="M805" s="55"/>
      <c r="N805" s="55"/>
      <c r="O805" s="55"/>
      <c r="P805" s="55"/>
      <c r="Q805" s="55"/>
      <c r="R805" s="55"/>
      <c r="S805" s="55"/>
      <c r="T805" s="55"/>
      <c r="U805" s="56"/>
      <c r="V805" s="55"/>
      <c r="W805" s="55"/>
      <c r="X805" s="55"/>
      <c r="Y805" s="55"/>
      <c r="Z805" s="55"/>
      <c r="AA805" s="55"/>
      <c r="AB805" s="55"/>
      <c r="AC805" s="55"/>
      <c r="AD805" s="55"/>
      <c r="AE805" s="55"/>
      <c r="AF805" s="55"/>
      <c r="AG805" s="55"/>
      <c r="AH805" s="55"/>
      <c r="AI805" s="55"/>
      <c r="AJ805" s="55"/>
      <c r="AK805" s="56"/>
      <c r="AL805" s="55"/>
      <c r="AM805" s="55"/>
      <c r="AN805" s="55"/>
      <c r="AO805" s="55"/>
      <c r="AP805" s="55"/>
      <c r="AQ805" s="55"/>
      <c r="AR805" s="55"/>
      <c r="AS805" s="55"/>
      <c r="AT805" s="55"/>
      <c r="AU805" s="55"/>
      <c r="AV805" s="55"/>
      <c r="AW805" s="55"/>
      <c r="BA805" s="2"/>
      <c r="BB805" s="2"/>
      <c r="BC805" s="101"/>
      <c r="BD805" s="101"/>
    </row>
    <row r="806" spans="1:56" s="53" customFormat="1" x14ac:dyDescent="0.35">
      <c r="B806" s="54" t="s">
        <v>52</v>
      </c>
      <c r="D806" s="141" t="s">
        <v>94</v>
      </c>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c r="AH806" s="141"/>
      <c r="AI806" s="141"/>
      <c r="AJ806" s="141"/>
      <c r="AK806" s="56"/>
      <c r="AL806" s="55"/>
      <c r="AM806" s="55"/>
      <c r="AN806" s="55"/>
      <c r="AO806" s="55"/>
      <c r="AP806" s="55"/>
      <c r="AQ806" s="55"/>
      <c r="AR806" s="55"/>
      <c r="AS806" s="55"/>
      <c r="AT806" s="55"/>
      <c r="AU806" s="55"/>
      <c r="AV806" s="55"/>
      <c r="AW806" s="55"/>
      <c r="BA806" s="2"/>
      <c r="BB806" s="2"/>
      <c r="BC806" s="101"/>
      <c r="BD806" s="101"/>
    </row>
    <row r="807" spans="1:56" s="84" customFormat="1" x14ac:dyDescent="0.35">
      <c r="A807" s="53"/>
      <c r="B807" s="54"/>
      <c r="C807" s="53"/>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c r="AJ807" s="175"/>
      <c r="AK807" s="56"/>
      <c r="AL807" s="55"/>
      <c r="AM807" s="55"/>
      <c r="AN807" s="55"/>
      <c r="AO807" s="55"/>
      <c r="AP807" s="55"/>
      <c r="AQ807" s="55"/>
      <c r="AR807" s="55"/>
      <c r="AS807" s="55"/>
      <c r="AT807" s="55"/>
      <c r="AU807" s="55"/>
      <c r="AV807" s="55"/>
      <c r="AW807" s="55"/>
      <c r="AX807" s="53"/>
      <c r="BA807" s="2"/>
      <c r="BB807" s="2"/>
      <c r="BC807" s="101"/>
      <c r="BD807" s="101"/>
    </row>
    <row r="808" spans="1:56" s="84" customFormat="1" x14ac:dyDescent="0.35">
      <c r="A808" s="53"/>
      <c r="B808" s="54"/>
      <c r="C808" s="53"/>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c r="AH808" s="141"/>
      <c r="AI808" s="141"/>
      <c r="AJ808" s="141"/>
      <c r="AK808" s="56"/>
      <c r="AL808" s="55"/>
      <c r="AM808" s="55"/>
      <c r="AN808" s="55"/>
      <c r="AO808" s="55"/>
      <c r="AP808" s="55"/>
      <c r="AQ808" s="55"/>
      <c r="AR808" s="55"/>
      <c r="AS808" s="55"/>
      <c r="AT808" s="55"/>
      <c r="AU808" s="55"/>
      <c r="AV808" s="55"/>
      <c r="AW808" s="55"/>
      <c r="AX808" s="53"/>
      <c r="BA808" s="2"/>
      <c r="BB808" s="2"/>
      <c r="BC808" s="101"/>
      <c r="BD808" s="101"/>
    </row>
    <row r="809" spans="1:56" s="84" customFormat="1" ht="15" customHeight="1" x14ac:dyDescent="0.35">
      <c r="A809" s="53"/>
      <c r="B809" s="54"/>
      <c r="C809" s="53"/>
      <c r="D809" s="53"/>
      <c r="E809" s="53"/>
      <c r="F809" s="98"/>
      <c r="G809" s="55"/>
      <c r="H809" s="55"/>
      <c r="I809" s="55"/>
      <c r="J809" s="55"/>
      <c r="K809" s="55"/>
      <c r="L809" s="55"/>
      <c r="M809" s="55"/>
      <c r="N809" s="55"/>
      <c r="O809" s="55"/>
      <c r="P809" s="55"/>
      <c r="Q809" s="55"/>
      <c r="R809" s="55"/>
      <c r="S809" s="55"/>
      <c r="T809" s="55"/>
      <c r="U809" s="56"/>
      <c r="V809" s="55"/>
      <c r="W809" s="55"/>
      <c r="X809" s="55"/>
      <c r="Y809" s="55"/>
      <c r="Z809" s="55"/>
      <c r="AA809" s="55"/>
      <c r="AB809" s="55"/>
      <c r="AC809" s="55"/>
      <c r="AD809" s="55"/>
      <c r="AE809" s="55"/>
      <c r="AF809" s="55"/>
      <c r="AG809" s="55"/>
      <c r="AH809" s="55"/>
      <c r="AI809" s="55"/>
      <c r="AJ809" s="55"/>
      <c r="AK809" s="56"/>
      <c r="AL809" s="55"/>
      <c r="AM809" s="55"/>
      <c r="AN809" s="55"/>
      <c r="AO809" s="55"/>
      <c r="AP809" s="55"/>
      <c r="AQ809" s="55"/>
      <c r="AR809" s="55"/>
      <c r="AS809" s="55"/>
      <c r="AT809" s="55"/>
      <c r="AU809" s="55"/>
      <c r="AV809" s="55"/>
      <c r="AW809" s="55"/>
      <c r="AX809" s="53"/>
      <c r="BA809" s="2"/>
      <c r="BB809" s="2"/>
      <c r="BC809" s="101"/>
      <c r="BD809" s="101"/>
    </row>
    <row r="810" spans="1:56" s="84" customFormat="1" ht="15" customHeight="1" x14ac:dyDescent="0.35">
      <c r="A810" s="53"/>
      <c r="B810" s="54" t="s">
        <v>53</v>
      </c>
      <c r="C810" s="53"/>
      <c r="D810" s="31" t="s">
        <v>86</v>
      </c>
      <c r="E810" s="34"/>
      <c r="F810" s="99"/>
      <c r="G810" s="34"/>
      <c r="H810" s="34"/>
      <c r="I810" s="34"/>
      <c r="J810" s="34"/>
      <c r="K810" s="53"/>
      <c r="L810" s="55" t="s">
        <v>8</v>
      </c>
      <c r="M810" s="53"/>
      <c r="N810" s="142">
        <f ca="1">NOW()</f>
        <v>44720.650928935182</v>
      </c>
      <c r="O810" s="142"/>
      <c r="P810" s="142"/>
      <c r="Q810" s="53"/>
      <c r="R810" s="53"/>
      <c r="S810" s="53"/>
      <c r="T810" s="53"/>
      <c r="U810" s="53"/>
      <c r="V810" s="55"/>
      <c r="W810" s="55"/>
      <c r="X810" s="55"/>
      <c r="Y810" s="55"/>
      <c r="Z810" s="55"/>
      <c r="AA810" s="55"/>
      <c r="AB810" s="55"/>
      <c r="AC810" s="55"/>
      <c r="AD810" s="55"/>
      <c r="AE810" s="55"/>
      <c r="AF810" s="55"/>
      <c r="AG810" s="55"/>
      <c r="AH810" s="55"/>
      <c r="AI810" s="55"/>
      <c r="AJ810" s="55"/>
      <c r="AK810" s="56"/>
      <c r="AL810" s="55"/>
      <c r="AM810" s="55"/>
      <c r="AN810" s="55"/>
      <c r="AO810" s="55"/>
      <c r="AP810" s="55"/>
      <c r="AQ810" s="55"/>
      <c r="AR810" s="55"/>
      <c r="AS810" s="55"/>
      <c r="AT810" s="55"/>
      <c r="AU810" s="55"/>
      <c r="AV810" s="55"/>
      <c r="AW810" s="55"/>
      <c r="AX810" s="53"/>
      <c r="BA810" s="2"/>
      <c r="BB810" s="2"/>
      <c r="BC810" s="101"/>
      <c r="BD810" s="101"/>
    </row>
    <row r="811" spans="1:56" s="84" customFormat="1" x14ac:dyDescent="0.35">
      <c r="A811" s="53"/>
      <c r="B811" s="54"/>
      <c r="C811" s="53"/>
      <c r="D811" s="53"/>
      <c r="E811" s="53"/>
      <c r="F811" s="98"/>
      <c r="G811" s="55"/>
      <c r="H811" s="55"/>
      <c r="I811" s="55"/>
      <c r="J811" s="55"/>
      <c r="K811" s="53"/>
      <c r="L811" s="55"/>
      <c r="M811" s="53"/>
      <c r="N811" s="55"/>
      <c r="O811" s="56"/>
      <c r="P811" s="53"/>
      <c r="Q811" s="53"/>
      <c r="R811" s="53"/>
      <c r="S811" s="53"/>
      <c r="T811" s="53"/>
      <c r="U811" s="53"/>
      <c r="V811" s="55"/>
      <c r="W811" s="55"/>
      <c r="X811" s="55"/>
      <c r="Y811" s="55"/>
      <c r="Z811" s="55"/>
      <c r="AA811" s="55"/>
      <c r="AB811" s="55"/>
      <c r="AC811" s="55"/>
      <c r="AD811" s="55"/>
      <c r="AE811" s="55"/>
      <c r="AF811" s="55"/>
      <c r="AG811" s="55"/>
      <c r="AH811" s="55"/>
      <c r="AI811" s="55"/>
      <c r="AJ811" s="55"/>
      <c r="AK811" s="56"/>
      <c r="AL811" s="55"/>
      <c r="AM811" s="55"/>
      <c r="AN811" s="55"/>
      <c r="AO811" s="55"/>
      <c r="AP811" s="55"/>
      <c r="AQ811" s="55"/>
      <c r="AR811" s="55"/>
      <c r="AS811" s="55"/>
      <c r="AT811" s="55"/>
      <c r="AU811" s="55"/>
      <c r="AV811" s="55"/>
      <c r="AW811" s="55"/>
      <c r="AX811" s="53"/>
      <c r="BA811" s="2"/>
      <c r="BB811" s="2"/>
      <c r="BC811" s="101"/>
      <c r="BD811" s="101"/>
    </row>
    <row r="812" spans="1:56" s="84" customFormat="1" x14ac:dyDescent="0.35">
      <c r="A812" s="53"/>
      <c r="B812" s="54" t="s">
        <v>54</v>
      </c>
      <c r="C812" s="53"/>
      <c r="D812" s="31"/>
      <c r="E812" s="34"/>
      <c r="F812" s="99"/>
      <c r="G812" s="34"/>
      <c r="H812" s="34"/>
      <c r="I812" s="34"/>
      <c r="J812" s="34"/>
      <c r="K812" s="53"/>
      <c r="L812" s="55" t="s">
        <v>8</v>
      </c>
      <c r="M812" s="53"/>
      <c r="N812" s="142">
        <f ca="1">NOW()</f>
        <v>44720.650928935182</v>
      </c>
      <c r="O812" s="142"/>
      <c r="P812" s="142"/>
      <c r="Q812" s="53"/>
      <c r="R812" s="53"/>
      <c r="S812" s="53"/>
      <c r="T812" s="53"/>
      <c r="U812" s="53"/>
      <c r="V812" s="55"/>
      <c r="W812" s="55"/>
      <c r="X812" s="55"/>
      <c r="Y812" s="55"/>
      <c r="Z812" s="55"/>
      <c r="AA812" s="55"/>
      <c r="AB812" s="55"/>
      <c r="AC812" s="55"/>
      <c r="AD812" s="55"/>
      <c r="AE812" s="55"/>
      <c r="AF812" s="55"/>
      <c r="AG812" s="55"/>
      <c r="AH812" s="55"/>
      <c r="AI812" s="55"/>
      <c r="AJ812" s="55"/>
      <c r="AK812" s="56"/>
      <c r="AL812" s="55"/>
      <c r="AM812" s="55"/>
      <c r="AN812" s="55"/>
      <c r="AO812" s="55"/>
      <c r="AP812" s="55"/>
      <c r="AQ812" s="55"/>
      <c r="AR812" s="55"/>
      <c r="AS812" s="55"/>
      <c r="AT812" s="55"/>
      <c r="AU812" s="55"/>
      <c r="AV812" s="55"/>
      <c r="AW812" s="55"/>
      <c r="AX812" s="53"/>
      <c r="BA812" s="2"/>
      <c r="BB812" s="2"/>
      <c r="BC812" s="101"/>
      <c r="BD812" s="101"/>
    </row>
    <row r="813" spans="1:56" s="84" customFormat="1" x14ac:dyDescent="0.35">
      <c r="A813" s="53"/>
      <c r="B813" s="54"/>
      <c r="C813" s="53"/>
      <c r="D813" s="53"/>
      <c r="E813" s="53"/>
      <c r="F813" s="98"/>
      <c r="G813" s="55"/>
      <c r="H813" s="55"/>
      <c r="I813" s="55"/>
      <c r="J813" s="55"/>
      <c r="K813" s="55"/>
      <c r="L813" s="55"/>
      <c r="M813" s="55"/>
      <c r="N813" s="55"/>
      <c r="O813" s="55"/>
      <c r="P813" s="55"/>
      <c r="Q813" s="55"/>
      <c r="R813" s="55"/>
      <c r="S813" s="55"/>
      <c r="T813" s="55"/>
      <c r="U813" s="56"/>
      <c r="V813" s="55"/>
      <c r="W813" s="55"/>
      <c r="X813" s="55"/>
      <c r="Y813" s="55"/>
      <c r="Z813" s="55"/>
      <c r="AA813" s="55"/>
      <c r="AB813" s="55"/>
      <c r="AC813" s="55"/>
      <c r="AD813" s="55"/>
      <c r="AE813" s="55"/>
      <c r="AF813" s="55"/>
      <c r="AG813" s="55"/>
      <c r="AH813" s="55"/>
      <c r="AI813" s="55"/>
      <c r="AJ813" s="55"/>
      <c r="AK813" s="56"/>
      <c r="AL813" s="55"/>
      <c r="AM813" s="55"/>
      <c r="AN813" s="55"/>
      <c r="AO813" s="55"/>
      <c r="AP813" s="55"/>
      <c r="AQ813" s="55"/>
      <c r="AR813" s="55"/>
      <c r="AS813" s="55"/>
      <c r="AT813" s="55"/>
      <c r="AU813" s="55"/>
      <c r="AV813" s="55"/>
      <c r="AW813" s="55"/>
      <c r="AX813" s="53"/>
      <c r="BA813" s="2"/>
      <c r="BB813" s="2"/>
      <c r="BC813" s="101"/>
      <c r="BD813" s="101"/>
    </row>
    <row r="814" spans="1:56" s="84" customFormat="1" x14ac:dyDescent="0.35">
      <c r="A814" s="53"/>
      <c r="B814" s="54" t="s">
        <v>9</v>
      </c>
      <c r="C814" s="53"/>
      <c r="D814" s="53"/>
      <c r="E814" s="53"/>
      <c r="F814" s="98"/>
      <c r="G814" s="55"/>
      <c r="H814" s="55"/>
      <c r="I814" s="55"/>
      <c r="J814" s="55"/>
      <c r="K814" s="55"/>
      <c r="L814" s="55"/>
      <c r="M814" s="55"/>
      <c r="N814" s="55"/>
      <c r="O814" s="55"/>
      <c r="P814" s="55"/>
      <c r="Q814" s="55"/>
      <c r="R814" s="55"/>
      <c r="S814" s="55"/>
      <c r="T814" s="55"/>
      <c r="U814" s="56"/>
      <c r="V814" s="55"/>
      <c r="W814" s="55"/>
      <c r="X814" s="55"/>
      <c r="Y814" s="55"/>
      <c r="Z814" s="55"/>
      <c r="AA814" s="55"/>
      <c r="AB814" s="55"/>
      <c r="AC814" s="55"/>
      <c r="AD814" s="55"/>
      <c r="AE814" s="55"/>
      <c r="AF814" s="55"/>
      <c r="AG814" s="55"/>
      <c r="AH814" s="55"/>
      <c r="AI814" s="55"/>
      <c r="AJ814" s="55"/>
      <c r="AK814" s="56"/>
      <c r="AL814" s="55"/>
      <c r="AM814" s="55"/>
      <c r="AN814" s="55"/>
      <c r="AO814" s="55"/>
      <c r="AP814" s="55"/>
      <c r="AQ814" s="55"/>
      <c r="AR814" s="55"/>
      <c r="AS814" s="55"/>
      <c r="AT814" s="55"/>
      <c r="AU814" s="55"/>
      <c r="AV814" s="55"/>
      <c r="AW814" s="55"/>
      <c r="AX814" s="53"/>
      <c r="BA814" s="2"/>
      <c r="BB814" s="2"/>
      <c r="BC814" s="101"/>
      <c r="BD814" s="101"/>
    </row>
    <row r="815" spans="1:56" x14ac:dyDescent="0.35">
      <c r="BA815" s="2"/>
      <c r="BB815" s="2"/>
      <c r="BC815" s="101"/>
      <c r="BD815" s="101"/>
    </row>
    <row r="816" spans="1:56" x14ac:dyDescent="0.35">
      <c r="BA816" s="2"/>
      <c r="BB816" s="2"/>
      <c r="BC816" s="101"/>
      <c r="BD816" s="101"/>
    </row>
    <row r="817" spans="2:56" s="84" customFormat="1" ht="28.5" x14ac:dyDescent="0.65">
      <c r="F817" s="50"/>
      <c r="G817" s="143" t="s">
        <v>10</v>
      </c>
      <c r="H817" s="143"/>
      <c r="I817" s="143"/>
      <c r="J817" s="143"/>
      <c r="K817" s="143"/>
      <c r="L817" s="143"/>
      <c r="M817" s="143"/>
      <c r="N817" s="143"/>
      <c r="O817" s="143"/>
      <c r="P817" s="143"/>
      <c r="Q817" s="143"/>
      <c r="R817" s="143"/>
      <c r="S817" s="143"/>
      <c r="T817" s="143"/>
      <c r="U817" s="143"/>
      <c r="W817" s="37" t="s">
        <v>12</v>
      </c>
      <c r="X817" s="86" t="s">
        <v>11</v>
      </c>
      <c r="BA817" s="2"/>
      <c r="BB817" s="2"/>
      <c r="BC817" s="101"/>
      <c r="BD817" s="101"/>
    </row>
    <row r="818" spans="2:56" s="84" customFormat="1" x14ac:dyDescent="0.35">
      <c r="F818" s="50"/>
      <c r="G818" s="84" t="s">
        <v>0</v>
      </c>
      <c r="W818" s="37" t="s">
        <v>13</v>
      </c>
      <c r="X818" s="86" t="s">
        <v>14</v>
      </c>
      <c r="BA818" s="2"/>
      <c r="BB818" s="2"/>
      <c r="BC818" s="101"/>
      <c r="BD818" s="101"/>
    </row>
    <row r="819" spans="2:56" s="84" customFormat="1" x14ac:dyDescent="0.35">
      <c r="F819" s="50"/>
      <c r="W819" s="37" t="s">
        <v>1</v>
      </c>
      <c r="X819" s="86" t="s">
        <v>15</v>
      </c>
      <c r="BA819" s="2"/>
      <c r="BB819" s="2"/>
      <c r="BC819" s="101"/>
      <c r="BD819" s="101"/>
    </row>
    <row r="820" spans="2:56" s="84" customFormat="1" x14ac:dyDescent="0.35">
      <c r="F820" s="50"/>
      <c r="W820" s="37" t="s">
        <v>2</v>
      </c>
      <c r="X820" s="86" t="s">
        <v>16</v>
      </c>
      <c r="BA820" s="2"/>
      <c r="BB820" s="2"/>
      <c r="BC820" s="101"/>
      <c r="BD820" s="101"/>
    </row>
    <row r="821" spans="2:56" s="84" customFormat="1" ht="15" customHeight="1" x14ac:dyDescent="0.35">
      <c r="B821" s="154" t="s">
        <v>35</v>
      </c>
      <c r="F821" s="50"/>
      <c r="G821" s="154" t="s">
        <v>36</v>
      </c>
      <c r="H821" s="154"/>
      <c r="I821" s="154"/>
      <c r="K821" s="154" t="s">
        <v>36</v>
      </c>
      <c r="L821" s="154"/>
      <c r="M821" s="154"/>
      <c r="W821" s="37" t="s">
        <v>3</v>
      </c>
      <c r="X821" s="86" t="s">
        <v>17</v>
      </c>
      <c r="BA821" s="2"/>
      <c r="BB821" s="2"/>
      <c r="BC821" s="101"/>
      <c r="BD821" s="101"/>
    </row>
    <row r="822" spans="2:56" s="84" customFormat="1" x14ac:dyDescent="0.35">
      <c r="B822" s="155"/>
      <c r="D822" s="37" t="s">
        <v>34</v>
      </c>
      <c r="F822" s="50"/>
      <c r="G822" s="154"/>
      <c r="H822" s="154"/>
      <c r="I822" s="154"/>
      <c r="K822" s="154"/>
      <c r="L822" s="154"/>
      <c r="M822" s="154"/>
      <c r="W822" s="38"/>
      <c r="BA822" s="2"/>
      <c r="BB822" s="2"/>
      <c r="BC822" s="101"/>
      <c r="BD822" s="101"/>
    </row>
    <row r="823" spans="2:56" s="84" customFormat="1" x14ac:dyDescent="0.35">
      <c r="B823" s="100">
        <f>B749+1</f>
        <v>21</v>
      </c>
      <c r="D823" s="100">
        <f>D749</f>
        <v>2021</v>
      </c>
      <c r="E823" s="87" t="s">
        <v>38</v>
      </c>
      <c r="F823" s="50"/>
      <c r="G823" s="156">
        <f>K749+1</f>
        <v>44465</v>
      </c>
      <c r="H823" s="157"/>
      <c r="I823" s="158"/>
      <c r="J823" s="37" t="s">
        <v>37</v>
      </c>
      <c r="K823" s="156">
        <f>IF(G823="","",G823+13)</f>
        <v>44478</v>
      </c>
      <c r="L823" s="157"/>
      <c r="M823" s="158"/>
      <c r="P823" s="159" t="s">
        <v>39</v>
      </c>
      <c r="Q823" s="160"/>
      <c r="R823" s="160"/>
      <c r="S823" s="160"/>
      <c r="T823" s="161"/>
      <c r="U823" s="24">
        <v>80</v>
      </c>
      <c r="BA823" s="2"/>
      <c r="BB823" s="2"/>
      <c r="BC823" s="101"/>
      <c r="BD823" s="101"/>
    </row>
    <row r="824" spans="2:56" s="84" customFormat="1" x14ac:dyDescent="0.35">
      <c r="F824" s="50"/>
      <c r="AM824" s="144" t="s">
        <v>4</v>
      </c>
      <c r="AN824" s="144"/>
      <c r="AO824" s="144"/>
      <c r="AP824" s="144"/>
      <c r="AQ824" s="144"/>
      <c r="AR824" s="144"/>
      <c r="AS824" s="144"/>
      <c r="AU824" s="100" t="s">
        <v>4</v>
      </c>
      <c r="BA824" s="2"/>
      <c r="BB824" s="2"/>
      <c r="BC824" s="101"/>
      <c r="BD824" s="101"/>
    </row>
    <row r="825" spans="2:56" s="84" customFormat="1" ht="15" customHeight="1" x14ac:dyDescent="0.35">
      <c r="B825" s="40"/>
      <c r="C825" s="41"/>
      <c r="D825" s="42" t="s">
        <v>32</v>
      </c>
      <c r="E825" s="43" t="s">
        <v>5</v>
      </c>
      <c r="F825" s="50"/>
      <c r="G825" s="162">
        <f>G823</f>
        <v>44465</v>
      </c>
      <c r="H825" s="163"/>
      <c r="I825" s="162">
        <f>IF(G825="","",G825+1)</f>
        <v>44466</v>
      </c>
      <c r="J825" s="163"/>
      <c r="K825" s="162">
        <f>IF(I825="","",I825+1)</f>
        <v>44467</v>
      </c>
      <c r="L825" s="163"/>
      <c r="M825" s="162">
        <f>IF(K825="","",K825+1)</f>
        <v>44468</v>
      </c>
      <c r="N825" s="163"/>
      <c r="O825" s="162">
        <f>IF(M825="","",M825+1)</f>
        <v>44469</v>
      </c>
      <c r="P825" s="163"/>
      <c r="Q825" s="162">
        <f>IF(O825="","",O825+1)</f>
        <v>44470</v>
      </c>
      <c r="R825" s="163"/>
      <c r="S825" s="162">
        <f>IF(Q825="","",Q825+1)</f>
        <v>44471</v>
      </c>
      <c r="T825" s="164"/>
      <c r="U825" s="44"/>
      <c r="W825" s="162">
        <f>IF(S825="","",S825+1)</f>
        <v>44472</v>
      </c>
      <c r="X825" s="163"/>
      <c r="Y825" s="162">
        <f>IF(W825="","",W825+1)</f>
        <v>44473</v>
      </c>
      <c r="Z825" s="163"/>
      <c r="AA825" s="162">
        <f>IF(Y825="","",Y825+1)</f>
        <v>44474</v>
      </c>
      <c r="AB825" s="163"/>
      <c r="AC825" s="162">
        <f>IF(AA825="","",AA825+1)</f>
        <v>44475</v>
      </c>
      <c r="AD825" s="163"/>
      <c r="AE825" s="162">
        <f>IF(AC825="","",AC825+1)</f>
        <v>44476</v>
      </c>
      <c r="AF825" s="163"/>
      <c r="AG825" s="162">
        <f>IF(AE825="","",AE825+1)</f>
        <v>44477</v>
      </c>
      <c r="AH825" s="163"/>
      <c r="AI825" s="162">
        <f>IF(AG825="","",AG825+1)</f>
        <v>44478</v>
      </c>
      <c r="AJ825" s="164"/>
      <c r="AK825" s="44"/>
      <c r="AM825" s="145" t="s">
        <v>18</v>
      </c>
      <c r="AN825" s="165" t="s">
        <v>55</v>
      </c>
      <c r="AO825" s="145" t="s">
        <v>19</v>
      </c>
      <c r="AP825" s="145" t="s">
        <v>20</v>
      </c>
      <c r="AQ825" s="145" t="s">
        <v>21</v>
      </c>
      <c r="AR825" s="166" t="s">
        <v>22</v>
      </c>
      <c r="AS825" s="167" t="s">
        <v>23</v>
      </c>
      <c r="AU825" s="144" t="s">
        <v>6</v>
      </c>
      <c r="AW825" s="145" t="s">
        <v>24</v>
      </c>
      <c r="BA825" s="2"/>
      <c r="BB825" s="2"/>
      <c r="BC825" s="101"/>
      <c r="BD825" s="101"/>
    </row>
    <row r="826" spans="2:56" s="84" customFormat="1" x14ac:dyDescent="0.35">
      <c r="B826" s="45" t="s">
        <v>33</v>
      </c>
      <c r="C826" s="46"/>
      <c r="D826" s="47"/>
      <c r="E826" s="47"/>
      <c r="F826" s="50"/>
      <c r="G826" s="146" t="s">
        <v>25</v>
      </c>
      <c r="H826" s="147"/>
      <c r="I826" s="146" t="s">
        <v>26</v>
      </c>
      <c r="J826" s="147"/>
      <c r="K826" s="146" t="s">
        <v>27</v>
      </c>
      <c r="L826" s="147"/>
      <c r="M826" s="146" t="s">
        <v>28</v>
      </c>
      <c r="N826" s="147"/>
      <c r="O826" s="146" t="s">
        <v>29</v>
      </c>
      <c r="P826" s="147"/>
      <c r="Q826" s="146" t="s">
        <v>30</v>
      </c>
      <c r="R826" s="147"/>
      <c r="S826" s="146" t="s">
        <v>31</v>
      </c>
      <c r="T826" s="148"/>
      <c r="U826" s="48" t="s">
        <v>7</v>
      </c>
      <c r="W826" s="146" t="s">
        <v>25</v>
      </c>
      <c r="X826" s="147"/>
      <c r="Y826" s="146" t="s">
        <v>26</v>
      </c>
      <c r="Z826" s="147"/>
      <c r="AA826" s="146" t="s">
        <v>27</v>
      </c>
      <c r="AB826" s="147"/>
      <c r="AC826" s="146" t="s">
        <v>28</v>
      </c>
      <c r="AD826" s="147"/>
      <c r="AE826" s="146" t="s">
        <v>29</v>
      </c>
      <c r="AF826" s="147"/>
      <c r="AG826" s="146" t="s">
        <v>30</v>
      </c>
      <c r="AH826" s="147"/>
      <c r="AI826" s="146" t="s">
        <v>31</v>
      </c>
      <c r="AJ826" s="148"/>
      <c r="AK826" s="48" t="s">
        <v>7</v>
      </c>
      <c r="AM826" s="145"/>
      <c r="AN826" s="165"/>
      <c r="AO826" s="145"/>
      <c r="AP826" s="145"/>
      <c r="AQ826" s="145"/>
      <c r="AR826" s="166"/>
      <c r="AS826" s="167"/>
      <c r="AU826" s="144"/>
      <c r="AW826" s="145"/>
      <c r="BA826" s="2"/>
      <c r="BB826" s="2"/>
      <c r="BC826" s="101"/>
      <c r="BD826" s="101"/>
    </row>
    <row r="827" spans="2:56" s="84" customFormat="1" x14ac:dyDescent="0.35">
      <c r="B827" s="63"/>
      <c r="C827" s="25"/>
      <c r="D827" s="25"/>
      <c r="E827" s="25"/>
      <c r="F827" s="50"/>
      <c r="BA827" s="2"/>
      <c r="BB827" s="2"/>
      <c r="BC827" s="101"/>
      <c r="BD827" s="101"/>
    </row>
    <row r="828" spans="2:56" s="84" customFormat="1" x14ac:dyDescent="0.35">
      <c r="B828" s="26"/>
      <c r="C828" s="27"/>
      <c r="D828" s="28">
        <f>IF(D754="","",D754)</f>
        <v>31428</v>
      </c>
      <c r="E828" s="29" t="str">
        <f>IF(E754="","",E754)</f>
        <v/>
      </c>
      <c r="F828" s="50">
        <f>B823</f>
        <v>21</v>
      </c>
      <c r="G828" s="59"/>
      <c r="H828" s="64"/>
      <c r="I828" s="106"/>
      <c r="J828" s="105"/>
      <c r="K828" s="106"/>
      <c r="L828" s="105"/>
      <c r="M828" s="106"/>
      <c r="N828" s="105"/>
      <c r="O828" s="106"/>
      <c r="P828" s="105"/>
      <c r="Q828" s="106"/>
      <c r="R828" s="105"/>
      <c r="S828" s="59"/>
      <c r="T828" s="64"/>
      <c r="U828" s="44"/>
      <c r="W828" s="59"/>
      <c r="X828" s="64"/>
      <c r="Y828" s="106"/>
      <c r="Z828" s="105"/>
      <c r="AA828" s="106"/>
      <c r="AB828" s="105"/>
      <c r="AC828" s="106"/>
      <c r="AD828" s="105"/>
      <c r="AE828" s="106"/>
      <c r="AF828" s="105"/>
      <c r="AG828" s="106"/>
      <c r="AH828" s="105" t="s">
        <v>2</v>
      </c>
      <c r="AI828" s="59"/>
      <c r="AJ828" s="64"/>
      <c r="AK828" s="44"/>
      <c r="AM828" s="49"/>
      <c r="AN828" s="49"/>
      <c r="AO828" s="49"/>
      <c r="AP828" s="49"/>
      <c r="AQ828" s="49"/>
      <c r="AR828" s="40"/>
      <c r="AS828" s="51"/>
      <c r="AU828" s="49"/>
      <c r="AW828" s="52"/>
      <c r="BA828" s="2"/>
      <c r="BB828" s="2"/>
      <c r="BC828" s="101"/>
      <c r="BD828" s="101"/>
    </row>
    <row r="829" spans="2:56" s="84" customFormat="1" x14ac:dyDescent="0.35">
      <c r="B829" s="30" t="str">
        <f>IF(B755="","",B755)</f>
        <v>Gaulin, Francis</v>
      </c>
      <c r="C829" s="31"/>
      <c r="D829" s="32"/>
      <c r="E829" s="33">
        <f t="shared" ref="E829:E860" si="347">IF(E755="","",E755)</f>
        <v>93542</v>
      </c>
      <c r="F829" s="50">
        <f>B823</f>
        <v>21</v>
      </c>
      <c r="G829" s="95"/>
      <c r="H829" s="70"/>
      <c r="I829" s="104"/>
      <c r="J829" s="103">
        <v>8</v>
      </c>
      <c r="K829" s="104"/>
      <c r="L829" s="103">
        <v>8</v>
      </c>
      <c r="M829" s="104"/>
      <c r="N829" s="103">
        <v>8</v>
      </c>
      <c r="O829" s="104"/>
      <c r="P829" s="103">
        <v>8</v>
      </c>
      <c r="Q829" s="104"/>
      <c r="R829" s="103">
        <v>8</v>
      </c>
      <c r="S829" s="69"/>
      <c r="T829" s="70"/>
      <c r="U829" s="71">
        <f>SUM(G829:T829)</f>
        <v>40</v>
      </c>
      <c r="V829" s="72"/>
      <c r="W829" s="69"/>
      <c r="X829" s="70"/>
      <c r="Y829" s="104"/>
      <c r="Z829" s="103">
        <v>8</v>
      </c>
      <c r="AA829" s="104"/>
      <c r="AB829" s="103">
        <v>8</v>
      </c>
      <c r="AC829" s="104"/>
      <c r="AD829" s="103">
        <v>8</v>
      </c>
      <c r="AE829" s="104"/>
      <c r="AF829" s="103">
        <v>4</v>
      </c>
      <c r="AG829" s="104"/>
      <c r="AH829" s="103">
        <v>0</v>
      </c>
      <c r="AI829" s="69"/>
      <c r="AJ829" s="70"/>
      <c r="AK829" s="71">
        <f>SUM(W829:AJ829)</f>
        <v>28</v>
      </c>
      <c r="AL829" s="72"/>
      <c r="AM829" s="73">
        <f>SUMIF($G828:$T828,"",$G829:$T829)+SUMIF($W828:$AJ828,"",$W829:$AJ829)-AN829</f>
        <v>68</v>
      </c>
      <c r="AN829" s="88">
        <f>IF(SUMIF($G828:$T828,"",$G829:$T829)+SUMIF($G828:$T828,"F",$G829:$T829)+SUMIF($G828:$T828,"V",$G829:$T829)-40&lt;0,0,SUMIF($G828:$T828,"",$G829:$T829)+SUMIF($G828:$T828,"F",$G829:$T829)+SUMIF($G828:$T828,"V",$G829:$T829)-($U$9/2))+IF(SUMIF($W828:$AJ828,"",$W829:$AJ829)+SUMIF($W828:$AJ828,"F",$W829:$AJ829)+SUMIF($W828:$AJ828,"V",$W829:$AJ829)-40&lt;0,0,SUMIF($W828:$AJ828,"",$W829:$AJ829)+SUMIF($W828:$AJ828,"F",$W829:$AJ829)+SUMIF($W828:$AJ828,"V",$W829:$AJ829)-($U$9/2))</f>
        <v>0</v>
      </c>
      <c r="AO829" s="73">
        <f>SUMIF($G828:$T828,"M",$G829:$T829)+SUMIF($W828:$AJ828,"M",$W829:$AJ829)</f>
        <v>0</v>
      </c>
      <c r="AP829" s="73">
        <f>SUMIF($G828:$T828,"F",$G829:$T829)+SUMIF($W828:$AJ828,"F",$W829:$AJ829)</f>
        <v>0</v>
      </c>
      <c r="AQ829" s="73">
        <f>SUMIF($G828:$T828,"V",$G829:$T829)+SUMIF($W828:$AJ828,"V",$W829:$AJ829)</f>
        <v>0</v>
      </c>
      <c r="AR829" s="74">
        <f>SUMIF($G828:$T828,"O",$G829:$T829)+SUMIF($W828:$AJ828,"O",$W829:$AJ829)</f>
        <v>0</v>
      </c>
      <c r="AS829" s="75">
        <f>SUM(AM829:AR829)</f>
        <v>68</v>
      </c>
      <c r="AT829" s="72"/>
      <c r="AU829" s="73">
        <f>SUMIF($G828:$T828,"A",$G829:$T829)+SUMIF($W828:$AJ828,"A",$W829:$AJ829)</f>
        <v>0</v>
      </c>
      <c r="AV829" s="72"/>
      <c r="AW829" s="76">
        <f>IF(B829="",0,IF($U$9="",0,$U$9))</f>
        <v>80</v>
      </c>
      <c r="BA829" s="2"/>
      <c r="BB829" s="2"/>
      <c r="BC829" s="101"/>
      <c r="BD829" s="101"/>
    </row>
    <row r="830" spans="2:56" s="84" customFormat="1" x14ac:dyDescent="0.35">
      <c r="B830" s="26"/>
      <c r="C830" s="27"/>
      <c r="D830" s="28">
        <f>IF(D756="","",D756)</f>
        <v>24287</v>
      </c>
      <c r="E830" s="29" t="str">
        <f t="shared" si="347"/>
        <v/>
      </c>
      <c r="F830" s="50">
        <f>B823</f>
        <v>21</v>
      </c>
      <c r="G830" s="59"/>
      <c r="H830" s="64"/>
      <c r="I830" s="106"/>
      <c r="J830" s="105"/>
      <c r="K830" s="106"/>
      <c r="L830" s="105"/>
      <c r="M830" s="106"/>
      <c r="N830" s="105"/>
      <c r="O830" s="106"/>
      <c r="P830" s="105"/>
      <c r="Q830" s="106"/>
      <c r="R830" s="105"/>
      <c r="S830" s="59"/>
      <c r="T830" s="64"/>
      <c r="U830" s="44"/>
      <c r="W830" s="59"/>
      <c r="X830" s="64"/>
      <c r="Y830" s="106"/>
      <c r="Z830" s="105"/>
      <c r="AA830" s="106"/>
      <c r="AB830" s="105"/>
      <c r="AC830" s="106"/>
      <c r="AD830" s="105"/>
      <c r="AE830" s="106"/>
      <c r="AF830" s="105"/>
      <c r="AG830" s="106"/>
      <c r="AH830" s="105"/>
      <c r="AI830" s="59"/>
      <c r="AJ830" s="64"/>
      <c r="AK830" s="44"/>
      <c r="AM830" s="49"/>
      <c r="AN830" s="49"/>
      <c r="AO830" s="49"/>
      <c r="AP830" s="49"/>
      <c r="AQ830" s="49"/>
      <c r="AR830" s="40"/>
      <c r="AS830" s="51"/>
      <c r="AU830" s="49"/>
      <c r="AW830" s="52"/>
      <c r="BA830" s="2"/>
      <c r="BB830" s="2"/>
      <c r="BC830" s="101"/>
      <c r="BD830" s="101"/>
    </row>
    <row r="831" spans="2:56" s="84" customFormat="1" x14ac:dyDescent="0.35">
      <c r="B831" s="30" t="str">
        <f>IF(B757="","",B757)</f>
        <v>Barrata, Dominic(Avance $500.00)</v>
      </c>
      <c r="C831" s="31"/>
      <c r="D831" s="32"/>
      <c r="E831" s="33">
        <f t="shared" si="347"/>
        <v>93595935</v>
      </c>
      <c r="F831" s="50">
        <f>B823</f>
        <v>21</v>
      </c>
      <c r="G831" s="69"/>
      <c r="H831" s="70"/>
      <c r="I831" s="104"/>
      <c r="J831" s="103" t="s">
        <v>69</v>
      </c>
      <c r="K831" s="104"/>
      <c r="L831" s="103" t="s">
        <v>69</v>
      </c>
      <c r="M831" s="104"/>
      <c r="N831" s="103" t="s">
        <v>69</v>
      </c>
      <c r="O831" s="104"/>
      <c r="P831" s="103" t="s">
        <v>69</v>
      </c>
      <c r="Q831" s="104"/>
      <c r="R831" s="103" t="s">
        <v>69</v>
      </c>
      <c r="S831" s="69"/>
      <c r="T831" s="70"/>
      <c r="U831" s="71">
        <f t="shared" ref="U831" si="348">SUM(G831:T831)</f>
        <v>0</v>
      </c>
      <c r="V831" s="72"/>
      <c r="W831" s="69"/>
      <c r="X831" s="70"/>
      <c r="Y831" s="104"/>
      <c r="Z831" s="103" t="s">
        <v>69</v>
      </c>
      <c r="AA831" s="104"/>
      <c r="AB831" s="103" t="s">
        <v>69</v>
      </c>
      <c r="AC831" s="104"/>
      <c r="AD831" s="103" t="s">
        <v>69</v>
      </c>
      <c r="AE831" s="104"/>
      <c r="AF831" s="103" t="s">
        <v>69</v>
      </c>
      <c r="AG831" s="104"/>
      <c r="AH831" s="103" t="s">
        <v>69</v>
      </c>
      <c r="AI831" s="69"/>
      <c r="AJ831" s="70"/>
      <c r="AK831" s="71">
        <f>SUM(W831:AJ831)</f>
        <v>0</v>
      </c>
      <c r="AL831" s="72"/>
      <c r="AM831" s="73">
        <f>SUMIF($G830:$T830,"",$G831:$T831)+SUMIF($W830:$AJ830,"",$W831:$AJ831)-AN831</f>
        <v>0</v>
      </c>
      <c r="AN831" s="88">
        <f>IF(SUMIF($G830:$T830,"",$G831:$T831)+SUMIF($G830:$T830,"F",$G831:$T831)+SUMIF($G830:$T830,"V",$G831:$T831)-40&lt;0,0,SUMIF($G830:$T830,"",$G831:$T831)+SUMIF($G830:$T830,"F",$G831:$T831)+SUMIF($G830:$T830,"V",$G831:$T831)-($U$9/2))+IF(SUMIF($W830:$AJ830,"",$W831:$AJ831)+SUMIF($W830:$AJ830,"F",$W831:$AJ831)+SUMIF($W830:$AJ830,"V",$W831:$AJ831)-40&lt;0,0,SUMIF($W830:$AJ830,"",$W831:$AJ831)+SUMIF($W830:$AJ830,"F",$W831:$AJ831)+SUMIF($W830:$AJ830,"V",$W831:$AJ831)-($U$9/2))</f>
        <v>0</v>
      </c>
      <c r="AO831" s="73">
        <f>SUMIF($G830:$T830,"M",$G831:$T831)+SUMIF($W830:$AJ830,"M",$W831:$AJ831)</f>
        <v>0</v>
      </c>
      <c r="AP831" s="73">
        <f>SUMIF($G830:$T830,"F",$G831:$T831)+SUMIF($W830:$AJ830,"F",$W831:$AJ831)</f>
        <v>0</v>
      </c>
      <c r="AQ831" s="73">
        <f>SUMIF($G830:$T830,"V",$G831:$T831)+SUMIF($W830:$AJ830,"V",$W831:$AJ831)</f>
        <v>0</v>
      </c>
      <c r="AR831" s="74">
        <f>SUMIF($G830:$T830,"O",$G831:$T831)+SUMIF($W830:$AJ830,"O",$W831:$AJ831)</f>
        <v>0</v>
      </c>
      <c r="AS831" s="75">
        <f>SUM(AM831:AR831)</f>
        <v>0</v>
      </c>
      <c r="AT831" s="72"/>
      <c r="AU831" s="73">
        <f>SUMIF($G830:$T830,"A",$G831:$T831)+SUMIF($W830:$AJ830,"A",$W831:$AJ831)</f>
        <v>0</v>
      </c>
      <c r="AV831" s="72"/>
      <c r="AW831" s="76">
        <f>IF(B831="",0,IF($U$9="",0,$U$9))</f>
        <v>80</v>
      </c>
      <c r="BA831" s="2"/>
      <c r="BB831" s="2"/>
      <c r="BC831" s="101"/>
      <c r="BD831" s="101"/>
    </row>
    <row r="832" spans="2:56" s="84" customFormat="1" x14ac:dyDescent="0.35">
      <c r="B832" s="26"/>
      <c r="C832" s="27"/>
      <c r="D832" s="28">
        <f>IF(D758="","",D758)</f>
        <v>92032</v>
      </c>
      <c r="E832" s="29" t="str">
        <f t="shared" si="347"/>
        <v/>
      </c>
      <c r="F832" s="50">
        <f>B823</f>
        <v>21</v>
      </c>
      <c r="G832" s="59"/>
      <c r="H832" s="64"/>
      <c r="I832" s="106"/>
      <c r="J832" s="105"/>
      <c r="K832" s="106"/>
      <c r="L832" s="105"/>
      <c r="M832" s="106"/>
      <c r="N832" s="105"/>
      <c r="O832" s="106"/>
      <c r="P832" s="105"/>
      <c r="Q832" s="106"/>
      <c r="R832" s="105"/>
      <c r="S832" s="59"/>
      <c r="T832" s="64"/>
      <c r="U832" s="44"/>
      <c r="W832" s="59"/>
      <c r="X832" s="64"/>
      <c r="Y832" s="106"/>
      <c r="Z832" s="105"/>
      <c r="AA832" s="106"/>
      <c r="AB832" s="105"/>
      <c r="AC832" s="106"/>
      <c r="AD832" s="105"/>
      <c r="AE832" s="106"/>
      <c r="AF832" s="105"/>
      <c r="AG832" s="106"/>
      <c r="AH832" s="105"/>
      <c r="AI832" s="59"/>
      <c r="AJ832" s="64"/>
      <c r="AK832" s="44"/>
      <c r="AM832" s="49"/>
      <c r="AN832" s="49"/>
      <c r="AO832" s="49"/>
      <c r="AP832" s="49"/>
      <c r="AQ832" s="49"/>
      <c r="AR832" s="40"/>
      <c r="AS832" s="51"/>
      <c r="AU832" s="49"/>
      <c r="AW832" s="52"/>
      <c r="BA832" s="2"/>
      <c r="BB832" s="2"/>
      <c r="BC832" s="101"/>
      <c r="BD832" s="101"/>
    </row>
    <row r="833" spans="2:56" s="84" customFormat="1" x14ac:dyDescent="0.35">
      <c r="B833" s="30" t="str">
        <f>IF(B759="","",B759)</f>
        <v>Benoit, Jean-Paul(Avance $1,600.00)</v>
      </c>
      <c r="C833" s="31"/>
      <c r="D833" s="32"/>
      <c r="E833" s="33">
        <f t="shared" si="347"/>
        <v>93595935</v>
      </c>
      <c r="F833" s="50">
        <f>B823</f>
        <v>21</v>
      </c>
      <c r="G833" s="69"/>
      <c r="H833" s="70"/>
      <c r="I833" s="104"/>
      <c r="J833" s="103" t="s">
        <v>69</v>
      </c>
      <c r="K833" s="104"/>
      <c r="L833" s="103" t="s">
        <v>69</v>
      </c>
      <c r="M833" s="104"/>
      <c r="N833" s="103" t="s">
        <v>69</v>
      </c>
      <c r="O833" s="104"/>
      <c r="P833" s="103" t="s">
        <v>69</v>
      </c>
      <c r="Q833" s="104"/>
      <c r="R833" s="103" t="s">
        <v>69</v>
      </c>
      <c r="S833" s="69"/>
      <c r="T833" s="70"/>
      <c r="U833" s="71">
        <f t="shared" ref="U833" si="349">SUM(G833:T833)</f>
        <v>0</v>
      </c>
      <c r="V833" s="72"/>
      <c r="W833" s="69"/>
      <c r="X833" s="70"/>
      <c r="Y833" s="104"/>
      <c r="Z833" s="103" t="s">
        <v>69</v>
      </c>
      <c r="AA833" s="104"/>
      <c r="AB833" s="103" t="s">
        <v>69</v>
      </c>
      <c r="AC833" s="104"/>
      <c r="AD833" s="103" t="s">
        <v>69</v>
      </c>
      <c r="AE833" s="104"/>
      <c r="AF833" s="103" t="s">
        <v>69</v>
      </c>
      <c r="AG833" s="104"/>
      <c r="AH833" s="103" t="s">
        <v>69</v>
      </c>
      <c r="AI833" s="69"/>
      <c r="AJ833" s="70"/>
      <c r="AK833" s="71">
        <f>SUM(W833:AJ833)</f>
        <v>0</v>
      </c>
      <c r="AL833" s="72"/>
      <c r="AM833" s="73">
        <f>SUMIF($G832:$T832,"",$G833:$T833)+SUMIF($W832:$AJ832,"",$W833:$AJ833)-AN833</f>
        <v>0</v>
      </c>
      <c r="AN833" s="88">
        <f>IF(SUMIF($G832:$T832,"",$G833:$T833)+SUMIF($G832:$T832,"F",$G833:$T833)+SUMIF($G832:$T832,"V",$G833:$T833)-40&lt;0,0,SUMIF($G832:$T832,"",$G833:$T833)+SUMIF($G832:$T832,"F",$G833:$T833)+SUMIF($G832:$T832,"V",$G833:$T833)-($U$9/2))+IF(SUMIF($W832:$AJ832,"",$W833:$AJ833)+SUMIF($W832:$AJ832,"F",$W833:$AJ833)+SUMIF($W832:$AJ832,"V",$W833:$AJ833)-40&lt;0,0,SUMIF($W832:$AJ832,"",$W833:$AJ833)+SUMIF($W832:$AJ832,"F",$W833:$AJ833)+SUMIF($W832:$AJ832,"V",$W833:$AJ833)-($U$9/2))</f>
        <v>0</v>
      </c>
      <c r="AO833" s="73">
        <f>SUMIF($G832:$T832,"M",$G833:$T833)+SUMIF($W832:$AJ832,"M",$W833:$AJ833)</f>
        <v>0</v>
      </c>
      <c r="AP833" s="73">
        <f>SUMIF($G832:$T832,"F",$G833:$T833)+SUMIF($W832:$AJ832,"F",$W833:$AJ833)</f>
        <v>0</v>
      </c>
      <c r="AQ833" s="73">
        <f>SUMIF($G832:$T832,"V",$G833:$T833)+SUMIF($W832:$AJ832,"V",$W833:$AJ833)</f>
        <v>0</v>
      </c>
      <c r="AR833" s="74">
        <f>SUMIF($G832:$T832,"O",$G833:$T833)+SUMIF($W832:$AJ832,"O",$W833:$AJ833)</f>
        <v>0</v>
      </c>
      <c r="AS833" s="75">
        <f>SUM(AM833:AR833)</f>
        <v>0</v>
      </c>
      <c r="AT833" s="72"/>
      <c r="AU833" s="73">
        <f>SUMIF($G832:$T832,"A",$G833:$T833)+SUMIF($W832:$AJ832,"A",$W833:$AJ833)</f>
        <v>0</v>
      </c>
      <c r="AV833" s="72"/>
      <c r="AW833" s="76">
        <f>IF(B833="",0,IF($U$9="",0,$U$9))</f>
        <v>80</v>
      </c>
      <c r="BA833" s="2"/>
      <c r="BB833" s="2"/>
      <c r="BC833" s="101"/>
      <c r="BD833" s="101"/>
    </row>
    <row r="834" spans="2:56" s="84" customFormat="1" x14ac:dyDescent="0.35">
      <c r="B834" s="26"/>
      <c r="C834" s="27"/>
      <c r="D834" s="28">
        <f>IF(D760="","",D760)</f>
        <v>81077</v>
      </c>
      <c r="E834" s="29" t="str">
        <f t="shared" si="347"/>
        <v/>
      </c>
      <c r="F834" s="50">
        <f>B823</f>
        <v>21</v>
      </c>
      <c r="G834" s="93"/>
      <c r="H834" s="94"/>
      <c r="I834" s="106"/>
      <c r="J834" s="105"/>
      <c r="K834" s="106"/>
      <c r="L834" s="105"/>
      <c r="M834" s="106"/>
      <c r="N834" s="105"/>
      <c r="O834" s="106"/>
      <c r="P834" s="105"/>
      <c r="Q834" s="106"/>
      <c r="R834" s="105"/>
      <c r="S834" s="59"/>
      <c r="T834" s="64"/>
      <c r="U834" s="44"/>
      <c r="W834" s="59"/>
      <c r="X834" s="64"/>
      <c r="Y834" s="106"/>
      <c r="Z834" s="105"/>
      <c r="AA834" s="106"/>
      <c r="AB834" s="105"/>
      <c r="AC834" s="106"/>
      <c r="AD834" s="105"/>
      <c r="AE834" s="106"/>
      <c r="AF834" s="105"/>
      <c r="AG834" s="106"/>
      <c r="AH834" s="105" t="s">
        <v>1</v>
      </c>
      <c r="AI834" s="59"/>
      <c r="AJ834" s="64"/>
      <c r="AK834" s="44"/>
      <c r="AM834" s="49"/>
      <c r="AN834" s="49"/>
      <c r="AO834" s="49"/>
      <c r="AP834" s="49"/>
      <c r="AQ834" s="49"/>
      <c r="AR834" s="40"/>
      <c r="AS834" s="51"/>
      <c r="AU834" s="49"/>
      <c r="AW834" s="52"/>
      <c r="BA834" s="2"/>
      <c r="BB834" s="2"/>
      <c r="BC834" s="101"/>
      <c r="BD834" s="101"/>
    </row>
    <row r="835" spans="2:56" s="84" customFormat="1" x14ac:dyDescent="0.35">
      <c r="B835" s="30" t="str">
        <f>IF(B761="","",B761)</f>
        <v>Bourassa, Julie</v>
      </c>
      <c r="C835" s="31"/>
      <c r="D835" s="32"/>
      <c r="E835" s="33">
        <f t="shared" si="347"/>
        <v>93540</v>
      </c>
      <c r="F835" s="50">
        <f>B823</f>
        <v>21</v>
      </c>
      <c r="G835" s="93"/>
      <c r="H835" s="94"/>
      <c r="I835" s="104"/>
      <c r="J835" s="103">
        <v>8</v>
      </c>
      <c r="K835" s="104"/>
      <c r="L835" s="103">
        <v>8.5</v>
      </c>
      <c r="M835" s="104"/>
      <c r="N835" s="103">
        <v>8</v>
      </c>
      <c r="O835" s="104"/>
      <c r="P835" s="103">
        <v>8.5</v>
      </c>
      <c r="Q835" s="104"/>
      <c r="R835" s="103">
        <v>8</v>
      </c>
      <c r="S835" s="69"/>
      <c r="T835" s="70"/>
      <c r="U835" s="71">
        <f t="shared" ref="U835" si="350">SUM(G835:T835)</f>
        <v>41</v>
      </c>
      <c r="V835" s="72"/>
      <c r="W835" s="69"/>
      <c r="X835" s="70"/>
      <c r="Y835" s="104"/>
      <c r="Z835" s="103">
        <v>8</v>
      </c>
      <c r="AA835" s="104"/>
      <c r="AB835" s="103">
        <v>8.5</v>
      </c>
      <c r="AC835" s="104"/>
      <c r="AD835" s="103">
        <v>8</v>
      </c>
      <c r="AE835" s="104"/>
      <c r="AF835" s="103">
        <v>8.5</v>
      </c>
      <c r="AG835" s="104"/>
      <c r="AH835" s="103">
        <v>8</v>
      </c>
      <c r="AI835" s="69"/>
      <c r="AJ835" s="70"/>
      <c r="AK835" s="71">
        <f>SUM(W835:AJ835)</f>
        <v>41</v>
      </c>
      <c r="AL835" s="72"/>
      <c r="AM835" s="73">
        <f>SUMIF($G834:$T834,"",$G835:$T835)+SUMIF($W834:$AJ834,"",$W835:$AJ835)-AN835</f>
        <v>72</v>
      </c>
      <c r="AN835" s="88">
        <f>IF(SUMIF($G834:$T834,"",$G835:$T835)+SUMIF($G834:$T834,"F",$G835:$T835)+SUMIF($G834:$T834,"V",$G835:$T835)-40&lt;0,0,SUMIF($G834:$T834,"",$G835:$T835)+SUMIF($G834:$T834,"F",$G835:$T835)+SUMIF($G834:$T834,"V",$G835:$T835)-($U$9/2))+IF(SUMIF($W834:$AJ834,"",$W835:$AJ835)+SUMIF($W834:$AJ834,"F",$W835:$AJ835)+SUMIF($W834:$AJ834,"V",$W835:$AJ835)-40&lt;0,0,SUMIF($W834:$AJ834,"",$W835:$AJ835)+SUMIF($W834:$AJ834,"F",$W835:$AJ835)+SUMIF($W834:$AJ834,"V",$W835:$AJ835)-($U$9/2))</f>
        <v>2</v>
      </c>
      <c r="AO835" s="73">
        <f>SUMIF($G834:$T834,"M",$G835:$T835)+SUMIF($W834:$AJ834,"M",$W835:$AJ835)</f>
        <v>0</v>
      </c>
      <c r="AP835" s="73">
        <f>SUMIF($G834:$T834,"F",$G835:$T835)+SUMIF($W834:$AJ834,"F",$W835:$AJ835)</f>
        <v>0</v>
      </c>
      <c r="AQ835" s="73">
        <f>SUMIF($G834:$T834,"V",$G835:$T835)+SUMIF($W834:$AJ834,"V",$W835:$AJ835)</f>
        <v>8</v>
      </c>
      <c r="AR835" s="74">
        <f>SUMIF($G834:$T834,"O",$G835:$T835)+SUMIF($W834:$AJ834,"O",$W835:$AJ835)</f>
        <v>0</v>
      </c>
      <c r="AS835" s="75">
        <f>SUM(AM835:AR835)</f>
        <v>82</v>
      </c>
      <c r="AT835" s="72"/>
      <c r="AU835" s="73">
        <f>SUMIF($G834:$T834,"A",$G835:$T835)+SUMIF($W834:$AJ834,"A",$W835:$AJ835)</f>
        <v>0</v>
      </c>
      <c r="AV835" s="72"/>
      <c r="AW835" s="76">
        <f>IF(B835="",0,IF($U$9="",0,$U$9))</f>
        <v>80</v>
      </c>
      <c r="BA835" s="2"/>
      <c r="BB835" s="2"/>
      <c r="BC835" s="101"/>
      <c r="BD835" s="101"/>
    </row>
    <row r="836" spans="2:56" s="84" customFormat="1" x14ac:dyDescent="0.35">
      <c r="B836" s="26"/>
      <c r="C836" s="27"/>
      <c r="D836" s="28">
        <f>IF(D762="","",D762)</f>
        <v>78475</v>
      </c>
      <c r="E836" s="29" t="str">
        <f t="shared" si="347"/>
        <v/>
      </c>
      <c r="F836" s="50">
        <f>B823</f>
        <v>21</v>
      </c>
      <c r="G836" s="59"/>
      <c r="H836" s="64"/>
      <c r="I836" s="106"/>
      <c r="J836" s="105"/>
      <c r="K836" s="106"/>
      <c r="L836" s="105"/>
      <c r="M836" s="106"/>
      <c r="N836" s="105"/>
      <c r="O836" s="106"/>
      <c r="P836" s="105"/>
      <c r="Q836" s="106"/>
      <c r="R836" s="105"/>
      <c r="S836" s="59"/>
      <c r="T836" s="64"/>
      <c r="U836" s="44"/>
      <c r="W836" s="59"/>
      <c r="X836" s="64"/>
      <c r="Y836" s="106"/>
      <c r="Z836" s="105"/>
      <c r="AA836" s="106"/>
      <c r="AB836" s="105"/>
      <c r="AC836" s="106"/>
      <c r="AD836" s="105"/>
      <c r="AE836" s="106"/>
      <c r="AF836" s="105"/>
      <c r="AG836" s="106"/>
      <c r="AH836" s="105"/>
      <c r="AI836" s="59"/>
      <c r="AJ836" s="64"/>
      <c r="AK836" s="44"/>
      <c r="AM836" s="49"/>
      <c r="AN836" s="49"/>
      <c r="AO836" s="49"/>
      <c r="AP836" s="49"/>
      <c r="AQ836" s="49"/>
      <c r="AR836" s="40"/>
      <c r="AS836" s="51"/>
      <c r="AU836" s="49"/>
      <c r="AW836" s="52"/>
      <c r="BA836" s="2"/>
      <c r="BB836" s="2"/>
      <c r="BC836" s="101"/>
      <c r="BD836" s="101"/>
    </row>
    <row r="837" spans="2:56" s="84" customFormat="1" x14ac:dyDescent="0.35">
      <c r="B837" s="30" t="str">
        <f>IF(B763="","",B763)</f>
        <v>Charbonneau, Samuel</v>
      </c>
      <c r="C837" s="31"/>
      <c r="D837" s="32"/>
      <c r="E837" s="33">
        <f t="shared" si="347"/>
        <v>93540</v>
      </c>
      <c r="F837" s="50">
        <f>B823</f>
        <v>21</v>
      </c>
      <c r="G837" s="69"/>
      <c r="H837" s="70"/>
      <c r="I837" s="104"/>
      <c r="J837" s="103">
        <v>8.5</v>
      </c>
      <c r="K837" s="104"/>
      <c r="L837" s="103">
        <v>8</v>
      </c>
      <c r="M837" s="104"/>
      <c r="N837" s="103">
        <v>8.5</v>
      </c>
      <c r="O837" s="104"/>
      <c r="P837" s="103">
        <v>8</v>
      </c>
      <c r="Q837" s="104"/>
      <c r="R837" s="103">
        <v>7.5</v>
      </c>
      <c r="S837" s="69"/>
      <c r="T837" s="70"/>
      <c r="U837" s="71">
        <f t="shared" ref="U837" si="351">SUM(G837:T837)</f>
        <v>40.5</v>
      </c>
      <c r="V837" s="72"/>
      <c r="W837" s="69"/>
      <c r="X837" s="70"/>
      <c r="Y837" s="104"/>
      <c r="Z837" s="103">
        <v>8</v>
      </c>
      <c r="AA837" s="104"/>
      <c r="AB837" s="103">
        <v>8</v>
      </c>
      <c r="AC837" s="104"/>
      <c r="AD837" s="103">
        <v>8.5</v>
      </c>
      <c r="AE837" s="104"/>
      <c r="AF837" s="103">
        <v>8</v>
      </c>
      <c r="AG837" s="104"/>
      <c r="AH837" s="103">
        <v>8</v>
      </c>
      <c r="AI837" s="69"/>
      <c r="AJ837" s="70"/>
      <c r="AK837" s="71">
        <f>SUM(W837:AJ837)</f>
        <v>40.5</v>
      </c>
      <c r="AL837" s="72"/>
      <c r="AM837" s="73">
        <f>SUMIF($G836:$T836,"",$G837:$T837)+SUMIF($W836:$AJ836,"",$W837:$AJ837)-AN837</f>
        <v>80</v>
      </c>
      <c r="AN837" s="88">
        <f>IF(SUMIF($G836:$T836,"",$G837:$T837)+SUMIF($G836:$T836,"F",$G837:$T837)+SUMIF($G836:$T836,"V",$G837:$T837)-40&lt;0,0,SUMIF($G836:$T836,"",$G837:$T837)+SUMIF($G836:$T836,"F",$G837:$T837)+SUMIF($G836:$T836,"V",$G837:$T837)-($U$9/2))+IF(SUMIF($W836:$AJ836,"",$W837:$AJ837)+SUMIF($W836:$AJ836,"F",$W837:$AJ837)+SUMIF($W836:$AJ836,"V",$W837:$AJ837)-40&lt;0,0,SUMIF($W836:$AJ836,"",$W837:$AJ837)+SUMIF($W836:$AJ836,"F",$W837:$AJ837)+SUMIF($W836:$AJ836,"V",$W837:$AJ837)-($U$9/2))</f>
        <v>1</v>
      </c>
      <c r="AO837" s="73">
        <f>SUMIF($G836:$T836,"M",$G837:$T837)+SUMIF($W836:$AJ836,"M",$W837:$AJ837)</f>
        <v>0</v>
      </c>
      <c r="AP837" s="73">
        <f>SUMIF($G836:$T836,"F",$G837:$T837)+SUMIF($W836:$AJ836,"F",$W837:$AJ837)</f>
        <v>0</v>
      </c>
      <c r="AQ837" s="73">
        <f>SUMIF($G836:$T836,"V",$G837:$T837)+SUMIF($W836:$AJ836,"V",$W837:$AJ837)</f>
        <v>0</v>
      </c>
      <c r="AR837" s="74">
        <f>SUMIF($G836:$T836,"O",$G837:$T837)+SUMIF($W836:$AJ836,"O",$W837:$AJ837)</f>
        <v>0</v>
      </c>
      <c r="AS837" s="75">
        <f>SUM(AM837:AR837)</f>
        <v>81</v>
      </c>
      <c r="AT837" s="72"/>
      <c r="AU837" s="73">
        <f>SUMIF($G836:$T836,"A",$G837:$T837)+SUMIF($W836:$AJ836,"A",$W837:$AJ837)</f>
        <v>0</v>
      </c>
      <c r="AV837" s="72"/>
      <c r="AW837" s="76">
        <f>IF(B837="",0,IF($U$9="",0,$U$9))</f>
        <v>80</v>
      </c>
      <c r="BA837" s="2"/>
      <c r="BB837" s="2"/>
      <c r="BC837" s="101"/>
      <c r="BD837" s="101"/>
    </row>
    <row r="838" spans="2:56" s="84" customFormat="1" x14ac:dyDescent="0.35">
      <c r="B838" s="26"/>
      <c r="C838" s="27"/>
      <c r="D838" s="28">
        <f>IF(D764="","",D764)</f>
        <v>24238</v>
      </c>
      <c r="E838" s="29" t="str">
        <f t="shared" si="347"/>
        <v/>
      </c>
      <c r="F838" s="50">
        <f>B823</f>
        <v>21</v>
      </c>
      <c r="G838" s="59"/>
      <c r="H838" s="64"/>
      <c r="I838" s="106"/>
      <c r="J838" s="105"/>
      <c r="K838" s="106"/>
      <c r="L838" s="105"/>
      <c r="M838" s="106"/>
      <c r="N838" s="105"/>
      <c r="O838" s="106"/>
      <c r="P838" s="105"/>
      <c r="Q838" s="106"/>
      <c r="R838" s="105" t="s">
        <v>3</v>
      </c>
      <c r="S838" s="59"/>
      <c r="T838" s="64"/>
      <c r="U838" s="44"/>
      <c r="W838" s="59"/>
      <c r="X838" s="64"/>
      <c r="Y838" s="106"/>
      <c r="Z838" s="105" t="s">
        <v>3</v>
      </c>
      <c r="AA838" s="106"/>
      <c r="AB838" s="105" t="s">
        <v>3</v>
      </c>
      <c r="AC838" s="106"/>
      <c r="AD838" s="105" t="s">
        <v>3</v>
      </c>
      <c r="AE838" s="106"/>
      <c r="AF838" s="105" t="s">
        <v>3</v>
      </c>
      <c r="AG838" s="106"/>
      <c r="AH838" s="105" t="s">
        <v>3</v>
      </c>
      <c r="AI838" s="59"/>
      <c r="AJ838" s="64"/>
      <c r="AK838" s="44"/>
      <c r="AM838" s="49"/>
      <c r="AN838" s="49"/>
      <c r="AO838" s="49"/>
      <c r="AP838" s="49"/>
      <c r="AQ838" s="49"/>
      <c r="AR838" s="40"/>
      <c r="AS838" s="51"/>
      <c r="AU838" s="49"/>
      <c r="AW838" s="52"/>
      <c r="BA838" s="2"/>
      <c r="BB838" s="2"/>
      <c r="BC838" s="101"/>
      <c r="BD838" s="101"/>
    </row>
    <row r="839" spans="2:56" s="84" customFormat="1" x14ac:dyDescent="0.35">
      <c r="B839" s="30" t="str">
        <f>IF(B765="","",B765)</f>
        <v>Curtis, Jason</v>
      </c>
      <c r="C839" s="31"/>
      <c r="D839" s="32"/>
      <c r="E839" s="33">
        <f t="shared" si="347"/>
        <v>93595935</v>
      </c>
      <c r="F839" s="50">
        <f>B823</f>
        <v>21</v>
      </c>
      <c r="G839" s="69"/>
      <c r="H839" s="70"/>
      <c r="I839" s="104"/>
      <c r="J839" s="103">
        <v>8</v>
      </c>
      <c r="K839" s="104"/>
      <c r="L839" s="103">
        <v>8</v>
      </c>
      <c r="M839" s="104"/>
      <c r="N839" s="103">
        <v>8</v>
      </c>
      <c r="O839" s="104"/>
      <c r="P839" s="103">
        <v>8</v>
      </c>
      <c r="Q839" s="104"/>
      <c r="R839" s="103">
        <v>0</v>
      </c>
      <c r="S839" s="69"/>
      <c r="T839" s="70"/>
      <c r="U839" s="71">
        <f t="shared" ref="U839" si="352">SUM(G839:T839)</f>
        <v>32</v>
      </c>
      <c r="V839" s="72"/>
      <c r="W839" s="69"/>
      <c r="X839" s="70"/>
      <c r="Y839" s="104"/>
      <c r="Z839" s="103">
        <v>0</v>
      </c>
      <c r="AA839" s="104"/>
      <c r="AB839" s="103">
        <v>0</v>
      </c>
      <c r="AC839" s="104"/>
      <c r="AD839" s="103">
        <v>0</v>
      </c>
      <c r="AE839" s="104"/>
      <c r="AF839" s="103">
        <v>0</v>
      </c>
      <c r="AG839" s="104"/>
      <c r="AH839" s="103">
        <v>0</v>
      </c>
      <c r="AI839" s="69"/>
      <c r="AJ839" s="70"/>
      <c r="AK839" s="71">
        <f>SUM(W839:AJ839)</f>
        <v>0</v>
      </c>
      <c r="AL839" s="72"/>
      <c r="AM839" s="73">
        <f>SUMIF($G838:$T838,"",$G839:$T839)+SUMIF($W838:$AJ838,"",$W839:$AJ839)-AN839</f>
        <v>32</v>
      </c>
      <c r="AN839" s="88">
        <f>IF(SUMIF($G838:$T838,"",$G839:$T839)+SUMIF($G838:$T838,"F",$G839:$T839)+SUMIF($G838:$T838,"V",$G839:$T839)-40&lt;0,0,SUMIF($G838:$T838,"",$G839:$T839)+SUMIF($G838:$T838,"F",$G839:$T839)+SUMIF($G838:$T838,"V",$G839:$T839)-($U$9/2))+IF(SUMIF($W838:$AJ838,"",$W839:$AJ839)+SUMIF($W838:$AJ838,"F",$W839:$AJ839)+SUMIF($W838:$AJ838,"V",$W839:$AJ839)-40&lt;0,0,SUMIF($W838:$AJ838,"",$W839:$AJ839)+SUMIF($W838:$AJ838,"F",$W839:$AJ839)+SUMIF($W838:$AJ838,"V",$W839:$AJ839)-($U$9/2))</f>
        <v>0</v>
      </c>
      <c r="AO839" s="73">
        <f>SUMIF($G838:$T838,"M",$G839:$T839)+SUMIF($W838:$AJ838,"M",$W839:$AJ839)</f>
        <v>0</v>
      </c>
      <c r="AP839" s="73">
        <f>SUMIF($G838:$T838,"F",$G839:$T839)+SUMIF($W838:$AJ838,"F",$W839:$AJ839)</f>
        <v>0</v>
      </c>
      <c r="AQ839" s="73">
        <f>SUMIF($G838:$T838,"V",$G839:$T839)+SUMIF($W838:$AJ838,"V",$W839:$AJ839)</f>
        <v>0</v>
      </c>
      <c r="AR839" s="74">
        <f>SUMIF($G838:$T838,"O",$G839:$T839)+SUMIF($W838:$AJ838,"O",$W839:$AJ839)</f>
        <v>0</v>
      </c>
      <c r="AS839" s="75">
        <f>SUM(AM839:AR839)</f>
        <v>32</v>
      </c>
      <c r="AT839" s="72"/>
      <c r="AU839" s="73">
        <f>SUMIF($G838:$T838,"A",$G839:$T839)+SUMIF($W838:$AJ838,"A",$W839:$AJ839)</f>
        <v>0</v>
      </c>
      <c r="AV839" s="72"/>
      <c r="AW839" s="76">
        <f>IF(B839="",0,IF($U$9="",0,$U$9))</f>
        <v>80</v>
      </c>
      <c r="BA839" s="2"/>
      <c r="BB839" s="2"/>
      <c r="BC839" s="101"/>
      <c r="BD839" s="101"/>
    </row>
    <row r="840" spans="2:56" s="84" customFormat="1" x14ac:dyDescent="0.35">
      <c r="B840" s="26"/>
      <c r="C840" s="27"/>
      <c r="D840" s="28">
        <f>IF(D766="","",D766)</f>
        <v>79709</v>
      </c>
      <c r="E840" s="29" t="str">
        <f t="shared" si="347"/>
        <v/>
      </c>
      <c r="F840" s="50">
        <f>B823</f>
        <v>21</v>
      </c>
      <c r="G840" s="59"/>
      <c r="H840" s="64"/>
      <c r="I840" s="106"/>
      <c r="J840" s="105"/>
      <c r="K840" s="106"/>
      <c r="L840" s="105"/>
      <c r="M840" s="106"/>
      <c r="N840" s="105"/>
      <c r="O840" s="106"/>
      <c r="P840" s="105"/>
      <c r="Q840" s="106"/>
      <c r="R840" s="105"/>
      <c r="S840" s="59"/>
      <c r="T840" s="64"/>
      <c r="U840" s="44"/>
      <c r="W840" s="59"/>
      <c r="X840" s="64"/>
      <c r="Y840" s="106"/>
      <c r="Z840" s="105"/>
      <c r="AA840" s="106"/>
      <c r="AB840" s="105"/>
      <c r="AC840" s="106"/>
      <c r="AD840" s="105"/>
      <c r="AE840" s="106"/>
      <c r="AF840" s="105"/>
      <c r="AG840" s="106"/>
      <c r="AH840" s="105"/>
      <c r="AI840" s="59"/>
      <c r="AJ840" s="64"/>
      <c r="AK840" s="44"/>
      <c r="AM840" s="49"/>
      <c r="AN840" s="49"/>
      <c r="AO840" s="49"/>
      <c r="AP840" s="49"/>
      <c r="AQ840" s="49"/>
      <c r="AR840" s="40"/>
      <c r="AS840" s="51"/>
      <c r="AU840" s="49"/>
      <c r="AW840" s="52"/>
      <c r="BA840" s="2"/>
      <c r="BB840" s="2"/>
      <c r="BC840" s="101"/>
      <c r="BD840" s="101"/>
    </row>
    <row r="841" spans="2:56" s="84" customFormat="1" x14ac:dyDescent="0.35">
      <c r="B841" s="30" t="str">
        <f>IF(B767="","",B767)</f>
        <v>De Rose, Natale</v>
      </c>
      <c r="C841" s="31"/>
      <c r="D841" s="32"/>
      <c r="E841" s="33">
        <f t="shared" si="347"/>
        <v>93595935</v>
      </c>
      <c r="F841" s="50">
        <f>B823</f>
        <v>21</v>
      </c>
      <c r="G841" s="69"/>
      <c r="H841" s="70"/>
      <c r="I841" s="104"/>
      <c r="J841" s="103">
        <v>8</v>
      </c>
      <c r="K841" s="104"/>
      <c r="L841" s="103">
        <v>8</v>
      </c>
      <c r="M841" s="104"/>
      <c r="N841" s="103">
        <v>8</v>
      </c>
      <c r="O841" s="104"/>
      <c r="P841" s="103">
        <v>8</v>
      </c>
      <c r="Q841" s="104"/>
      <c r="R841" s="103">
        <v>8</v>
      </c>
      <c r="S841" s="69"/>
      <c r="T841" s="70"/>
      <c r="U841" s="71">
        <f t="shared" ref="U841" si="353">SUM(G841:T841)</f>
        <v>40</v>
      </c>
      <c r="V841" s="72"/>
      <c r="W841" s="69"/>
      <c r="X841" s="70"/>
      <c r="Y841" s="104"/>
      <c r="Z841" s="103">
        <v>8</v>
      </c>
      <c r="AA841" s="104"/>
      <c r="AB841" s="103">
        <v>8</v>
      </c>
      <c r="AC841" s="104"/>
      <c r="AD841" s="103">
        <v>8</v>
      </c>
      <c r="AE841" s="104"/>
      <c r="AF841" s="103">
        <v>8</v>
      </c>
      <c r="AG841" s="104"/>
      <c r="AH841" s="103">
        <v>8</v>
      </c>
      <c r="AI841" s="69"/>
      <c r="AJ841" s="70"/>
      <c r="AK841" s="71">
        <f>SUM(W841:AJ841)</f>
        <v>40</v>
      </c>
      <c r="AL841" s="72"/>
      <c r="AM841" s="73">
        <f>SUMIF($G840:$T840,"",$G841:$T841)+SUMIF($W840:$AJ840,"",$W841:$AJ841)-AN841</f>
        <v>80</v>
      </c>
      <c r="AN841" s="88">
        <f>IF(SUMIF($G840:$T840,"",$G841:$T841)+SUMIF($G840:$T840,"F",$G841:$T841)+SUMIF($G840:$T840,"V",$G841:$T841)-40&lt;0,0,SUMIF($G840:$T840,"",$G841:$T841)+SUMIF($G840:$T840,"F",$G841:$T841)+SUMIF($G840:$T840,"V",$G841:$T841)-($U$9/2))+IF(SUMIF($W840:$AJ840,"",$W841:$AJ841)+SUMIF($W840:$AJ840,"F",$W841:$AJ841)+SUMIF($W840:$AJ840,"V",$W841:$AJ841)-40&lt;0,0,SUMIF($W840:$AJ840,"",$W841:$AJ841)+SUMIF($W840:$AJ840,"F",$W841:$AJ841)+SUMIF($W840:$AJ840,"V",$W841:$AJ841)-($U$9/2))</f>
        <v>0</v>
      </c>
      <c r="AO841" s="73">
        <f>SUMIF($G840:$T840,"M",$G841:$T841)+SUMIF($W840:$AJ840,"M",$W841:$AJ841)</f>
        <v>0</v>
      </c>
      <c r="AP841" s="73">
        <f>SUMIF($G840:$T840,"F",$G841:$T841)+SUMIF($W840:$AJ840,"F",$W841:$AJ841)</f>
        <v>0</v>
      </c>
      <c r="AQ841" s="73">
        <f>SUMIF($G840:$T840,"V",$G841:$T841)+SUMIF($W840:$AJ840,"V",$W841:$AJ841)</f>
        <v>0</v>
      </c>
      <c r="AR841" s="74">
        <f>SUMIF($G840:$T840,"O",$G841:$T841)+SUMIF($W840:$AJ840,"O",$W841:$AJ841)</f>
        <v>0</v>
      </c>
      <c r="AS841" s="75">
        <f>SUM(AM841:AR841)</f>
        <v>80</v>
      </c>
      <c r="AT841" s="72"/>
      <c r="AU841" s="73">
        <f>SUMIF($G840:$T840,"A",$G841:$T841)+SUMIF($W840:$AJ840,"A",$W841:$AJ841)</f>
        <v>0</v>
      </c>
      <c r="AV841" s="72"/>
      <c r="AW841" s="76">
        <f>IF(B841="",0,IF($U$9="",0,$U$9))</f>
        <v>80</v>
      </c>
      <c r="BA841" s="2"/>
      <c r="BB841" s="2"/>
      <c r="BC841" s="101"/>
      <c r="BD841" s="101"/>
    </row>
    <row r="842" spans="2:56" s="84" customFormat="1" x14ac:dyDescent="0.35">
      <c r="B842" s="26"/>
      <c r="C842" s="27"/>
      <c r="D842" s="28">
        <f>IF(D768="","",D768)</f>
        <v>92027</v>
      </c>
      <c r="E842" s="29" t="str">
        <f t="shared" si="347"/>
        <v/>
      </c>
      <c r="F842" s="50">
        <f>B823</f>
        <v>21</v>
      </c>
      <c r="G842" s="59"/>
      <c r="H842" s="64"/>
      <c r="I842" s="106"/>
      <c r="J842" s="105"/>
      <c r="K842" s="106"/>
      <c r="L842" s="105"/>
      <c r="M842" s="106"/>
      <c r="N842" s="105"/>
      <c r="O842" s="106"/>
      <c r="P842" s="105"/>
      <c r="Q842" s="106"/>
      <c r="R842" s="105"/>
      <c r="S842" s="59"/>
      <c r="T842" s="64"/>
      <c r="U842" s="44"/>
      <c r="W842" s="59"/>
      <c r="X842" s="64"/>
      <c r="Y842" s="106"/>
      <c r="Z842" s="105"/>
      <c r="AA842" s="106"/>
      <c r="AB842" s="105"/>
      <c r="AC842" s="106"/>
      <c r="AD842" s="105"/>
      <c r="AE842" s="106"/>
      <c r="AF842" s="105"/>
      <c r="AG842" s="106"/>
      <c r="AH842" s="105"/>
      <c r="AI842" s="59"/>
      <c r="AJ842" s="64"/>
      <c r="AK842" s="44"/>
      <c r="AM842" s="49"/>
      <c r="AN842" s="49"/>
      <c r="AO842" s="49"/>
      <c r="AP842" s="49"/>
      <c r="AQ842" s="49"/>
      <c r="AR842" s="40"/>
      <c r="AS842" s="51"/>
      <c r="AU842" s="49"/>
      <c r="AW842" s="52"/>
      <c r="BA842" s="2"/>
      <c r="BB842" s="2"/>
      <c r="BC842" s="101"/>
      <c r="BD842" s="101"/>
    </row>
    <row r="843" spans="2:56" s="84" customFormat="1" x14ac:dyDescent="0.35">
      <c r="B843" s="30" t="str">
        <f>IF(B769="","",B769)</f>
        <v>Descoteaux, Gerald</v>
      </c>
      <c r="C843" s="31"/>
      <c r="D843" s="32"/>
      <c r="E843" s="33">
        <f t="shared" si="347"/>
        <v>93595935</v>
      </c>
      <c r="F843" s="50">
        <f>B823</f>
        <v>21</v>
      </c>
      <c r="G843" s="69"/>
      <c r="H843" s="70"/>
      <c r="I843" s="104"/>
      <c r="J843" s="103">
        <v>8</v>
      </c>
      <c r="K843" s="104"/>
      <c r="L843" s="103">
        <v>8</v>
      </c>
      <c r="M843" s="104"/>
      <c r="N843" s="103">
        <v>8</v>
      </c>
      <c r="O843" s="104"/>
      <c r="P843" s="103">
        <v>8</v>
      </c>
      <c r="Q843" s="104"/>
      <c r="R843" s="103">
        <v>8</v>
      </c>
      <c r="S843" s="69"/>
      <c r="T843" s="70"/>
      <c r="U843" s="71">
        <f t="shared" ref="U843" si="354">SUM(G843:T843)</f>
        <v>40</v>
      </c>
      <c r="V843" s="72"/>
      <c r="W843" s="69"/>
      <c r="X843" s="70"/>
      <c r="Y843" s="104"/>
      <c r="Z843" s="103">
        <v>8</v>
      </c>
      <c r="AA843" s="104"/>
      <c r="AB843" s="103">
        <v>8</v>
      </c>
      <c r="AC843" s="104"/>
      <c r="AD843" s="103">
        <v>8</v>
      </c>
      <c r="AE843" s="104"/>
      <c r="AF843" s="103">
        <v>8</v>
      </c>
      <c r="AG843" s="104"/>
      <c r="AH843" s="103">
        <v>8</v>
      </c>
      <c r="AI843" s="69"/>
      <c r="AJ843" s="70"/>
      <c r="AK843" s="71">
        <f>SUM(W843:AJ843)</f>
        <v>40</v>
      </c>
      <c r="AL843" s="72"/>
      <c r="AM843" s="73">
        <f>SUMIF($G842:$T842,"",$G843:$T843)+SUMIF($W842:$AJ842,"",$W843:$AJ843)-AN843</f>
        <v>80</v>
      </c>
      <c r="AN843" s="88">
        <f>IF(SUMIF($G842:$T842,"",$G843:$T843)+SUMIF($G842:$T842,"F",$G843:$T843)+SUMIF($G842:$T842,"V",$G843:$T843)-40&lt;0,0,SUMIF($G842:$T842,"",$G843:$T843)+SUMIF($G842:$T842,"F",$G843:$T843)+SUMIF($G842:$T842,"V",$G843:$T843)-($U$9/2))+IF(SUMIF($W842:$AJ842,"",$W843:$AJ843)+SUMIF($W842:$AJ842,"F",$W843:$AJ843)+SUMIF($W842:$AJ842,"V",$W843:$AJ843)-40&lt;0,0,SUMIF($W842:$AJ842,"",$W843:$AJ843)+SUMIF($W842:$AJ842,"F",$W843:$AJ843)+SUMIF($W842:$AJ842,"V",$W843:$AJ843)-($U$9/2))</f>
        <v>0</v>
      </c>
      <c r="AO843" s="73">
        <f>SUMIF($G842:$T842,"M",$G843:$T843)+SUMIF($W842:$AJ842,"M",$W843:$AJ843)</f>
        <v>0</v>
      </c>
      <c r="AP843" s="73">
        <f>SUMIF($G842:$T842,"F",$G843:$T843)+SUMIF($W842:$AJ842,"F",$W843:$AJ843)</f>
        <v>0</v>
      </c>
      <c r="AQ843" s="73">
        <f>SUMIF($G842:$T842,"V",$G843:$T843)+SUMIF($W842:$AJ842,"V",$W843:$AJ843)</f>
        <v>0</v>
      </c>
      <c r="AR843" s="74">
        <f>SUMIF($G842:$T842,"O",$G843:$T843)+SUMIF($W842:$AJ842,"O",$W843:$AJ843)</f>
        <v>0</v>
      </c>
      <c r="AS843" s="75">
        <f>SUM(AM843:AR843)</f>
        <v>80</v>
      </c>
      <c r="AT843" s="72"/>
      <c r="AU843" s="73">
        <f>SUMIF($G842:$T842,"A",$G843:$T843)+SUMIF($W842:$AJ842,"A",$W843:$AJ843)</f>
        <v>0</v>
      </c>
      <c r="AV843" s="72"/>
      <c r="AW843" s="76">
        <f>IF(B843="",0,IF($U$9="",0,$U$9))</f>
        <v>80</v>
      </c>
      <c r="BA843" s="2"/>
      <c r="BB843" s="2"/>
      <c r="BC843" s="101"/>
      <c r="BD843" s="101"/>
    </row>
    <row r="844" spans="2:56" s="84" customFormat="1" x14ac:dyDescent="0.35">
      <c r="B844" s="26"/>
      <c r="C844" s="27"/>
      <c r="D844" s="28">
        <f>IF(D770="","",D770)</f>
        <v>73795</v>
      </c>
      <c r="E844" s="29" t="str">
        <f t="shared" si="347"/>
        <v/>
      </c>
      <c r="F844" s="50">
        <f>B823</f>
        <v>21</v>
      </c>
      <c r="G844" s="59"/>
      <c r="H844" s="64"/>
      <c r="I844" s="106"/>
      <c r="J844" s="105"/>
      <c r="K844" s="106"/>
      <c r="L844" s="105"/>
      <c r="M844" s="106"/>
      <c r="N844" s="105"/>
      <c r="O844" s="106"/>
      <c r="P844" s="105"/>
      <c r="Q844" s="106"/>
      <c r="R844" s="105"/>
      <c r="S844" s="59"/>
      <c r="T844" s="64"/>
      <c r="U844" s="44"/>
      <c r="W844" s="59"/>
      <c r="X844" s="64"/>
      <c r="Y844" s="106"/>
      <c r="Z844" s="105"/>
      <c r="AA844" s="106"/>
      <c r="AB844" s="105"/>
      <c r="AC844" s="106"/>
      <c r="AD844" s="105"/>
      <c r="AE844" s="106"/>
      <c r="AF844" s="105"/>
      <c r="AG844" s="106"/>
      <c r="AH844" s="105"/>
      <c r="AI844" s="59"/>
      <c r="AJ844" s="64"/>
      <c r="AK844" s="44"/>
      <c r="AM844" s="49"/>
      <c r="AN844" s="49"/>
      <c r="AO844" s="49"/>
      <c r="AP844" s="49"/>
      <c r="AQ844" s="49"/>
      <c r="AR844" s="40"/>
      <c r="AS844" s="51"/>
      <c r="AU844" s="49"/>
      <c r="AW844" s="52"/>
      <c r="BA844" s="2"/>
      <c r="BB844" s="2"/>
      <c r="BC844" s="101"/>
      <c r="BD844" s="101"/>
    </row>
    <row r="845" spans="2:56" s="84" customFormat="1" x14ac:dyDescent="0.35">
      <c r="B845" s="30" t="str">
        <f>IF(B771="","",B771)</f>
        <v>Fortin, Veronique</v>
      </c>
      <c r="C845" s="31"/>
      <c r="D845" s="32"/>
      <c r="E845" s="33">
        <f t="shared" si="347"/>
        <v>93540</v>
      </c>
      <c r="F845" s="50">
        <f>B823</f>
        <v>21</v>
      </c>
      <c r="G845" s="69"/>
      <c r="H845" s="70"/>
      <c r="I845" s="104"/>
      <c r="J845" s="103">
        <v>8</v>
      </c>
      <c r="K845" s="104"/>
      <c r="L845" s="103">
        <v>8</v>
      </c>
      <c r="M845" s="104"/>
      <c r="N845" s="103">
        <v>8</v>
      </c>
      <c r="O845" s="104"/>
      <c r="P845" s="103">
        <v>8</v>
      </c>
      <c r="Q845" s="104"/>
      <c r="R845" s="103">
        <v>7.5</v>
      </c>
      <c r="S845" s="69"/>
      <c r="T845" s="70"/>
      <c r="U845" s="71">
        <f t="shared" ref="U845" si="355">SUM(G845:T845)</f>
        <v>39.5</v>
      </c>
      <c r="V845" s="72"/>
      <c r="W845" s="69"/>
      <c r="X845" s="70"/>
      <c r="Y845" s="104"/>
      <c r="Z845" s="103">
        <v>8</v>
      </c>
      <c r="AA845" s="104"/>
      <c r="AB845" s="103">
        <v>8</v>
      </c>
      <c r="AC845" s="104"/>
      <c r="AD845" s="103">
        <v>8</v>
      </c>
      <c r="AE845" s="104"/>
      <c r="AF845" s="103">
        <v>8</v>
      </c>
      <c r="AG845" s="104"/>
      <c r="AH845" s="103">
        <v>7.5</v>
      </c>
      <c r="AI845" s="69"/>
      <c r="AJ845" s="70"/>
      <c r="AK845" s="71">
        <f>SUM(W845:AJ845)</f>
        <v>39.5</v>
      </c>
      <c r="AL845" s="72"/>
      <c r="AM845" s="73">
        <f>SUMIF($G844:$T844,"",$G845:$T845)+SUMIF($W844:$AJ844,"",$W845:$AJ845)-AN845</f>
        <v>79</v>
      </c>
      <c r="AN845" s="88">
        <f>IF(SUMIF($G844:$T844,"",$G845:$T845)+SUMIF($G844:$T844,"F",$G845:$T845)+SUMIF($G844:$T844,"V",$G845:$T845)-40&lt;0,0,SUMIF($G844:$T844,"",$G845:$T845)+SUMIF($G844:$T844,"F",$G845:$T845)+SUMIF($G844:$T844,"V",$G845:$T845)-($U$9/2))+IF(SUMIF($W844:$AJ844,"",$W845:$AJ845)+SUMIF($W844:$AJ844,"F",$W845:$AJ845)+SUMIF($W844:$AJ844,"V",$W845:$AJ845)-40&lt;0,0,SUMIF($W844:$AJ844,"",$W845:$AJ845)+SUMIF($W844:$AJ844,"F",$W845:$AJ845)+SUMIF($W844:$AJ844,"V",$W845:$AJ845)-($U$9/2))</f>
        <v>0</v>
      </c>
      <c r="AO845" s="73">
        <f>SUMIF($G844:$T844,"M",$G845:$T845)+SUMIF($W844:$AJ844,"M",$W845:$AJ845)</f>
        <v>0</v>
      </c>
      <c r="AP845" s="73">
        <f>SUMIF($G844:$T844,"F",$G845:$T845)+SUMIF($W844:$AJ844,"F",$W845:$AJ845)</f>
        <v>0</v>
      </c>
      <c r="AQ845" s="73">
        <f>SUMIF($G844:$T844,"V",$G845:$T845)+SUMIF($W844:$AJ844,"V",$W845:$AJ845)</f>
        <v>0</v>
      </c>
      <c r="AR845" s="74">
        <f>SUMIF($G844:$T844,"O",$G845:$T845)+SUMIF($W844:$AJ844,"O",$W845:$AJ845)</f>
        <v>0</v>
      </c>
      <c r="AS845" s="75">
        <f>SUM(AM845:AR845)</f>
        <v>79</v>
      </c>
      <c r="AT845" s="72"/>
      <c r="AU845" s="73">
        <f>SUMIF($G844:$T844,"A",$G845:$T845)+SUMIF($W844:$AJ844,"A",$W845:$AJ845)</f>
        <v>0</v>
      </c>
      <c r="AV845" s="72"/>
      <c r="AW845" s="76">
        <f>IF(B845="",0,IF($U$9="",0,$U$9))</f>
        <v>80</v>
      </c>
      <c r="BA845" s="2"/>
      <c r="BB845" s="2"/>
      <c r="BC845" s="101"/>
      <c r="BD845" s="101"/>
    </row>
    <row r="846" spans="2:56" s="84" customFormat="1" x14ac:dyDescent="0.35">
      <c r="B846" s="26"/>
      <c r="C846" s="27"/>
      <c r="D846" s="28">
        <f>IF(D772="","",D772)</f>
        <v>23206</v>
      </c>
      <c r="E846" s="29" t="str">
        <f t="shared" si="347"/>
        <v/>
      </c>
      <c r="F846" s="50">
        <f>B823</f>
        <v>21</v>
      </c>
      <c r="G846" s="59"/>
      <c r="H846" s="64"/>
      <c r="I846" s="106"/>
      <c r="J846" s="105"/>
      <c r="K846" s="106"/>
      <c r="L846" s="105"/>
      <c r="M846" s="106"/>
      <c r="N846" s="105"/>
      <c r="O846" s="106"/>
      <c r="P846" s="105"/>
      <c r="Q846" s="106"/>
      <c r="R846" s="105"/>
      <c r="S846" s="59"/>
      <c r="T846" s="64"/>
      <c r="U846" s="44"/>
      <c r="W846" s="59"/>
      <c r="X846" s="64"/>
      <c r="Y846" s="106"/>
      <c r="Z846" s="105"/>
      <c r="AA846" s="106"/>
      <c r="AB846" s="105"/>
      <c r="AC846" s="106"/>
      <c r="AD846" s="105"/>
      <c r="AE846" s="106"/>
      <c r="AF846" s="105"/>
      <c r="AG846" s="106"/>
      <c r="AH846" s="105"/>
      <c r="AI846" s="59"/>
      <c r="AJ846" s="64"/>
      <c r="AK846" s="44"/>
      <c r="AM846" s="49"/>
      <c r="AN846" s="49"/>
      <c r="AO846" s="49"/>
      <c r="AP846" s="49"/>
      <c r="AQ846" s="49"/>
      <c r="AR846" s="40"/>
      <c r="AS846" s="51"/>
      <c r="AU846" s="49"/>
      <c r="AW846" s="52"/>
      <c r="BA846" s="2"/>
      <c r="BB846" s="2"/>
      <c r="BC846" s="101"/>
      <c r="BD846" s="101"/>
    </row>
    <row r="847" spans="2:56" s="84" customFormat="1" x14ac:dyDescent="0.35">
      <c r="B847" s="30" t="str">
        <f>IF(B773="","",B773)</f>
        <v>Gadbois, Dominic</v>
      </c>
      <c r="C847" s="31"/>
      <c r="D847" s="32"/>
      <c r="E847" s="33">
        <f t="shared" si="347"/>
        <v>93545</v>
      </c>
      <c r="F847" s="50">
        <f>B823</f>
        <v>21</v>
      </c>
      <c r="G847" s="69"/>
      <c r="H847" s="70"/>
      <c r="I847" s="104"/>
      <c r="J847" s="103">
        <v>7.75</v>
      </c>
      <c r="K847" s="104"/>
      <c r="L847" s="103">
        <v>8.25</v>
      </c>
      <c r="M847" s="104"/>
      <c r="N847" s="103">
        <v>8.25</v>
      </c>
      <c r="O847" s="104"/>
      <c r="P847" s="103">
        <v>10.75</v>
      </c>
      <c r="Q847" s="104"/>
      <c r="R847" s="103">
        <v>5.5</v>
      </c>
      <c r="S847" s="69"/>
      <c r="T847" s="70"/>
      <c r="U847" s="71">
        <f t="shared" ref="U847" si="356">SUM(G847:T847)</f>
        <v>40.5</v>
      </c>
      <c r="V847" s="72"/>
      <c r="W847" s="69"/>
      <c r="X847" s="70"/>
      <c r="Y847" s="104"/>
      <c r="Z847" s="103">
        <v>8.25</v>
      </c>
      <c r="AA847" s="104"/>
      <c r="AB847" s="103">
        <v>8.5</v>
      </c>
      <c r="AC847" s="104"/>
      <c r="AD847" s="103">
        <v>8</v>
      </c>
      <c r="AE847" s="104"/>
      <c r="AF847" s="103">
        <v>8</v>
      </c>
      <c r="AG847" s="104"/>
      <c r="AH847" s="103">
        <v>8</v>
      </c>
      <c r="AI847" s="69"/>
      <c r="AJ847" s="70"/>
      <c r="AK847" s="71">
        <f>SUM(W847:AJ847)</f>
        <v>40.75</v>
      </c>
      <c r="AL847" s="72"/>
      <c r="AM847" s="73">
        <f>SUMIF($G846:$T846,"",$G847:$T847)+SUMIF($W846:$AJ846,"",$W847:$AJ847)-AN847</f>
        <v>80</v>
      </c>
      <c r="AN847" s="88">
        <f>IF(SUMIF($G846:$T846,"",$G847:$T847)+SUMIF($G846:$T846,"F",$G847:$T847)+SUMIF($G846:$T846,"V",$G847:$T847)-40&lt;0,0,SUMIF($G846:$T846,"",$G847:$T847)+SUMIF($G846:$T846,"F",$G847:$T847)+SUMIF($G846:$T846,"V",$G847:$T847)-($U$9/2))+IF(SUMIF($W846:$AJ846,"",$W847:$AJ847)+SUMIF($W846:$AJ846,"F",$W847:$AJ847)+SUMIF($W846:$AJ846,"V",$W847:$AJ847)-40&lt;0,0,SUMIF($W846:$AJ846,"",$W847:$AJ847)+SUMIF($W846:$AJ846,"F",$W847:$AJ847)+SUMIF($W846:$AJ846,"V",$W847:$AJ847)-($U$9/2))</f>
        <v>1.25</v>
      </c>
      <c r="AO847" s="73">
        <f>SUMIF($G846:$T846,"M",$G847:$T847)+SUMIF($W846:$AJ846,"M",$W847:$AJ847)</f>
        <v>0</v>
      </c>
      <c r="AP847" s="73">
        <f>SUMIF($G846:$T846,"F",$G847:$T847)+SUMIF($W846:$AJ846,"F",$W847:$AJ847)</f>
        <v>0</v>
      </c>
      <c r="AQ847" s="73">
        <f>SUMIF($G846:$T846,"V",$G847:$T847)+SUMIF($W846:$AJ846,"V",$W847:$AJ847)</f>
        <v>0</v>
      </c>
      <c r="AR847" s="74">
        <f>SUMIF($G846:$T846,"O",$G847:$T847)+SUMIF($W846:$AJ846,"O",$W847:$AJ847)</f>
        <v>0</v>
      </c>
      <c r="AS847" s="75">
        <f>SUM(AM847:AR847)</f>
        <v>81.25</v>
      </c>
      <c r="AT847" s="72"/>
      <c r="AU847" s="73">
        <f>SUMIF($G846:$T846,"A",$G847:$T847)+SUMIF($W846:$AJ846,"A",$W847:$AJ847)</f>
        <v>0</v>
      </c>
      <c r="AV847" s="72"/>
      <c r="AW847" s="76">
        <f>IF(B847="",0,IF($U$9="",0,$U$9))</f>
        <v>80</v>
      </c>
      <c r="BA847" s="2"/>
      <c r="BB847" s="2"/>
      <c r="BC847" s="101"/>
      <c r="BD847" s="101"/>
    </row>
    <row r="848" spans="2:56" s="84" customFormat="1" x14ac:dyDescent="0.35">
      <c r="B848" s="26"/>
      <c r="C848" s="27"/>
      <c r="D848" s="28">
        <f>IF(D774="","",D774)</f>
        <v>33664</v>
      </c>
      <c r="E848" s="29" t="str">
        <f t="shared" si="347"/>
        <v/>
      </c>
      <c r="F848" s="50">
        <f>B823</f>
        <v>21</v>
      </c>
      <c r="G848" s="59"/>
      <c r="H848" s="64"/>
      <c r="I848" s="106"/>
      <c r="J848" s="105"/>
      <c r="K848" s="106"/>
      <c r="L848" s="105"/>
      <c r="M848" s="106"/>
      <c r="N848" s="105"/>
      <c r="O848" s="106"/>
      <c r="P848" s="105"/>
      <c r="Q848" s="106"/>
      <c r="R848" s="105"/>
      <c r="S848" s="59"/>
      <c r="T848" s="64"/>
      <c r="U848" s="44"/>
      <c r="W848" s="59"/>
      <c r="X848" s="64"/>
      <c r="Y848" s="106"/>
      <c r="Z848" s="105"/>
      <c r="AA848" s="106"/>
      <c r="AB848" s="105"/>
      <c r="AC848" s="106"/>
      <c r="AD848" s="105"/>
      <c r="AE848" s="106"/>
      <c r="AF848" s="105"/>
      <c r="AG848" s="106"/>
      <c r="AH848" s="105"/>
      <c r="AI848" s="59"/>
      <c r="AJ848" s="64"/>
      <c r="AK848" s="44"/>
      <c r="AM848" s="49"/>
      <c r="AN848" s="49"/>
      <c r="AO848" s="49"/>
      <c r="AP848" s="49"/>
      <c r="AQ848" s="49"/>
      <c r="AR848" s="40"/>
      <c r="AS848" s="51"/>
      <c r="AU848" s="49"/>
      <c r="AW848" s="52"/>
      <c r="BA848" s="2"/>
      <c r="BB848" s="2"/>
      <c r="BC848" s="101"/>
      <c r="BD848" s="101"/>
    </row>
    <row r="849" spans="2:56" s="84" customFormat="1" x14ac:dyDescent="0.35">
      <c r="B849" s="30" t="str">
        <f>IF(B775="","",B775)</f>
        <v>Knox Michaud, Jessy</v>
      </c>
      <c r="C849" s="31"/>
      <c r="D849" s="32"/>
      <c r="E849" s="33">
        <f t="shared" si="347"/>
        <v>93542</v>
      </c>
      <c r="F849" s="50">
        <f>B823</f>
        <v>21</v>
      </c>
      <c r="G849" s="69"/>
      <c r="H849" s="70"/>
      <c r="I849" s="104"/>
      <c r="J849" s="103">
        <v>8</v>
      </c>
      <c r="K849" s="104"/>
      <c r="L849" s="103">
        <v>8</v>
      </c>
      <c r="M849" s="104"/>
      <c r="N849" s="103">
        <v>8</v>
      </c>
      <c r="O849" s="104"/>
      <c r="P849" s="103">
        <v>8</v>
      </c>
      <c r="Q849" s="104"/>
      <c r="R849" s="103">
        <v>8</v>
      </c>
      <c r="S849" s="69"/>
      <c r="T849" s="70"/>
      <c r="U849" s="71">
        <f t="shared" ref="U849" si="357">SUM(G849:T849)</f>
        <v>40</v>
      </c>
      <c r="V849" s="72"/>
      <c r="W849" s="69"/>
      <c r="X849" s="70"/>
      <c r="Y849" s="104"/>
      <c r="Z849" s="103">
        <v>8</v>
      </c>
      <c r="AA849" s="104"/>
      <c r="AB849" s="103">
        <v>8</v>
      </c>
      <c r="AC849" s="104"/>
      <c r="AD849" s="103">
        <v>8</v>
      </c>
      <c r="AE849" s="104"/>
      <c r="AF849" s="103">
        <v>8</v>
      </c>
      <c r="AG849" s="104"/>
      <c r="AH849" s="103">
        <v>8</v>
      </c>
      <c r="AI849" s="69"/>
      <c r="AJ849" s="70"/>
      <c r="AK849" s="71">
        <f>SUM(W849:AJ849)</f>
        <v>40</v>
      </c>
      <c r="AL849" s="72"/>
      <c r="AM849" s="73">
        <f>SUMIF($G848:$T848,"",$G849:$T849)+SUMIF($W848:$AJ848,"",$W849:$AJ849)-AN849</f>
        <v>80</v>
      </c>
      <c r="AN849" s="88">
        <f>IF(SUMIF($G848:$T848,"",$G849:$T849)+SUMIF($G848:$T848,"F",$G849:$T849)+SUMIF($G848:$T848,"V",$G849:$T849)-40&lt;0,0,SUMIF($G848:$T848,"",$G849:$T849)+SUMIF($G848:$T848,"F",$G849:$T849)+SUMIF($G848:$T848,"V",$G849:$T849)-($U$9/2))+IF(SUMIF($W848:$AJ848,"",$W849:$AJ849)+SUMIF($W848:$AJ848,"F",$W849:$AJ849)+SUMIF($W848:$AJ848,"V",$W849:$AJ849)-40&lt;0,0,SUMIF($W848:$AJ848,"",$W849:$AJ849)+SUMIF($W848:$AJ848,"F",$W849:$AJ849)+SUMIF($W848:$AJ848,"V",$W849:$AJ849)-($U$9/2))</f>
        <v>0</v>
      </c>
      <c r="AO849" s="73">
        <f>SUMIF($G848:$T848,"M",$G849:$T849)+SUMIF($W848:$AJ848,"M",$W849:$AJ849)</f>
        <v>0</v>
      </c>
      <c r="AP849" s="73">
        <f>SUMIF($G848:$T848,"F",$G849:$T849)+SUMIF($W848:$AJ848,"F",$W849:$AJ849)</f>
        <v>0</v>
      </c>
      <c r="AQ849" s="73">
        <f>SUMIF($G848:$T848,"V",$G849:$T849)+SUMIF($W848:$AJ848,"V",$W849:$AJ849)</f>
        <v>0</v>
      </c>
      <c r="AR849" s="74">
        <f>SUMIF($G848:$T848,"O",$G849:$T849)+SUMIF($W848:$AJ848,"O",$W849:$AJ849)</f>
        <v>0</v>
      </c>
      <c r="AS849" s="75">
        <f>SUM(AM849:AR849)</f>
        <v>80</v>
      </c>
      <c r="AT849" s="72"/>
      <c r="AU849" s="73">
        <f>SUMIF($G848:$T848,"A",$G849:$T849)+SUMIF($W848:$AJ848,"A",$W849:$AJ849)</f>
        <v>0</v>
      </c>
      <c r="AV849" s="72"/>
      <c r="AW849" s="76">
        <f>IF(B849="",0,IF($U$9="",0,$U$9))</f>
        <v>80</v>
      </c>
      <c r="BA849" s="2"/>
      <c r="BB849" s="2"/>
      <c r="BC849" s="101"/>
      <c r="BD849" s="101"/>
    </row>
    <row r="850" spans="2:56" s="84" customFormat="1" x14ac:dyDescent="0.35">
      <c r="B850" s="26"/>
      <c r="C850" s="27"/>
      <c r="D850" s="28">
        <f>IF(D776="","",D776)</f>
        <v>14206</v>
      </c>
      <c r="E850" s="29" t="str">
        <f t="shared" si="347"/>
        <v/>
      </c>
      <c r="F850" s="50">
        <f>B823</f>
        <v>21</v>
      </c>
      <c r="G850" s="59"/>
      <c r="H850" s="64"/>
      <c r="I850" s="106"/>
      <c r="J850" s="105"/>
      <c r="K850" s="106"/>
      <c r="L850" s="105"/>
      <c r="M850" s="106"/>
      <c r="N850" s="105"/>
      <c r="O850" s="106"/>
      <c r="P850" s="105"/>
      <c r="Q850" s="106"/>
      <c r="R850" s="105"/>
      <c r="S850" s="59"/>
      <c r="T850" s="64"/>
      <c r="U850" s="44"/>
      <c r="W850" s="59"/>
      <c r="X850" s="64"/>
      <c r="Y850" s="106"/>
      <c r="Z850" s="105"/>
      <c r="AA850" s="106"/>
      <c r="AB850" s="105"/>
      <c r="AC850" s="106"/>
      <c r="AD850" s="105"/>
      <c r="AE850" s="106"/>
      <c r="AF850" s="105"/>
      <c r="AG850" s="106"/>
      <c r="AH850" s="105" t="s">
        <v>1</v>
      </c>
      <c r="AI850" s="59"/>
      <c r="AJ850" s="64"/>
      <c r="AK850" s="44"/>
      <c r="AM850" s="49"/>
      <c r="AN850" s="49"/>
      <c r="AO850" s="49"/>
      <c r="AP850" s="49"/>
      <c r="AQ850" s="49"/>
      <c r="AR850" s="40"/>
      <c r="AS850" s="51"/>
      <c r="AU850" s="49"/>
      <c r="AW850" s="52"/>
      <c r="BA850" s="2"/>
      <c r="BB850" s="2"/>
      <c r="BC850" s="101"/>
      <c r="BD850" s="101"/>
    </row>
    <row r="851" spans="2:56" s="84" customFormat="1" x14ac:dyDescent="0.35">
      <c r="B851" s="30" t="str">
        <f>IF(B777="","",B777)</f>
        <v>Landry, Bernard</v>
      </c>
      <c r="C851" s="31"/>
      <c r="D851" s="32"/>
      <c r="E851" s="33">
        <f t="shared" si="347"/>
        <v>93545</v>
      </c>
      <c r="F851" s="50">
        <f>B823</f>
        <v>21</v>
      </c>
      <c r="G851" s="69"/>
      <c r="H851" s="70"/>
      <c r="I851" s="104"/>
      <c r="J851" s="103">
        <v>8</v>
      </c>
      <c r="K851" s="104"/>
      <c r="L851" s="103">
        <v>8</v>
      </c>
      <c r="M851" s="104"/>
      <c r="N851" s="103">
        <v>8</v>
      </c>
      <c r="O851" s="104"/>
      <c r="P851" s="103">
        <v>8</v>
      </c>
      <c r="Q851" s="104"/>
      <c r="R851" s="103">
        <v>8</v>
      </c>
      <c r="S851" s="69"/>
      <c r="T851" s="70"/>
      <c r="U851" s="71">
        <f t="shared" ref="U851" si="358">SUM(G851:T851)</f>
        <v>40</v>
      </c>
      <c r="V851" s="72"/>
      <c r="W851" s="69"/>
      <c r="X851" s="70"/>
      <c r="Y851" s="104"/>
      <c r="Z851" s="103">
        <v>8</v>
      </c>
      <c r="AA851" s="104"/>
      <c r="AB851" s="103">
        <v>8</v>
      </c>
      <c r="AC851" s="104"/>
      <c r="AD851" s="103">
        <v>8</v>
      </c>
      <c r="AE851" s="104"/>
      <c r="AF851" s="103">
        <v>8</v>
      </c>
      <c r="AG851" s="104"/>
      <c r="AH851" s="103">
        <v>8</v>
      </c>
      <c r="AI851" s="69"/>
      <c r="AJ851" s="70"/>
      <c r="AK851" s="71">
        <f>SUM(W851:AJ851)</f>
        <v>40</v>
      </c>
      <c r="AL851" s="72"/>
      <c r="AM851" s="73">
        <f>SUMIF($G850:$T850,"",$G851:$T851)+SUMIF($W850:$AJ850,"",$W851:$AJ851)-AN851</f>
        <v>72</v>
      </c>
      <c r="AN851" s="88">
        <f>IF(SUMIF($G850:$T850,"",$G851:$T851)+SUMIF($G850:$T850,"F",$G851:$T851)+SUMIF($G850:$T850,"V",$G851:$T851)-40&lt;0,0,SUMIF($G850:$T850,"",$G851:$T851)+SUMIF($G850:$T850,"F",$G851:$T851)+SUMIF($G850:$T850,"V",$G851:$T851)-($U$9/2))+IF(SUMIF($W850:$AJ850,"",$W851:$AJ851)+SUMIF($W850:$AJ850,"F",$W851:$AJ851)+SUMIF($W850:$AJ850,"V",$W851:$AJ851)-40&lt;0,0,SUMIF($W850:$AJ850,"",$W851:$AJ851)+SUMIF($W850:$AJ850,"F",$W851:$AJ851)+SUMIF($W850:$AJ850,"V",$W851:$AJ851)-($U$9/2))</f>
        <v>0</v>
      </c>
      <c r="AO851" s="73">
        <f>SUMIF($G850:$T850,"M",$G851:$T851)+SUMIF($W850:$AJ850,"M",$W851:$AJ851)</f>
        <v>0</v>
      </c>
      <c r="AP851" s="73">
        <f>SUMIF($G850:$T850,"F",$G851:$T851)+SUMIF($W850:$AJ850,"F",$W851:$AJ851)</f>
        <v>0</v>
      </c>
      <c r="AQ851" s="73">
        <f>SUMIF($G850:$T850,"V",$G851:$T851)+SUMIF($W850:$AJ850,"V",$W851:$AJ851)</f>
        <v>8</v>
      </c>
      <c r="AR851" s="74">
        <f>SUMIF($G850:$T850,"O",$G851:$T851)+SUMIF($W850:$AJ850,"O",$W851:$AJ851)</f>
        <v>0</v>
      </c>
      <c r="AS851" s="75">
        <f>SUM(AM851:AR851)</f>
        <v>80</v>
      </c>
      <c r="AT851" s="72"/>
      <c r="AU851" s="73">
        <f>SUMIF($G850:$T850,"A",$G851:$T851)+SUMIF($W850:$AJ850,"A",$W851:$AJ851)</f>
        <v>0</v>
      </c>
      <c r="AV851" s="72"/>
      <c r="AW851" s="76">
        <f>IF(B851="",0,IF($U$9="",0,$U$9))</f>
        <v>80</v>
      </c>
      <c r="BA851" s="2"/>
      <c r="BB851" s="2"/>
      <c r="BC851" s="101"/>
      <c r="BD851" s="101"/>
    </row>
    <row r="852" spans="2:56" s="84" customFormat="1" x14ac:dyDescent="0.35">
      <c r="B852" s="26"/>
      <c r="C852" s="27"/>
      <c r="D852" s="28">
        <f>IF(D778="","",D778)</f>
        <v>92257</v>
      </c>
      <c r="E852" s="29" t="str">
        <f t="shared" si="347"/>
        <v/>
      </c>
      <c r="F852" s="50">
        <f>B823</f>
        <v>21</v>
      </c>
      <c r="G852" s="59"/>
      <c r="H852" s="64"/>
      <c r="I852" s="106"/>
      <c r="J852" s="105"/>
      <c r="K852" s="106"/>
      <c r="L852" s="105"/>
      <c r="M852" s="106"/>
      <c r="N852" s="105"/>
      <c r="O852" s="106"/>
      <c r="P852" s="105"/>
      <c r="Q852" s="106"/>
      <c r="R852" s="105"/>
      <c r="S852" s="59"/>
      <c r="T852" s="64"/>
      <c r="U852" s="44"/>
      <c r="W852" s="59"/>
      <c r="X852" s="64"/>
      <c r="Y852" s="106"/>
      <c r="Z852" s="105"/>
      <c r="AA852" s="106"/>
      <c r="AB852" s="105"/>
      <c r="AC852" s="106"/>
      <c r="AD852" s="105"/>
      <c r="AE852" s="106"/>
      <c r="AF852" s="105"/>
      <c r="AG852" s="106"/>
      <c r="AH852" s="105"/>
      <c r="AI852" s="59"/>
      <c r="AJ852" s="64"/>
      <c r="AK852" s="44"/>
      <c r="AM852" s="49"/>
      <c r="AN852" s="49"/>
      <c r="AO852" s="49"/>
      <c r="AP852" s="49"/>
      <c r="AQ852" s="49"/>
      <c r="AR852" s="40"/>
      <c r="AS852" s="51"/>
      <c r="AU852" s="49"/>
      <c r="AW852" s="52"/>
      <c r="BA852" s="2"/>
      <c r="BB852" s="2"/>
      <c r="BC852" s="101"/>
      <c r="BD852" s="101"/>
    </row>
    <row r="853" spans="2:56" s="84" customFormat="1" x14ac:dyDescent="0.35">
      <c r="B853" s="30" t="str">
        <f>IF(B779="","",B779)</f>
        <v>Lelievre, Anik</v>
      </c>
      <c r="C853" s="31"/>
      <c r="D853" s="32"/>
      <c r="E853" s="33">
        <f t="shared" si="347"/>
        <v>93513</v>
      </c>
      <c r="F853" s="50">
        <f>B823</f>
        <v>21</v>
      </c>
      <c r="G853" s="69"/>
      <c r="H853" s="70"/>
      <c r="I853" s="104"/>
      <c r="J853" s="103">
        <v>8</v>
      </c>
      <c r="K853" s="104"/>
      <c r="L853" s="103">
        <v>8</v>
      </c>
      <c r="M853" s="104"/>
      <c r="N853" s="103">
        <v>8</v>
      </c>
      <c r="O853" s="104"/>
      <c r="P853" s="103">
        <v>8</v>
      </c>
      <c r="Q853" s="104"/>
      <c r="R853" s="103">
        <v>8</v>
      </c>
      <c r="S853" s="69"/>
      <c r="T853" s="70"/>
      <c r="U853" s="71">
        <f t="shared" ref="U853" si="359">SUM(G853:T853)</f>
        <v>40</v>
      </c>
      <c r="V853" s="72"/>
      <c r="W853" s="69"/>
      <c r="X853" s="70"/>
      <c r="Y853" s="104"/>
      <c r="Z853" s="103">
        <v>8</v>
      </c>
      <c r="AA853" s="104"/>
      <c r="AB853" s="103">
        <v>8</v>
      </c>
      <c r="AC853" s="104"/>
      <c r="AD853" s="103">
        <v>8</v>
      </c>
      <c r="AE853" s="104"/>
      <c r="AF853" s="103">
        <v>8</v>
      </c>
      <c r="AG853" s="104"/>
      <c r="AH853" s="103">
        <v>8</v>
      </c>
      <c r="AI853" s="69"/>
      <c r="AJ853" s="70"/>
      <c r="AK853" s="71">
        <f>SUM(W853:AJ853)</f>
        <v>40</v>
      </c>
      <c r="AL853" s="72"/>
      <c r="AM853" s="73">
        <f>SUMIF($G852:$T852,"",$G853:$T853)+SUMIF($W852:$AJ852,"",$W853:$AJ853)-AN853</f>
        <v>80</v>
      </c>
      <c r="AN853" s="88">
        <f>IF(SUMIF($G852:$T852,"",$G853:$T853)+SUMIF($G852:$T852,"F",$G853:$T853)+SUMIF($G852:$T852,"V",$G853:$T853)-40&lt;0,0,SUMIF($G852:$T852,"",$G853:$T853)+SUMIF($G852:$T852,"F",$G853:$T853)+SUMIF($G852:$T852,"V",$G853:$T853)-($U$9/2))+IF(SUMIF($W852:$AJ852,"",$W853:$AJ853)+SUMIF($W852:$AJ852,"F",$W853:$AJ853)+SUMIF($W852:$AJ852,"V",$W853:$AJ853)-40&lt;0,0,SUMIF($W852:$AJ852,"",$W853:$AJ853)+SUMIF($W852:$AJ852,"F",$W853:$AJ853)+SUMIF($W852:$AJ852,"V",$W853:$AJ853)-($U$9/2))</f>
        <v>0</v>
      </c>
      <c r="AO853" s="73">
        <f>SUMIF($G852:$T852,"M",$G853:$T853)+SUMIF($W852:$AJ852,"M",$W853:$AJ853)</f>
        <v>0</v>
      </c>
      <c r="AP853" s="73">
        <f>SUMIF($G852:$T852,"F",$G853:$T853)+SUMIF($W852:$AJ852,"F",$W853:$AJ853)</f>
        <v>0</v>
      </c>
      <c r="AQ853" s="73">
        <f>SUMIF($G852:$T852,"V",$G853:$T853)+SUMIF($W852:$AJ852,"V",$W853:$AJ853)</f>
        <v>0</v>
      </c>
      <c r="AR853" s="74">
        <f>SUMIF($G852:$T852,"O",$G853:$T853)+SUMIF($W852:$AJ852,"O",$W853:$AJ853)</f>
        <v>0</v>
      </c>
      <c r="AS853" s="75">
        <f>SUM(AM853:AR853)</f>
        <v>80</v>
      </c>
      <c r="AT853" s="72"/>
      <c r="AU853" s="73">
        <f>SUMIF($G852:$T852,"A",$G853:$T853)+SUMIF($W852:$AJ852,"A",$W853:$AJ853)</f>
        <v>0</v>
      </c>
      <c r="AV853" s="72"/>
      <c r="AW853" s="76">
        <f>IF(B853="",0,IF($U$9="",0,$U$9))</f>
        <v>80</v>
      </c>
      <c r="BA853" s="2"/>
      <c r="BB853" s="2"/>
      <c r="BC853" s="101"/>
      <c r="BD853" s="101"/>
    </row>
    <row r="854" spans="2:56" s="84" customFormat="1" x14ac:dyDescent="0.35">
      <c r="B854" s="26"/>
      <c r="C854" s="27"/>
      <c r="D854" s="28">
        <f>IF(D780="","",D780)</f>
        <v>81042</v>
      </c>
      <c r="E854" s="29" t="str">
        <f t="shared" si="347"/>
        <v/>
      </c>
      <c r="F854" s="50">
        <f>B823</f>
        <v>21</v>
      </c>
      <c r="G854" s="59"/>
      <c r="H854" s="64"/>
      <c r="I854" s="106"/>
      <c r="J854" s="105"/>
      <c r="K854" s="106"/>
      <c r="L854" s="105"/>
      <c r="M854" s="106"/>
      <c r="N854" s="105" t="s">
        <v>1</v>
      </c>
      <c r="O854" s="106"/>
      <c r="P854" s="105"/>
      <c r="Q854" s="106"/>
      <c r="R854" s="105"/>
      <c r="S854" s="59"/>
      <c r="T854" s="64"/>
      <c r="U854" s="44"/>
      <c r="W854" s="59"/>
      <c r="X854" s="64"/>
      <c r="Y854" s="106"/>
      <c r="Z854" s="105"/>
      <c r="AA854" s="106"/>
      <c r="AB854" s="105"/>
      <c r="AC854" s="106"/>
      <c r="AD854" s="105"/>
      <c r="AE854" s="106"/>
      <c r="AF854" s="105"/>
      <c r="AG854" s="106"/>
      <c r="AH854" s="105"/>
      <c r="AI854" s="59"/>
      <c r="AJ854" s="64"/>
      <c r="AK854" s="44"/>
      <c r="AM854" s="49"/>
      <c r="AN854" s="49"/>
      <c r="AO854" s="49"/>
      <c r="AP854" s="49"/>
      <c r="AQ854" s="49"/>
      <c r="AR854" s="40"/>
      <c r="AS854" s="51"/>
      <c r="AU854" s="49"/>
      <c r="AW854" s="52"/>
      <c r="BA854" s="2"/>
      <c r="BB854" s="2"/>
      <c r="BC854" s="101"/>
      <c r="BD854" s="101"/>
    </row>
    <row r="855" spans="2:56" s="84" customFormat="1" x14ac:dyDescent="0.35">
      <c r="B855" s="30" t="str">
        <f>IF(B781="","",B781)</f>
        <v>Letarte, Martin</v>
      </c>
      <c r="C855" s="31"/>
      <c r="D855" s="32"/>
      <c r="E855" s="33">
        <f t="shared" si="347"/>
        <v>93545</v>
      </c>
      <c r="F855" s="50">
        <f>B823</f>
        <v>21</v>
      </c>
      <c r="G855" s="69"/>
      <c r="H855" s="70"/>
      <c r="I855" s="104"/>
      <c r="J855" s="103">
        <v>8</v>
      </c>
      <c r="K855" s="104"/>
      <c r="L855" s="103">
        <v>8</v>
      </c>
      <c r="M855" s="104"/>
      <c r="N855" s="103">
        <v>8</v>
      </c>
      <c r="O855" s="104"/>
      <c r="P855" s="103">
        <v>8</v>
      </c>
      <c r="Q855" s="104"/>
      <c r="R855" s="103">
        <v>8</v>
      </c>
      <c r="S855" s="69"/>
      <c r="T855" s="70"/>
      <c r="U855" s="71">
        <f t="shared" ref="U855" si="360">SUM(G855:T855)</f>
        <v>40</v>
      </c>
      <c r="V855" s="72"/>
      <c r="W855" s="69"/>
      <c r="X855" s="70"/>
      <c r="Y855" s="104"/>
      <c r="Z855" s="103">
        <v>8</v>
      </c>
      <c r="AA855" s="104"/>
      <c r="AB855" s="103">
        <v>8</v>
      </c>
      <c r="AC855" s="104"/>
      <c r="AD855" s="103">
        <v>8</v>
      </c>
      <c r="AE855" s="104"/>
      <c r="AF855" s="103">
        <v>8</v>
      </c>
      <c r="AG855" s="104"/>
      <c r="AH855" s="103">
        <v>8</v>
      </c>
      <c r="AI855" s="69"/>
      <c r="AJ855" s="70"/>
      <c r="AK855" s="71">
        <f>SUM(W855:AJ855)</f>
        <v>40</v>
      </c>
      <c r="AL855" s="72"/>
      <c r="AM855" s="73">
        <f>SUMIF($G854:$T854,"",$G855:$T855)+SUMIF($W854:$AJ854,"",$W855:$AJ855)-AN855</f>
        <v>72</v>
      </c>
      <c r="AN855" s="88">
        <f>IF(SUMIF($G854:$T854,"",$G855:$T855)+SUMIF($G854:$T854,"F",$G855:$T855)+SUMIF($G854:$T854,"V",$G855:$T855)-40&lt;0,0,SUMIF($G854:$T854,"",$G855:$T855)+SUMIF($G854:$T854,"F",$G855:$T855)+SUMIF($G854:$T854,"V",$G855:$T855)-($U$9/2))+IF(SUMIF($W854:$AJ854,"",$W855:$AJ855)+SUMIF($W854:$AJ854,"F",$W855:$AJ855)+SUMIF($W854:$AJ854,"V",$W855:$AJ855)-40&lt;0,0,SUMIF($W854:$AJ854,"",$W855:$AJ855)+SUMIF($W854:$AJ854,"F",$W855:$AJ855)+SUMIF($W854:$AJ854,"V",$W855:$AJ855)-($U$9/2))</f>
        <v>0</v>
      </c>
      <c r="AO855" s="73">
        <f>SUMIF($G854:$T854,"M",$G855:$T855)+SUMIF($W854:$AJ854,"M",$W855:$AJ855)</f>
        <v>0</v>
      </c>
      <c r="AP855" s="73">
        <f>SUMIF($G854:$T854,"F",$G855:$T855)+SUMIF($W854:$AJ854,"F",$W855:$AJ855)</f>
        <v>0</v>
      </c>
      <c r="AQ855" s="73">
        <f>SUMIF($G854:$T854,"V",$G855:$T855)+SUMIF($W854:$AJ854,"V",$W855:$AJ855)</f>
        <v>8</v>
      </c>
      <c r="AR855" s="74">
        <f>SUMIF($G854:$T854,"O",$G855:$T855)+SUMIF($W854:$AJ854,"O",$W855:$AJ855)</f>
        <v>0</v>
      </c>
      <c r="AS855" s="75">
        <f>SUM(AM855:AR855)</f>
        <v>80</v>
      </c>
      <c r="AT855" s="72"/>
      <c r="AU855" s="73">
        <f>SUMIF($G854:$T854,"A",$G855:$T855)+SUMIF($W854:$AJ854,"A",$W855:$AJ855)</f>
        <v>0</v>
      </c>
      <c r="AV855" s="72"/>
      <c r="AW855" s="76">
        <f>IF(B855="",0,IF($U$9="",0,$U$9))</f>
        <v>80</v>
      </c>
      <c r="BA855" s="2"/>
      <c r="BB855" s="2"/>
      <c r="BC855" s="101"/>
      <c r="BD855" s="101"/>
    </row>
    <row r="856" spans="2:56" s="84" customFormat="1" x14ac:dyDescent="0.35">
      <c r="B856" s="26"/>
      <c r="C856" s="27"/>
      <c r="D856" s="28">
        <f>IF(D782="","",D782)</f>
        <v>23930</v>
      </c>
      <c r="E856" s="29" t="str">
        <f t="shared" si="347"/>
        <v/>
      </c>
      <c r="F856" s="50">
        <f>B823</f>
        <v>21</v>
      </c>
      <c r="G856" s="59"/>
      <c r="H856" s="64"/>
      <c r="I856" s="106"/>
      <c r="J856" s="105"/>
      <c r="K856" s="106"/>
      <c r="L856" s="105"/>
      <c r="M856" s="106"/>
      <c r="N856" s="105"/>
      <c r="O856" s="106"/>
      <c r="P856" s="105"/>
      <c r="Q856" s="106"/>
      <c r="R856" s="105"/>
      <c r="S856" s="59"/>
      <c r="T856" s="64"/>
      <c r="U856" s="44"/>
      <c r="W856" s="59"/>
      <c r="X856" s="64"/>
      <c r="Y856" s="106"/>
      <c r="Z856" s="105"/>
      <c r="AA856" s="106"/>
      <c r="AB856" s="105"/>
      <c r="AC856" s="106"/>
      <c r="AD856" s="105"/>
      <c r="AE856" s="106"/>
      <c r="AF856" s="105"/>
      <c r="AG856" s="106"/>
      <c r="AH856" s="105"/>
      <c r="AI856" s="59"/>
      <c r="AJ856" s="64"/>
      <c r="AK856" s="44"/>
      <c r="AM856" s="49"/>
      <c r="AN856" s="49"/>
      <c r="AO856" s="49"/>
      <c r="AP856" s="49"/>
      <c r="AQ856" s="49"/>
      <c r="AR856" s="40"/>
      <c r="AS856" s="51"/>
      <c r="AU856" s="49"/>
      <c r="AW856" s="52"/>
      <c r="BA856" s="2"/>
      <c r="BB856" s="2"/>
      <c r="BC856" s="101"/>
      <c r="BD856" s="101"/>
    </row>
    <row r="857" spans="2:56" s="84" customFormat="1" x14ac:dyDescent="0.35">
      <c r="B857" s="30" t="str">
        <f>IF(B783="","",B783)</f>
        <v>Martinez Parada, José Francisco</v>
      </c>
      <c r="C857" s="31"/>
      <c r="D857" s="32"/>
      <c r="E857" s="33">
        <f t="shared" si="347"/>
        <v>93545</v>
      </c>
      <c r="F857" s="50">
        <f>B823</f>
        <v>21</v>
      </c>
      <c r="G857" s="69"/>
      <c r="H857" s="70"/>
      <c r="I857" s="104"/>
      <c r="J857" s="103">
        <v>8</v>
      </c>
      <c r="K857" s="104"/>
      <c r="L857" s="103">
        <v>8</v>
      </c>
      <c r="M857" s="104"/>
      <c r="N857" s="103">
        <v>8</v>
      </c>
      <c r="O857" s="104"/>
      <c r="P857" s="103">
        <v>8</v>
      </c>
      <c r="Q857" s="104"/>
      <c r="R857" s="103">
        <v>8</v>
      </c>
      <c r="S857" s="69"/>
      <c r="T857" s="70"/>
      <c r="U857" s="71">
        <f t="shared" ref="U857" si="361">SUM(G857:T857)</f>
        <v>40</v>
      </c>
      <c r="V857" s="72"/>
      <c r="W857" s="69"/>
      <c r="X857" s="70"/>
      <c r="Y857" s="104"/>
      <c r="Z857" s="103">
        <v>8</v>
      </c>
      <c r="AA857" s="104"/>
      <c r="AB857" s="103">
        <v>8</v>
      </c>
      <c r="AC857" s="104"/>
      <c r="AD857" s="103">
        <v>8</v>
      </c>
      <c r="AE857" s="104"/>
      <c r="AF857" s="103">
        <v>8</v>
      </c>
      <c r="AG857" s="104"/>
      <c r="AH857" s="103">
        <v>8</v>
      </c>
      <c r="AI857" s="69"/>
      <c r="AJ857" s="70"/>
      <c r="AK857" s="71">
        <f>SUM(W857:AJ857)</f>
        <v>40</v>
      </c>
      <c r="AL857" s="72"/>
      <c r="AM857" s="73">
        <f>SUMIF($G856:$T856,"",$G857:$T857)+SUMIF($W856:$AJ856,"",$W857:$AJ857)-AN857</f>
        <v>80</v>
      </c>
      <c r="AN857" s="88">
        <f>IF(SUMIF($G856:$T856,"",$G857:$T857)+SUMIF($G856:$T856,"F",$G857:$T857)+SUMIF($G856:$T856,"V",$G857:$T857)-40&lt;0,0,SUMIF($G856:$T856,"",$G857:$T857)+SUMIF($G856:$T856,"F",$G857:$T857)+SUMIF($G856:$T856,"V",$G857:$T857)-($U$9/2))+IF(SUMIF($W856:$AJ856,"",$W857:$AJ857)+SUMIF($W856:$AJ856,"F",$W857:$AJ857)+SUMIF($W856:$AJ856,"V",$W857:$AJ857)-40&lt;0,0,SUMIF($W856:$AJ856,"",$W857:$AJ857)+SUMIF($W856:$AJ856,"F",$W857:$AJ857)+SUMIF($W856:$AJ856,"V",$W857:$AJ857)-($U$9/2))</f>
        <v>0</v>
      </c>
      <c r="AO857" s="73">
        <f>SUMIF($G856:$T856,"M",$G857:$T857)+SUMIF($W856:$AJ856,"M",$W857:$AJ857)</f>
        <v>0</v>
      </c>
      <c r="AP857" s="73">
        <f>SUMIF($G856:$T856,"F",$G857:$T857)+SUMIF($W856:$AJ856,"F",$W857:$AJ857)</f>
        <v>0</v>
      </c>
      <c r="AQ857" s="73">
        <f>SUMIF($G856:$T856,"V",$G857:$T857)+SUMIF($W856:$AJ856,"V",$W857:$AJ857)</f>
        <v>0</v>
      </c>
      <c r="AR857" s="74">
        <f>SUMIF($G856:$T856,"O",$G857:$T857)+SUMIF($W856:$AJ856,"O",$W857:$AJ857)</f>
        <v>0</v>
      </c>
      <c r="AS857" s="75">
        <f>SUM(AM857:AR857)</f>
        <v>80</v>
      </c>
      <c r="AT857" s="72"/>
      <c r="AU857" s="73">
        <f>SUMIF($G856:$T856,"A",$G857:$T857)+SUMIF($W856:$AJ856,"A",$W857:$AJ857)</f>
        <v>0</v>
      </c>
      <c r="AV857" s="72"/>
      <c r="AW857" s="76">
        <f>IF(B857="",0,IF($U$9="",0,$U$9))</f>
        <v>80</v>
      </c>
      <c r="BA857" s="2"/>
      <c r="BB857" s="2"/>
      <c r="BC857" s="101"/>
      <c r="BD857" s="101"/>
    </row>
    <row r="858" spans="2:56" s="84" customFormat="1" x14ac:dyDescent="0.35">
      <c r="B858" s="26"/>
      <c r="C858" s="27"/>
      <c r="D858" s="28">
        <f>IF(D784="","",D784)</f>
        <v>11792</v>
      </c>
      <c r="E858" s="29" t="str">
        <f t="shared" si="347"/>
        <v/>
      </c>
      <c r="F858" s="50">
        <f>B823</f>
        <v>21</v>
      </c>
      <c r="G858" s="59"/>
      <c r="H858" s="64"/>
      <c r="I858" s="106"/>
      <c r="J858" s="105"/>
      <c r="K858" s="106"/>
      <c r="L858" s="105"/>
      <c r="M858" s="106"/>
      <c r="N858" s="105"/>
      <c r="O858" s="106"/>
      <c r="P858" s="105"/>
      <c r="Q858" s="106"/>
      <c r="R858" s="105"/>
      <c r="S858" s="59"/>
      <c r="T858" s="64"/>
      <c r="U858" s="44"/>
      <c r="W858" s="59"/>
      <c r="X858" s="64"/>
      <c r="Y858" s="106"/>
      <c r="Z858" s="105"/>
      <c r="AA858" s="106"/>
      <c r="AB858" s="105"/>
      <c r="AC858" s="106"/>
      <c r="AD858" s="105"/>
      <c r="AE858" s="106"/>
      <c r="AF858" s="105"/>
      <c r="AG858" s="106"/>
      <c r="AH858" s="105"/>
      <c r="AI858" s="59"/>
      <c r="AJ858" s="64"/>
      <c r="AK858" s="44"/>
      <c r="AM858" s="49"/>
      <c r="AN858" s="49"/>
      <c r="AO858" s="49"/>
      <c r="AP858" s="49"/>
      <c r="AQ858" s="49"/>
      <c r="AR858" s="40"/>
      <c r="AS858" s="51"/>
      <c r="AU858" s="49"/>
      <c r="AW858" s="52"/>
      <c r="BA858" s="2"/>
      <c r="BB858" s="2"/>
      <c r="BC858" s="101"/>
      <c r="BD858" s="101"/>
    </row>
    <row r="859" spans="2:56" s="84" customFormat="1" x14ac:dyDescent="0.35">
      <c r="B859" s="30" t="str">
        <f>IF(B785="","",B785)</f>
        <v>Pellerin, Pierre</v>
      </c>
      <c r="C859" s="31"/>
      <c r="D859" s="32"/>
      <c r="E859" s="33">
        <f t="shared" si="347"/>
        <v>93595935</v>
      </c>
      <c r="F859" s="50">
        <f>B823</f>
        <v>21</v>
      </c>
      <c r="G859" s="69"/>
      <c r="H859" s="70"/>
      <c r="I859" s="104"/>
      <c r="J859" s="103">
        <v>8</v>
      </c>
      <c r="K859" s="104"/>
      <c r="L859" s="103">
        <v>8</v>
      </c>
      <c r="M859" s="104"/>
      <c r="N859" s="103">
        <v>8</v>
      </c>
      <c r="O859" s="104"/>
      <c r="P859" s="103">
        <v>8</v>
      </c>
      <c r="Q859" s="104"/>
      <c r="R859" s="103">
        <v>8</v>
      </c>
      <c r="S859" s="69"/>
      <c r="T859" s="70"/>
      <c r="U859" s="71">
        <f t="shared" ref="U859" si="362">SUM(G859:T859)</f>
        <v>40</v>
      </c>
      <c r="V859" s="72"/>
      <c r="W859" s="69"/>
      <c r="X859" s="70"/>
      <c r="Y859" s="104"/>
      <c r="Z859" s="103">
        <v>8</v>
      </c>
      <c r="AA859" s="104"/>
      <c r="AB859" s="103">
        <v>8</v>
      </c>
      <c r="AC859" s="104"/>
      <c r="AD859" s="103">
        <v>8</v>
      </c>
      <c r="AE859" s="104"/>
      <c r="AF859" s="103">
        <v>8</v>
      </c>
      <c r="AG859" s="104"/>
      <c r="AH859" s="103">
        <v>8</v>
      </c>
      <c r="AI859" s="69"/>
      <c r="AJ859" s="70"/>
      <c r="AK859" s="71">
        <f>SUM(Z859:AH859)</f>
        <v>40</v>
      </c>
      <c r="AL859" s="72"/>
      <c r="AM859" s="73">
        <f>SUMIF($G858:$T858,"",$G859:$T859)+SUMIF($W858:$AJ858,"",$W859:$AJ859)-AN859</f>
        <v>80</v>
      </c>
      <c r="AN859" s="88">
        <f>IF(SUMIF($G858:$T858,"",$G859:$T859)+SUMIF($G858:$T858,"F",$G859:$T859)+SUMIF($G858:$T858,"V",$G859:$T859)-40&lt;0,0,SUMIF($G858:$T858,"",$G859:$T859)+SUMIF($G858:$T858,"F",$G859:$T859)+SUMIF($G858:$T858,"V",$G859:$T859)-($U$9/2))+IF(SUMIF($W858:$AJ858,"",$W859:$AJ859)+SUMIF($W858:$AJ858,"F",$W859:$AJ859)+SUMIF($W858:$AJ858,"V",$W859:$AJ859)-40&lt;0,0,SUMIF($W858:$AJ858,"",$W859:$AJ859)+SUMIF($W858:$AJ858,"F",$W859:$AJ859)+SUMIF($W858:$AJ858,"V",$W859:$AJ859)-($U$9/2))</f>
        <v>0</v>
      </c>
      <c r="AO859" s="73">
        <f>SUMIF($G858:$T858,"M",$G859:$T859)+SUMIF($W858:$AJ858,"M",$W859:$AJ859)</f>
        <v>0</v>
      </c>
      <c r="AP859" s="73">
        <f>SUMIF($G858:$T858,"F",$G859:$T859)+SUMIF($W858:$AJ858,"F",$W859:$AJ859)</f>
        <v>0</v>
      </c>
      <c r="AQ859" s="73">
        <f>SUMIF($G858:$T858,"V",$G859:$T859)+SUMIF($W858:$AJ858,"V",$W859:$AJ859)</f>
        <v>0</v>
      </c>
      <c r="AR859" s="74">
        <f>SUMIF($G858:$T858,"O",$G859:$T859)+SUMIF($W858:$AJ858,"O",$W859:$AJ859)</f>
        <v>0</v>
      </c>
      <c r="AS859" s="75">
        <f>SUM(AM859:AR859)</f>
        <v>80</v>
      </c>
      <c r="AT859" s="72"/>
      <c r="AU859" s="73">
        <f>SUMIF($G858:$T858,"A",$G859:$T859)+SUMIF($W858:$AJ858,"A",$W859:$AJ859)</f>
        <v>0</v>
      </c>
      <c r="AV859" s="72"/>
      <c r="AW859" s="76">
        <f>IF(B859="",0,IF($U$9="",0,$U$9))</f>
        <v>80</v>
      </c>
      <c r="BA859" s="2"/>
      <c r="BB859" s="2"/>
      <c r="BC859" s="101"/>
      <c r="BD859" s="101"/>
    </row>
    <row r="860" spans="2:56" s="84" customFormat="1" x14ac:dyDescent="0.35">
      <c r="B860" s="26"/>
      <c r="C860" s="27"/>
      <c r="D860" s="28">
        <f>IF(D786="","",D786)</f>
        <v>81043</v>
      </c>
      <c r="E860" s="29" t="str">
        <f t="shared" si="347"/>
        <v/>
      </c>
      <c r="F860" s="50">
        <f>B823</f>
        <v>21</v>
      </c>
      <c r="G860" s="59"/>
      <c r="H860" s="64"/>
      <c r="I860" s="106"/>
      <c r="J860" s="105"/>
      <c r="K860" s="106"/>
      <c r="L860" s="105"/>
      <c r="M860" s="106"/>
      <c r="N860" s="105"/>
      <c r="O860" s="106"/>
      <c r="P860" s="105"/>
      <c r="Q860" s="106"/>
      <c r="R860" s="105"/>
      <c r="S860" s="59"/>
      <c r="T860" s="64"/>
      <c r="U860" s="44"/>
      <c r="W860" s="59"/>
      <c r="X860" s="64"/>
      <c r="Y860" s="106"/>
      <c r="Z860" s="105"/>
      <c r="AA860" s="106"/>
      <c r="AB860" s="105"/>
      <c r="AC860" s="106"/>
      <c r="AD860" s="105"/>
      <c r="AE860" s="106"/>
      <c r="AF860" s="105"/>
      <c r="AG860" s="106"/>
      <c r="AH860" s="105"/>
      <c r="AI860" s="59"/>
      <c r="AJ860" s="64"/>
      <c r="AK860" s="44"/>
      <c r="AM860" s="49"/>
      <c r="AN860" s="49"/>
      <c r="AO860" s="49"/>
      <c r="AP860" s="49"/>
      <c r="AQ860" s="49"/>
      <c r="AR860" s="40"/>
      <c r="AS860" s="51"/>
      <c r="AU860" s="49"/>
      <c r="AW860" s="52"/>
      <c r="BA860" s="2"/>
      <c r="BB860" s="2"/>
      <c r="BC860" s="101"/>
      <c r="BD860" s="101"/>
    </row>
    <row r="861" spans="2:56" s="84" customFormat="1" x14ac:dyDescent="0.35">
      <c r="B861" s="30" t="str">
        <f>IF(B787="","",B787)</f>
        <v>Rodrigue, Frank</v>
      </c>
      <c r="C861" s="31"/>
      <c r="D861" s="32"/>
      <c r="E861" s="33">
        <f t="shared" ref="E861:E877" si="363">IF(E787="","",E787)</f>
        <v>93545</v>
      </c>
      <c r="F861" s="50">
        <f>B823</f>
        <v>21</v>
      </c>
      <c r="G861" s="69"/>
      <c r="H861" s="70"/>
      <c r="I861" s="104"/>
      <c r="J861" s="103">
        <v>8</v>
      </c>
      <c r="K861" s="104"/>
      <c r="L861" s="103">
        <v>8</v>
      </c>
      <c r="M861" s="104"/>
      <c r="N861" s="103">
        <v>8</v>
      </c>
      <c r="O861" s="104"/>
      <c r="P861" s="103">
        <v>8</v>
      </c>
      <c r="Q861" s="104"/>
      <c r="R861" s="103">
        <v>8</v>
      </c>
      <c r="S861" s="69"/>
      <c r="T861" s="70"/>
      <c r="U861" s="71">
        <f t="shared" ref="U861" si="364">SUM(G861:T861)</f>
        <v>40</v>
      </c>
      <c r="V861" s="72"/>
      <c r="W861" s="69"/>
      <c r="X861" s="70"/>
      <c r="Y861" s="104"/>
      <c r="Z861" s="103">
        <v>8</v>
      </c>
      <c r="AA861" s="104"/>
      <c r="AB861" s="103">
        <v>8</v>
      </c>
      <c r="AC861" s="104"/>
      <c r="AD861" s="103">
        <v>8</v>
      </c>
      <c r="AE861" s="104"/>
      <c r="AF861" s="103">
        <v>8</v>
      </c>
      <c r="AG861" s="104"/>
      <c r="AH861" s="103">
        <v>8</v>
      </c>
      <c r="AI861" s="69"/>
      <c r="AJ861" s="70"/>
      <c r="AK861" s="71">
        <f>SUM(W861:AJ861)</f>
        <v>40</v>
      </c>
      <c r="AL861" s="72"/>
      <c r="AM861" s="73">
        <f>SUMIF($G860:$T860,"",$G861:$T861)+SUMIF($W860:$AJ860,"",$W861:$AJ861)-AN861</f>
        <v>80</v>
      </c>
      <c r="AN861" s="88">
        <f>IF(SUMIF($G860:$T860,"",$G861:$T861)+SUMIF($G860:$T860,"F",$G861:$T861)+SUMIF($G860:$T860,"V",$G861:$T861)-40&lt;0,0,SUMIF($G860:$T860,"",$G861:$T861)+SUMIF($G860:$T860,"F",$G861:$T861)+SUMIF($G860:$T860,"V",$G861:$T861)-($U$9/2))+IF(SUMIF($W860:$AJ860,"",$W861:$AJ861)+SUMIF($W860:$AJ860,"F",$W861:$AJ861)+SUMIF($W860:$AJ860,"V",$W861:$AJ861)-40&lt;0,0,SUMIF($W860:$AJ860,"",$W861:$AJ861)+SUMIF($W860:$AJ860,"F",$W861:$AJ861)+SUMIF($W860:$AJ860,"V",$W861:$AJ861)-($U$9/2))</f>
        <v>0</v>
      </c>
      <c r="AO861" s="73">
        <f>SUMIF($G860:$T860,"M",$G861:$T861)+SUMIF($W860:$AJ860,"M",$W861:$AJ861)</f>
        <v>0</v>
      </c>
      <c r="AP861" s="73">
        <f>SUMIF($G860:$T860,"F",$G861:$T861)+SUMIF($W860:$AJ860,"F",$W861:$AJ861)</f>
        <v>0</v>
      </c>
      <c r="AQ861" s="73">
        <f>SUMIF($G860:$T860,"V",$G861:$T861)+SUMIF($W860:$AJ860,"V",$W861:$AJ861)</f>
        <v>0</v>
      </c>
      <c r="AR861" s="74">
        <f>SUMIF($G860:$T860,"O",$G861:$T861)+SUMIF($W860:$AJ860,"O",$W861:$AJ861)</f>
        <v>0</v>
      </c>
      <c r="AS861" s="75">
        <f>SUM(AM861:AR861)</f>
        <v>80</v>
      </c>
      <c r="AT861" s="72"/>
      <c r="AU861" s="73">
        <f>SUMIF($G860:$T860,"A",$G861:$T861)+SUMIF($W860:$AJ860,"A",$W861:$AJ861)</f>
        <v>0</v>
      </c>
      <c r="AV861" s="72"/>
      <c r="AW861" s="76">
        <f>IF(B861="",0,IF($U$9="",0,$U$9))</f>
        <v>80</v>
      </c>
      <c r="BA861" s="2"/>
      <c r="BB861" s="2"/>
      <c r="BC861" s="101"/>
      <c r="BD861" s="101"/>
    </row>
    <row r="862" spans="2:56" s="84" customFormat="1" x14ac:dyDescent="0.35">
      <c r="B862" s="26"/>
      <c r="C862" s="27"/>
      <c r="D862" s="28">
        <f>IF(D788="","",D788)</f>
        <v>72673</v>
      </c>
      <c r="E862" s="29" t="str">
        <f t="shared" si="363"/>
        <v/>
      </c>
      <c r="F862" s="50">
        <f>B823</f>
        <v>21</v>
      </c>
      <c r="G862" s="59"/>
      <c r="H862" s="64"/>
      <c r="I862" s="106"/>
      <c r="J862" s="105"/>
      <c r="K862" s="106"/>
      <c r="L862" s="105"/>
      <c r="M862" s="106"/>
      <c r="N862" s="105"/>
      <c r="O862" s="106"/>
      <c r="P862" s="105"/>
      <c r="Q862" s="106"/>
      <c r="R862" s="105"/>
      <c r="S862" s="59"/>
      <c r="T862" s="64"/>
      <c r="U862" s="44"/>
      <c r="W862" s="59"/>
      <c r="X862" s="64"/>
      <c r="Y862" s="106"/>
      <c r="Z862" s="105"/>
      <c r="AA862" s="106"/>
      <c r="AB862" s="105"/>
      <c r="AC862" s="106"/>
      <c r="AD862" s="105"/>
      <c r="AE862" s="106"/>
      <c r="AF862" s="105"/>
      <c r="AG862" s="106"/>
      <c r="AH862" s="105"/>
      <c r="AI862" s="59"/>
      <c r="AJ862" s="64"/>
      <c r="AK862" s="44"/>
      <c r="AM862" s="49"/>
      <c r="AN862" s="49"/>
      <c r="AO862" s="49"/>
      <c r="AP862" s="49"/>
      <c r="AQ862" s="49"/>
      <c r="AR862" s="40"/>
      <c r="AS862" s="51"/>
      <c r="AU862" s="49"/>
      <c r="AW862" s="52"/>
      <c r="BA862" s="2"/>
      <c r="BB862" s="2"/>
      <c r="BC862" s="101"/>
      <c r="BD862" s="101"/>
    </row>
    <row r="863" spans="2:56" s="84" customFormat="1" x14ac:dyDescent="0.35">
      <c r="B863" s="30" t="str">
        <f>IF(B789="","",B789)</f>
        <v>St-Georges, Manuel (avance $2,000)</v>
      </c>
      <c r="C863" s="31"/>
      <c r="D863" s="32"/>
      <c r="E863" s="33">
        <f t="shared" si="363"/>
        <v>93595935</v>
      </c>
      <c r="F863" s="50">
        <f>B823</f>
        <v>21</v>
      </c>
      <c r="G863" s="69"/>
      <c r="H863" s="70"/>
      <c r="I863" s="104"/>
      <c r="J863" s="103" t="s">
        <v>69</v>
      </c>
      <c r="K863" s="104"/>
      <c r="L863" s="103" t="s">
        <v>69</v>
      </c>
      <c r="M863" s="104"/>
      <c r="N863" s="103" t="s">
        <v>69</v>
      </c>
      <c r="O863" s="104"/>
      <c r="P863" s="103" t="s">
        <v>69</v>
      </c>
      <c r="Q863" s="104"/>
      <c r="R863" s="103" t="s">
        <v>69</v>
      </c>
      <c r="S863" s="69"/>
      <c r="T863" s="70"/>
      <c r="U863" s="71">
        <f t="shared" ref="U863" si="365">SUM(G863:T863)</f>
        <v>0</v>
      </c>
      <c r="V863" s="72"/>
      <c r="W863" s="69"/>
      <c r="X863" s="70"/>
      <c r="Y863" s="104"/>
      <c r="Z863" s="103" t="s">
        <v>69</v>
      </c>
      <c r="AA863" s="104"/>
      <c r="AB863" s="103" t="s">
        <v>69</v>
      </c>
      <c r="AC863" s="104"/>
      <c r="AD863" s="103" t="s">
        <v>69</v>
      </c>
      <c r="AE863" s="104"/>
      <c r="AF863" s="103" t="s">
        <v>69</v>
      </c>
      <c r="AG863" s="104"/>
      <c r="AH863" s="103" t="s">
        <v>69</v>
      </c>
      <c r="AI863" s="69"/>
      <c r="AJ863" s="70"/>
      <c r="AK863" s="71">
        <f>SUM(W863:AJ863)</f>
        <v>0</v>
      </c>
      <c r="AL863" s="72"/>
      <c r="AM863" s="73">
        <f>SUMIF($G862:$T862,"",$G863:$T863)+SUMIF($W862:$AJ862,"",$W863:$AJ863)-AN863</f>
        <v>0</v>
      </c>
      <c r="AN863" s="88">
        <f>IF(SUMIF($G862:$T862,"",$G863:$T863)+SUMIF($G862:$T862,"F",$G863:$T863)+SUMIF($G862:$T862,"V",$G863:$T863)-40&lt;0,0,SUMIF($G862:$T862,"",$G863:$T863)+SUMIF($G862:$T862,"F",$G863:$T863)+SUMIF($G862:$T862,"V",$G863:$T863)-($U$9/2))+IF(SUMIF($W862:$AJ862,"",$W863:$AJ863)+SUMIF($W862:$AJ862,"F",$W863:$AJ863)+SUMIF($W862:$AJ862,"V",$W863:$AJ863)-40&lt;0,0,SUMIF($W862:$AJ862,"",$W863:$AJ863)+SUMIF($W862:$AJ862,"F",$W863:$AJ863)+SUMIF($W862:$AJ862,"V",$W863:$AJ863)-($U$9/2))</f>
        <v>0</v>
      </c>
      <c r="AO863" s="73">
        <f>SUMIF($G862:$T862,"M",$G863:$T863)+SUMIF($W862:$AJ862,"M",$W863:$AJ863)</f>
        <v>0</v>
      </c>
      <c r="AP863" s="73">
        <f>SUMIF($G862:$T862,"F",$G863:$T863)+SUMIF($W862:$AJ862,"F",$W863:$AJ863)</f>
        <v>0</v>
      </c>
      <c r="AQ863" s="73">
        <f>SUMIF($G862:$T862,"V",$G863:$T863)+SUMIF($W862:$AJ862,"V",$W863:$AJ863)</f>
        <v>0</v>
      </c>
      <c r="AR863" s="74">
        <f>SUMIF($G862:$T862,"O",$G863:$T863)+SUMIF($W862:$AJ862,"O",$W863:$AJ863)</f>
        <v>0</v>
      </c>
      <c r="AS863" s="75">
        <f>SUM(AM863:AR863)</f>
        <v>0</v>
      </c>
      <c r="AT863" s="72"/>
      <c r="AU863" s="73">
        <f>SUMIF($G862:$T862,"A",$G863:$T863)+SUMIF($W862:$AJ862,"A",$W863:$AJ863)</f>
        <v>0</v>
      </c>
      <c r="AV863" s="72"/>
      <c r="AW863" s="76">
        <f>IF(B863="",0,IF($U$9="",0,$U$9))</f>
        <v>80</v>
      </c>
      <c r="BA863" s="2"/>
      <c r="BB863" s="2"/>
      <c r="BC863" s="101"/>
      <c r="BD863" s="101"/>
    </row>
    <row r="864" spans="2:56" s="84" customFormat="1" x14ac:dyDescent="0.35">
      <c r="B864" s="26"/>
      <c r="C864" s="27"/>
      <c r="D864" s="28" t="str">
        <f>IF(D790="","",D790)</f>
        <v/>
      </c>
      <c r="E864" s="29" t="str">
        <f t="shared" si="363"/>
        <v/>
      </c>
      <c r="F864" s="50">
        <f>B823</f>
        <v>21</v>
      </c>
      <c r="G864" s="59"/>
      <c r="H864" s="64"/>
      <c r="I864" s="106"/>
      <c r="J864" s="105"/>
      <c r="K864" s="106"/>
      <c r="L864" s="105"/>
      <c r="M864" s="106"/>
      <c r="N864" s="105"/>
      <c r="O864" s="106"/>
      <c r="P864" s="105"/>
      <c r="Q864" s="106"/>
      <c r="R864" s="105"/>
      <c r="S864" s="59"/>
      <c r="T864" s="64"/>
      <c r="U864" s="44"/>
      <c r="W864" s="59"/>
      <c r="X864" s="64"/>
      <c r="Y864" s="106"/>
      <c r="Z864" s="105"/>
      <c r="AA864" s="106"/>
      <c r="AB864" s="105"/>
      <c r="AC864" s="106"/>
      <c r="AD864" s="105"/>
      <c r="AE864" s="106"/>
      <c r="AF864" s="105"/>
      <c r="AG864" s="106"/>
      <c r="AH864" s="105"/>
      <c r="AI864" s="59"/>
      <c r="AJ864" s="64"/>
      <c r="AK864" s="44"/>
      <c r="AM864" s="49"/>
      <c r="AN864" s="49"/>
      <c r="AO864" s="49"/>
      <c r="AP864" s="49"/>
      <c r="AQ864" s="49"/>
      <c r="AR864" s="40"/>
      <c r="AS864" s="51"/>
      <c r="AU864" s="49"/>
      <c r="AW864" s="52"/>
      <c r="BA864" s="2"/>
      <c r="BB864" s="2"/>
      <c r="BC864" s="101"/>
      <c r="BD864" s="101"/>
    </row>
    <row r="865" spans="1:56" s="84" customFormat="1" x14ac:dyDescent="0.35">
      <c r="B865" s="30" t="str">
        <f>IF(B791="","",B791)</f>
        <v/>
      </c>
      <c r="C865" s="31"/>
      <c r="D865" s="32"/>
      <c r="E865" s="33" t="str">
        <f t="shared" si="363"/>
        <v/>
      </c>
      <c r="F865" s="50">
        <f>B823</f>
        <v>21</v>
      </c>
      <c r="G865" s="69"/>
      <c r="H865" s="70"/>
      <c r="I865" s="104"/>
      <c r="J865" s="103"/>
      <c r="K865" s="104"/>
      <c r="L865" s="103"/>
      <c r="M865" s="104"/>
      <c r="N865" s="103"/>
      <c r="O865" s="104"/>
      <c r="P865" s="103"/>
      <c r="Q865" s="104"/>
      <c r="R865" s="103"/>
      <c r="S865" s="69"/>
      <c r="T865" s="70"/>
      <c r="U865" s="71">
        <f t="shared" ref="U865" si="366">SUM(G865:T865)</f>
        <v>0</v>
      </c>
      <c r="V865" s="72"/>
      <c r="W865" s="69"/>
      <c r="X865" s="70"/>
      <c r="Y865" s="104"/>
      <c r="Z865" s="103"/>
      <c r="AA865" s="104"/>
      <c r="AB865" s="103"/>
      <c r="AC865" s="104"/>
      <c r="AD865" s="103"/>
      <c r="AE865" s="104"/>
      <c r="AF865" s="103"/>
      <c r="AG865" s="104"/>
      <c r="AH865" s="103"/>
      <c r="AI865" s="69"/>
      <c r="AJ865" s="70"/>
      <c r="AK865" s="71">
        <f>SUM(W865:AJ865)</f>
        <v>0</v>
      </c>
      <c r="AL865" s="72"/>
      <c r="AM865" s="73">
        <f>SUMIF($G864:$T864,"",$G865:$T865)+SUMIF($W864:$AJ864,"",$W865:$AJ865)-AN865</f>
        <v>0</v>
      </c>
      <c r="AN865" s="88">
        <f>IF(SUMIF($G864:$T864,"",$G865:$T865)+SUMIF($G864:$T864,"F",$G865:$T865)+SUMIF($G864:$T864,"V",$G865:$T865)-40&lt;0,0,SUMIF($G864:$T864,"",$G865:$T865)+SUMIF($G864:$T864,"F",$G865:$T865)+SUMIF($G864:$T864,"V",$G865:$T865)-($U$9/2))+IF(SUMIF($W864:$AJ864,"",$W865:$AJ865)+SUMIF($W864:$AJ864,"F",$W865:$AJ865)+SUMIF($W864:$AJ864,"V",$W865:$AJ865)-40&lt;0,0,SUMIF($W864:$AJ864,"",$W865:$AJ865)+SUMIF($W864:$AJ864,"F",$W865:$AJ865)+SUMIF($W864:$AJ864,"V",$W865:$AJ865)-($U$9/2))</f>
        <v>0</v>
      </c>
      <c r="AO865" s="73">
        <f>SUMIF($G864:$T864,"M",$G865:$T865)+SUMIF($W864:$AJ864,"M",$W865:$AJ865)</f>
        <v>0</v>
      </c>
      <c r="AP865" s="73">
        <f>SUMIF($G864:$T864,"F",$G865:$T865)+SUMIF($W864:$AJ864,"F",$W865:$AJ865)</f>
        <v>0</v>
      </c>
      <c r="AQ865" s="73">
        <f>SUMIF($G864:$T864,"V",$G865:$T865)+SUMIF($W864:$AJ864,"V",$W865:$AJ865)</f>
        <v>0</v>
      </c>
      <c r="AR865" s="74">
        <f>SUMIF($G864:$T864,"O",$G865:$T865)+SUMIF($W864:$AJ864,"O",$W865:$AJ865)</f>
        <v>0</v>
      </c>
      <c r="AS865" s="75">
        <f>SUM(AM865:AR865)</f>
        <v>0</v>
      </c>
      <c r="AT865" s="72"/>
      <c r="AU865" s="73">
        <f>SUMIF($G864:$T864,"A",$G865:$T865)+SUMIF($W864:$AJ864,"A",$W865:$AJ865)</f>
        <v>0</v>
      </c>
      <c r="AV865" s="72"/>
      <c r="AW865" s="76">
        <f>IF(B865="",0,IF($U$9="",0,$U$9))</f>
        <v>0</v>
      </c>
      <c r="BA865" s="2"/>
      <c r="BB865" s="2"/>
      <c r="BC865" s="101"/>
      <c r="BD865" s="101"/>
    </row>
    <row r="866" spans="1:56" s="84" customFormat="1" x14ac:dyDescent="0.35">
      <c r="B866" s="26"/>
      <c r="C866" s="27"/>
      <c r="D866" s="28">
        <f>IF(D792="","",D792)</f>
        <v>23736</v>
      </c>
      <c r="E866" s="29" t="str">
        <f t="shared" si="363"/>
        <v/>
      </c>
      <c r="F866" s="50">
        <f>B823</f>
        <v>21</v>
      </c>
      <c r="G866" s="59"/>
      <c r="H866" s="64"/>
      <c r="I866" s="106"/>
      <c r="J866" s="105"/>
      <c r="K866" s="106"/>
      <c r="L866" s="105"/>
      <c r="M866" s="106"/>
      <c r="N866" s="105"/>
      <c r="O866" s="106"/>
      <c r="P866" s="105"/>
      <c r="Q866" s="106"/>
      <c r="R866" s="105"/>
      <c r="S866" s="59"/>
      <c r="T866" s="64"/>
      <c r="U866" s="44"/>
      <c r="W866" s="59"/>
      <c r="X866" s="64"/>
      <c r="Y866" s="106"/>
      <c r="Z866" s="105"/>
      <c r="AA866" s="106"/>
      <c r="AB866" s="105"/>
      <c r="AC866" s="106"/>
      <c r="AD866" s="105"/>
      <c r="AE866" s="106"/>
      <c r="AF866" s="105"/>
      <c r="AG866" s="106"/>
      <c r="AH866" s="105"/>
      <c r="AI866" s="59"/>
      <c r="AJ866" s="64"/>
      <c r="AK866" s="44"/>
      <c r="AM866" s="49"/>
      <c r="AN866" s="49"/>
      <c r="AO866" s="49"/>
      <c r="AP866" s="49"/>
      <c r="AQ866" s="49"/>
      <c r="AR866" s="40"/>
      <c r="AS866" s="51"/>
      <c r="AU866" s="49"/>
      <c r="AW866" s="52"/>
      <c r="BA866" s="2"/>
      <c r="BB866" s="2"/>
      <c r="BC866" s="101"/>
      <c r="BD866" s="101"/>
    </row>
    <row r="867" spans="1:56" s="84" customFormat="1" x14ac:dyDescent="0.35">
      <c r="B867" s="30" t="str">
        <f>IF(B793="","",B793)</f>
        <v>Voster, Jean-Michel</v>
      </c>
      <c r="C867" s="31"/>
      <c r="D867" s="32"/>
      <c r="E867" s="33">
        <f t="shared" si="363"/>
        <v>93545</v>
      </c>
      <c r="F867" s="50">
        <f>B823</f>
        <v>21</v>
      </c>
      <c r="G867" s="69"/>
      <c r="H867" s="70"/>
      <c r="I867" s="104"/>
      <c r="J867" s="103">
        <v>8</v>
      </c>
      <c r="K867" s="104"/>
      <c r="L867" s="103">
        <v>8</v>
      </c>
      <c r="M867" s="104"/>
      <c r="N867" s="103">
        <v>8</v>
      </c>
      <c r="O867" s="104"/>
      <c r="P867" s="103">
        <v>7.75</v>
      </c>
      <c r="Q867" s="104"/>
      <c r="R867" s="103">
        <v>7.5</v>
      </c>
      <c r="S867" s="69"/>
      <c r="T867" s="70"/>
      <c r="U867" s="71">
        <f t="shared" ref="U867" si="367">SUM(G867:T867)</f>
        <v>39.25</v>
      </c>
      <c r="V867" s="72"/>
      <c r="W867" s="69"/>
      <c r="X867" s="70"/>
      <c r="Y867" s="104"/>
      <c r="Z867" s="103">
        <v>8</v>
      </c>
      <c r="AA867" s="104"/>
      <c r="AB867" s="103">
        <v>8</v>
      </c>
      <c r="AC867" s="104"/>
      <c r="AD867" s="103">
        <v>7.75</v>
      </c>
      <c r="AE867" s="104"/>
      <c r="AF867" s="103">
        <v>8</v>
      </c>
      <c r="AG867" s="104"/>
      <c r="AH867" s="103">
        <v>8</v>
      </c>
      <c r="AI867" s="69"/>
      <c r="AJ867" s="70"/>
      <c r="AK867" s="71">
        <f>SUM(W867:AJ867)</f>
        <v>39.75</v>
      </c>
      <c r="AL867" s="72"/>
      <c r="AM867" s="73">
        <f>SUMIF($G866:$T866,"",$G867:$T867)+SUMIF($W866:$AJ866,"",$W867:$AJ867)-AN867</f>
        <v>79</v>
      </c>
      <c r="AN867" s="88">
        <f>IF(SUMIF($G866:$T866,"",$G867:$T867)+SUMIF($G866:$T866,"F",$G867:$T867)+SUMIF($G866:$T866,"V",$G867:$T867)-40&lt;0,0,SUMIF($G866:$T866,"",$G867:$T867)+SUMIF($G866:$T866,"F",$G867:$T867)+SUMIF($G866:$T866,"V",$G867:$T867)-($U$9/2))+IF(SUMIF($W866:$AJ866,"",$W867:$AJ867)+SUMIF($W866:$AJ866,"F",$W867:$AJ867)+SUMIF($W866:$AJ866,"V",$W867:$AJ867)-40&lt;0,0,SUMIF($W866:$AJ866,"",$W867:$AJ867)+SUMIF($W866:$AJ866,"F",$W867:$AJ867)+SUMIF($W866:$AJ866,"V",$W867:$AJ867)-($U$9/2))</f>
        <v>0</v>
      </c>
      <c r="AO867" s="73">
        <f>SUMIF($G866:$T866,"M",$G867:$T867)+SUMIF($W866:$AJ866,"M",$W867:$AJ867)</f>
        <v>0</v>
      </c>
      <c r="AP867" s="73">
        <f>SUMIF($G866:$T866,"F",$G867:$T867)+SUMIF($W866:$AJ866,"F",$W867:$AJ867)</f>
        <v>0</v>
      </c>
      <c r="AQ867" s="73">
        <f>SUMIF($G866:$T866,"V",$G867:$T867)+SUMIF($W866:$AJ866,"V",$W867:$AJ867)</f>
        <v>0</v>
      </c>
      <c r="AR867" s="74">
        <f>SUMIF($G866:$T866,"O",$G867:$T867)+SUMIF($W866:$AJ866,"O",$W867:$AJ867)</f>
        <v>0</v>
      </c>
      <c r="AS867" s="75">
        <f>SUM(AM867:AR867)</f>
        <v>79</v>
      </c>
      <c r="AT867" s="72"/>
      <c r="AU867" s="73">
        <f>SUMIF($G866:$T866,"A",$G867:$T867)+SUMIF($W866:$AJ866,"A",$W867:$AJ867)</f>
        <v>0</v>
      </c>
      <c r="AV867" s="72"/>
      <c r="AW867" s="76">
        <f>IF(B867="",0,IF($U$9="",0,$U$9))</f>
        <v>80</v>
      </c>
      <c r="BA867" s="2"/>
      <c r="BB867" s="2"/>
      <c r="BC867" s="101"/>
      <c r="BD867" s="101"/>
    </row>
    <row r="868" spans="1:56" s="53" customFormat="1" ht="15" customHeight="1" x14ac:dyDescent="0.35">
      <c r="A868" s="84"/>
      <c r="B868" s="26"/>
      <c r="C868" s="27"/>
      <c r="D868" s="28" t="str">
        <f>IF(D794="","",D794)</f>
        <v/>
      </c>
      <c r="E868" s="29" t="str">
        <f t="shared" si="363"/>
        <v/>
      </c>
      <c r="F868" s="50">
        <f>B823</f>
        <v>21</v>
      </c>
      <c r="G868" s="59"/>
      <c r="H868" s="64"/>
      <c r="I868" s="106"/>
      <c r="J868" s="105"/>
      <c r="K868" s="106"/>
      <c r="L868" s="105"/>
      <c r="M868" s="106"/>
      <c r="N868" s="105"/>
      <c r="O868" s="106"/>
      <c r="P868" s="105"/>
      <c r="Q868" s="106"/>
      <c r="R868" s="105"/>
      <c r="S868" s="59"/>
      <c r="T868" s="64"/>
      <c r="U868" s="44"/>
      <c r="V868" s="84"/>
      <c r="W868" s="59"/>
      <c r="X868" s="64"/>
      <c r="Y868" s="106"/>
      <c r="Z868" s="105"/>
      <c r="AA868" s="106"/>
      <c r="AB868" s="105"/>
      <c r="AC868" s="106"/>
      <c r="AD868" s="105"/>
      <c r="AE868" s="106"/>
      <c r="AF868" s="105"/>
      <c r="AG868" s="106"/>
      <c r="AH868" s="105"/>
      <c r="AI868" s="59"/>
      <c r="AJ868" s="64"/>
      <c r="AK868" s="44"/>
      <c r="AL868" s="84"/>
      <c r="AM868" s="49"/>
      <c r="AN868" s="49"/>
      <c r="AO868" s="49"/>
      <c r="AP868" s="49"/>
      <c r="AQ868" s="49"/>
      <c r="AR868" s="40"/>
      <c r="AS868" s="51"/>
      <c r="AT868" s="84"/>
      <c r="AU868" s="49"/>
      <c r="AV868" s="84"/>
      <c r="AW868" s="52"/>
      <c r="AX868" s="84"/>
      <c r="BA868" s="2"/>
      <c r="BB868" s="2"/>
      <c r="BC868" s="101"/>
      <c r="BD868" s="101"/>
    </row>
    <row r="869" spans="1:56" s="57" customFormat="1" ht="15" customHeight="1" x14ac:dyDescent="0.35">
      <c r="A869" s="84"/>
      <c r="B869" s="30"/>
      <c r="C869" s="31"/>
      <c r="D869" s="32"/>
      <c r="E869" s="33"/>
      <c r="F869" s="50">
        <f>B823</f>
        <v>21</v>
      </c>
      <c r="G869" s="69"/>
      <c r="H869" s="70"/>
      <c r="I869" s="104"/>
      <c r="J869" s="103"/>
      <c r="K869" s="104"/>
      <c r="L869" s="103"/>
      <c r="M869" s="104"/>
      <c r="N869" s="103"/>
      <c r="O869" s="104"/>
      <c r="P869" s="103"/>
      <c r="Q869" s="104"/>
      <c r="R869" s="103"/>
      <c r="S869" s="69"/>
      <c r="T869" s="70"/>
      <c r="U869" s="71">
        <f t="shared" ref="U869" si="368">SUM(G869:T869)</f>
        <v>0</v>
      </c>
      <c r="V869" s="72"/>
      <c r="W869" s="69"/>
      <c r="X869" s="70"/>
      <c r="Y869" s="104"/>
      <c r="Z869" s="103"/>
      <c r="AA869" s="104"/>
      <c r="AB869" s="103"/>
      <c r="AC869" s="104"/>
      <c r="AD869" s="103"/>
      <c r="AE869" s="104"/>
      <c r="AF869" s="103"/>
      <c r="AG869" s="104"/>
      <c r="AH869" s="103"/>
      <c r="AI869" s="69"/>
      <c r="AJ869" s="70"/>
      <c r="AK869" s="71">
        <f>SUM(W869:AJ869)</f>
        <v>0</v>
      </c>
      <c r="AL869" s="72"/>
      <c r="AM869" s="73">
        <f>SUMIF($G868:$T868,"",$G869:$T869)+SUMIF($W868:$AJ868,"",$W869:$AJ869)-AN869</f>
        <v>0</v>
      </c>
      <c r="AN869" s="88">
        <f>IF(SUMIF($G868:$T868,"",$G869:$T869)+SUMIF($G868:$T868,"F",$G869:$T869)+SUMIF($G868:$T868,"V",$G869:$T869)-40&lt;0,0,SUMIF($G868:$T868,"",$G869:$T869)+SUMIF($G868:$T868,"F",$G869:$T869)+SUMIF($G868:$T868,"V",$G869:$T869)-($U$9/2))+IF(SUMIF($W868:$AJ868,"",$W869:$AJ869)+SUMIF($W868:$AJ868,"F",$W869:$AJ869)+SUMIF($W868:$AJ868,"V",$W869:$AJ869)-40&lt;0,0,SUMIF($W868:$AJ868,"",$W869:$AJ869)+SUMIF($W868:$AJ868,"F",$W869:$AJ869)+SUMIF($W868:$AJ868,"V",$W869:$AJ869)-($U$9/2))</f>
        <v>0</v>
      </c>
      <c r="AO869" s="73">
        <f>SUMIF($G868:$T868,"M",$G869:$T869)+SUMIF($W868:$AJ868,"M",$W869:$AJ869)</f>
        <v>0</v>
      </c>
      <c r="AP869" s="73">
        <f>SUMIF($G868:$T868,"F",$G869:$T869)+SUMIF($W868:$AJ868,"F",$W869:$AJ869)</f>
        <v>0</v>
      </c>
      <c r="AQ869" s="73">
        <f>SUMIF($G868:$T868,"V",$G869:$T869)+SUMIF($W868:$AJ868,"V",$W869:$AJ869)</f>
        <v>0</v>
      </c>
      <c r="AR869" s="74">
        <f>SUMIF($G868:$T868,"O",$G869:$T869)+SUMIF($W868:$AJ868,"O",$W869:$AJ869)</f>
        <v>0</v>
      </c>
      <c r="AS869" s="75">
        <f>SUM(AM869:AR869)</f>
        <v>0</v>
      </c>
      <c r="AT869" s="72"/>
      <c r="AU869" s="73">
        <f>SUMIF($G868:$T868,"A",$G869:$T869)+SUMIF($W868:$AJ868,"A",$W869:$AJ869)</f>
        <v>0</v>
      </c>
      <c r="AV869" s="72"/>
      <c r="AW869" s="76">
        <f>IF(B869="",0,IF($U$9="",0,$U$9))</f>
        <v>0</v>
      </c>
      <c r="AX869" s="84"/>
      <c r="BA869" s="2"/>
      <c r="BB869" s="2"/>
      <c r="BC869" s="101"/>
      <c r="BD869" s="101"/>
    </row>
    <row r="870" spans="1:56" s="53" customFormat="1" ht="15" customHeight="1" x14ac:dyDescent="0.35">
      <c r="A870" s="84"/>
      <c r="B870" s="26"/>
      <c r="C870" s="27"/>
      <c r="D870" s="28" t="str">
        <f>IF(D796="","",D796)</f>
        <v/>
      </c>
      <c r="E870" s="29" t="str">
        <f t="shared" si="363"/>
        <v/>
      </c>
      <c r="F870" s="50">
        <f>B823</f>
        <v>21</v>
      </c>
      <c r="G870" s="59"/>
      <c r="H870" s="64"/>
      <c r="I870" s="106"/>
      <c r="J870" s="105"/>
      <c r="K870" s="106"/>
      <c r="L870" s="105"/>
      <c r="M870" s="106"/>
      <c r="N870" s="105"/>
      <c r="O870" s="106"/>
      <c r="P870" s="105"/>
      <c r="Q870" s="106"/>
      <c r="R870" s="105"/>
      <c r="S870" s="59"/>
      <c r="T870" s="64"/>
      <c r="U870" s="44"/>
      <c r="V870" s="84"/>
      <c r="W870" s="59"/>
      <c r="X870" s="64"/>
      <c r="Y870" s="106"/>
      <c r="Z870" s="105"/>
      <c r="AA870" s="106"/>
      <c r="AB870" s="105"/>
      <c r="AC870" s="106"/>
      <c r="AD870" s="105"/>
      <c r="AE870" s="106"/>
      <c r="AF870" s="105"/>
      <c r="AG870" s="106"/>
      <c r="AH870" s="105"/>
      <c r="AI870" s="59"/>
      <c r="AJ870" s="64"/>
      <c r="AK870" s="44"/>
      <c r="AL870" s="84"/>
      <c r="AM870" s="49"/>
      <c r="AN870" s="49"/>
      <c r="AO870" s="49"/>
      <c r="AP870" s="49"/>
      <c r="AQ870" s="49"/>
      <c r="AR870" s="40"/>
      <c r="AS870" s="51"/>
      <c r="AT870" s="84"/>
      <c r="AU870" s="49"/>
      <c r="AV870" s="84"/>
      <c r="AW870" s="52"/>
      <c r="AX870" s="84"/>
      <c r="BA870" s="2"/>
      <c r="BB870" s="2"/>
      <c r="BC870" s="101"/>
      <c r="BD870" s="101"/>
    </row>
    <row r="871" spans="1:56" s="53" customFormat="1" x14ac:dyDescent="0.35">
      <c r="A871" s="84"/>
      <c r="B871" s="30" t="str">
        <f>IF(B797="","",B797)</f>
        <v/>
      </c>
      <c r="C871" s="31"/>
      <c r="D871" s="32"/>
      <c r="E871" s="33" t="str">
        <f t="shared" si="363"/>
        <v/>
      </c>
      <c r="F871" s="50">
        <f>B823</f>
        <v>21</v>
      </c>
      <c r="G871" s="69"/>
      <c r="H871" s="70"/>
      <c r="I871" s="104"/>
      <c r="J871" s="103"/>
      <c r="K871" s="104"/>
      <c r="L871" s="103"/>
      <c r="M871" s="104"/>
      <c r="N871" s="103"/>
      <c r="O871" s="104"/>
      <c r="P871" s="103"/>
      <c r="Q871" s="104"/>
      <c r="R871" s="103"/>
      <c r="S871" s="69"/>
      <c r="T871" s="70"/>
      <c r="U871" s="71">
        <f t="shared" ref="U871" si="369">SUM(G871:T871)</f>
        <v>0</v>
      </c>
      <c r="V871" s="72"/>
      <c r="W871" s="69"/>
      <c r="X871" s="70"/>
      <c r="Y871" s="104"/>
      <c r="Z871" s="103"/>
      <c r="AA871" s="104"/>
      <c r="AB871" s="103"/>
      <c r="AC871" s="104"/>
      <c r="AD871" s="103"/>
      <c r="AE871" s="104"/>
      <c r="AF871" s="103"/>
      <c r="AG871" s="104"/>
      <c r="AH871" s="103"/>
      <c r="AI871" s="69"/>
      <c r="AJ871" s="70"/>
      <c r="AK871" s="71">
        <f>SUM(W871:AJ871)</f>
        <v>0</v>
      </c>
      <c r="AL871" s="72"/>
      <c r="AM871" s="73">
        <f>SUMIF($G870:$T870,"",$G871:$T871)+SUMIF($W870:$AJ870,"",$W871:$AJ871)-AN871</f>
        <v>0</v>
      </c>
      <c r="AN871" s="88">
        <f>IF(SUMIF($G870:$T870,"",$G871:$T871)+SUMIF($G870:$T870,"F",$G871:$T871)+SUMIF($G870:$T870,"V",$G871:$T871)-40&lt;0,0,SUMIF($G870:$T870,"",$G871:$T871)+SUMIF($G870:$T870,"F",$G871:$T871)+SUMIF($G870:$T870,"V",$G871:$T871)-($U$9/2))+IF(SUMIF($W870:$AJ870,"",$W871:$AJ871)+SUMIF($W870:$AJ870,"F",$W871:$AJ871)+SUMIF($W870:$AJ870,"V",$W871:$AJ871)-40&lt;0,0,SUMIF($W870:$AJ870,"",$W871:$AJ871)+SUMIF($W870:$AJ870,"F",$W871:$AJ871)+SUMIF($W870:$AJ870,"V",$W871:$AJ871)-($U$9/2))</f>
        <v>0</v>
      </c>
      <c r="AO871" s="73">
        <f>SUMIF($G870:$T870,"M",$G871:$T871)+SUMIF($W870:$AJ870,"M",$W871:$AJ871)</f>
        <v>0</v>
      </c>
      <c r="AP871" s="73">
        <f>SUMIF($G870:$T870,"F",$G871:$T871)+SUMIF($W870:$AJ870,"F",$W871:$AJ871)</f>
        <v>0</v>
      </c>
      <c r="AQ871" s="73">
        <f>SUMIF($G870:$T870,"V",$G871:$T871)+SUMIF($W870:$AJ870,"V",$W871:$AJ871)</f>
        <v>0</v>
      </c>
      <c r="AR871" s="74">
        <f>SUMIF($G870:$T870,"O",$G871:$T871)+SUMIF($W870:$AJ870,"O",$W871:$AJ871)</f>
        <v>0</v>
      </c>
      <c r="AS871" s="75">
        <f>SUM(AM871:AR871)</f>
        <v>0</v>
      </c>
      <c r="AT871" s="72"/>
      <c r="AU871" s="73">
        <f>SUMIF($G870:$T870,"A",$G871:$T871)+SUMIF($W870:$AJ870,"A",$W871:$AJ871)</f>
        <v>0</v>
      </c>
      <c r="AV871" s="72"/>
      <c r="AW871" s="76">
        <f>IF(B871="",0,IF($U$9="",0,$U$9))</f>
        <v>0</v>
      </c>
      <c r="AX871" s="84"/>
      <c r="BA871" s="2"/>
      <c r="BB871" s="2"/>
      <c r="BC871" s="101"/>
      <c r="BD871" s="101"/>
    </row>
    <row r="872" spans="1:56" s="53" customFormat="1" x14ac:dyDescent="0.35">
      <c r="A872" s="84"/>
      <c r="B872" s="26"/>
      <c r="C872" s="27"/>
      <c r="D872" s="28" t="str">
        <f>IF(D798="","",D798)</f>
        <v/>
      </c>
      <c r="E872" s="29" t="str">
        <f t="shared" si="363"/>
        <v/>
      </c>
      <c r="F872" s="50">
        <f>B823</f>
        <v>21</v>
      </c>
      <c r="G872" s="59"/>
      <c r="H872" s="64"/>
      <c r="I872" s="58"/>
      <c r="J872" s="65"/>
      <c r="K872" s="58"/>
      <c r="L872" s="65"/>
      <c r="M872" s="58"/>
      <c r="N872" s="65"/>
      <c r="O872" s="58"/>
      <c r="P872" s="65"/>
      <c r="Q872" s="58"/>
      <c r="R872" s="65"/>
      <c r="S872" s="59"/>
      <c r="T872" s="64"/>
      <c r="U872" s="44"/>
      <c r="V872" s="84"/>
      <c r="W872" s="59"/>
      <c r="X872" s="64"/>
      <c r="Y872" s="58"/>
      <c r="Z872" s="65"/>
      <c r="AA872" s="58"/>
      <c r="AB872" s="65"/>
      <c r="AC872" s="58"/>
      <c r="AD872" s="65"/>
      <c r="AE872" s="58"/>
      <c r="AF872" s="65"/>
      <c r="AG872" s="58"/>
      <c r="AH872" s="65"/>
      <c r="AI872" s="59"/>
      <c r="AJ872" s="64"/>
      <c r="AK872" s="44"/>
      <c r="AL872" s="84"/>
      <c r="AM872" s="49"/>
      <c r="AN872" s="49"/>
      <c r="AO872" s="49"/>
      <c r="AP872" s="49"/>
      <c r="AQ872" s="49"/>
      <c r="AR872" s="40"/>
      <c r="AS872" s="51"/>
      <c r="AT872" s="84"/>
      <c r="AU872" s="49"/>
      <c r="AV872" s="84"/>
      <c r="AW872" s="52"/>
      <c r="AX872" s="84"/>
      <c r="BA872" s="2"/>
      <c r="BB872" s="2"/>
      <c r="BC872" s="101"/>
      <c r="BD872" s="101"/>
    </row>
    <row r="873" spans="1:56" s="53" customFormat="1" x14ac:dyDescent="0.35">
      <c r="A873" s="84"/>
      <c r="B873" s="30" t="str">
        <f>IF(B799="","",B799)</f>
        <v/>
      </c>
      <c r="C873" s="31"/>
      <c r="D873" s="32"/>
      <c r="E873" s="33" t="str">
        <f t="shared" si="363"/>
        <v/>
      </c>
      <c r="F873" s="50">
        <f>B823</f>
        <v>21</v>
      </c>
      <c r="G873" s="69"/>
      <c r="H873" s="70"/>
      <c r="I873" s="67"/>
      <c r="J873" s="68"/>
      <c r="K873" s="67"/>
      <c r="L873" s="68"/>
      <c r="M873" s="67"/>
      <c r="N873" s="68"/>
      <c r="O873" s="67"/>
      <c r="P873" s="68"/>
      <c r="Q873" s="67"/>
      <c r="R873" s="68"/>
      <c r="S873" s="69"/>
      <c r="T873" s="70"/>
      <c r="U873" s="71">
        <f t="shared" ref="U873" si="370">SUM(G873:T873)</f>
        <v>0</v>
      </c>
      <c r="V873" s="72"/>
      <c r="W873" s="69"/>
      <c r="X873" s="70"/>
      <c r="Y873" s="67"/>
      <c r="Z873" s="68"/>
      <c r="AA873" s="67"/>
      <c r="AB873" s="68"/>
      <c r="AC873" s="67"/>
      <c r="AD873" s="68"/>
      <c r="AE873" s="67"/>
      <c r="AF873" s="68"/>
      <c r="AG873" s="67"/>
      <c r="AH873" s="68"/>
      <c r="AI873" s="69"/>
      <c r="AJ873" s="70"/>
      <c r="AK873" s="71">
        <v>0</v>
      </c>
      <c r="AL873" s="72"/>
      <c r="AM873" s="73">
        <f>SUMIF($G872:$T872,"",$G873:$T873)+SUMIF($W872:$AJ872,"",$W873:$AJ873)-AN873</f>
        <v>0</v>
      </c>
      <c r="AN873" s="88">
        <f>IF(SUMIF($G872:$T872,"",$G873:$T873)+SUMIF($G872:$T872,"F",$G873:$T873)+SUMIF($G872:$T872,"V",$G873:$T873)-40&lt;0,0,SUMIF($G872:$T872,"",$G873:$T873)+SUMIF($G872:$T872,"F",$G873:$T873)+SUMIF($G872:$T872,"V",$G873:$T873)-($U$9/2))+IF(SUMIF($W872:$AJ872,"",$W873:$AJ873)+SUMIF($W872:$AJ872,"F",$W873:$AJ873)+SUMIF($W872:$AJ872,"V",$W873:$AJ873)-40&lt;0,0,SUMIF($W872:$AJ872,"",$W873:$AJ873)+SUMIF($W872:$AJ872,"F",$W873:$AJ873)+SUMIF($W872:$AJ872,"V",$W873:$AJ873)-($U$9/2))</f>
        <v>0</v>
      </c>
      <c r="AO873" s="73">
        <f>SUMIF($G872:$T872,"M",$G873:$T873)+SUMIF($W872:$AJ872,"M",$W873:$AJ873)</f>
        <v>0</v>
      </c>
      <c r="AP873" s="73">
        <f>SUMIF($G872:$T872,"F",$G873:$T873)+SUMIF($W872:$AJ872,"F",$W873:$AJ873)</f>
        <v>0</v>
      </c>
      <c r="AQ873" s="73">
        <f>SUMIF($G872:$T872,"V",$G873:$T873)+SUMIF($W872:$AJ872,"V",$W873:$AJ873)</f>
        <v>0</v>
      </c>
      <c r="AR873" s="74">
        <f>SUMIF($G872:$T872,"O",$G873:$T873)+SUMIF($W872:$AJ872,"O",$W873:$AJ873)</f>
        <v>0</v>
      </c>
      <c r="AS873" s="75">
        <f>SUM(AM873:AR873)</f>
        <v>0</v>
      </c>
      <c r="AT873" s="72"/>
      <c r="AU873" s="73">
        <f>SUMIF($G872:$T872,"A",$G873:$T873)+SUMIF($W872:$AJ872,"A",$W873:$AJ873)</f>
        <v>0</v>
      </c>
      <c r="AV873" s="72"/>
      <c r="AW873" s="76">
        <f>IF(B873="",0,IF($U$9="",0,$U$9))</f>
        <v>0</v>
      </c>
      <c r="AX873" s="84"/>
      <c r="BA873" s="2"/>
      <c r="BB873" s="2"/>
      <c r="BC873" s="101"/>
      <c r="BD873" s="101"/>
    </row>
    <row r="874" spans="1:56" s="53" customFormat="1" x14ac:dyDescent="0.35">
      <c r="A874" s="84"/>
      <c r="B874" s="26"/>
      <c r="C874" s="27"/>
      <c r="D874" s="28" t="str">
        <f>IF(D800="","",D800)</f>
        <v/>
      </c>
      <c r="E874" s="29" t="str">
        <f t="shared" si="363"/>
        <v/>
      </c>
      <c r="F874" s="50">
        <f>B823</f>
        <v>21</v>
      </c>
      <c r="G874" s="59"/>
      <c r="H874" s="64"/>
      <c r="I874" s="58"/>
      <c r="J874" s="65"/>
      <c r="K874" s="58"/>
      <c r="L874" s="65"/>
      <c r="M874" s="58"/>
      <c r="N874" s="65"/>
      <c r="O874" s="58"/>
      <c r="P874" s="65"/>
      <c r="Q874" s="58"/>
      <c r="R874" s="65"/>
      <c r="S874" s="59"/>
      <c r="T874" s="64"/>
      <c r="U874" s="44"/>
      <c r="V874" s="84"/>
      <c r="W874" s="59"/>
      <c r="X874" s="64"/>
      <c r="Y874" s="58"/>
      <c r="Z874" s="65"/>
      <c r="AA874" s="58"/>
      <c r="AB874" s="65"/>
      <c r="AC874" s="58"/>
      <c r="AD874" s="65"/>
      <c r="AE874" s="58"/>
      <c r="AF874" s="65"/>
      <c r="AG874" s="58"/>
      <c r="AH874" s="65"/>
      <c r="AI874" s="59"/>
      <c r="AJ874" s="64"/>
      <c r="AK874" s="44"/>
      <c r="AL874" s="84"/>
      <c r="AM874" s="49"/>
      <c r="AN874" s="49"/>
      <c r="AO874" s="49"/>
      <c r="AP874" s="49"/>
      <c r="AQ874" s="49"/>
      <c r="AR874" s="40"/>
      <c r="AS874" s="51"/>
      <c r="AT874" s="84"/>
      <c r="AU874" s="49"/>
      <c r="AV874" s="84"/>
      <c r="AW874" s="52"/>
      <c r="AX874" s="84"/>
      <c r="BA874" s="2"/>
      <c r="BB874" s="2"/>
      <c r="BC874" s="101"/>
      <c r="BD874" s="101"/>
    </row>
    <row r="875" spans="1:56" s="53" customFormat="1" x14ac:dyDescent="0.35">
      <c r="A875" s="84"/>
      <c r="B875" s="30" t="str">
        <f>IF(B801="","",B801)</f>
        <v/>
      </c>
      <c r="C875" s="31"/>
      <c r="D875" s="32"/>
      <c r="E875" s="33" t="str">
        <f t="shared" si="363"/>
        <v/>
      </c>
      <c r="F875" s="50">
        <f>B823</f>
        <v>21</v>
      </c>
      <c r="G875" s="69"/>
      <c r="H875" s="70"/>
      <c r="I875" s="67"/>
      <c r="J875" s="68"/>
      <c r="K875" s="67"/>
      <c r="L875" s="68"/>
      <c r="M875" s="67"/>
      <c r="N875" s="68"/>
      <c r="O875" s="67"/>
      <c r="P875" s="68"/>
      <c r="Q875" s="67"/>
      <c r="R875" s="68"/>
      <c r="S875" s="69"/>
      <c r="T875" s="70"/>
      <c r="U875" s="71">
        <f t="shared" ref="U875" si="371">SUM(G875:T875)</f>
        <v>0</v>
      </c>
      <c r="V875" s="72"/>
      <c r="W875" s="69"/>
      <c r="X875" s="70"/>
      <c r="Y875" s="67"/>
      <c r="Z875" s="68"/>
      <c r="AA875" s="67"/>
      <c r="AB875" s="68"/>
      <c r="AC875" s="67"/>
      <c r="AD875" s="68"/>
      <c r="AE875" s="67"/>
      <c r="AF875" s="68"/>
      <c r="AG875" s="67"/>
      <c r="AH875" s="68"/>
      <c r="AI875" s="69"/>
      <c r="AJ875" s="70"/>
      <c r="AK875" s="71">
        <v>0</v>
      </c>
      <c r="AL875" s="72"/>
      <c r="AM875" s="73">
        <v>0</v>
      </c>
      <c r="AN875" s="88">
        <v>0</v>
      </c>
      <c r="AO875" s="73">
        <v>0</v>
      </c>
      <c r="AP875" s="73">
        <v>0</v>
      </c>
      <c r="AQ875" s="73">
        <v>0</v>
      </c>
      <c r="AR875" s="74">
        <v>0</v>
      </c>
      <c r="AS875" s="75">
        <v>0</v>
      </c>
      <c r="AT875" s="72"/>
      <c r="AU875" s="73">
        <f>SUMIF($G874:$T874,"A",$G875:$T875)+SUMIF($W874:$AJ874,"A",$W875:$AJ875)</f>
        <v>0</v>
      </c>
      <c r="AV875" s="72"/>
      <c r="AW875" s="76">
        <f>IF(B875="",0,IF($U$9="",0,$U$9))</f>
        <v>0</v>
      </c>
      <c r="AX875" s="84"/>
      <c r="BA875" s="2"/>
      <c r="BB875" s="2"/>
      <c r="BC875" s="101"/>
      <c r="BD875" s="101"/>
    </row>
    <row r="876" spans="1:56" s="53" customFormat="1" x14ac:dyDescent="0.35">
      <c r="A876" s="84"/>
      <c r="B876" s="26"/>
      <c r="C876" s="27"/>
      <c r="D876" s="28" t="str">
        <f>IF(D802="","",D802)</f>
        <v/>
      </c>
      <c r="E876" s="29" t="str">
        <f t="shared" si="363"/>
        <v/>
      </c>
      <c r="F876" s="50">
        <f>B823</f>
        <v>21</v>
      </c>
      <c r="G876" s="59"/>
      <c r="H876" s="64"/>
      <c r="I876" s="58"/>
      <c r="J876" s="65"/>
      <c r="K876" s="58"/>
      <c r="L876" s="65"/>
      <c r="M876" s="58"/>
      <c r="N876" s="65"/>
      <c r="O876" s="58"/>
      <c r="P876" s="65"/>
      <c r="Q876" s="58"/>
      <c r="R876" s="65"/>
      <c r="S876" s="59"/>
      <c r="T876" s="64"/>
      <c r="U876" s="44"/>
      <c r="V876" s="84"/>
      <c r="W876" s="59"/>
      <c r="X876" s="64"/>
      <c r="Y876" s="58"/>
      <c r="Z876" s="65"/>
      <c r="AA876" s="58"/>
      <c r="AB876" s="65"/>
      <c r="AC876" s="58"/>
      <c r="AD876" s="65"/>
      <c r="AE876" s="58"/>
      <c r="AF876" s="65"/>
      <c r="AG876" s="58"/>
      <c r="AH876" s="65"/>
      <c r="AI876" s="59"/>
      <c r="AJ876" s="64"/>
      <c r="AK876" s="44"/>
      <c r="AL876" s="84"/>
      <c r="AM876" s="49"/>
      <c r="AN876" s="49"/>
      <c r="AO876" s="49"/>
      <c r="AP876" s="49"/>
      <c r="AQ876" s="49"/>
      <c r="AR876" s="40"/>
      <c r="AS876" s="51"/>
      <c r="AT876" s="84"/>
      <c r="AU876" s="49"/>
      <c r="AV876" s="84"/>
      <c r="AW876" s="52"/>
      <c r="AX876" s="84"/>
      <c r="BA876" s="2"/>
      <c r="BB876" s="2"/>
      <c r="BC876" s="101"/>
      <c r="BD876" s="101"/>
    </row>
    <row r="877" spans="1:56" s="53" customFormat="1" ht="15" thickBot="1" x14ac:dyDescent="0.4">
      <c r="A877" s="84"/>
      <c r="B877" s="30" t="str">
        <f>IF(B803="","",B803)</f>
        <v/>
      </c>
      <c r="C877" s="31"/>
      <c r="D877" s="32"/>
      <c r="E877" s="33" t="str">
        <f t="shared" si="363"/>
        <v/>
      </c>
      <c r="F877" s="50">
        <f>B823</f>
        <v>21</v>
      </c>
      <c r="G877" s="69"/>
      <c r="H877" s="70"/>
      <c r="I877" s="67"/>
      <c r="J877" s="68"/>
      <c r="K877" s="67"/>
      <c r="L877" s="68"/>
      <c r="M877" s="67"/>
      <c r="N877" s="68"/>
      <c r="O877" s="67"/>
      <c r="P877" s="68"/>
      <c r="Q877" s="67"/>
      <c r="R877" s="68"/>
      <c r="S877" s="69"/>
      <c r="T877" s="70"/>
      <c r="U877" s="71">
        <f t="shared" ref="U877" si="372">SUM(G877:T877)</f>
        <v>0</v>
      </c>
      <c r="V877" s="72"/>
      <c r="W877" s="69"/>
      <c r="X877" s="70"/>
      <c r="Y877" s="67"/>
      <c r="Z877" s="68"/>
      <c r="AA877" s="67"/>
      <c r="AB877" s="68"/>
      <c r="AC877" s="67"/>
      <c r="AD877" s="68"/>
      <c r="AE877" s="67"/>
      <c r="AF877" s="68"/>
      <c r="AG877" s="67"/>
      <c r="AH877" s="68"/>
      <c r="AI877" s="69"/>
      <c r="AJ877" s="70"/>
      <c r="AK877" s="71">
        <v>0</v>
      </c>
      <c r="AL877" s="72"/>
      <c r="AM877" s="73">
        <v>0</v>
      </c>
      <c r="AN877" s="88">
        <v>0</v>
      </c>
      <c r="AO877" s="73">
        <v>0</v>
      </c>
      <c r="AP877" s="73">
        <v>0</v>
      </c>
      <c r="AQ877" s="73">
        <v>0</v>
      </c>
      <c r="AR877" s="74">
        <v>0</v>
      </c>
      <c r="AS877" s="75">
        <v>0</v>
      </c>
      <c r="AT877" s="72"/>
      <c r="AU877" s="73">
        <f>SUMIF($G876:$T876,"A",$G877:$T877)+SUMIF($W876:$AJ876,"A",$W877:$AJ877)</f>
        <v>0</v>
      </c>
      <c r="AV877" s="72"/>
      <c r="AW877" s="76">
        <f>IF(B877="",0,IF($U$9="",0,$U$9))</f>
        <v>0</v>
      </c>
      <c r="AX877" s="84"/>
      <c r="BA877" s="2"/>
      <c r="BB877" s="2"/>
      <c r="BC877" s="101"/>
      <c r="BD877" s="101"/>
    </row>
    <row r="878" spans="1:56" s="53" customFormat="1" ht="27.75" customHeight="1" thickBot="1" x14ac:dyDescent="0.4">
      <c r="A878" s="84"/>
      <c r="B878" s="149" t="s">
        <v>7</v>
      </c>
      <c r="C878" s="150"/>
      <c r="D878" s="150"/>
      <c r="E878" s="151"/>
      <c r="F878" s="97"/>
      <c r="G878" s="152">
        <f>SUM(G828:H877)</f>
        <v>0</v>
      </c>
      <c r="H878" s="152"/>
      <c r="I878" s="152">
        <f>SUM(I828:J877)</f>
        <v>128.25</v>
      </c>
      <c r="J878" s="152"/>
      <c r="K878" s="152">
        <f>SUM(K828:L877)</f>
        <v>128.75</v>
      </c>
      <c r="L878" s="152"/>
      <c r="M878" s="152">
        <f>SUM(M828:N877)</f>
        <v>128.75</v>
      </c>
      <c r="N878" s="152"/>
      <c r="O878" s="152">
        <f>SUM(O828:P877)</f>
        <v>131</v>
      </c>
      <c r="P878" s="152"/>
      <c r="Q878" s="152">
        <f>SUM(Q828:R877)</f>
        <v>116</v>
      </c>
      <c r="R878" s="152"/>
      <c r="S878" s="152">
        <f>SUM(S828:T877)</f>
        <v>0</v>
      </c>
      <c r="T878" s="153"/>
      <c r="U878" s="77">
        <f>SUM(U828:U877)</f>
        <v>632.75</v>
      </c>
      <c r="V878" s="78"/>
      <c r="W878" s="152">
        <f>SUM(W828:X877)</f>
        <v>0</v>
      </c>
      <c r="X878" s="152"/>
      <c r="Y878" s="152">
        <f>SUM(Y828:Z877)</f>
        <v>120.25</v>
      </c>
      <c r="Z878" s="152"/>
      <c r="AA878" s="152">
        <f>SUM(AA828:AB877)</f>
        <v>121</v>
      </c>
      <c r="AB878" s="152"/>
      <c r="AC878" s="152">
        <f>SUM(AC828:AD877)</f>
        <v>120.25</v>
      </c>
      <c r="AD878" s="152"/>
      <c r="AE878" s="152">
        <f>SUM(AE828:AF877)</f>
        <v>116.5</v>
      </c>
      <c r="AF878" s="152"/>
      <c r="AG878" s="152">
        <f>SUM(AG828:AH877)</f>
        <v>111.5</v>
      </c>
      <c r="AH878" s="152"/>
      <c r="AI878" s="152">
        <f>SUM(AI828:AJ877)</f>
        <v>0</v>
      </c>
      <c r="AJ878" s="152"/>
      <c r="AK878" s="77">
        <f>SUM(AK828:AK877)</f>
        <v>589.5</v>
      </c>
      <c r="AL878" s="78"/>
      <c r="AM878" s="79">
        <f t="shared" ref="AM878:AS878" si="373">SUM(AM828:AM877)</f>
        <v>1194</v>
      </c>
      <c r="AN878" s="79">
        <f t="shared" si="373"/>
        <v>4.25</v>
      </c>
      <c r="AO878" s="79">
        <f t="shared" si="373"/>
        <v>0</v>
      </c>
      <c r="AP878" s="79">
        <f t="shared" si="373"/>
        <v>0</v>
      </c>
      <c r="AQ878" s="79">
        <f t="shared" si="373"/>
        <v>24</v>
      </c>
      <c r="AR878" s="80">
        <f t="shared" si="373"/>
        <v>0</v>
      </c>
      <c r="AS878" s="81">
        <f t="shared" si="373"/>
        <v>1222.25</v>
      </c>
      <c r="AT878" s="78"/>
      <c r="AU878" s="82">
        <f>SUM(AU828:AU877)</f>
        <v>0</v>
      </c>
      <c r="AV878" s="78"/>
      <c r="AW878" s="83">
        <f>SUM(AW828:AW877)</f>
        <v>1520</v>
      </c>
      <c r="AX878" s="84"/>
      <c r="BA878" s="2"/>
      <c r="BB878" s="2"/>
      <c r="BC878" s="101"/>
      <c r="BD878" s="101"/>
    </row>
    <row r="879" spans="1:56" s="53" customFormat="1" ht="15" thickTop="1" x14ac:dyDescent="0.35">
      <c r="B879" s="54"/>
      <c r="F879" s="98"/>
      <c r="G879" s="55"/>
      <c r="H879" s="55"/>
      <c r="I879" s="55"/>
      <c r="J879" s="55"/>
      <c r="K879" s="55"/>
      <c r="L879" s="55"/>
      <c r="M879" s="55"/>
      <c r="N879" s="55"/>
      <c r="O879" s="55"/>
      <c r="P879" s="55"/>
      <c r="Q879" s="55"/>
      <c r="R879" s="55"/>
      <c r="S879" s="55"/>
      <c r="T879" s="55"/>
      <c r="U879" s="56"/>
      <c r="V879" s="55"/>
      <c r="W879" s="55"/>
      <c r="X879" s="55"/>
      <c r="Y879" s="55"/>
      <c r="Z879" s="55"/>
      <c r="AA879" s="55"/>
      <c r="AB879" s="55"/>
      <c r="AC879" s="55"/>
      <c r="AD879" s="55"/>
      <c r="AE879" s="55"/>
      <c r="AF879" s="55"/>
      <c r="AG879" s="55"/>
      <c r="AH879" s="55"/>
      <c r="AI879" s="55"/>
      <c r="AJ879" s="55"/>
      <c r="AK879" s="56"/>
      <c r="AL879" s="55"/>
      <c r="AM879" s="55"/>
      <c r="AN879" s="55"/>
      <c r="AO879" s="55"/>
      <c r="AP879" s="55"/>
      <c r="AQ879" s="55"/>
      <c r="AR879" s="55"/>
      <c r="AS879" s="55"/>
      <c r="AT879" s="55"/>
      <c r="AU879" s="55"/>
      <c r="AV879" s="55"/>
      <c r="AW879" s="55"/>
      <c r="BA879" s="2"/>
      <c r="BB879" s="2"/>
      <c r="BC879" s="101"/>
      <c r="BD879" s="101"/>
    </row>
    <row r="880" spans="1:56" s="53" customFormat="1" x14ac:dyDescent="0.35">
      <c r="B880" s="54" t="s">
        <v>52</v>
      </c>
      <c r="D880" s="141" t="s">
        <v>95</v>
      </c>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c r="AH880" s="141"/>
      <c r="AI880" s="141"/>
      <c r="AJ880" s="141"/>
      <c r="AK880" s="56"/>
      <c r="AL880" s="55"/>
      <c r="AM880" s="55"/>
      <c r="AN880" s="55"/>
      <c r="AO880" s="55"/>
      <c r="AP880" s="55"/>
      <c r="AQ880" s="55"/>
      <c r="AR880" s="55"/>
      <c r="AS880" s="55"/>
      <c r="AT880" s="55"/>
      <c r="AU880" s="55"/>
      <c r="AV880" s="55"/>
      <c r="AW880" s="55"/>
      <c r="BA880" s="2"/>
      <c r="BB880" s="2"/>
      <c r="BC880" s="101"/>
      <c r="BD880" s="101"/>
    </row>
    <row r="881" spans="1:56" s="84" customFormat="1" x14ac:dyDescent="0.35">
      <c r="A881" s="53"/>
      <c r="B881" s="54"/>
      <c r="C881" s="53"/>
      <c r="D881" s="141" t="s">
        <v>97</v>
      </c>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c r="AH881" s="141"/>
      <c r="AI881" s="141"/>
      <c r="AJ881" s="141"/>
      <c r="AK881" s="56"/>
      <c r="AL881" s="55"/>
      <c r="AM881" s="55"/>
      <c r="AN881" s="55"/>
      <c r="AO881" s="55"/>
      <c r="AP881" s="55"/>
      <c r="AQ881" s="55"/>
      <c r="AR881" s="55"/>
      <c r="AS881" s="55"/>
      <c r="AT881" s="55"/>
      <c r="AU881" s="55"/>
      <c r="AV881" s="55"/>
      <c r="AW881" s="55"/>
      <c r="AX881" s="53"/>
      <c r="BA881" s="2"/>
      <c r="BB881" s="2"/>
      <c r="BC881" s="101"/>
      <c r="BD881" s="101"/>
    </row>
    <row r="882" spans="1:56" s="84" customFormat="1" x14ac:dyDescent="0.35">
      <c r="A882" s="53"/>
      <c r="B882" s="54"/>
      <c r="C882" s="53"/>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c r="AH882" s="141"/>
      <c r="AI882" s="141"/>
      <c r="AJ882" s="141"/>
      <c r="AK882" s="56"/>
      <c r="AL882" s="55"/>
      <c r="AM882" s="55"/>
      <c r="AN882" s="55"/>
      <c r="AO882" s="55"/>
      <c r="AP882" s="55"/>
      <c r="AQ882" s="55"/>
      <c r="AR882" s="55"/>
      <c r="AS882" s="55"/>
      <c r="AT882" s="55"/>
      <c r="AU882" s="55"/>
      <c r="AV882" s="55"/>
      <c r="AW882" s="55"/>
      <c r="AX882" s="53"/>
      <c r="BA882" s="2"/>
      <c r="BB882" s="2"/>
      <c r="BC882" s="101"/>
      <c r="BD882" s="101"/>
    </row>
    <row r="883" spans="1:56" s="84" customFormat="1" ht="15" customHeight="1" x14ac:dyDescent="0.35">
      <c r="A883" s="53"/>
      <c r="B883" s="54"/>
      <c r="C883" s="53"/>
      <c r="D883" s="53"/>
      <c r="E883" s="53"/>
      <c r="F883" s="98"/>
      <c r="G883" s="55"/>
      <c r="H883" s="55"/>
      <c r="I883" s="55"/>
      <c r="J883" s="55"/>
      <c r="K883" s="55"/>
      <c r="L883" s="55"/>
      <c r="M883" s="55"/>
      <c r="N883" s="55"/>
      <c r="O883" s="55"/>
      <c r="P883" s="55"/>
      <c r="Q883" s="55"/>
      <c r="R883" s="55"/>
      <c r="S883" s="55"/>
      <c r="T883" s="55"/>
      <c r="U883" s="56"/>
      <c r="V883" s="55"/>
      <c r="W883" s="55"/>
      <c r="X883" s="55"/>
      <c r="Y883" s="55"/>
      <c r="Z883" s="55"/>
      <c r="AA883" s="55"/>
      <c r="AB883" s="55"/>
      <c r="AC883" s="55"/>
      <c r="AD883" s="55"/>
      <c r="AE883" s="55"/>
      <c r="AF883" s="55"/>
      <c r="AG883" s="55"/>
      <c r="AH883" s="55"/>
      <c r="AI883" s="55"/>
      <c r="AJ883" s="55"/>
      <c r="AK883" s="56"/>
      <c r="AL883" s="55"/>
      <c r="AM883" s="55"/>
      <c r="AN883" s="55"/>
      <c r="AO883" s="55"/>
      <c r="AP883" s="55"/>
      <c r="AQ883" s="55"/>
      <c r="AR883" s="55"/>
      <c r="AS883" s="55"/>
      <c r="AT883" s="55"/>
      <c r="AU883" s="55"/>
      <c r="AV883" s="55"/>
      <c r="AW883" s="55"/>
      <c r="AX883" s="53"/>
      <c r="BA883" s="2"/>
      <c r="BB883" s="2"/>
      <c r="BC883" s="101"/>
      <c r="BD883" s="101"/>
    </row>
    <row r="884" spans="1:56" s="84" customFormat="1" ht="15" customHeight="1" x14ac:dyDescent="0.35">
      <c r="A884" s="53"/>
      <c r="B884" s="54" t="s">
        <v>53</v>
      </c>
      <c r="C884" s="53"/>
      <c r="D884" s="31" t="s">
        <v>96</v>
      </c>
      <c r="E884" s="34"/>
      <c r="F884" s="99"/>
      <c r="G884" s="34"/>
      <c r="H884" s="34"/>
      <c r="I884" s="34"/>
      <c r="J884" s="34"/>
      <c r="K884" s="53"/>
      <c r="L884" s="55" t="s">
        <v>8</v>
      </c>
      <c r="M884" s="53"/>
      <c r="N884" s="142">
        <f ca="1">NOW()</f>
        <v>44720.650928935182</v>
      </c>
      <c r="O884" s="142"/>
      <c r="P884" s="142"/>
      <c r="Q884" s="53"/>
      <c r="R884" s="53"/>
      <c r="S884" s="53"/>
      <c r="T884" s="53"/>
      <c r="U884" s="53"/>
      <c r="V884" s="55"/>
      <c r="W884" s="55"/>
      <c r="X884" s="55"/>
      <c r="Y884" s="55"/>
      <c r="Z884" s="55"/>
      <c r="AA884" s="55"/>
      <c r="AB884" s="55"/>
      <c r="AC884" s="55"/>
      <c r="AD884" s="55"/>
      <c r="AE884" s="55"/>
      <c r="AF884" s="55"/>
      <c r="AG884" s="55"/>
      <c r="AH884" s="55"/>
      <c r="AI884" s="55"/>
      <c r="AJ884" s="55"/>
      <c r="AK884" s="56"/>
      <c r="AL884" s="55"/>
      <c r="AM884" s="55"/>
      <c r="AN884" s="55"/>
      <c r="AO884" s="55"/>
      <c r="AP884" s="55"/>
      <c r="AQ884" s="55"/>
      <c r="AR884" s="55"/>
      <c r="AS884" s="55"/>
      <c r="AT884" s="55"/>
      <c r="AU884" s="55"/>
      <c r="AV884" s="55"/>
      <c r="AW884" s="55"/>
      <c r="AX884" s="53"/>
      <c r="BA884" s="2"/>
      <c r="BB884" s="2"/>
      <c r="BC884" s="101"/>
      <c r="BD884" s="101"/>
    </row>
    <row r="885" spans="1:56" s="84" customFormat="1" x14ac:dyDescent="0.35">
      <c r="A885" s="53"/>
      <c r="B885" s="54"/>
      <c r="C885" s="53"/>
      <c r="D885" s="53"/>
      <c r="E885" s="53"/>
      <c r="F885" s="98"/>
      <c r="G885" s="55"/>
      <c r="H885" s="55"/>
      <c r="I885" s="55"/>
      <c r="J885" s="55"/>
      <c r="K885" s="53"/>
      <c r="L885" s="55"/>
      <c r="M885" s="53"/>
      <c r="N885" s="55"/>
      <c r="O885" s="56"/>
      <c r="P885" s="53"/>
      <c r="Q885" s="53"/>
      <c r="R885" s="53"/>
      <c r="S885" s="53"/>
      <c r="T885" s="53"/>
      <c r="U885" s="53"/>
      <c r="V885" s="55"/>
      <c r="W885" s="55"/>
      <c r="X885" s="55"/>
      <c r="Y885" s="55"/>
      <c r="Z885" s="55"/>
      <c r="AA885" s="55"/>
      <c r="AB885" s="55"/>
      <c r="AC885" s="55"/>
      <c r="AD885" s="55"/>
      <c r="AE885" s="55"/>
      <c r="AF885" s="55"/>
      <c r="AG885" s="55"/>
      <c r="AH885" s="55"/>
      <c r="AI885" s="55"/>
      <c r="AJ885" s="55"/>
      <c r="AK885" s="56"/>
      <c r="AL885" s="55"/>
      <c r="AM885" s="55"/>
      <c r="AN885" s="55"/>
      <c r="AO885" s="55"/>
      <c r="AP885" s="55"/>
      <c r="AQ885" s="55"/>
      <c r="AR885" s="55"/>
      <c r="AS885" s="55"/>
      <c r="AT885" s="55"/>
      <c r="AU885" s="55"/>
      <c r="AV885" s="55"/>
      <c r="AW885" s="55"/>
      <c r="AX885" s="53"/>
      <c r="BA885" s="2"/>
      <c r="BB885" s="2"/>
      <c r="BC885" s="101"/>
      <c r="BD885" s="101"/>
    </row>
    <row r="886" spans="1:56" s="84" customFormat="1" x14ac:dyDescent="0.35">
      <c r="A886" s="53"/>
      <c r="B886" s="54" t="s">
        <v>54</v>
      </c>
      <c r="C886" s="53"/>
      <c r="D886" s="31"/>
      <c r="E886" s="34"/>
      <c r="F886" s="99"/>
      <c r="G886" s="34"/>
      <c r="H886" s="34"/>
      <c r="I886" s="34"/>
      <c r="J886" s="34"/>
      <c r="K886" s="53"/>
      <c r="L886" s="55" t="s">
        <v>8</v>
      </c>
      <c r="M886" s="53"/>
      <c r="N886" s="142">
        <f ca="1">NOW()</f>
        <v>44720.650928935182</v>
      </c>
      <c r="O886" s="142"/>
      <c r="P886" s="142"/>
      <c r="Q886" s="53"/>
      <c r="R886" s="53"/>
      <c r="S886" s="53"/>
      <c r="T886" s="53"/>
      <c r="U886" s="53"/>
      <c r="V886" s="55"/>
      <c r="W886" s="55"/>
      <c r="X886" s="55"/>
      <c r="Y886" s="55"/>
      <c r="Z886" s="55"/>
      <c r="AA886" s="55"/>
      <c r="AB886" s="55"/>
      <c r="AC886" s="55"/>
      <c r="AD886" s="55"/>
      <c r="AE886" s="55"/>
      <c r="AF886" s="55"/>
      <c r="AG886" s="55"/>
      <c r="AH886" s="55"/>
      <c r="AI886" s="55"/>
      <c r="AJ886" s="55"/>
      <c r="AK886" s="56"/>
      <c r="AL886" s="55"/>
      <c r="AM886" s="55"/>
      <c r="AN886" s="55"/>
      <c r="AO886" s="55"/>
      <c r="AP886" s="55"/>
      <c r="AQ886" s="55"/>
      <c r="AR886" s="55"/>
      <c r="AS886" s="55"/>
      <c r="AT886" s="55"/>
      <c r="AU886" s="55"/>
      <c r="AV886" s="55"/>
      <c r="AW886" s="55"/>
      <c r="AX886" s="53"/>
      <c r="BA886" s="2"/>
      <c r="BB886" s="2"/>
      <c r="BC886" s="101"/>
      <c r="BD886" s="101"/>
    </row>
    <row r="887" spans="1:56" s="84" customFormat="1" x14ac:dyDescent="0.35">
      <c r="A887" s="53"/>
      <c r="B887" s="54"/>
      <c r="C887" s="53"/>
      <c r="D887" s="53"/>
      <c r="E887" s="53"/>
      <c r="F887" s="98"/>
      <c r="G887" s="55"/>
      <c r="H887" s="55"/>
      <c r="I887" s="55"/>
      <c r="J887" s="55"/>
      <c r="K887" s="55"/>
      <c r="L887" s="55"/>
      <c r="M887" s="55"/>
      <c r="N887" s="55"/>
      <c r="O887" s="55"/>
      <c r="P887" s="55"/>
      <c r="Q887" s="55"/>
      <c r="R887" s="55"/>
      <c r="S887" s="55"/>
      <c r="T887" s="55"/>
      <c r="U887" s="56"/>
      <c r="V887" s="55"/>
      <c r="W887" s="55"/>
      <c r="X887" s="55"/>
      <c r="Y887" s="55"/>
      <c r="Z887" s="55"/>
      <c r="AA887" s="55"/>
      <c r="AB887" s="55"/>
      <c r="AC887" s="55"/>
      <c r="AD887" s="55"/>
      <c r="AE887" s="55"/>
      <c r="AF887" s="55"/>
      <c r="AG887" s="55"/>
      <c r="AH887" s="55"/>
      <c r="AI887" s="55"/>
      <c r="AJ887" s="55"/>
      <c r="AK887" s="56"/>
      <c r="AL887" s="55"/>
      <c r="AM887" s="55"/>
      <c r="AN887" s="55"/>
      <c r="AO887" s="55"/>
      <c r="AP887" s="55"/>
      <c r="AQ887" s="55"/>
      <c r="AR887" s="55"/>
      <c r="AS887" s="55"/>
      <c r="AT887" s="55"/>
      <c r="AU887" s="55"/>
      <c r="AV887" s="55"/>
      <c r="AW887" s="55"/>
      <c r="AX887" s="53"/>
      <c r="BA887" s="2"/>
      <c r="BB887" s="2"/>
      <c r="BC887" s="101"/>
      <c r="BD887" s="101"/>
    </row>
    <row r="888" spans="1:56" s="84" customFormat="1" x14ac:dyDescent="0.35">
      <c r="A888" s="53"/>
      <c r="B888" s="54" t="s">
        <v>9</v>
      </c>
      <c r="C888" s="53"/>
      <c r="D888" s="53"/>
      <c r="E888" s="53"/>
      <c r="F888" s="98"/>
      <c r="G888" s="55"/>
      <c r="H888" s="55"/>
      <c r="I888" s="55"/>
      <c r="J888" s="55"/>
      <c r="K888" s="55"/>
      <c r="L888" s="55"/>
      <c r="M888" s="55"/>
      <c r="N888" s="55"/>
      <c r="O888" s="55"/>
      <c r="P888" s="55"/>
      <c r="Q888" s="55"/>
      <c r="R888" s="55"/>
      <c r="S888" s="55"/>
      <c r="T888" s="55"/>
      <c r="U888" s="56"/>
      <c r="V888" s="55"/>
      <c r="W888" s="55"/>
      <c r="X888" s="55"/>
      <c r="Y888" s="55"/>
      <c r="Z888" s="55"/>
      <c r="AA888" s="55"/>
      <c r="AB888" s="55"/>
      <c r="AC888" s="55"/>
      <c r="AD888" s="55"/>
      <c r="AE888" s="55"/>
      <c r="AF888" s="55"/>
      <c r="AG888" s="55"/>
      <c r="AH888" s="55"/>
      <c r="AI888" s="55"/>
      <c r="AJ888" s="55"/>
      <c r="AK888" s="56"/>
      <c r="AL888" s="55"/>
      <c r="AM888" s="55"/>
      <c r="AN888" s="55"/>
      <c r="AO888" s="55"/>
      <c r="AP888" s="55"/>
      <c r="AQ888" s="55"/>
      <c r="AR888" s="55"/>
      <c r="AS888" s="55"/>
      <c r="AT888" s="55"/>
      <c r="AU888" s="55"/>
      <c r="AV888" s="55"/>
      <c r="AW888" s="55"/>
      <c r="AX888" s="53"/>
      <c r="BA888" s="2"/>
      <c r="BB888" s="2"/>
      <c r="BC888" s="101"/>
      <c r="BD888" s="101"/>
    </row>
    <row r="889" spans="1:56" x14ac:dyDescent="0.35">
      <c r="BA889" s="2"/>
      <c r="BB889" s="2"/>
      <c r="BC889" s="101"/>
      <c r="BD889" s="101"/>
    </row>
    <row r="890" spans="1:56" x14ac:dyDescent="0.35">
      <c r="BA890" s="2"/>
      <c r="BB890" s="2"/>
      <c r="BC890" s="101"/>
      <c r="BD890" s="101"/>
    </row>
    <row r="891" spans="1:56" s="84" customFormat="1" ht="28.5" x14ac:dyDescent="0.65">
      <c r="F891" s="50"/>
      <c r="G891" s="143" t="s">
        <v>10</v>
      </c>
      <c r="H891" s="143"/>
      <c r="I891" s="143"/>
      <c r="J891" s="143"/>
      <c r="K891" s="143"/>
      <c r="L891" s="143"/>
      <c r="M891" s="143"/>
      <c r="N891" s="143"/>
      <c r="O891" s="143"/>
      <c r="P891" s="143"/>
      <c r="Q891" s="143"/>
      <c r="R891" s="143"/>
      <c r="S891" s="143"/>
      <c r="T891" s="143"/>
      <c r="U891" s="143"/>
      <c r="W891" s="37" t="s">
        <v>12</v>
      </c>
      <c r="X891" s="86" t="s">
        <v>11</v>
      </c>
      <c r="BA891" s="2"/>
      <c r="BB891" s="2"/>
      <c r="BC891" s="101"/>
      <c r="BD891" s="101"/>
    </row>
    <row r="892" spans="1:56" s="84" customFormat="1" x14ac:dyDescent="0.35">
      <c r="F892" s="50"/>
      <c r="G892" s="84" t="s">
        <v>0</v>
      </c>
      <c r="W892" s="37" t="s">
        <v>13</v>
      </c>
      <c r="X892" s="86" t="s">
        <v>14</v>
      </c>
      <c r="BA892" s="2"/>
      <c r="BB892" s="2"/>
      <c r="BC892" s="101"/>
      <c r="BD892" s="101"/>
    </row>
    <row r="893" spans="1:56" s="84" customFormat="1" x14ac:dyDescent="0.35">
      <c r="F893" s="50"/>
      <c r="W893" s="37" t="s">
        <v>1</v>
      </c>
      <c r="X893" s="86" t="s">
        <v>15</v>
      </c>
      <c r="BA893" s="2"/>
      <c r="BB893" s="2"/>
      <c r="BC893" s="101"/>
      <c r="BD893" s="101"/>
    </row>
    <row r="894" spans="1:56" s="84" customFormat="1" x14ac:dyDescent="0.35">
      <c r="F894" s="50"/>
      <c r="W894" s="37" t="s">
        <v>2</v>
      </c>
      <c r="X894" s="86" t="s">
        <v>16</v>
      </c>
      <c r="BA894" s="2"/>
      <c r="BB894" s="2"/>
      <c r="BC894" s="101"/>
      <c r="BD894" s="101"/>
    </row>
    <row r="895" spans="1:56" s="84" customFormat="1" ht="15" customHeight="1" x14ac:dyDescent="0.35">
      <c r="B895" s="154" t="s">
        <v>35</v>
      </c>
      <c r="F895" s="50"/>
      <c r="G895" s="154" t="s">
        <v>36</v>
      </c>
      <c r="H895" s="154"/>
      <c r="I895" s="154"/>
      <c r="K895" s="154" t="s">
        <v>36</v>
      </c>
      <c r="L895" s="154"/>
      <c r="M895" s="154"/>
      <c r="W895" s="37" t="s">
        <v>3</v>
      </c>
      <c r="X895" s="86" t="s">
        <v>17</v>
      </c>
      <c r="BA895" s="2"/>
      <c r="BB895" s="2"/>
      <c r="BC895" s="101"/>
      <c r="BD895" s="101"/>
    </row>
    <row r="896" spans="1:56" s="84" customFormat="1" x14ac:dyDescent="0.35">
      <c r="B896" s="155"/>
      <c r="D896" s="37" t="s">
        <v>34</v>
      </c>
      <c r="F896" s="50"/>
      <c r="G896" s="154"/>
      <c r="H896" s="154"/>
      <c r="I896" s="154"/>
      <c r="K896" s="154"/>
      <c r="L896" s="154"/>
      <c r="M896" s="154"/>
      <c r="W896" s="38"/>
      <c r="BA896" s="2"/>
      <c r="BB896" s="2"/>
      <c r="BC896" s="101"/>
      <c r="BD896" s="101"/>
    </row>
    <row r="897" spans="2:56" s="84" customFormat="1" x14ac:dyDescent="0.35">
      <c r="B897" s="100">
        <f>B823+1</f>
        <v>22</v>
      </c>
      <c r="D897" s="100">
        <f>D823</f>
        <v>2021</v>
      </c>
      <c r="E897" s="87" t="s">
        <v>38</v>
      </c>
      <c r="F897" s="50"/>
      <c r="G897" s="156">
        <f>K823+1</f>
        <v>44479</v>
      </c>
      <c r="H897" s="157"/>
      <c r="I897" s="158"/>
      <c r="J897" s="37" t="s">
        <v>37</v>
      </c>
      <c r="K897" s="156">
        <f>IF(G897="","",G897+13)</f>
        <v>44492</v>
      </c>
      <c r="L897" s="157"/>
      <c r="M897" s="158"/>
      <c r="P897" s="159" t="s">
        <v>39</v>
      </c>
      <c r="Q897" s="160"/>
      <c r="R897" s="160"/>
      <c r="S897" s="160"/>
      <c r="T897" s="161"/>
      <c r="U897" s="24">
        <v>80</v>
      </c>
      <c r="BA897" s="2"/>
      <c r="BB897" s="2"/>
      <c r="BC897" s="101"/>
      <c r="BD897" s="101"/>
    </row>
    <row r="898" spans="2:56" s="84" customFormat="1" x14ac:dyDescent="0.35">
      <c r="F898" s="50"/>
      <c r="AM898" s="144" t="s">
        <v>4</v>
      </c>
      <c r="AN898" s="144"/>
      <c r="AO898" s="144"/>
      <c r="AP898" s="144"/>
      <c r="AQ898" s="144"/>
      <c r="AR898" s="144"/>
      <c r="AS898" s="144"/>
      <c r="AU898" s="100" t="s">
        <v>4</v>
      </c>
      <c r="BA898" s="2"/>
      <c r="BB898" s="2"/>
      <c r="BC898" s="101"/>
      <c r="BD898" s="101"/>
    </row>
    <row r="899" spans="2:56" s="84" customFormat="1" ht="15" customHeight="1" x14ac:dyDescent="0.35">
      <c r="B899" s="40"/>
      <c r="C899" s="41"/>
      <c r="D899" s="42" t="s">
        <v>32</v>
      </c>
      <c r="E899" s="43" t="s">
        <v>5</v>
      </c>
      <c r="F899" s="50"/>
      <c r="G899" s="162">
        <f>G897</f>
        <v>44479</v>
      </c>
      <c r="H899" s="163"/>
      <c r="I899" s="162">
        <f>IF(G899="","",G899+1)</f>
        <v>44480</v>
      </c>
      <c r="J899" s="163"/>
      <c r="K899" s="162">
        <f>IF(I899="","",I899+1)</f>
        <v>44481</v>
      </c>
      <c r="L899" s="163"/>
      <c r="M899" s="162">
        <f>IF(K899="","",K899+1)</f>
        <v>44482</v>
      </c>
      <c r="N899" s="163"/>
      <c r="O899" s="162">
        <f>IF(M899="","",M899+1)</f>
        <v>44483</v>
      </c>
      <c r="P899" s="163"/>
      <c r="Q899" s="162">
        <f>IF(O899="","",O899+1)</f>
        <v>44484</v>
      </c>
      <c r="R899" s="163"/>
      <c r="S899" s="162">
        <f>IF(Q899="","",Q899+1)</f>
        <v>44485</v>
      </c>
      <c r="T899" s="164"/>
      <c r="U899" s="44"/>
      <c r="W899" s="162">
        <f>IF(S899="","",S899+1)</f>
        <v>44486</v>
      </c>
      <c r="X899" s="163"/>
      <c r="Y899" s="162">
        <f>IF(W899="","",W899+1)</f>
        <v>44487</v>
      </c>
      <c r="Z899" s="163"/>
      <c r="AA899" s="162">
        <f>IF(Y899="","",Y899+1)</f>
        <v>44488</v>
      </c>
      <c r="AB899" s="163"/>
      <c r="AC899" s="162">
        <f>IF(AA899="","",AA899+1)</f>
        <v>44489</v>
      </c>
      <c r="AD899" s="163"/>
      <c r="AE899" s="162">
        <f>IF(AC899="","",AC899+1)</f>
        <v>44490</v>
      </c>
      <c r="AF899" s="163"/>
      <c r="AG899" s="162">
        <f>IF(AE899="","",AE899+1)</f>
        <v>44491</v>
      </c>
      <c r="AH899" s="163"/>
      <c r="AI899" s="162">
        <f>IF(AG899="","",AG899+1)</f>
        <v>44492</v>
      </c>
      <c r="AJ899" s="164"/>
      <c r="AK899" s="44"/>
      <c r="AM899" s="145" t="s">
        <v>18</v>
      </c>
      <c r="AN899" s="165" t="s">
        <v>55</v>
      </c>
      <c r="AO899" s="145" t="s">
        <v>19</v>
      </c>
      <c r="AP899" s="145" t="s">
        <v>20</v>
      </c>
      <c r="AQ899" s="145" t="s">
        <v>21</v>
      </c>
      <c r="AR899" s="166" t="s">
        <v>22</v>
      </c>
      <c r="AS899" s="167" t="s">
        <v>23</v>
      </c>
      <c r="AU899" s="144" t="s">
        <v>6</v>
      </c>
      <c r="AW899" s="145" t="s">
        <v>24</v>
      </c>
      <c r="BA899" s="2"/>
      <c r="BB899" s="2"/>
      <c r="BC899" s="101"/>
      <c r="BD899" s="101"/>
    </row>
    <row r="900" spans="2:56" s="84" customFormat="1" x14ac:dyDescent="0.35">
      <c r="B900" s="45" t="s">
        <v>33</v>
      </c>
      <c r="C900" s="46"/>
      <c r="D900" s="47"/>
      <c r="E900" s="47"/>
      <c r="F900" s="50"/>
      <c r="G900" s="146" t="s">
        <v>25</v>
      </c>
      <c r="H900" s="147"/>
      <c r="I900" s="146" t="s">
        <v>26</v>
      </c>
      <c r="J900" s="147"/>
      <c r="K900" s="146" t="s">
        <v>27</v>
      </c>
      <c r="L900" s="147"/>
      <c r="M900" s="146" t="s">
        <v>28</v>
      </c>
      <c r="N900" s="147"/>
      <c r="O900" s="146" t="s">
        <v>29</v>
      </c>
      <c r="P900" s="147"/>
      <c r="Q900" s="146" t="s">
        <v>30</v>
      </c>
      <c r="R900" s="147"/>
      <c r="S900" s="146" t="s">
        <v>31</v>
      </c>
      <c r="T900" s="148"/>
      <c r="U900" s="48" t="s">
        <v>7</v>
      </c>
      <c r="W900" s="146" t="s">
        <v>25</v>
      </c>
      <c r="X900" s="147"/>
      <c r="Y900" s="146" t="s">
        <v>26</v>
      </c>
      <c r="Z900" s="147"/>
      <c r="AA900" s="146" t="s">
        <v>27</v>
      </c>
      <c r="AB900" s="147"/>
      <c r="AC900" s="146" t="s">
        <v>28</v>
      </c>
      <c r="AD900" s="147"/>
      <c r="AE900" s="146" t="s">
        <v>29</v>
      </c>
      <c r="AF900" s="147"/>
      <c r="AG900" s="146" t="s">
        <v>30</v>
      </c>
      <c r="AH900" s="147"/>
      <c r="AI900" s="146" t="s">
        <v>31</v>
      </c>
      <c r="AJ900" s="148"/>
      <c r="AK900" s="48" t="s">
        <v>7</v>
      </c>
      <c r="AM900" s="145"/>
      <c r="AN900" s="165"/>
      <c r="AO900" s="145"/>
      <c r="AP900" s="145"/>
      <c r="AQ900" s="145"/>
      <c r="AR900" s="166"/>
      <c r="AS900" s="167"/>
      <c r="AU900" s="144"/>
      <c r="AW900" s="145"/>
      <c r="BA900" s="2"/>
      <c r="BB900" s="2"/>
      <c r="BC900" s="101"/>
      <c r="BD900" s="101"/>
    </row>
    <row r="901" spans="2:56" s="84" customFormat="1" x14ac:dyDescent="0.35">
      <c r="B901" s="63"/>
      <c r="C901" s="25"/>
      <c r="D901" s="25"/>
      <c r="E901" s="25"/>
      <c r="F901" s="50"/>
      <c r="BA901" s="2"/>
      <c r="BB901" s="2"/>
      <c r="BC901" s="101"/>
      <c r="BD901" s="101"/>
    </row>
    <row r="902" spans="2:56" s="84" customFormat="1" x14ac:dyDescent="0.35">
      <c r="B902" s="26"/>
      <c r="C902" s="27"/>
      <c r="D902" s="28">
        <f>IF(D828="","",D828)</f>
        <v>31428</v>
      </c>
      <c r="E902" s="29" t="str">
        <f>IF(E828="","",E828)</f>
        <v/>
      </c>
      <c r="F902" s="50">
        <f>B897</f>
        <v>22</v>
      </c>
      <c r="G902" s="59"/>
      <c r="H902" s="64"/>
      <c r="I902" s="106"/>
      <c r="J902" s="105" t="s">
        <v>13</v>
      </c>
      <c r="K902" s="106"/>
      <c r="L902" s="105" t="s">
        <v>2</v>
      </c>
      <c r="M902" s="106"/>
      <c r="N902" s="105"/>
      <c r="O902" s="106"/>
      <c r="P902" s="105"/>
      <c r="Q902" s="106"/>
      <c r="R902" s="105"/>
      <c r="S902" s="59"/>
      <c r="T902" s="64"/>
      <c r="U902" s="44"/>
      <c r="W902" s="59"/>
      <c r="X902" s="64"/>
      <c r="Y902" s="106"/>
      <c r="Z902" s="105"/>
      <c r="AA902" s="106"/>
      <c r="AB902" s="105"/>
      <c r="AC902" s="106"/>
      <c r="AD902" s="105"/>
      <c r="AE902" s="106"/>
      <c r="AF902" s="105"/>
      <c r="AG902" s="106"/>
      <c r="AH902" s="105"/>
      <c r="AI902" s="59"/>
      <c r="AJ902" s="64"/>
      <c r="AK902" s="44"/>
      <c r="AM902" s="49"/>
      <c r="AN902" s="49"/>
      <c r="AO902" s="49"/>
      <c r="AP902" s="49"/>
      <c r="AQ902" s="49"/>
      <c r="AR902" s="40"/>
      <c r="AS902" s="51"/>
      <c r="AU902" s="49"/>
      <c r="AW902" s="52"/>
      <c r="BA902" s="2"/>
      <c r="BB902" s="2"/>
      <c r="BC902" s="101"/>
      <c r="BD902" s="101"/>
    </row>
    <row r="903" spans="2:56" s="84" customFormat="1" x14ac:dyDescent="0.35">
      <c r="B903" s="30" t="str">
        <f>IF(B829="","",B829)</f>
        <v>Gaulin, Francis</v>
      </c>
      <c r="C903" s="31"/>
      <c r="D903" s="32"/>
      <c r="E903" s="33">
        <f t="shared" ref="E903:E934" si="374">IF(E829="","",E829)</f>
        <v>93542</v>
      </c>
      <c r="F903" s="50">
        <f>B897</f>
        <v>22</v>
      </c>
      <c r="G903" s="95"/>
      <c r="H903" s="70"/>
      <c r="I903" s="104"/>
      <c r="J903" s="103">
        <v>7.4</v>
      </c>
      <c r="K903" s="104"/>
      <c r="L903" s="103">
        <v>0</v>
      </c>
      <c r="M903" s="104"/>
      <c r="N903" s="103">
        <v>8</v>
      </c>
      <c r="O903" s="104"/>
      <c r="P903" s="103">
        <v>8</v>
      </c>
      <c r="Q903" s="104"/>
      <c r="R903" s="103">
        <v>8</v>
      </c>
      <c r="S903" s="69"/>
      <c r="T903" s="70"/>
      <c r="U903" s="71">
        <f>SUM(G903:T903)</f>
        <v>31.4</v>
      </c>
      <c r="V903" s="72"/>
      <c r="W903" s="69"/>
      <c r="X903" s="70"/>
      <c r="Y903" s="104"/>
      <c r="Z903" s="103">
        <v>8.25</v>
      </c>
      <c r="AA903" s="104"/>
      <c r="AB903" s="103">
        <v>8</v>
      </c>
      <c r="AC903" s="104"/>
      <c r="AD903" s="103">
        <v>8</v>
      </c>
      <c r="AE903" s="104"/>
      <c r="AF903" s="103">
        <v>8</v>
      </c>
      <c r="AG903" s="104"/>
      <c r="AH903" s="103">
        <v>8</v>
      </c>
      <c r="AI903" s="69"/>
      <c r="AJ903" s="70"/>
      <c r="AK903" s="71">
        <f>SUM(W903:AJ903)</f>
        <v>40.25</v>
      </c>
      <c r="AL903" s="72"/>
      <c r="AM903" s="73">
        <f>SUMIF($G902:$T902,"",$G903:$T903)+SUMIF($W902:$AJ902,"",$W903:$AJ903)-AN903</f>
        <v>64</v>
      </c>
      <c r="AN903" s="88">
        <f>IF(SUMIF($G902:$T902,"",$G903:$T903)+SUMIF($G902:$T902,"F",$G903:$T903)+SUMIF($G902:$T902,"V",$G903:$T903)-40&lt;0,0,SUMIF($G902:$T902,"",$G903:$T903)+SUMIF($G902:$T902,"F",$G903:$T903)+SUMIF($G902:$T902,"V",$G903:$T903)-($U$9/2))+IF(SUMIF($W902:$AJ902,"",$W903:$AJ903)+SUMIF($W902:$AJ902,"F",$W903:$AJ903)+SUMIF($W902:$AJ902,"V",$W903:$AJ903)-40&lt;0,0,SUMIF($W902:$AJ902,"",$W903:$AJ903)+SUMIF($W902:$AJ902,"F",$W903:$AJ903)+SUMIF($W902:$AJ902,"V",$W903:$AJ903)-($U$9/2))</f>
        <v>0.25</v>
      </c>
      <c r="AO903" s="73">
        <f>SUMIF($G902:$T902,"M",$G903:$T903)+SUMIF($W902:$AJ902,"M",$W903:$AJ903)</f>
        <v>0</v>
      </c>
      <c r="AP903" s="73">
        <f>SUMIF($G902:$T902,"F",$G903:$T903)+SUMIF($W902:$AJ902,"F",$W903:$AJ903)</f>
        <v>7.4</v>
      </c>
      <c r="AQ903" s="73">
        <f>SUMIF($G902:$T902,"V",$G903:$T903)+SUMIF($W902:$AJ902,"V",$W903:$AJ903)</f>
        <v>0</v>
      </c>
      <c r="AR903" s="74">
        <f>SUMIF($G902:$T902,"O",$G903:$T903)+SUMIF($W902:$AJ902,"O",$W903:$AJ903)</f>
        <v>0</v>
      </c>
      <c r="AS903" s="75">
        <f>SUM(AM903:AR903)</f>
        <v>71.650000000000006</v>
      </c>
      <c r="AT903" s="72"/>
      <c r="AU903" s="73">
        <f>SUMIF($G902:$T902,"A",$G903:$T903)+SUMIF($W902:$AJ902,"A",$W903:$AJ903)</f>
        <v>0</v>
      </c>
      <c r="AV903" s="72"/>
      <c r="AW903" s="76">
        <f>IF(B903="",0,IF($U$9="",0,$U$9))</f>
        <v>80</v>
      </c>
      <c r="BA903" s="2"/>
      <c r="BB903" s="2"/>
      <c r="BC903" s="101"/>
      <c r="BD903" s="101"/>
    </row>
    <row r="904" spans="2:56" s="84" customFormat="1" x14ac:dyDescent="0.35">
      <c r="B904" s="26"/>
      <c r="C904" s="27"/>
      <c r="D904" s="28">
        <f>IF(D830="","",D830)</f>
        <v>24287</v>
      </c>
      <c r="E904" s="29" t="str">
        <f t="shared" si="374"/>
        <v/>
      </c>
      <c r="F904" s="50">
        <f>B897</f>
        <v>22</v>
      </c>
      <c r="G904" s="59"/>
      <c r="H904" s="64"/>
      <c r="I904" s="106"/>
      <c r="J904" s="105"/>
      <c r="K904" s="106"/>
      <c r="L904" s="105"/>
      <c r="M904" s="106"/>
      <c r="N904" s="105"/>
      <c r="O904" s="106"/>
      <c r="P904" s="105"/>
      <c r="Q904" s="106"/>
      <c r="R904" s="105"/>
      <c r="S904" s="59"/>
      <c r="T904" s="64"/>
      <c r="U904" s="44"/>
      <c r="W904" s="59"/>
      <c r="X904" s="64"/>
      <c r="Y904" s="106"/>
      <c r="Z904" s="105"/>
      <c r="AA904" s="106"/>
      <c r="AB904" s="105"/>
      <c r="AC904" s="106"/>
      <c r="AD904" s="105"/>
      <c r="AE904" s="106"/>
      <c r="AF904" s="105"/>
      <c r="AG904" s="106"/>
      <c r="AH904" s="105"/>
      <c r="AI904" s="59"/>
      <c r="AJ904" s="64"/>
      <c r="AK904" s="44"/>
      <c r="AM904" s="49"/>
      <c r="AN904" s="49"/>
      <c r="AO904" s="49"/>
      <c r="AP904" s="49"/>
      <c r="AQ904" s="49"/>
      <c r="AR904" s="40"/>
      <c r="AS904" s="51"/>
      <c r="AU904" s="49"/>
      <c r="AW904" s="52"/>
      <c r="BA904" s="2"/>
      <c r="BB904" s="2"/>
      <c r="BC904" s="101"/>
      <c r="BD904" s="101"/>
    </row>
    <row r="905" spans="2:56" s="84" customFormat="1" x14ac:dyDescent="0.35">
      <c r="B905" s="30" t="str">
        <f>IF(B831="","",B831)</f>
        <v>Barrata, Dominic(Avance $500.00)</v>
      </c>
      <c r="C905" s="31"/>
      <c r="D905" s="32"/>
      <c r="E905" s="33">
        <f t="shared" si="374"/>
        <v>93595935</v>
      </c>
      <c r="F905" s="50">
        <f>B897</f>
        <v>22</v>
      </c>
      <c r="G905" s="69"/>
      <c r="H905" s="70"/>
      <c r="I905" s="104"/>
      <c r="J905" s="103" t="s">
        <v>69</v>
      </c>
      <c r="K905" s="104"/>
      <c r="L905" s="103" t="s">
        <v>69</v>
      </c>
      <c r="M905" s="104"/>
      <c r="N905" s="103" t="s">
        <v>69</v>
      </c>
      <c r="O905" s="104"/>
      <c r="P905" s="103" t="s">
        <v>69</v>
      </c>
      <c r="Q905" s="104"/>
      <c r="R905" s="103" t="s">
        <v>69</v>
      </c>
      <c r="S905" s="69"/>
      <c r="T905" s="70"/>
      <c r="U905" s="71">
        <f t="shared" ref="U905" si="375">SUM(G905:T905)</f>
        <v>0</v>
      </c>
      <c r="V905" s="72"/>
      <c r="W905" s="69"/>
      <c r="X905" s="70"/>
      <c r="Y905" s="104"/>
      <c r="Z905" s="103" t="s">
        <v>69</v>
      </c>
      <c r="AA905" s="104"/>
      <c r="AB905" s="103" t="s">
        <v>69</v>
      </c>
      <c r="AC905" s="104"/>
      <c r="AD905" s="103" t="s">
        <v>69</v>
      </c>
      <c r="AE905" s="104"/>
      <c r="AF905" s="103" t="s">
        <v>69</v>
      </c>
      <c r="AG905" s="104"/>
      <c r="AH905" s="103" t="s">
        <v>69</v>
      </c>
      <c r="AI905" s="69"/>
      <c r="AJ905" s="70"/>
      <c r="AK905" s="71">
        <f>SUM(W905:AJ905)</f>
        <v>0</v>
      </c>
      <c r="AL905" s="72"/>
      <c r="AM905" s="73">
        <f>SUMIF($G904:$T904,"",$G905:$T905)+SUMIF($W904:$AJ904,"",$W905:$AJ905)-AN905</f>
        <v>0</v>
      </c>
      <c r="AN905" s="88">
        <f>IF(SUMIF($G904:$T904,"",$G905:$T905)+SUMIF($G904:$T904,"F",$G905:$T905)+SUMIF($G904:$T904,"V",$G905:$T905)-40&lt;0,0,SUMIF($G904:$T904,"",$G905:$T905)+SUMIF($G904:$T904,"F",$G905:$T905)+SUMIF($G904:$T904,"V",$G905:$T905)-($U$9/2))+IF(SUMIF($W904:$AJ904,"",$W905:$AJ905)+SUMIF($W904:$AJ904,"F",$W905:$AJ905)+SUMIF($W904:$AJ904,"V",$W905:$AJ905)-40&lt;0,0,SUMIF($W904:$AJ904,"",$W905:$AJ905)+SUMIF($W904:$AJ904,"F",$W905:$AJ905)+SUMIF($W904:$AJ904,"V",$W905:$AJ905)-($U$9/2))</f>
        <v>0</v>
      </c>
      <c r="AO905" s="73">
        <f>SUMIF($G904:$T904,"M",$G905:$T905)+SUMIF($W904:$AJ904,"M",$W905:$AJ905)</f>
        <v>0</v>
      </c>
      <c r="AP905" s="73">
        <f>SUMIF($G904:$T904,"F",$G905:$T905)+SUMIF($W904:$AJ904,"F",$W905:$AJ905)</f>
        <v>0</v>
      </c>
      <c r="AQ905" s="73">
        <f>SUMIF($G904:$T904,"V",$G905:$T905)+SUMIF($W904:$AJ904,"V",$W905:$AJ905)</f>
        <v>0</v>
      </c>
      <c r="AR905" s="74">
        <f>SUMIF($G904:$T904,"O",$G905:$T905)+SUMIF($W904:$AJ904,"O",$W905:$AJ905)</f>
        <v>0</v>
      </c>
      <c r="AS905" s="75">
        <f>SUM(AM905:AR905)</f>
        <v>0</v>
      </c>
      <c r="AT905" s="72"/>
      <c r="AU905" s="73">
        <f>SUMIF($G904:$T904,"A",$G905:$T905)+SUMIF($W904:$AJ904,"A",$W905:$AJ905)</f>
        <v>0</v>
      </c>
      <c r="AV905" s="72"/>
      <c r="AW905" s="76">
        <f>IF(B905="",0,IF($U$9="",0,$U$9))</f>
        <v>80</v>
      </c>
      <c r="BA905" s="2"/>
      <c r="BB905" s="2"/>
      <c r="BC905" s="101"/>
      <c r="BD905" s="101"/>
    </row>
    <row r="906" spans="2:56" s="84" customFormat="1" x14ac:dyDescent="0.35">
      <c r="B906" s="26"/>
      <c r="C906" s="27"/>
      <c r="D906" s="28">
        <f>IF(D832="","",D832)</f>
        <v>92032</v>
      </c>
      <c r="E906" s="29" t="str">
        <f t="shared" si="374"/>
        <v/>
      </c>
      <c r="F906" s="50">
        <f>B897</f>
        <v>22</v>
      </c>
      <c r="G906" s="59"/>
      <c r="H906" s="64"/>
      <c r="I906" s="106"/>
      <c r="J906" s="105"/>
      <c r="K906" s="106"/>
      <c r="L906" s="105"/>
      <c r="M906" s="106"/>
      <c r="N906" s="105"/>
      <c r="O906" s="106"/>
      <c r="P906" s="105"/>
      <c r="Q906" s="106"/>
      <c r="R906" s="105"/>
      <c r="S906" s="59"/>
      <c r="T906" s="64"/>
      <c r="U906" s="44"/>
      <c r="W906" s="59"/>
      <c r="X906" s="64"/>
      <c r="Y906" s="106"/>
      <c r="Z906" s="105"/>
      <c r="AA906" s="106"/>
      <c r="AB906" s="105"/>
      <c r="AC906" s="106"/>
      <c r="AD906" s="105"/>
      <c r="AE906" s="106"/>
      <c r="AF906" s="105"/>
      <c r="AG906" s="106"/>
      <c r="AH906" s="105"/>
      <c r="AI906" s="59"/>
      <c r="AJ906" s="64"/>
      <c r="AK906" s="44"/>
      <c r="AM906" s="49"/>
      <c r="AN906" s="49"/>
      <c r="AO906" s="49"/>
      <c r="AP906" s="49"/>
      <c r="AQ906" s="49"/>
      <c r="AR906" s="40"/>
      <c r="AS906" s="51"/>
      <c r="AU906" s="49"/>
      <c r="AW906" s="52"/>
      <c r="BA906" s="2"/>
      <c r="BB906" s="2"/>
      <c r="BC906" s="101"/>
      <c r="BD906" s="101"/>
    </row>
    <row r="907" spans="2:56" s="84" customFormat="1" x14ac:dyDescent="0.35">
      <c r="B907" s="30" t="str">
        <f>IF(B833="","",B833)</f>
        <v>Benoit, Jean-Paul(Avance $1,600.00)</v>
      </c>
      <c r="C907" s="31"/>
      <c r="D907" s="32"/>
      <c r="E907" s="33">
        <f t="shared" si="374"/>
        <v>93595935</v>
      </c>
      <c r="F907" s="50">
        <f>B897</f>
        <v>22</v>
      </c>
      <c r="G907" s="69"/>
      <c r="H907" s="70"/>
      <c r="I907" s="104"/>
      <c r="J907" s="103" t="s">
        <v>69</v>
      </c>
      <c r="K907" s="104"/>
      <c r="L907" s="103" t="s">
        <v>69</v>
      </c>
      <c r="M907" s="104"/>
      <c r="N907" s="103" t="s">
        <v>69</v>
      </c>
      <c r="O907" s="104"/>
      <c r="P907" s="103" t="s">
        <v>69</v>
      </c>
      <c r="Q907" s="104"/>
      <c r="R907" s="103" t="s">
        <v>69</v>
      </c>
      <c r="S907" s="69"/>
      <c r="T907" s="70"/>
      <c r="U907" s="71">
        <f t="shared" ref="U907" si="376">SUM(G907:T907)</f>
        <v>0</v>
      </c>
      <c r="V907" s="72"/>
      <c r="W907" s="69"/>
      <c r="X907" s="70"/>
      <c r="Y907" s="104"/>
      <c r="Z907" s="103" t="s">
        <v>69</v>
      </c>
      <c r="AA907" s="104"/>
      <c r="AB907" s="103" t="s">
        <v>69</v>
      </c>
      <c r="AC907" s="104"/>
      <c r="AD907" s="103" t="s">
        <v>69</v>
      </c>
      <c r="AE907" s="104"/>
      <c r="AF907" s="103" t="s">
        <v>69</v>
      </c>
      <c r="AG907" s="104"/>
      <c r="AH907" s="103" t="s">
        <v>69</v>
      </c>
      <c r="AI907" s="69"/>
      <c r="AJ907" s="70"/>
      <c r="AK907" s="71">
        <f>SUM(W907:AJ907)</f>
        <v>0</v>
      </c>
      <c r="AL907" s="72"/>
      <c r="AM907" s="73">
        <f>SUMIF($G906:$T906,"",$G907:$T907)+SUMIF($W906:$AJ906,"",$W907:$AJ907)-AN907</f>
        <v>0</v>
      </c>
      <c r="AN907" s="88">
        <f>IF(SUMIF($G906:$T906,"",$G907:$T907)+SUMIF($G906:$T906,"F",$G907:$T907)+SUMIF($G906:$T906,"V",$G907:$T907)-40&lt;0,0,SUMIF($G906:$T906,"",$G907:$T907)+SUMIF($G906:$T906,"F",$G907:$T907)+SUMIF($G906:$T906,"V",$G907:$T907)-($U$9/2))+IF(SUMIF($W906:$AJ906,"",$W907:$AJ907)+SUMIF($W906:$AJ906,"F",$W907:$AJ907)+SUMIF($W906:$AJ906,"V",$W907:$AJ907)-40&lt;0,0,SUMIF($W906:$AJ906,"",$W907:$AJ907)+SUMIF($W906:$AJ906,"F",$W907:$AJ907)+SUMIF($W906:$AJ906,"V",$W907:$AJ907)-($U$9/2))</f>
        <v>0</v>
      </c>
      <c r="AO907" s="73">
        <f>SUMIF($G906:$T906,"M",$G907:$T907)+SUMIF($W906:$AJ906,"M",$W907:$AJ907)</f>
        <v>0</v>
      </c>
      <c r="AP907" s="73">
        <f>SUMIF($G906:$T906,"F",$G907:$T907)+SUMIF($W906:$AJ906,"F",$W907:$AJ907)</f>
        <v>0</v>
      </c>
      <c r="AQ907" s="73">
        <f>SUMIF($G906:$T906,"V",$G907:$T907)+SUMIF($W906:$AJ906,"V",$W907:$AJ907)</f>
        <v>0</v>
      </c>
      <c r="AR907" s="74">
        <f>SUMIF($G906:$T906,"O",$G907:$T907)+SUMIF($W906:$AJ906,"O",$W907:$AJ907)</f>
        <v>0</v>
      </c>
      <c r="AS907" s="75">
        <f>SUM(AM907:AR907)</f>
        <v>0</v>
      </c>
      <c r="AT907" s="72"/>
      <c r="AU907" s="73">
        <f>SUMIF($G906:$T906,"A",$G907:$T907)+SUMIF($W906:$AJ906,"A",$W907:$AJ907)</f>
        <v>0</v>
      </c>
      <c r="AV907" s="72"/>
      <c r="AW907" s="76">
        <f>IF(B907="",0,IF($U$9="",0,$U$9))</f>
        <v>80</v>
      </c>
      <c r="BA907" s="2"/>
      <c r="BB907" s="2"/>
      <c r="BC907" s="101"/>
      <c r="BD907" s="101"/>
    </row>
    <row r="908" spans="2:56" s="84" customFormat="1" x14ac:dyDescent="0.35">
      <c r="B908" s="26"/>
      <c r="C908" s="27"/>
      <c r="D908" s="28">
        <f>IF(D834="","",D834)</f>
        <v>81077</v>
      </c>
      <c r="E908" s="29" t="str">
        <f t="shared" si="374"/>
        <v/>
      </c>
      <c r="F908" s="50">
        <f>B897</f>
        <v>22</v>
      </c>
      <c r="G908" s="93"/>
      <c r="H908" s="94"/>
      <c r="I908" s="106"/>
      <c r="J908" s="105" t="s">
        <v>13</v>
      </c>
      <c r="K908" s="106"/>
      <c r="L908" s="105"/>
      <c r="M908" s="106"/>
      <c r="N908" s="105"/>
      <c r="O908" s="106"/>
      <c r="P908" s="105"/>
      <c r="Q908" s="106"/>
      <c r="R908" s="105"/>
      <c r="S908" s="59"/>
      <c r="T908" s="64"/>
      <c r="U908" s="44"/>
      <c r="W908" s="59"/>
      <c r="X908" s="64"/>
      <c r="Y908" s="106"/>
      <c r="Z908" s="105"/>
      <c r="AA908" s="106"/>
      <c r="AB908" s="105"/>
      <c r="AC908" s="106"/>
      <c r="AD908" s="105"/>
      <c r="AE908" s="106"/>
      <c r="AF908" s="105"/>
      <c r="AG908" s="106"/>
      <c r="AH908" s="105"/>
      <c r="AI908" s="59"/>
      <c r="AJ908" s="64"/>
      <c r="AK908" s="44"/>
      <c r="AM908" s="49"/>
      <c r="AN908" s="49"/>
      <c r="AO908" s="49"/>
      <c r="AP908" s="49"/>
      <c r="AQ908" s="49"/>
      <c r="AR908" s="40"/>
      <c r="AS908" s="51"/>
      <c r="AU908" s="49"/>
      <c r="AW908" s="52"/>
      <c r="BA908" s="2"/>
      <c r="BB908" s="2"/>
      <c r="BC908" s="101"/>
      <c r="BD908" s="101"/>
    </row>
    <row r="909" spans="2:56" s="84" customFormat="1" x14ac:dyDescent="0.35">
      <c r="B909" s="30" t="str">
        <f>IF(B835="","",B835)</f>
        <v>Bourassa, Julie</v>
      </c>
      <c r="C909" s="31"/>
      <c r="D909" s="32"/>
      <c r="E909" s="33">
        <f t="shared" si="374"/>
        <v>93540</v>
      </c>
      <c r="F909" s="50">
        <f>B897</f>
        <v>22</v>
      </c>
      <c r="G909" s="93"/>
      <c r="H909" s="94"/>
      <c r="I909" s="104"/>
      <c r="J909" s="103">
        <v>8</v>
      </c>
      <c r="K909" s="104"/>
      <c r="L909" s="103">
        <v>8.5</v>
      </c>
      <c r="M909" s="104"/>
      <c r="N909" s="103">
        <v>8</v>
      </c>
      <c r="O909" s="104"/>
      <c r="P909" s="103">
        <v>8.5</v>
      </c>
      <c r="Q909" s="104"/>
      <c r="R909" s="103">
        <v>8</v>
      </c>
      <c r="S909" s="69"/>
      <c r="T909" s="70"/>
      <c r="U909" s="71">
        <f t="shared" ref="U909" si="377">SUM(G909:T909)</f>
        <v>41</v>
      </c>
      <c r="V909" s="72"/>
      <c r="W909" s="69"/>
      <c r="X909" s="70"/>
      <c r="Y909" s="104"/>
      <c r="Z909" s="103">
        <v>8</v>
      </c>
      <c r="AA909" s="104"/>
      <c r="AB909" s="103">
        <v>8.5</v>
      </c>
      <c r="AC909" s="104"/>
      <c r="AD909" s="103">
        <v>8</v>
      </c>
      <c r="AE909" s="104"/>
      <c r="AF909" s="103">
        <v>8.5</v>
      </c>
      <c r="AG909" s="104"/>
      <c r="AH909" s="103">
        <v>7.5</v>
      </c>
      <c r="AI909" s="69"/>
      <c r="AJ909" s="70"/>
      <c r="AK909" s="71">
        <f>SUM(W909:AJ909)</f>
        <v>40.5</v>
      </c>
      <c r="AL909" s="72"/>
      <c r="AM909" s="73">
        <f>SUMIF($G908:$T908,"",$G909:$T909)+SUMIF($W908:$AJ908,"",$W909:$AJ909)-AN909</f>
        <v>72</v>
      </c>
      <c r="AN909" s="88">
        <f>IF(SUMIF($G908:$T908,"",$G909:$T909)+SUMIF($G908:$T908,"F",$G909:$T909)+SUMIF($G908:$T908,"V",$G909:$T909)-40&lt;0,0,SUMIF($G908:$T908,"",$G909:$T909)+SUMIF($G908:$T908,"F",$G909:$T909)+SUMIF($G908:$T908,"V",$G909:$T909)-($U$9/2))+IF(SUMIF($W908:$AJ908,"",$W909:$AJ909)+SUMIF($W908:$AJ908,"F",$W909:$AJ909)+SUMIF($W908:$AJ908,"V",$W909:$AJ909)-40&lt;0,0,SUMIF($W908:$AJ908,"",$W909:$AJ909)+SUMIF($W908:$AJ908,"F",$W909:$AJ909)+SUMIF($W908:$AJ908,"V",$W909:$AJ909)-($U$9/2))</f>
        <v>1.5</v>
      </c>
      <c r="AO909" s="73">
        <f>SUMIF($G908:$T908,"M",$G909:$T909)+SUMIF($W908:$AJ908,"M",$W909:$AJ909)</f>
        <v>0</v>
      </c>
      <c r="AP909" s="73">
        <f>SUMIF($G908:$T908,"F",$G909:$T909)+SUMIF($W908:$AJ908,"F",$W909:$AJ909)</f>
        <v>8</v>
      </c>
      <c r="AQ909" s="73">
        <f>SUMIF($G908:$T908,"V",$G909:$T909)+SUMIF($W908:$AJ908,"V",$W909:$AJ909)</f>
        <v>0</v>
      </c>
      <c r="AR909" s="74">
        <f>SUMIF($G908:$T908,"O",$G909:$T909)+SUMIF($W908:$AJ908,"O",$W909:$AJ909)</f>
        <v>0</v>
      </c>
      <c r="AS909" s="75">
        <f>SUM(AM909:AR909)</f>
        <v>81.5</v>
      </c>
      <c r="AT909" s="72"/>
      <c r="AU909" s="73">
        <f>SUMIF($G908:$T908,"A",$G909:$T909)+SUMIF($W908:$AJ908,"A",$W909:$AJ909)</f>
        <v>0</v>
      </c>
      <c r="AV909" s="72"/>
      <c r="AW909" s="76">
        <f>IF(B909="",0,IF($U$9="",0,$U$9))</f>
        <v>80</v>
      </c>
      <c r="BA909" s="2"/>
      <c r="BB909" s="2"/>
      <c r="BC909" s="101"/>
      <c r="BD909" s="101"/>
    </row>
    <row r="910" spans="2:56" s="84" customFormat="1" x14ac:dyDescent="0.35">
      <c r="B910" s="26"/>
      <c r="C910" s="27"/>
      <c r="D910" s="28">
        <f>IF(D836="","",D836)</f>
        <v>78475</v>
      </c>
      <c r="E910" s="29" t="str">
        <f t="shared" si="374"/>
        <v/>
      </c>
      <c r="F910" s="50">
        <f>B897</f>
        <v>22</v>
      </c>
      <c r="G910" s="59"/>
      <c r="H910" s="64"/>
      <c r="I910" s="106"/>
      <c r="J910" s="105" t="s">
        <v>13</v>
      </c>
      <c r="K910" s="106"/>
      <c r="L910" s="105"/>
      <c r="M910" s="106"/>
      <c r="N910" s="105"/>
      <c r="O910" s="106"/>
      <c r="P910" s="105"/>
      <c r="Q910" s="106"/>
      <c r="R910" s="105"/>
      <c r="S910" s="59"/>
      <c r="T910" s="64"/>
      <c r="U910" s="44"/>
      <c r="W910" s="59"/>
      <c r="X910" s="64"/>
      <c r="Y910" s="106"/>
      <c r="Z910" s="105"/>
      <c r="AA910" s="106"/>
      <c r="AB910" s="105" t="s">
        <v>12</v>
      </c>
      <c r="AC910" s="106"/>
      <c r="AD910" s="105"/>
      <c r="AE910" s="106"/>
      <c r="AF910" s="105"/>
      <c r="AG910" s="106"/>
      <c r="AH910" s="105"/>
      <c r="AI910" s="59"/>
      <c r="AJ910" s="64"/>
      <c r="AK910" s="44"/>
      <c r="AM910" s="49"/>
      <c r="AN910" s="49"/>
      <c r="AO910" s="49"/>
      <c r="AP910" s="49"/>
      <c r="AQ910" s="49"/>
      <c r="AR910" s="40"/>
      <c r="AS910" s="51"/>
      <c r="AU910" s="49"/>
      <c r="AW910" s="52"/>
      <c r="BA910" s="2"/>
      <c r="BB910" s="2"/>
      <c r="BC910" s="101"/>
      <c r="BD910" s="101"/>
    </row>
    <row r="911" spans="2:56" s="84" customFormat="1" x14ac:dyDescent="0.35">
      <c r="B911" s="30" t="str">
        <f>IF(B837="","",B837)</f>
        <v>Charbonneau, Samuel</v>
      </c>
      <c r="C911" s="31"/>
      <c r="D911" s="32"/>
      <c r="E911" s="33">
        <f t="shared" si="374"/>
        <v>93540</v>
      </c>
      <c r="F911" s="50">
        <f>B897</f>
        <v>22</v>
      </c>
      <c r="G911" s="69"/>
      <c r="H911" s="70"/>
      <c r="I911" s="104"/>
      <c r="J911" s="103">
        <v>8</v>
      </c>
      <c r="K911" s="104"/>
      <c r="L911" s="103">
        <v>8</v>
      </c>
      <c r="M911" s="104"/>
      <c r="N911" s="103">
        <v>8</v>
      </c>
      <c r="O911" s="104"/>
      <c r="P911" s="103">
        <v>8.5</v>
      </c>
      <c r="Q911" s="104"/>
      <c r="R911" s="103">
        <v>7.5</v>
      </c>
      <c r="S911" s="69"/>
      <c r="T911" s="70"/>
      <c r="U911" s="71">
        <f t="shared" ref="U911" si="378">SUM(G911:T911)</f>
        <v>40</v>
      </c>
      <c r="V911" s="72"/>
      <c r="W911" s="69"/>
      <c r="X911" s="70"/>
      <c r="Y911" s="104"/>
      <c r="Z911" s="103">
        <v>8.5</v>
      </c>
      <c r="AA911" s="104"/>
      <c r="AB911" s="103">
        <v>8</v>
      </c>
      <c r="AC911" s="104"/>
      <c r="AD911" s="103">
        <v>8.5</v>
      </c>
      <c r="AE911" s="104"/>
      <c r="AF911" s="103">
        <v>8</v>
      </c>
      <c r="AG911" s="104"/>
      <c r="AH911" s="103">
        <v>8</v>
      </c>
      <c r="AI911" s="69"/>
      <c r="AJ911" s="70"/>
      <c r="AK911" s="71">
        <f>SUM(W911:AJ911)</f>
        <v>41</v>
      </c>
      <c r="AL911" s="72"/>
      <c r="AM911" s="73">
        <f>SUMIF($G910:$T910,"",$G911:$T911)+SUMIF($W910:$AJ910,"",$W911:$AJ911)-AN911</f>
        <v>65</v>
      </c>
      <c r="AN911" s="88">
        <f>IF(SUMIF($G910:$T910,"",$G911:$T911)+SUMIF($G910:$T910,"F",$G911:$T911)+SUMIF($G910:$T910,"V",$G911:$T911)-40&lt;0,0,SUMIF($G910:$T910,"",$G911:$T911)+SUMIF($G910:$T910,"F",$G911:$T911)+SUMIF($G910:$T910,"V",$G911:$T911)-($U$9/2))+IF(SUMIF($W910:$AJ910,"",$W911:$AJ911)+SUMIF($W910:$AJ910,"F",$W911:$AJ911)+SUMIF($W910:$AJ910,"V",$W911:$AJ911)-40&lt;0,0,SUMIF($W910:$AJ910,"",$W911:$AJ911)+SUMIF($W910:$AJ910,"F",$W911:$AJ911)+SUMIF($W910:$AJ910,"V",$W911:$AJ911)-($U$9/2))</f>
        <v>0</v>
      </c>
      <c r="AO911" s="73">
        <f>SUMIF($G910:$T910,"M",$G911:$T911)+SUMIF($W910:$AJ910,"M",$W911:$AJ911)</f>
        <v>8</v>
      </c>
      <c r="AP911" s="73">
        <f>SUMIF($G910:$T910,"F",$G911:$T911)+SUMIF($W910:$AJ910,"F",$W911:$AJ911)</f>
        <v>8</v>
      </c>
      <c r="AQ911" s="73">
        <f>SUMIF($G910:$T910,"V",$G911:$T911)+SUMIF($W910:$AJ910,"V",$W911:$AJ911)</f>
        <v>0</v>
      </c>
      <c r="AR911" s="74">
        <f>SUMIF($G910:$T910,"O",$G911:$T911)+SUMIF($W910:$AJ910,"O",$W911:$AJ911)</f>
        <v>0</v>
      </c>
      <c r="AS911" s="75">
        <f>SUM(AM911:AR911)</f>
        <v>81</v>
      </c>
      <c r="AT911" s="72"/>
      <c r="AU911" s="73">
        <f>SUMIF($G910:$T910,"A",$G911:$T911)+SUMIF($W910:$AJ910,"A",$W911:$AJ911)</f>
        <v>0</v>
      </c>
      <c r="AV911" s="72"/>
      <c r="AW911" s="76">
        <f>IF(B911="",0,IF($U$9="",0,$U$9))</f>
        <v>80</v>
      </c>
      <c r="BA911" s="2"/>
      <c r="BB911" s="2"/>
      <c r="BC911" s="101"/>
      <c r="BD911" s="101"/>
    </row>
    <row r="912" spans="2:56" s="84" customFormat="1" x14ac:dyDescent="0.35">
      <c r="B912" s="26"/>
      <c r="C912" s="27"/>
      <c r="D912" s="28"/>
      <c r="E912" s="29" t="str">
        <f t="shared" si="374"/>
        <v/>
      </c>
      <c r="F912" s="50">
        <f>B897</f>
        <v>22</v>
      </c>
      <c r="G912" s="59"/>
      <c r="H912" s="64"/>
      <c r="I912" s="106"/>
      <c r="J912" s="105"/>
      <c r="K912" s="106"/>
      <c r="L912" s="105"/>
      <c r="M912" s="106"/>
      <c r="N912" s="105"/>
      <c r="O912" s="106"/>
      <c r="P912" s="105"/>
      <c r="Q912" s="106"/>
      <c r="R912" s="105"/>
      <c r="S912" s="59"/>
      <c r="T912" s="64"/>
      <c r="U912" s="44"/>
      <c r="W912" s="59"/>
      <c r="X912" s="64"/>
      <c r="Y912" s="106"/>
      <c r="Z912" s="105"/>
      <c r="AA912" s="106"/>
      <c r="AB912" s="105"/>
      <c r="AC912" s="106"/>
      <c r="AD912" s="105"/>
      <c r="AE912" s="106"/>
      <c r="AF912" s="105"/>
      <c r="AG912" s="106"/>
      <c r="AH912" s="105"/>
      <c r="AI912" s="59"/>
      <c r="AJ912" s="64"/>
      <c r="AK912" s="44"/>
      <c r="AM912" s="49"/>
      <c r="AN912" s="49"/>
      <c r="AO912" s="49"/>
      <c r="AP912" s="49"/>
      <c r="AQ912" s="49"/>
      <c r="AR912" s="40"/>
      <c r="AS912" s="51"/>
      <c r="AU912" s="49"/>
      <c r="AW912" s="52"/>
      <c r="BA912" s="2"/>
      <c r="BB912" s="2"/>
      <c r="BC912" s="101"/>
      <c r="BD912" s="101"/>
    </row>
    <row r="913" spans="2:56" s="84" customFormat="1" x14ac:dyDescent="0.35">
      <c r="B913" s="30"/>
      <c r="C913" s="31"/>
      <c r="D913" s="32"/>
      <c r="E913" s="33"/>
      <c r="F913" s="50">
        <f>B897</f>
        <v>22</v>
      </c>
      <c r="G913" s="69"/>
      <c r="H913" s="70"/>
      <c r="I913" s="104"/>
      <c r="J913" s="103"/>
      <c r="K913" s="104"/>
      <c r="L913" s="103"/>
      <c r="M913" s="104"/>
      <c r="N913" s="103"/>
      <c r="O913" s="104"/>
      <c r="P913" s="103"/>
      <c r="Q913" s="104"/>
      <c r="R913" s="103"/>
      <c r="S913" s="69"/>
      <c r="T913" s="70"/>
      <c r="U913" s="71">
        <f t="shared" ref="U913" si="379">SUM(G913:T913)</f>
        <v>0</v>
      </c>
      <c r="V913" s="72"/>
      <c r="W913" s="69"/>
      <c r="X913" s="70"/>
      <c r="Y913" s="104"/>
      <c r="Z913" s="103"/>
      <c r="AA913" s="104"/>
      <c r="AB913" s="103"/>
      <c r="AC913" s="104"/>
      <c r="AD913" s="103"/>
      <c r="AE913" s="104"/>
      <c r="AF913" s="103"/>
      <c r="AG913" s="104"/>
      <c r="AH913" s="103"/>
      <c r="AI913" s="69"/>
      <c r="AJ913" s="70"/>
      <c r="AK913" s="71">
        <f>SUM(W913:AJ913)</f>
        <v>0</v>
      </c>
      <c r="AL913" s="72"/>
      <c r="AM913" s="73">
        <f>SUMIF($G912:$T912,"",$G913:$T913)+SUMIF($W912:$AJ912,"",$W913:$AJ913)-AN913</f>
        <v>0</v>
      </c>
      <c r="AN913" s="88">
        <f>IF(SUMIF($G912:$T912,"",$G913:$T913)+SUMIF($G912:$T912,"F",$G913:$T913)+SUMIF($G912:$T912,"V",$G913:$T913)-40&lt;0,0,SUMIF($G912:$T912,"",$G913:$T913)+SUMIF($G912:$T912,"F",$G913:$T913)+SUMIF($G912:$T912,"V",$G913:$T913)-($U$9/2))+IF(SUMIF($W912:$AJ912,"",$W913:$AJ913)+SUMIF($W912:$AJ912,"F",$W913:$AJ913)+SUMIF($W912:$AJ912,"V",$W913:$AJ913)-40&lt;0,0,SUMIF($W912:$AJ912,"",$W913:$AJ913)+SUMIF($W912:$AJ912,"F",$W913:$AJ913)+SUMIF($W912:$AJ912,"V",$W913:$AJ913)-($U$9/2))</f>
        <v>0</v>
      </c>
      <c r="AO913" s="73">
        <f>SUMIF($G912:$T912,"M",$G913:$T913)+SUMIF($W912:$AJ912,"M",$W913:$AJ913)</f>
        <v>0</v>
      </c>
      <c r="AP913" s="73">
        <f>SUMIF($G912:$T912,"F",$G913:$T913)+SUMIF($W912:$AJ912,"F",$W913:$AJ913)</f>
        <v>0</v>
      </c>
      <c r="AQ913" s="73">
        <f>SUMIF($G912:$T912,"V",$G913:$T913)+SUMIF($W912:$AJ912,"V",$W913:$AJ913)</f>
        <v>0</v>
      </c>
      <c r="AR913" s="74">
        <f>SUMIF($G912:$T912,"O",$G913:$T913)+SUMIF($W912:$AJ912,"O",$W913:$AJ913)</f>
        <v>0</v>
      </c>
      <c r="AS913" s="75">
        <f>SUM(AM913:AR913)</f>
        <v>0</v>
      </c>
      <c r="AT913" s="72"/>
      <c r="AU913" s="73">
        <f>SUMIF($G912:$T912,"A",$G913:$T913)+SUMIF($W912:$AJ912,"A",$W913:$AJ913)</f>
        <v>0</v>
      </c>
      <c r="AV913" s="72"/>
      <c r="AW913" s="76">
        <f>IF(B913="",0,IF($U$9="",0,$U$9))</f>
        <v>0</v>
      </c>
      <c r="BA913" s="2"/>
      <c r="BB913" s="2"/>
      <c r="BC913" s="101"/>
      <c r="BD913" s="101"/>
    </row>
    <row r="914" spans="2:56" s="84" customFormat="1" x14ac:dyDescent="0.35">
      <c r="B914" s="26"/>
      <c r="C914" s="27"/>
      <c r="D914" s="28">
        <f>IF(D840="","",D840)</f>
        <v>79709</v>
      </c>
      <c r="E914" s="29" t="str">
        <f t="shared" si="374"/>
        <v/>
      </c>
      <c r="F914" s="50">
        <f>B897</f>
        <v>22</v>
      </c>
      <c r="G914" s="59"/>
      <c r="H914" s="64"/>
      <c r="I914" s="106"/>
      <c r="J914" s="105" t="s">
        <v>13</v>
      </c>
      <c r="K914" s="106"/>
      <c r="L914" s="105"/>
      <c r="M914" s="106"/>
      <c r="N914" s="105"/>
      <c r="O914" s="106"/>
      <c r="P914" s="105"/>
      <c r="Q914" s="106"/>
      <c r="R914" s="105"/>
      <c r="S914" s="59"/>
      <c r="T914" s="64"/>
      <c r="U914" s="44"/>
      <c r="W914" s="59"/>
      <c r="X914" s="64"/>
      <c r="Y914" s="106"/>
      <c r="Z914" s="105"/>
      <c r="AA914" s="106"/>
      <c r="AB914" s="105"/>
      <c r="AC914" s="106"/>
      <c r="AD914" s="105"/>
      <c r="AE914" s="106"/>
      <c r="AF914" s="105"/>
      <c r="AG914" s="106"/>
      <c r="AH914" s="105"/>
      <c r="AI914" s="59"/>
      <c r="AJ914" s="64"/>
      <c r="AK914" s="44"/>
      <c r="AM914" s="49"/>
      <c r="AN914" s="49"/>
      <c r="AO914" s="49"/>
      <c r="AP914" s="49"/>
      <c r="AQ914" s="49"/>
      <c r="AR914" s="40"/>
      <c r="AS914" s="51"/>
      <c r="AU914" s="49"/>
      <c r="AW914" s="52"/>
      <c r="BA914" s="2"/>
      <c r="BB914" s="2"/>
      <c r="BC914" s="101"/>
      <c r="BD914" s="101"/>
    </row>
    <row r="915" spans="2:56" s="84" customFormat="1" x14ac:dyDescent="0.35">
      <c r="B915" s="30" t="str">
        <f>IF(B841="","",B841)</f>
        <v>De Rose, Natale</v>
      </c>
      <c r="C915" s="31"/>
      <c r="D915" s="32"/>
      <c r="E915" s="33">
        <f t="shared" si="374"/>
        <v>93595935</v>
      </c>
      <c r="F915" s="50">
        <f>B897</f>
        <v>22</v>
      </c>
      <c r="G915" s="69"/>
      <c r="H915" s="70"/>
      <c r="I915" s="104"/>
      <c r="J915" s="103">
        <v>8</v>
      </c>
      <c r="K915" s="104"/>
      <c r="L915" s="103">
        <v>8</v>
      </c>
      <c r="M915" s="104"/>
      <c r="N915" s="103">
        <v>8</v>
      </c>
      <c r="O915" s="104"/>
      <c r="P915" s="103">
        <v>8</v>
      </c>
      <c r="Q915" s="104"/>
      <c r="R915" s="103">
        <v>8</v>
      </c>
      <c r="S915" s="69"/>
      <c r="T915" s="70"/>
      <c r="U915" s="71">
        <f t="shared" ref="U915" si="380">SUM(G915:T915)</f>
        <v>40</v>
      </c>
      <c r="V915" s="72"/>
      <c r="W915" s="69"/>
      <c r="X915" s="70"/>
      <c r="Y915" s="104"/>
      <c r="Z915" s="103">
        <v>8</v>
      </c>
      <c r="AA915" s="104"/>
      <c r="AB915" s="103">
        <v>8</v>
      </c>
      <c r="AC915" s="104"/>
      <c r="AD915" s="103">
        <v>8</v>
      </c>
      <c r="AE915" s="104"/>
      <c r="AF915" s="103">
        <v>8</v>
      </c>
      <c r="AG915" s="104"/>
      <c r="AH915" s="103">
        <v>8</v>
      </c>
      <c r="AI915" s="69"/>
      <c r="AJ915" s="70"/>
      <c r="AK915" s="71">
        <f>SUM(W915:AJ915)</f>
        <v>40</v>
      </c>
      <c r="AL915" s="72"/>
      <c r="AM915" s="73">
        <f>SUMIF($G914:$T914,"",$G915:$T915)+SUMIF($W914:$AJ914,"",$W915:$AJ915)-AN915</f>
        <v>72</v>
      </c>
      <c r="AN915" s="88">
        <f>IF(SUMIF($G914:$T914,"",$G915:$T915)+SUMIF($G914:$T914,"F",$G915:$T915)+SUMIF($G914:$T914,"V",$G915:$T915)-40&lt;0,0,SUMIF($G914:$T914,"",$G915:$T915)+SUMIF($G914:$T914,"F",$G915:$T915)+SUMIF($G914:$T914,"V",$G915:$T915)-($U$9/2))+IF(SUMIF($W914:$AJ914,"",$W915:$AJ915)+SUMIF($W914:$AJ914,"F",$W915:$AJ915)+SUMIF($W914:$AJ914,"V",$W915:$AJ915)-40&lt;0,0,SUMIF($W914:$AJ914,"",$W915:$AJ915)+SUMIF($W914:$AJ914,"F",$W915:$AJ915)+SUMIF($W914:$AJ914,"V",$W915:$AJ915)-($U$9/2))</f>
        <v>0</v>
      </c>
      <c r="AO915" s="73">
        <f>SUMIF($G914:$T914,"M",$G915:$T915)+SUMIF($W914:$AJ914,"M",$W915:$AJ915)</f>
        <v>0</v>
      </c>
      <c r="AP915" s="73">
        <f>SUMIF($G914:$T914,"F",$G915:$T915)+SUMIF($W914:$AJ914,"F",$W915:$AJ915)</f>
        <v>8</v>
      </c>
      <c r="AQ915" s="73">
        <f>SUMIF($G914:$T914,"V",$G915:$T915)+SUMIF($W914:$AJ914,"V",$W915:$AJ915)</f>
        <v>0</v>
      </c>
      <c r="AR915" s="74">
        <f>SUMIF($G914:$T914,"O",$G915:$T915)+SUMIF($W914:$AJ914,"O",$W915:$AJ915)</f>
        <v>0</v>
      </c>
      <c r="AS915" s="75">
        <f>SUM(AM915:AR915)</f>
        <v>80</v>
      </c>
      <c r="AT915" s="72"/>
      <c r="AU915" s="73">
        <f>SUMIF($G914:$T914,"A",$G915:$T915)+SUMIF($W914:$AJ914,"A",$W915:$AJ915)</f>
        <v>0</v>
      </c>
      <c r="AV915" s="72"/>
      <c r="AW915" s="76">
        <f>IF(B915="",0,IF($U$9="",0,$U$9))</f>
        <v>80</v>
      </c>
      <c r="BA915" s="2"/>
      <c r="BB915" s="2"/>
      <c r="BC915" s="101"/>
      <c r="BD915" s="101"/>
    </row>
    <row r="916" spans="2:56" s="84" customFormat="1" x14ac:dyDescent="0.35">
      <c r="B916" s="26"/>
      <c r="C916" s="27"/>
      <c r="D916" s="28">
        <f>IF(D842="","",D842)</f>
        <v>92027</v>
      </c>
      <c r="E916" s="29" t="str">
        <f t="shared" si="374"/>
        <v/>
      </c>
      <c r="F916" s="50">
        <f>B897</f>
        <v>22</v>
      </c>
      <c r="G916" s="59"/>
      <c r="H916" s="64"/>
      <c r="I916" s="106"/>
      <c r="J916" s="105" t="s">
        <v>13</v>
      </c>
      <c r="K916" s="106"/>
      <c r="L916" s="105"/>
      <c r="M916" s="106"/>
      <c r="N916" s="105"/>
      <c r="O916" s="106"/>
      <c r="P916" s="105"/>
      <c r="Q916" s="106"/>
      <c r="R916" s="105"/>
      <c r="S916" s="59"/>
      <c r="T916" s="64"/>
      <c r="U916" s="44"/>
      <c r="W916" s="59"/>
      <c r="X916" s="64"/>
      <c r="Y916" s="106"/>
      <c r="Z916" s="105"/>
      <c r="AA916" s="106"/>
      <c r="AB916" s="105"/>
      <c r="AC916" s="106"/>
      <c r="AD916" s="105"/>
      <c r="AE916" s="106"/>
      <c r="AF916" s="105"/>
      <c r="AG916" s="106"/>
      <c r="AH916" s="105"/>
      <c r="AI916" s="59"/>
      <c r="AJ916" s="64"/>
      <c r="AK916" s="44"/>
      <c r="AM916" s="49"/>
      <c r="AN916" s="49"/>
      <c r="AO916" s="49"/>
      <c r="AP916" s="49"/>
      <c r="AQ916" s="49"/>
      <c r="AR916" s="40"/>
      <c r="AS916" s="51"/>
      <c r="AU916" s="49"/>
      <c r="AW916" s="52"/>
      <c r="BA916" s="2"/>
      <c r="BB916" s="2"/>
      <c r="BC916" s="101"/>
      <c r="BD916" s="101"/>
    </row>
    <row r="917" spans="2:56" s="84" customFormat="1" x14ac:dyDescent="0.35">
      <c r="B917" s="30" t="str">
        <f>IF(B843="","",B843)</f>
        <v>Descoteaux, Gerald</v>
      </c>
      <c r="C917" s="31"/>
      <c r="D917" s="32"/>
      <c r="E917" s="33">
        <f t="shared" si="374"/>
        <v>93595935</v>
      </c>
      <c r="F917" s="50">
        <f>B897</f>
        <v>22</v>
      </c>
      <c r="G917" s="69"/>
      <c r="H917" s="70"/>
      <c r="I917" s="104"/>
      <c r="J917" s="103">
        <v>8</v>
      </c>
      <c r="K917" s="104"/>
      <c r="L917" s="103">
        <v>8</v>
      </c>
      <c r="M917" s="104"/>
      <c r="N917" s="103">
        <v>8</v>
      </c>
      <c r="O917" s="104"/>
      <c r="P917" s="103">
        <v>8</v>
      </c>
      <c r="Q917" s="104"/>
      <c r="R917" s="103">
        <v>8</v>
      </c>
      <c r="S917" s="69"/>
      <c r="T917" s="70"/>
      <c r="U917" s="71">
        <f t="shared" ref="U917" si="381">SUM(G917:T917)</f>
        <v>40</v>
      </c>
      <c r="V917" s="72"/>
      <c r="W917" s="69"/>
      <c r="X917" s="70"/>
      <c r="Y917" s="104"/>
      <c r="Z917" s="103">
        <v>8</v>
      </c>
      <c r="AA917" s="104"/>
      <c r="AB917" s="103">
        <v>8</v>
      </c>
      <c r="AC917" s="104"/>
      <c r="AD917" s="103">
        <v>8</v>
      </c>
      <c r="AE917" s="104"/>
      <c r="AF917" s="103">
        <v>8</v>
      </c>
      <c r="AG917" s="104"/>
      <c r="AH917" s="103">
        <v>8</v>
      </c>
      <c r="AI917" s="69"/>
      <c r="AJ917" s="70"/>
      <c r="AK917" s="71">
        <f>SUM(W917:AJ917)</f>
        <v>40</v>
      </c>
      <c r="AL917" s="72"/>
      <c r="AM917" s="73">
        <f>SUMIF($G916:$T916,"",$G917:$T917)+SUMIF($W916:$AJ916,"",$W917:$AJ917)-AN917</f>
        <v>72</v>
      </c>
      <c r="AN917" s="88">
        <f>IF(SUMIF($G916:$T916,"",$G917:$T917)+SUMIF($G916:$T916,"F",$G917:$T917)+SUMIF($G916:$T916,"V",$G917:$T917)-40&lt;0,0,SUMIF($G916:$T916,"",$G917:$T917)+SUMIF($G916:$T916,"F",$G917:$T917)+SUMIF($G916:$T916,"V",$G917:$T917)-($U$9/2))+IF(SUMIF($W916:$AJ916,"",$W917:$AJ917)+SUMIF($W916:$AJ916,"F",$W917:$AJ917)+SUMIF($W916:$AJ916,"V",$W917:$AJ917)-40&lt;0,0,SUMIF($W916:$AJ916,"",$W917:$AJ917)+SUMIF($W916:$AJ916,"F",$W917:$AJ917)+SUMIF($W916:$AJ916,"V",$W917:$AJ917)-($U$9/2))</f>
        <v>0</v>
      </c>
      <c r="AO917" s="73">
        <f>SUMIF($G916:$T916,"M",$G917:$T917)+SUMIF($W916:$AJ916,"M",$W917:$AJ917)</f>
        <v>0</v>
      </c>
      <c r="AP917" s="73">
        <f>SUMIF($G916:$T916,"F",$G917:$T917)+SUMIF($W916:$AJ916,"F",$W917:$AJ917)</f>
        <v>8</v>
      </c>
      <c r="AQ917" s="73">
        <f>SUMIF($G916:$T916,"V",$G917:$T917)+SUMIF($W916:$AJ916,"V",$W917:$AJ917)</f>
        <v>0</v>
      </c>
      <c r="AR917" s="74">
        <f>SUMIF($G916:$T916,"O",$G917:$T917)+SUMIF($W916:$AJ916,"O",$W917:$AJ917)</f>
        <v>0</v>
      </c>
      <c r="AS917" s="75">
        <f>SUM(AM917:AR917)</f>
        <v>80</v>
      </c>
      <c r="AT917" s="72"/>
      <c r="AU917" s="73">
        <f>SUMIF($G916:$T916,"A",$G917:$T917)+SUMIF($W916:$AJ916,"A",$W917:$AJ917)</f>
        <v>0</v>
      </c>
      <c r="AV917" s="72"/>
      <c r="AW917" s="76">
        <f>IF(B917="",0,IF($U$9="",0,$U$9))</f>
        <v>80</v>
      </c>
      <c r="BA917" s="2"/>
      <c r="BB917" s="2"/>
      <c r="BC917" s="101"/>
      <c r="BD917" s="101"/>
    </row>
    <row r="918" spans="2:56" s="84" customFormat="1" x14ac:dyDescent="0.35">
      <c r="B918" s="26"/>
      <c r="C918" s="27"/>
      <c r="D918" s="28">
        <f>IF(D844="","",D844)</f>
        <v>73795</v>
      </c>
      <c r="E918" s="29" t="str">
        <f t="shared" si="374"/>
        <v/>
      </c>
      <c r="F918" s="50">
        <f>B897</f>
        <v>22</v>
      </c>
      <c r="G918" s="59"/>
      <c r="H918" s="64"/>
      <c r="I918" s="106"/>
      <c r="J918" s="105" t="s">
        <v>13</v>
      </c>
      <c r="K918" s="106"/>
      <c r="L918" s="105"/>
      <c r="M918" s="106"/>
      <c r="N918" s="105"/>
      <c r="O918" s="106"/>
      <c r="P918" s="105"/>
      <c r="Q918" s="106"/>
      <c r="R918" s="105"/>
      <c r="S918" s="59"/>
      <c r="T918" s="64"/>
      <c r="U918" s="44"/>
      <c r="W918" s="59"/>
      <c r="X918" s="64"/>
      <c r="Y918" s="106"/>
      <c r="Z918" s="105"/>
      <c r="AA918" s="106"/>
      <c r="AB918" s="105"/>
      <c r="AC918" s="106"/>
      <c r="AD918" s="105"/>
      <c r="AE918" s="106"/>
      <c r="AF918" s="105"/>
      <c r="AG918" s="106"/>
      <c r="AH918" s="105"/>
      <c r="AI918" s="59"/>
      <c r="AJ918" s="64"/>
      <c r="AK918" s="44"/>
      <c r="AM918" s="49"/>
      <c r="AN918" s="49"/>
      <c r="AO918" s="49"/>
      <c r="AP918" s="49"/>
      <c r="AQ918" s="49"/>
      <c r="AR918" s="40"/>
      <c r="AS918" s="51"/>
      <c r="AU918" s="49"/>
      <c r="AW918" s="52"/>
      <c r="BA918" s="2"/>
      <c r="BB918" s="2"/>
      <c r="BC918" s="101"/>
      <c r="BD918" s="101"/>
    </row>
    <row r="919" spans="2:56" s="84" customFormat="1" x14ac:dyDescent="0.35">
      <c r="B919" s="30" t="str">
        <f>IF(B845="","",B845)</f>
        <v>Fortin, Veronique</v>
      </c>
      <c r="C919" s="31"/>
      <c r="D919" s="32"/>
      <c r="E919" s="33">
        <f t="shared" si="374"/>
        <v>93540</v>
      </c>
      <c r="F919" s="50">
        <f>B897</f>
        <v>22</v>
      </c>
      <c r="G919" s="69"/>
      <c r="H919" s="70"/>
      <c r="I919" s="104"/>
      <c r="J919" s="103">
        <v>8</v>
      </c>
      <c r="K919" s="104"/>
      <c r="L919" s="103">
        <v>8</v>
      </c>
      <c r="M919" s="104"/>
      <c r="N919" s="103">
        <v>8</v>
      </c>
      <c r="O919" s="104"/>
      <c r="P919" s="103">
        <v>8</v>
      </c>
      <c r="Q919" s="104"/>
      <c r="R919" s="103">
        <v>7.5</v>
      </c>
      <c r="S919" s="69"/>
      <c r="T919" s="70"/>
      <c r="U919" s="71">
        <f t="shared" ref="U919" si="382">SUM(G919:T919)</f>
        <v>39.5</v>
      </c>
      <c r="V919" s="72"/>
      <c r="W919" s="69"/>
      <c r="X919" s="70"/>
      <c r="Y919" s="104"/>
      <c r="Z919" s="103">
        <v>8</v>
      </c>
      <c r="AA919" s="104"/>
      <c r="AB919" s="103">
        <v>8</v>
      </c>
      <c r="AC919" s="104"/>
      <c r="AD919" s="103">
        <v>8</v>
      </c>
      <c r="AE919" s="104"/>
      <c r="AF919" s="103">
        <v>8</v>
      </c>
      <c r="AG919" s="104"/>
      <c r="AH919" s="103">
        <v>7.5</v>
      </c>
      <c r="AI919" s="69"/>
      <c r="AJ919" s="70"/>
      <c r="AK919" s="71">
        <f>SUM(W919:AJ919)</f>
        <v>39.5</v>
      </c>
      <c r="AL919" s="72"/>
      <c r="AM919" s="73">
        <f>SUMIF($G918:$T918,"",$G919:$T919)+SUMIF($W918:$AJ918,"",$W919:$AJ919)-AN919</f>
        <v>71</v>
      </c>
      <c r="AN919" s="88">
        <f>IF(SUMIF($G918:$T918,"",$G919:$T919)+SUMIF($G918:$T918,"F",$G919:$T919)+SUMIF($G918:$T918,"V",$G919:$T919)-40&lt;0,0,SUMIF($G918:$T918,"",$G919:$T919)+SUMIF($G918:$T918,"F",$G919:$T919)+SUMIF($G918:$T918,"V",$G919:$T919)-($U$9/2))+IF(SUMIF($W918:$AJ918,"",$W919:$AJ919)+SUMIF($W918:$AJ918,"F",$W919:$AJ919)+SUMIF($W918:$AJ918,"V",$W919:$AJ919)-40&lt;0,0,SUMIF($W918:$AJ918,"",$W919:$AJ919)+SUMIF($W918:$AJ918,"F",$W919:$AJ919)+SUMIF($W918:$AJ918,"V",$W919:$AJ919)-($U$9/2))</f>
        <v>0</v>
      </c>
      <c r="AO919" s="73">
        <f>SUMIF($G918:$T918,"M",$G919:$T919)+SUMIF($W918:$AJ918,"M",$W919:$AJ919)</f>
        <v>0</v>
      </c>
      <c r="AP919" s="73">
        <f>SUMIF($G918:$T918,"F",$G919:$T919)+SUMIF($W918:$AJ918,"F",$W919:$AJ919)</f>
        <v>8</v>
      </c>
      <c r="AQ919" s="73">
        <f>SUMIF($G918:$T918,"V",$G919:$T919)+SUMIF($W918:$AJ918,"V",$W919:$AJ919)</f>
        <v>0</v>
      </c>
      <c r="AR919" s="74">
        <f>SUMIF($G918:$T918,"O",$G919:$T919)+SUMIF($W918:$AJ918,"O",$W919:$AJ919)</f>
        <v>0</v>
      </c>
      <c r="AS919" s="75">
        <f>SUM(AM919:AR919)</f>
        <v>79</v>
      </c>
      <c r="AT919" s="72"/>
      <c r="AU919" s="73">
        <f>SUMIF($G918:$T918,"A",$G919:$T919)+SUMIF($W918:$AJ918,"A",$W919:$AJ919)</f>
        <v>0</v>
      </c>
      <c r="AV919" s="72"/>
      <c r="AW919" s="76">
        <f>IF(B919="",0,IF($U$9="",0,$U$9))</f>
        <v>80</v>
      </c>
      <c r="BA919" s="2"/>
      <c r="BB919" s="2"/>
      <c r="BC919" s="101"/>
      <c r="BD919" s="101"/>
    </row>
    <row r="920" spans="2:56" s="84" customFormat="1" x14ac:dyDescent="0.35">
      <c r="B920" s="26"/>
      <c r="C920" s="27"/>
      <c r="D920" s="28">
        <f>IF(D846="","",D846)</f>
        <v>23206</v>
      </c>
      <c r="E920" s="29" t="str">
        <f t="shared" si="374"/>
        <v/>
      </c>
      <c r="F920" s="50">
        <f>B897</f>
        <v>22</v>
      </c>
      <c r="G920" s="59"/>
      <c r="H920" s="64"/>
      <c r="I920" s="106"/>
      <c r="J920" s="105" t="s">
        <v>13</v>
      </c>
      <c r="K920" s="106"/>
      <c r="L920" s="105"/>
      <c r="M920" s="106"/>
      <c r="N920" s="105"/>
      <c r="O920" s="106"/>
      <c r="P920" s="105"/>
      <c r="Q920" s="106"/>
      <c r="R920" s="105"/>
      <c r="S920" s="59"/>
      <c r="T920" s="64"/>
      <c r="U920" s="44"/>
      <c r="W920" s="59"/>
      <c r="X920" s="64"/>
      <c r="Y920" s="106"/>
      <c r="Z920" s="105"/>
      <c r="AA920" s="106"/>
      <c r="AB920" s="105"/>
      <c r="AC920" s="106"/>
      <c r="AD920" s="105"/>
      <c r="AE920" s="106"/>
      <c r="AF920" s="105"/>
      <c r="AG920" s="106"/>
      <c r="AH920" s="105"/>
      <c r="AI920" s="59"/>
      <c r="AJ920" s="64"/>
      <c r="AK920" s="44"/>
      <c r="AM920" s="49"/>
      <c r="AN920" s="49"/>
      <c r="AO920" s="49"/>
      <c r="AP920" s="49"/>
      <c r="AQ920" s="49"/>
      <c r="AR920" s="40"/>
      <c r="AS920" s="51"/>
      <c r="AU920" s="49"/>
      <c r="AW920" s="52"/>
      <c r="BA920" s="2"/>
      <c r="BB920" s="2"/>
      <c r="BC920" s="101"/>
      <c r="BD920" s="101"/>
    </row>
    <row r="921" spans="2:56" s="84" customFormat="1" x14ac:dyDescent="0.35">
      <c r="B921" s="30" t="str">
        <f>IF(B847="","",B847)</f>
        <v>Gadbois, Dominic</v>
      </c>
      <c r="C921" s="31"/>
      <c r="D921" s="32"/>
      <c r="E921" s="33">
        <f t="shared" si="374"/>
        <v>93545</v>
      </c>
      <c r="F921" s="50">
        <f>B897</f>
        <v>22</v>
      </c>
      <c r="G921" s="69"/>
      <c r="H921" s="70"/>
      <c r="I921" s="104"/>
      <c r="J921" s="103">
        <v>8</v>
      </c>
      <c r="K921" s="104"/>
      <c r="L921" s="103">
        <v>5</v>
      </c>
      <c r="M921" s="104"/>
      <c r="N921" s="103">
        <v>8</v>
      </c>
      <c r="O921" s="104"/>
      <c r="P921" s="103">
        <v>8</v>
      </c>
      <c r="Q921" s="104"/>
      <c r="R921" s="103">
        <v>8</v>
      </c>
      <c r="S921" s="69"/>
      <c r="T921" s="70"/>
      <c r="U921" s="71">
        <f t="shared" ref="U921" si="383">SUM(G921:T921)</f>
        <v>37</v>
      </c>
      <c r="V921" s="72"/>
      <c r="W921" s="69"/>
      <c r="X921" s="70"/>
      <c r="Y921" s="104"/>
      <c r="Z921" s="103">
        <v>8</v>
      </c>
      <c r="AA921" s="104"/>
      <c r="AB921" s="103">
        <v>8.25</v>
      </c>
      <c r="AC921" s="104"/>
      <c r="AD921" s="103">
        <v>10</v>
      </c>
      <c r="AE921" s="104"/>
      <c r="AF921" s="103">
        <v>7.5</v>
      </c>
      <c r="AG921" s="104"/>
      <c r="AH921" s="103">
        <v>8</v>
      </c>
      <c r="AI921" s="69"/>
      <c r="AJ921" s="70"/>
      <c r="AK921" s="71">
        <f>SUM(W921:AJ921)</f>
        <v>41.75</v>
      </c>
      <c r="AL921" s="72"/>
      <c r="AM921" s="73">
        <f>SUMIF($G920:$T920,"",$G921:$T921)+SUMIF($W920:$AJ920,"",$W921:$AJ921)-AN921</f>
        <v>69</v>
      </c>
      <c r="AN921" s="88">
        <f>IF(SUMIF($G920:$T920,"",$G921:$T921)+SUMIF($G920:$T920,"F",$G921:$T921)+SUMIF($G920:$T920,"V",$G921:$T921)-40&lt;0,0,SUMIF($G920:$T920,"",$G921:$T921)+SUMIF($G920:$T920,"F",$G921:$T921)+SUMIF($G920:$T920,"V",$G921:$T921)-($U$9/2))+IF(SUMIF($W920:$AJ920,"",$W921:$AJ921)+SUMIF($W920:$AJ920,"F",$W921:$AJ921)+SUMIF($W920:$AJ920,"V",$W921:$AJ921)-40&lt;0,0,SUMIF($W920:$AJ920,"",$W921:$AJ921)+SUMIF($W920:$AJ920,"F",$W921:$AJ921)+SUMIF($W920:$AJ920,"V",$W921:$AJ921)-($U$9/2))</f>
        <v>1.75</v>
      </c>
      <c r="AO921" s="73">
        <f>SUMIF($G920:$T920,"M",$G921:$T921)+SUMIF($W920:$AJ920,"M",$W921:$AJ921)</f>
        <v>0</v>
      </c>
      <c r="AP921" s="73">
        <f>SUMIF($G920:$T920,"F",$G921:$T921)+SUMIF($W920:$AJ920,"F",$W921:$AJ921)</f>
        <v>8</v>
      </c>
      <c r="AQ921" s="73">
        <f>SUMIF($G920:$T920,"V",$G921:$T921)+SUMIF($W920:$AJ920,"V",$W921:$AJ921)</f>
        <v>0</v>
      </c>
      <c r="AR921" s="74">
        <f>SUMIF($G920:$T920,"O",$G921:$T921)+SUMIF($W920:$AJ920,"O",$W921:$AJ921)</f>
        <v>0</v>
      </c>
      <c r="AS921" s="75">
        <f>SUM(AM921:AR921)</f>
        <v>78.75</v>
      </c>
      <c r="AT921" s="72"/>
      <c r="AU921" s="73">
        <f>SUMIF($G920:$T920,"A",$G921:$T921)+SUMIF($W920:$AJ920,"A",$W921:$AJ921)</f>
        <v>0</v>
      </c>
      <c r="AV921" s="72"/>
      <c r="AW921" s="76">
        <f>IF(B921="",0,IF($U$9="",0,$U$9))</f>
        <v>80</v>
      </c>
      <c r="BA921" s="2"/>
      <c r="BB921" s="2"/>
      <c r="BC921" s="101"/>
      <c r="BD921" s="101"/>
    </row>
    <row r="922" spans="2:56" s="84" customFormat="1" x14ac:dyDescent="0.35">
      <c r="B922" s="26"/>
      <c r="C922" s="27"/>
      <c r="D922" s="28">
        <f>IF(D848="","",D848)</f>
        <v>33664</v>
      </c>
      <c r="E922" s="29" t="str">
        <f t="shared" si="374"/>
        <v/>
      </c>
      <c r="F922" s="50">
        <f>B897</f>
        <v>22</v>
      </c>
      <c r="G922" s="59"/>
      <c r="H922" s="64"/>
      <c r="I922" s="106"/>
      <c r="J922" s="105" t="s">
        <v>13</v>
      </c>
      <c r="K922" s="106"/>
      <c r="L922" s="105"/>
      <c r="M922" s="106"/>
      <c r="N922" s="105"/>
      <c r="O922" s="106"/>
      <c r="P922" s="105"/>
      <c r="Q922" s="106"/>
      <c r="R922" s="105"/>
      <c r="S922" s="59"/>
      <c r="T922" s="64"/>
      <c r="U922" s="44"/>
      <c r="W922" s="59"/>
      <c r="X922" s="64"/>
      <c r="Y922" s="106"/>
      <c r="Z922" s="105"/>
      <c r="AA922" s="106"/>
      <c r="AB922" s="105"/>
      <c r="AC922" s="106"/>
      <c r="AD922" s="105"/>
      <c r="AE922" s="106"/>
      <c r="AF922" s="105"/>
      <c r="AG922" s="106"/>
      <c r="AH922" s="105"/>
      <c r="AI922" s="59"/>
      <c r="AJ922" s="64"/>
      <c r="AK922" s="44"/>
      <c r="AM922" s="49"/>
      <c r="AN922" s="49"/>
      <c r="AO922" s="49"/>
      <c r="AP922" s="49"/>
      <c r="AQ922" s="49"/>
      <c r="AR922" s="40"/>
      <c r="AS922" s="51"/>
      <c r="AU922" s="49"/>
      <c r="AW922" s="52"/>
      <c r="BA922" s="2"/>
      <c r="BB922" s="2"/>
      <c r="BC922" s="101"/>
      <c r="BD922" s="101"/>
    </row>
    <row r="923" spans="2:56" s="84" customFormat="1" x14ac:dyDescent="0.35">
      <c r="B923" s="30" t="str">
        <f>IF(B849="","",B849)</f>
        <v>Knox Michaud, Jessy</v>
      </c>
      <c r="C923" s="31"/>
      <c r="D923" s="32"/>
      <c r="E923" s="33">
        <f t="shared" si="374"/>
        <v>93542</v>
      </c>
      <c r="F923" s="50">
        <f>B897</f>
        <v>22</v>
      </c>
      <c r="G923" s="69"/>
      <c r="H923" s="70"/>
      <c r="I923" s="104"/>
      <c r="J923" s="103">
        <v>8</v>
      </c>
      <c r="K923" s="104"/>
      <c r="L923" s="103">
        <v>8</v>
      </c>
      <c r="M923" s="104"/>
      <c r="N923" s="103">
        <v>8</v>
      </c>
      <c r="O923" s="104"/>
      <c r="P923" s="103">
        <v>8</v>
      </c>
      <c r="Q923" s="104"/>
      <c r="R923" s="103">
        <v>8</v>
      </c>
      <c r="S923" s="69"/>
      <c r="T923" s="70"/>
      <c r="U923" s="71">
        <f t="shared" ref="U923" si="384">SUM(G923:T923)</f>
        <v>40</v>
      </c>
      <c r="V923" s="72"/>
      <c r="W923" s="69"/>
      <c r="X923" s="70"/>
      <c r="Y923" s="104"/>
      <c r="Z923" s="103">
        <v>8</v>
      </c>
      <c r="AA923" s="104"/>
      <c r="AB923" s="103">
        <v>8</v>
      </c>
      <c r="AC923" s="104"/>
      <c r="AD923" s="103">
        <v>8</v>
      </c>
      <c r="AE923" s="104"/>
      <c r="AF923" s="103">
        <v>8</v>
      </c>
      <c r="AG923" s="104"/>
      <c r="AH923" s="103">
        <v>8</v>
      </c>
      <c r="AI923" s="69"/>
      <c r="AJ923" s="70"/>
      <c r="AK923" s="71">
        <f>SUM(W923:AJ923)</f>
        <v>40</v>
      </c>
      <c r="AL923" s="72"/>
      <c r="AM923" s="73">
        <f>SUMIF($G922:$T922,"",$G923:$T923)+SUMIF($W922:$AJ922,"",$W923:$AJ923)-AN923</f>
        <v>72</v>
      </c>
      <c r="AN923" s="88">
        <f>IF(SUMIF($G922:$T922,"",$G923:$T923)+SUMIF($G922:$T922,"F",$G923:$T923)+SUMIF($G922:$T922,"V",$G923:$T923)-40&lt;0,0,SUMIF($G922:$T922,"",$G923:$T923)+SUMIF($G922:$T922,"F",$G923:$T923)+SUMIF($G922:$T922,"V",$G923:$T923)-($U$9/2))+IF(SUMIF($W922:$AJ922,"",$W923:$AJ923)+SUMIF($W922:$AJ922,"F",$W923:$AJ923)+SUMIF($W922:$AJ922,"V",$W923:$AJ923)-40&lt;0,0,SUMIF($W922:$AJ922,"",$W923:$AJ923)+SUMIF($W922:$AJ922,"F",$W923:$AJ923)+SUMIF($W922:$AJ922,"V",$W923:$AJ923)-($U$9/2))</f>
        <v>0</v>
      </c>
      <c r="AO923" s="73">
        <f>SUMIF($G922:$T922,"M",$G923:$T923)+SUMIF($W922:$AJ922,"M",$W923:$AJ923)</f>
        <v>0</v>
      </c>
      <c r="AP923" s="73">
        <f>SUMIF($G922:$T922,"F",$G923:$T923)+SUMIF($W922:$AJ922,"F",$W923:$AJ923)</f>
        <v>8</v>
      </c>
      <c r="AQ923" s="73">
        <f>SUMIF($G922:$T922,"V",$G923:$T923)+SUMIF($W922:$AJ922,"V",$W923:$AJ923)</f>
        <v>0</v>
      </c>
      <c r="AR923" s="74">
        <f>SUMIF($G922:$T922,"O",$G923:$T923)+SUMIF($W922:$AJ922,"O",$W923:$AJ923)</f>
        <v>0</v>
      </c>
      <c r="AS923" s="75">
        <f>SUM(AM923:AR923)</f>
        <v>80</v>
      </c>
      <c r="AT923" s="72"/>
      <c r="AU923" s="73">
        <f>SUMIF($G922:$T922,"A",$G923:$T923)+SUMIF($W922:$AJ922,"A",$W923:$AJ923)</f>
        <v>0</v>
      </c>
      <c r="AV923" s="72"/>
      <c r="AW923" s="76">
        <f>IF(B923="",0,IF($U$9="",0,$U$9))</f>
        <v>80</v>
      </c>
      <c r="BA923" s="2"/>
      <c r="BB923" s="2"/>
      <c r="BC923" s="101"/>
      <c r="BD923" s="101"/>
    </row>
    <row r="924" spans="2:56" s="84" customFormat="1" x14ac:dyDescent="0.35">
      <c r="B924" s="26"/>
      <c r="C924" s="27"/>
      <c r="D924" s="28">
        <f>IF(D850="","",D850)</f>
        <v>14206</v>
      </c>
      <c r="E924" s="29" t="str">
        <f t="shared" si="374"/>
        <v/>
      </c>
      <c r="F924" s="50">
        <f>B897</f>
        <v>22</v>
      </c>
      <c r="G924" s="59"/>
      <c r="H924" s="64"/>
      <c r="I924" s="106"/>
      <c r="J924" s="105" t="s">
        <v>13</v>
      </c>
      <c r="K924" s="106"/>
      <c r="L924" s="105"/>
      <c r="M924" s="106"/>
      <c r="N924" s="105"/>
      <c r="O924" s="106"/>
      <c r="P924" s="105"/>
      <c r="Q924" s="106"/>
      <c r="R924" s="105"/>
      <c r="S924" s="59"/>
      <c r="T924" s="64"/>
      <c r="U924" s="44"/>
      <c r="W924" s="59"/>
      <c r="X924" s="64"/>
      <c r="Y924" s="106"/>
      <c r="Z924" s="105"/>
      <c r="AA924" s="106"/>
      <c r="AB924" s="105"/>
      <c r="AC924" s="106"/>
      <c r="AD924" s="105"/>
      <c r="AE924" s="106"/>
      <c r="AF924" s="105"/>
      <c r="AG924" s="106"/>
      <c r="AH924" s="105"/>
      <c r="AI924" s="59"/>
      <c r="AJ924" s="64"/>
      <c r="AK924" s="44"/>
      <c r="AM924" s="49"/>
      <c r="AN924" s="49"/>
      <c r="AO924" s="49"/>
      <c r="AP924" s="49"/>
      <c r="AQ924" s="49"/>
      <c r="AR924" s="40"/>
      <c r="AS924" s="51"/>
      <c r="AU924" s="49"/>
      <c r="AW924" s="52"/>
      <c r="BA924" s="2"/>
      <c r="BB924" s="2"/>
      <c r="BC924" s="101"/>
      <c r="BD924" s="101"/>
    </row>
    <row r="925" spans="2:56" s="84" customFormat="1" x14ac:dyDescent="0.35">
      <c r="B925" s="30" t="str">
        <f>IF(B851="","",B851)</f>
        <v>Landry, Bernard</v>
      </c>
      <c r="C925" s="31"/>
      <c r="D925" s="32"/>
      <c r="E925" s="33">
        <f t="shared" si="374"/>
        <v>93545</v>
      </c>
      <c r="F925" s="50">
        <f>B897</f>
        <v>22</v>
      </c>
      <c r="G925" s="69"/>
      <c r="H925" s="70"/>
      <c r="I925" s="104"/>
      <c r="J925" s="103">
        <v>8</v>
      </c>
      <c r="K925" s="104"/>
      <c r="L925" s="103">
        <v>8</v>
      </c>
      <c r="M925" s="104"/>
      <c r="N925" s="103">
        <v>8</v>
      </c>
      <c r="O925" s="104"/>
      <c r="P925" s="103">
        <v>8</v>
      </c>
      <c r="Q925" s="104"/>
      <c r="R925" s="103">
        <v>8</v>
      </c>
      <c r="S925" s="69"/>
      <c r="T925" s="70"/>
      <c r="U925" s="71">
        <f t="shared" ref="U925" si="385">SUM(G925:T925)</f>
        <v>40</v>
      </c>
      <c r="V925" s="72"/>
      <c r="W925" s="69"/>
      <c r="X925" s="70"/>
      <c r="Y925" s="104"/>
      <c r="Z925" s="103">
        <v>8</v>
      </c>
      <c r="AA925" s="104"/>
      <c r="AB925" s="103">
        <v>8</v>
      </c>
      <c r="AC925" s="104"/>
      <c r="AD925" s="103">
        <v>8</v>
      </c>
      <c r="AE925" s="104"/>
      <c r="AF925" s="103">
        <v>8</v>
      </c>
      <c r="AG925" s="104"/>
      <c r="AH925" s="103">
        <v>8</v>
      </c>
      <c r="AI925" s="69"/>
      <c r="AJ925" s="70"/>
      <c r="AK925" s="71">
        <f>SUM(W925:AJ925)</f>
        <v>40</v>
      </c>
      <c r="AL925" s="72"/>
      <c r="AM925" s="73">
        <f>SUMIF($G924:$T924,"",$G925:$T925)+SUMIF($W924:$AJ924,"",$W925:$AJ925)-AN925</f>
        <v>72</v>
      </c>
      <c r="AN925" s="88">
        <f>IF(SUMIF($G924:$T924,"",$G925:$T925)+SUMIF($G924:$T924,"F",$G925:$T925)+SUMIF($G924:$T924,"V",$G925:$T925)-40&lt;0,0,SUMIF($G924:$T924,"",$G925:$T925)+SUMIF($G924:$T924,"F",$G925:$T925)+SUMIF($G924:$T924,"V",$G925:$T925)-($U$9/2))+IF(SUMIF($W924:$AJ924,"",$W925:$AJ925)+SUMIF($W924:$AJ924,"F",$W925:$AJ925)+SUMIF($W924:$AJ924,"V",$W925:$AJ925)-40&lt;0,0,SUMIF($W924:$AJ924,"",$W925:$AJ925)+SUMIF($W924:$AJ924,"F",$W925:$AJ925)+SUMIF($W924:$AJ924,"V",$W925:$AJ925)-($U$9/2))</f>
        <v>0</v>
      </c>
      <c r="AO925" s="73">
        <f>SUMIF($G924:$T924,"M",$G925:$T925)+SUMIF($W924:$AJ924,"M",$W925:$AJ925)</f>
        <v>0</v>
      </c>
      <c r="AP925" s="73">
        <f>SUMIF($G924:$T924,"F",$G925:$T925)+SUMIF($W924:$AJ924,"F",$W925:$AJ925)</f>
        <v>8</v>
      </c>
      <c r="AQ925" s="73">
        <f>SUMIF($G924:$T924,"V",$G925:$T925)+SUMIF($W924:$AJ924,"V",$W925:$AJ925)</f>
        <v>0</v>
      </c>
      <c r="AR925" s="74">
        <f>SUMIF($G924:$T924,"O",$G925:$T925)+SUMIF($W924:$AJ924,"O",$W925:$AJ925)</f>
        <v>0</v>
      </c>
      <c r="AS925" s="75">
        <f>SUM(AM925:AR925)</f>
        <v>80</v>
      </c>
      <c r="AT925" s="72"/>
      <c r="AU925" s="73">
        <f>SUMIF($G924:$T924,"A",$G925:$T925)+SUMIF($W924:$AJ924,"A",$W925:$AJ925)</f>
        <v>0</v>
      </c>
      <c r="AV925" s="72"/>
      <c r="AW925" s="76">
        <f>IF(B925="",0,IF($U$9="",0,$U$9))</f>
        <v>80</v>
      </c>
      <c r="BA925" s="2"/>
      <c r="BB925" s="2"/>
      <c r="BC925" s="101"/>
      <c r="BD925" s="101"/>
    </row>
    <row r="926" spans="2:56" s="84" customFormat="1" x14ac:dyDescent="0.35">
      <c r="B926" s="26"/>
      <c r="C926" s="27"/>
      <c r="D926" s="28">
        <f>IF(D852="","",D852)</f>
        <v>92257</v>
      </c>
      <c r="E926" s="29" t="str">
        <f t="shared" si="374"/>
        <v/>
      </c>
      <c r="F926" s="50">
        <f>B897</f>
        <v>22</v>
      </c>
      <c r="G926" s="59"/>
      <c r="H926" s="64"/>
      <c r="I926" s="106"/>
      <c r="J926" s="105" t="s">
        <v>13</v>
      </c>
      <c r="K926" s="106"/>
      <c r="L926" s="105"/>
      <c r="M926" s="106"/>
      <c r="N926" s="105"/>
      <c r="O926" s="106"/>
      <c r="P926" s="105"/>
      <c r="Q926" s="106"/>
      <c r="R926" s="105"/>
      <c r="S926" s="59"/>
      <c r="T926" s="64"/>
      <c r="U926" s="44"/>
      <c r="W926" s="59"/>
      <c r="X926" s="64"/>
      <c r="Y926" s="106"/>
      <c r="Z926" s="105"/>
      <c r="AA926" s="106"/>
      <c r="AB926" s="105"/>
      <c r="AC926" s="106"/>
      <c r="AD926" s="105"/>
      <c r="AE926" s="106"/>
      <c r="AF926" s="105"/>
      <c r="AG926" s="106"/>
      <c r="AH926" s="105"/>
      <c r="AI926" s="59"/>
      <c r="AJ926" s="64"/>
      <c r="AK926" s="44"/>
      <c r="AM926" s="49"/>
      <c r="AN926" s="49"/>
      <c r="AO926" s="49"/>
      <c r="AP926" s="49"/>
      <c r="AQ926" s="49"/>
      <c r="AR926" s="40"/>
      <c r="AS926" s="51"/>
      <c r="AU926" s="49"/>
      <c r="AW926" s="52"/>
      <c r="BA926" s="2"/>
      <c r="BB926" s="2"/>
      <c r="BC926" s="101"/>
      <c r="BD926" s="101"/>
    </row>
    <row r="927" spans="2:56" s="84" customFormat="1" x14ac:dyDescent="0.35">
      <c r="B927" s="30" t="str">
        <f>IF(B853="","",B853)</f>
        <v>Lelievre, Anik</v>
      </c>
      <c r="C927" s="31"/>
      <c r="D927" s="32"/>
      <c r="E927" s="33">
        <f t="shared" si="374"/>
        <v>93513</v>
      </c>
      <c r="F927" s="50">
        <f>B897</f>
        <v>22</v>
      </c>
      <c r="G927" s="69"/>
      <c r="H927" s="70"/>
      <c r="I927" s="104"/>
      <c r="J927" s="103">
        <v>8</v>
      </c>
      <c r="K927" s="104"/>
      <c r="L927" s="103">
        <v>8</v>
      </c>
      <c r="M927" s="104"/>
      <c r="N927" s="103">
        <v>8</v>
      </c>
      <c r="O927" s="104"/>
      <c r="P927" s="103">
        <v>8</v>
      </c>
      <c r="Q927" s="104"/>
      <c r="R927" s="103">
        <v>8</v>
      </c>
      <c r="S927" s="69"/>
      <c r="T927" s="70"/>
      <c r="U927" s="71">
        <f t="shared" ref="U927" si="386">SUM(G927:T927)</f>
        <v>40</v>
      </c>
      <c r="V927" s="72"/>
      <c r="W927" s="69"/>
      <c r="X927" s="70"/>
      <c r="Y927" s="104"/>
      <c r="Z927" s="103">
        <v>8</v>
      </c>
      <c r="AA927" s="104"/>
      <c r="AB927" s="103">
        <v>8</v>
      </c>
      <c r="AC927" s="104"/>
      <c r="AD927" s="103">
        <v>8</v>
      </c>
      <c r="AE927" s="104"/>
      <c r="AF927" s="103">
        <v>8</v>
      </c>
      <c r="AG927" s="104"/>
      <c r="AH927" s="103">
        <v>8</v>
      </c>
      <c r="AI927" s="69"/>
      <c r="AJ927" s="70"/>
      <c r="AK927" s="71">
        <f>SUM(W927:AJ927)</f>
        <v>40</v>
      </c>
      <c r="AL927" s="72"/>
      <c r="AM927" s="73">
        <f>SUMIF($G926:$T926,"",$G927:$T927)+SUMIF($W926:$AJ926,"",$W927:$AJ927)-AN927</f>
        <v>72</v>
      </c>
      <c r="AN927" s="88">
        <f>IF(SUMIF($G926:$T926,"",$G927:$T927)+SUMIF($G926:$T926,"F",$G927:$T927)+SUMIF($G926:$T926,"V",$G927:$T927)-40&lt;0,0,SUMIF($G926:$T926,"",$G927:$T927)+SUMIF($G926:$T926,"F",$G927:$T927)+SUMIF($G926:$T926,"V",$G927:$T927)-($U$9/2))+IF(SUMIF($W926:$AJ926,"",$W927:$AJ927)+SUMIF($W926:$AJ926,"F",$W927:$AJ927)+SUMIF($W926:$AJ926,"V",$W927:$AJ927)-40&lt;0,0,SUMIF($W926:$AJ926,"",$W927:$AJ927)+SUMIF($W926:$AJ926,"F",$W927:$AJ927)+SUMIF($W926:$AJ926,"V",$W927:$AJ927)-($U$9/2))</f>
        <v>0</v>
      </c>
      <c r="AO927" s="73">
        <f>SUMIF($G926:$T926,"M",$G927:$T927)+SUMIF($W926:$AJ926,"M",$W927:$AJ927)</f>
        <v>0</v>
      </c>
      <c r="AP927" s="73">
        <f>SUMIF($G926:$T926,"F",$G927:$T927)+SUMIF($W926:$AJ926,"F",$W927:$AJ927)</f>
        <v>8</v>
      </c>
      <c r="AQ927" s="73">
        <f>SUMIF($G926:$T926,"V",$G927:$T927)+SUMIF($W926:$AJ926,"V",$W927:$AJ927)</f>
        <v>0</v>
      </c>
      <c r="AR927" s="74">
        <f>SUMIF($G926:$T926,"O",$G927:$T927)+SUMIF($W926:$AJ926,"O",$W927:$AJ927)</f>
        <v>0</v>
      </c>
      <c r="AS927" s="75">
        <f>SUM(AM927:AR927)</f>
        <v>80</v>
      </c>
      <c r="AT927" s="72"/>
      <c r="AU927" s="73">
        <f>SUMIF($G926:$T926,"A",$G927:$T927)+SUMIF($W926:$AJ926,"A",$W927:$AJ927)</f>
        <v>0</v>
      </c>
      <c r="AV927" s="72"/>
      <c r="AW927" s="76">
        <f>IF(B927="",0,IF($U$9="",0,$U$9))</f>
        <v>80</v>
      </c>
      <c r="BA927" s="2"/>
      <c r="BB927" s="2"/>
      <c r="BC927" s="101"/>
      <c r="BD927" s="101"/>
    </row>
    <row r="928" spans="2:56" s="84" customFormat="1" x14ac:dyDescent="0.35">
      <c r="B928" s="26"/>
      <c r="C928" s="27"/>
      <c r="D928" s="28">
        <f>IF(D854="","",D854)</f>
        <v>81042</v>
      </c>
      <c r="E928" s="29" t="str">
        <f t="shared" si="374"/>
        <v/>
      </c>
      <c r="F928" s="50">
        <f>B897</f>
        <v>22</v>
      </c>
      <c r="G928" s="59"/>
      <c r="H928" s="64"/>
      <c r="I928" s="106"/>
      <c r="J928" s="105" t="s">
        <v>13</v>
      </c>
      <c r="K928" s="106"/>
      <c r="L928" s="105"/>
      <c r="M928" s="106"/>
      <c r="N928" s="105"/>
      <c r="O928" s="106"/>
      <c r="P928" s="105"/>
      <c r="Q928" s="106"/>
      <c r="R928" s="105"/>
      <c r="S928" s="59"/>
      <c r="T928" s="64"/>
      <c r="U928" s="44"/>
      <c r="W928" s="59"/>
      <c r="X928" s="64"/>
      <c r="Y928" s="106"/>
      <c r="Z928" s="105"/>
      <c r="AA928" s="106"/>
      <c r="AB928" s="105"/>
      <c r="AC928" s="106"/>
      <c r="AD928" s="105"/>
      <c r="AE928" s="106"/>
      <c r="AF928" s="105"/>
      <c r="AG928" s="106"/>
      <c r="AH928" s="105"/>
      <c r="AI928" s="59"/>
      <c r="AJ928" s="64"/>
      <c r="AK928" s="44"/>
      <c r="AM928" s="49"/>
      <c r="AN928" s="49"/>
      <c r="AO928" s="49"/>
      <c r="AP928" s="49"/>
      <c r="AQ928" s="49"/>
      <c r="AR928" s="40"/>
      <c r="AS928" s="51"/>
      <c r="AU928" s="49"/>
      <c r="AW928" s="52"/>
      <c r="BA928" s="2"/>
      <c r="BB928" s="2"/>
      <c r="BC928" s="101"/>
      <c r="BD928" s="101"/>
    </row>
    <row r="929" spans="1:56" s="84" customFormat="1" x14ac:dyDescent="0.35">
      <c r="B929" s="30" t="str">
        <f>IF(B855="","",B855)</f>
        <v>Letarte, Martin</v>
      </c>
      <c r="C929" s="31"/>
      <c r="D929" s="32"/>
      <c r="E929" s="33">
        <f t="shared" si="374"/>
        <v>93545</v>
      </c>
      <c r="F929" s="50">
        <f>B897</f>
        <v>22</v>
      </c>
      <c r="G929" s="69"/>
      <c r="H929" s="70"/>
      <c r="I929" s="104"/>
      <c r="J929" s="103">
        <v>8</v>
      </c>
      <c r="K929" s="104"/>
      <c r="L929" s="103">
        <v>8</v>
      </c>
      <c r="M929" s="104"/>
      <c r="N929" s="103">
        <v>8</v>
      </c>
      <c r="O929" s="104"/>
      <c r="P929" s="103">
        <v>8</v>
      </c>
      <c r="Q929" s="104"/>
      <c r="R929" s="103">
        <v>8</v>
      </c>
      <c r="S929" s="69"/>
      <c r="T929" s="70"/>
      <c r="U929" s="71">
        <f t="shared" ref="U929" si="387">SUM(G929:T929)</f>
        <v>40</v>
      </c>
      <c r="V929" s="72"/>
      <c r="W929" s="69"/>
      <c r="X929" s="70"/>
      <c r="Y929" s="104"/>
      <c r="Z929" s="103">
        <v>8</v>
      </c>
      <c r="AA929" s="104"/>
      <c r="AB929" s="103">
        <v>8</v>
      </c>
      <c r="AC929" s="104"/>
      <c r="AD929" s="103">
        <v>8</v>
      </c>
      <c r="AE929" s="104"/>
      <c r="AF929" s="103">
        <v>8</v>
      </c>
      <c r="AG929" s="104"/>
      <c r="AH929" s="103">
        <v>8</v>
      </c>
      <c r="AI929" s="69"/>
      <c r="AJ929" s="70"/>
      <c r="AK929" s="71">
        <f>SUM(W929:AJ929)</f>
        <v>40</v>
      </c>
      <c r="AL929" s="72"/>
      <c r="AM929" s="73">
        <f>SUMIF($G928:$T928,"",$G929:$T929)+SUMIF($W928:$AJ928,"",$W929:$AJ929)-AN929</f>
        <v>72</v>
      </c>
      <c r="AN929" s="88">
        <f>IF(SUMIF($G928:$T928,"",$G929:$T929)+SUMIF($G928:$T928,"F",$G929:$T929)+SUMIF($G928:$T928,"V",$G929:$T929)-40&lt;0,0,SUMIF($G928:$T928,"",$G929:$T929)+SUMIF($G928:$T928,"F",$G929:$T929)+SUMIF($G928:$T928,"V",$G929:$T929)-($U$9/2))+IF(SUMIF($W928:$AJ928,"",$W929:$AJ929)+SUMIF($W928:$AJ928,"F",$W929:$AJ929)+SUMIF($W928:$AJ928,"V",$W929:$AJ929)-40&lt;0,0,SUMIF($W928:$AJ928,"",$W929:$AJ929)+SUMIF($W928:$AJ928,"F",$W929:$AJ929)+SUMIF($W928:$AJ928,"V",$W929:$AJ929)-($U$9/2))</f>
        <v>0</v>
      </c>
      <c r="AO929" s="73">
        <f>SUMIF($G928:$T928,"M",$G929:$T929)+SUMIF($W928:$AJ928,"M",$W929:$AJ929)</f>
        <v>0</v>
      </c>
      <c r="AP929" s="73">
        <f>SUMIF($G928:$T928,"F",$G929:$T929)+SUMIF($W928:$AJ928,"F",$W929:$AJ929)</f>
        <v>8</v>
      </c>
      <c r="AQ929" s="73">
        <f>SUMIF($G928:$T928,"V",$G929:$T929)+SUMIF($W928:$AJ928,"V",$W929:$AJ929)</f>
        <v>0</v>
      </c>
      <c r="AR929" s="74">
        <f>SUMIF($G928:$T928,"O",$G929:$T929)+SUMIF($W928:$AJ928,"O",$W929:$AJ929)</f>
        <v>0</v>
      </c>
      <c r="AS929" s="75">
        <f>SUM(AM929:AR929)</f>
        <v>80</v>
      </c>
      <c r="AT929" s="72"/>
      <c r="AU929" s="73">
        <f>SUMIF($G928:$T928,"A",$G929:$T929)+SUMIF($W928:$AJ928,"A",$W929:$AJ929)</f>
        <v>0</v>
      </c>
      <c r="AV929" s="72"/>
      <c r="AW929" s="76">
        <f>IF(B929="",0,IF($U$9="",0,$U$9))</f>
        <v>80</v>
      </c>
      <c r="BA929" s="2"/>
      <c r="BB929" s="2"/>
      <c r="BC929" s="101"/>
      <c r="BD929" s="101"/>
    </row>
    <row r="930" spans="1:56" s="84" customFormat="1" x14ac:dyDescent="0.35">
      <c r="B930" s="26"/>
      <c r="C930" s="27"/>
      <c r="D930" s="28">
        <f>IF(D856="","",D856)</f>
        <v>23930</v>
      </c>
      <c r="E930" s="29" t="str">
        <f t="shared" si="374"/>
        <v/>
      </c>
      <c r="F930" s="50">
        <f>B897</f>
        <v>22</v>
      </c>
      <c r="G930" s="59"/>
      <c r="H930" s="64"/>
      <c r="I930" s="106"/>
      <c r="J930" s="105" t="s">
        <v>13</v>
      </c>
      <c r="K930" s="106"/>
      <c r="L930" s="105"/>
      <c r="M930" s="106"/>
      <c r="N930" s="105"/>
      <c r="O930" s="106"/>
      <c r="P930" s="105"/>
      <c r="Q930" s="106"/>
      <c r="R930" s="105"/>
      <c r="S930" s="59"/>
      <c r="T930" s="64"/>
      <c r="U930" s="44"/>
      <c r="W930" s="59"/>
      <c r="X930" s="64"/>
      <c r="Y930" s="106"/>
      <c r="Z930" s="105"/>
      <c r="AA930" s="106"/>
      <c r="AB930" s="105"/>
      <c r="AC930" s="106"/>
      <c r="AD930" s="105"/>
      <c r="AE930" s="106"/>
      <c r="AF930" s="105"/>
      <c r="AG930" s="106"/>
      <c r="AH930" s="105"/>
      <c r="AI930" s="59"/>
      <c r="AJ930" s="64"/>
      <c r="AK930" s="44"/>
      <c r="AM930" s="49"/>
      <c r="AN930" s="49"/>
      <c r="AO930" s="49"/>
      <c r="AP930" s="49"/>
      <c r="AQ930" s="49"/>
      <c r="AR930" s="40"/>
      <c r="AS930" s="51"/>
      <c r="AU930" s="49"/>
      <c r="AW930" s="52"/>
      <c r="BA930" s="2"/>
      <c r="BB930" s="2"/>
      <c r="BC930" s="101"/>
      <c r="BD930" s="101"/>
    </row>
    <row r="931" spans="1:56" s="84" customFormat="1" x14ac:dyDescent="0.35">
      <c r="B931" s="30" t="str">
        <f>IF(B857="","",B857)</f>
        <v>Martinez Parada, José Francisco</v>
      </c>
      <c r="C931" s="31"/>
      <c r="D931" s="32"/>
      <c r="E931" s="33">
        <f t="shared" si="374"/>
        <v>93545</v>
      </c>
      <c r="F931" s="50">
        <f>B897</f>
        <v>22</v>
      </c>
      <c r="G931" s="69"/>
      <c r="H931" s="70"/>
      <c r="I931" s="104"/>
      <c r="J931" s="103">
        <v>8</v>
      </c>
      <c r="K931" s="104"/>
      <c r="L931" s="103">
        <v>8</v>
      </c>
      <c r="M931" s="104"/>
      <c r="N931" s="103">
        <v>8</v>
      </c>
      <c r="O931" s="104"/>
      <c r="P931" s="103">
        <v>8</v>
      </c>
      <c r="Q931" s="104"/>
      <c r="R931" s="103">
        <v>8</v>
      </c>
      <c r="S931" s="69"/>
      <c r="T931" s="70"/>
      <c r="U931" s="71">
        <f t="shared" ref="U931" si="388">SUM(G931:T931)</f>
        <v>40</v>
      </c>
      <c r="V931" s="72"/>
      <c r="W931" s="69"/>
      <c r="X931" s="70"/>
      <c r="Y931" s="104"/>
      <c r="Z931" s="103">
        <v>8</v>
      </c>
      <c r="AA931" s="104"/>
      <c r="AB931" s="103">
        <v>8</v>
      </c>
      <c r="AC931" s="104"/>
      <c r="AD931" s="103">
        <v>8</v>
      </c>
      <c r="AE931" s="104"/>
      <c r="AF931" s="103">
        <v>8</v>
      </c>
      <c r="AG931" s="104"/>
      <c r="AH931" s="103">
        <v>8</v>
      </c>
      <c r="AI931" s="69"/>
      <c r="AJ931" s="70"/>
      <c r="AK931" s="71">
        <f>SUM(W931:AJ931)</f>
        <v>40</v>
      </c>
      <c r="AL931" s="72"/>
      <c r="AM931" s="73">
        <f>SUMIF($G930:$T930,"",$G931:$T931)+SUMIF($W930:$AJ930,"",$W931:$AJ931)-AN931</f>
        <v>72</v>
      </c>
      <c r="AN931" s="88">
        <f>IF(SUMIF($G930:$T930,"",$G931:$T931)+SUMIF($G930:$T930,"F",$G931:$T931)+SUMIF($G930:$T930,"V",$G931:$T931)-40&lt;0,0,SUMIF($G930:$T930,"",$G931:$T931)+SUMIF($G930:$T930,"F",$G931:$T931)+SUMIF($G930:$T930,"V",$G931:$T931)-($U$9/2))+IF(SUMIF($W930:$AJ930,"",$W931:$AJ931)+SUMIF($W930:$AJ930,"F",$W931:$AJ931)+SUMIF($W930:$AJ930,"V",$W931:$AJ931)-40&lt;0,0,SUMIF($W930:$AJ930,"",$W931:$AJ931)+SUMIF($W930:$AJ930,"F",$W931:$AJ931)+SUMIF($W930:$AJ930,"V",$W931:$AJ931)-($U$9/2))</f>
        <v>0</v>
      </c>
      <c r="AO931" s="73">
        <f>SUMIF($G930:$T930,"M",$G931:$T931)+SUMIF($W930:$AJ930,"M",$W931:$AJ931)</f>
        <v>0</v>
      </c>
      <c r="AP931" s="73">
        <f>SUMIF($G930:$T930,"F",$G931:$T931)+SUMIF($W930:$AJ930,"F",$W931:$AJ931)</f>
        <v>8</v>
      </c>
      <c r="AQ931" s="73">
        <f>SUMIF($G930:$T930,"V",$G931:$T931)+SUMIF($W930:$AJ930,"V",$W931:$AJ931)</f>
        <v>0</v>
      </c>
      <c r="AR931" s="74">
        <f>SUMIF($G930:$T930,"O",$G931:$T931)+SUMIF($W930:$AJ930,"O",$W931:$AJ931)</f>
        <v>0</v>
      </c>
      <c r="AS931" s="75">
        <f>SUM(AM931:AR931)</f>
        <v>80</v>
      </c>
      <c r="AT931" s="72"/>
      <c r="AU931" s="73">
        <f>SUMIF($G930:$T930,"A",$G931:$T931)+SUMIF($W930:$AJ930,"A",$W931:$AJ931)</f>
        <v>0</v>
      </c>
      <c r="AV931" s="72"/>
      <c r="AW931" s="76">
        <f>IF(B931="",0,IF($U$9="",0,$U$9))</f>
        <v>80</v>
      </c>
      <c r="BA931" s="2"/>
      <c r="BB931" s="2"/>
      <c r="BC931" s="101"/>
      <c r="BD931" s="101"/>
    </row>
    <row r="932" spans="1:56" s="84" customFormat="1" x14ac:dyDescent="0.35">
      <c r="B932" s="26"/>
      <c r="C932" s="27"/>
      <c r="D932" s="28">
        <f>IF(D858="","",D858)</f>
        <v>11792</v>
      </c>
      <c r="E932" s="29" t="str">
        <f t="shared" si="374"/>
        <v/>
      </c>
      <c r="F932" s="50">
        <f>B897</f>
        <v>22</v>
      </c>
      <c r="G932" s="59"/>
      <c r="H932" s="64"/>
      <c r="I932" s="106"/>
      <c r="J932" s="105" t="s">
        <v>13</v>
      </c>
      <c r="K932" s="106"/>
      <c r="L932" s="105"/>
      <c r="M932" s="106"/>
      <c r="N932" s="105"/>
      <c r="O932" s="106"/>
      <c r="P932" s="105"/>
      <c r="Q932" s="106"/>
      <c r="R932" s="105"/>
      <c r="S932" s="59"/>
      <c r="T932" s="64"/>
      <c r="U932" s="44"/>
      <c r="W932" s="59"/>
      <c r="X932" s="64"/>
      <c r="Y932" s="106"/>
      <c r="Z932" s="105" t="s">
        <v>1</v>
      </c>
      <c r="AA932" s="106"/>
      <c r="AB932" s="105" t="s">
        <v>1</v>
      </c>
      <c r="AC932" s="106"/>
      <c r="AD932" s="105" t="s">
        <v>1</v>
      </c>
      <c r="AE932" s="106"/>
      <c r="AF932" s="105" t="s">
        <v>1</v>
      </c>
      <c r="AG932" s="106"/>
      <c r="AH932" s="105" t="s">
        <v>1</v>
      </c>
      <c r="AI932" s="59"/>
      <c r="AJ932" s="64"/>
      <c r="AK932" s="44"/>
      <c r="AM932" s="49"/>
      <c r="AN932" s="49"/>
      <c r="AO932" s="49"/>
      <c r="AP932" s="49"/>
      <c r="AQ932" s="49"/>
      <c r="AR932" s="40"/>
      <c r="AS932" s="51"/>
      <c r="AU932" s="49"/>
      <c r="AW932" s="52"/>
      <c r="BA932" s="2"/>
      <c r="BB932" s="2"/>
      <c r="BC932" s="101"/>
      <c r="BD932" s="101"/>
    </row>
    <row r="933" spans="1:56" s="84" customFormat="1" x14ac:dyDescent="0.35">
      <c r="B933" s="30" t="str">
        <f>IF(B859="","",B859)</f>
        <v>Pellerin, Pierre</v>
      </c>
      <c r="C933" s="31"/>
      <c r="D933" s="32"/>
      <c r="E933" s="33">
        <f t="shared" si="374"/>
        <v>93595935</v>
      </c>
      <c r="F933" s="50">
        <f>B897</f>
        <v>22</v>
      </c>
      <c r="G933" s="69"/>
      <c r="H933" s="70"/>
      <c r="I933" s="104"/>
      <c r="J933" s="103">
        <v>8</v>
      </c>
      <c r="K933" s="104"/>
      <c r="L933" s="103">
        <v>8</v>
      </c>
      <c r="M933" s="104"/>
      <c r="N933" s="103">
        <v>8</v>
      </c>
      <c r="O933" s="104"/>
      <c r="P933" s="103">
        <v>8</v>
      </c>
      <c r="Q933" s="104"/>
      <c r="R933" s="103">
        <v>8</v>
      </c>
      <c r="S933" s="69"/>
      <c r="T933" s="70"/>
      <c r="U933" s="71">
        <f t="shared" ref="U933" si="389">SUM(G933:T933)</f>
        <v>40</v>
      </c>
      <c r="V933" s="72"/>
      <c r="W933" s="69"/>
      <c r="X933" s="70"/>
      <c r="Y933" s="104"/>
      <c r="Z933" s="103">
        <v>8</v>
      </c>
      <c r="AA933" s="104"/>
      <c r="AB933" s="103">
        <v>8</v>
      </c>
      <c r="AC933" s="104"/>
      <c r="AD933" s="103">
        <v>8</v>
      </c>
      <c r="AE933" s="104"/>
      <c r="AF933" s="103">
        <v>8</v>
      </c>
      <c r="AG933" s="104"/>
      <c r="AH933" s="103">
        <v>8</v>
      </c>
      <c r="AI933" s="69"/>
      <c r="AJ933" s="70"/>
      <c r="AK933" s="71">
        <f>SUM(Z933:AH933)</f>
        <v>40</v>
      </c>
      <c r="AL933" s="72"/>
      <c r="AM933" s="73">
        <f>SUMIF($G932:$T932,"",$G933:$T933)+SUMIF($W932:$AJ932,"",$W933:$AJ933)-AN933</f>
        <v>32</v>
      </c>
      <c r="AN933" s="88">
        <f>IF(SUMIF($G932:$T932,"",$G933:$T933)+SUMIF($G932:$T932,"F",$G933:$T933)+SUMIF($G932:$T932,"V",$G933:$T933)-40&lt;0,0,SUMIF($G932:$T932,"",$G933:$T933)+SUMIF($G932:$T932,"F",$G933:$T933)+SUMIF($G932:$T932,"V",$G933:$T933)-($U$9/2))+IF(SUMIF($W932:$AJ932,"",$W933:$AJ933)+SUMIF($W932:$AJ932,"F",$W933:$AJ933)+SUMIF($W932:$AJ932,"V",$W933:$AJ933)-40&lt;0,0,SUMIF($W932:$AJ932,"",$W933:$AJ933)+SUMIF($W932:$AJ932,"F",$W933:$AJ933)+SUMIF($W932:$AJ932,"V",$W933:$AJ933)-($U$9/2))</f>
        <v>0</v>
      </c>
      <c r="AO933" s="73">
        <f>SUMIF($G932:$T932,"M",$G933:$T933)+SUMIF($W932:$AJ932,"M",$W933:$AJ933)</f>
        <v>0</v>
      </c>
      <c r="AP933" s="73">
        <f>SUMIF($G932:$T932,"F",$G933:$T933)+SUMIF($W932:$AJ932,"F",$W933:$AJ933)</f>
        <v>8</v>
      </c>
      <c r="AQ933" s="73">
        <f>SUMIF($G932:$T932,"V",$G933:$T933)+SUMIF($W932:$AJ932,"V",$W933:$AJ933)</f>
        <v>40</v>
      </c>
      <c r="AR933" s="74">
        <f>SUMIF($G932:$T932,"O",$G933:$T933)+SUMIF($W932:$AJ932,"O",$W933:$AJ933)</f>
        <v>0</v>
      </c>
      <c r="AS933" s="75">
        <f>SUM(AM933:AR933)</f>
        <v>80</v>
      </c>
      <c r="AT933" s="72"/>
      <c r="AU933" s="73">
        <f>SUMIF($G932:$T932,"A",$G933:$T933)+SUMIF($W932:$AJ932,"A",$W933:$AJ933)</f>
        <v>0</v>
      </c>
      <c r="AV933" s="72"/>
      <c r="AW933" s="76">
        <f>IF(B933="",0,IF($U$9="",0,$U$9))</f>
        <v>80</v>
      </c>
      <c r="BA933" s="2"/>
      <c r="BB933" s="2"/>
      <c r="BC933" s="101"/>
      <c r="BD933" s="101"/>
    </row>
    <row r="934" spans="1:56" s="84" customFormat="1" x14ac:dyDescent="0.35">
      <c r="B934" s="26"/>
      <c r="C934" s="27"/>
      <c r="D934" s="28">
        <f>IF(D860="","",D860)</f>
        <v>81043</v>
      </c>
      <c r="E934" s="29" t="str">
        <f t="shared" si="374"/>
        <v/>
      </c>
      <c r="F934" s="50">
        <f>B897</f>
        <v>22</v>
      </c>
      <c r="G934" s="59"/>
      <c r="H934" s="64"/>
      <c r="I934" s="106"/>
      <c r="J934" s="105" t="s">
        <v>13</v>
      </c>
      <c r="K934" s="106"/>
      <c r="L934" s="105"/>
      <c r="M934" s="106"/>
      <c r="N934" s="105"/>
      <c r="O934" s="106"/>
      <c r="P934" s="105"/>
      <c r="Q934" s="106"/>
      <c r="R934" s="105"/>
      <c r="S934" s="59"/>
      <c r="T934" s="64"/>
      <c r="U934" s="44"/>
      <c r="W934" s="59"/>
      <c r="X934" s="64"/>
      <c r="Y934" s="106"/>
      <c r="Z934" s="105"/>
      <c r="AA934" s="106"/>
      <c r="AB934" s="105"/>
      <c r="AC934" s="106"/>
      <c r="AD934" s="105"/>
      <c r="AE934" s="106"/>
      <c r="AF934" s="105"/>
      <c r="AG934" s="106"/>
      <c r="AH934" s="105"/>
      <c r="AI934" s="59"/>
      <c r="AJ934" s="64"/>
      <c r="AK934" s="44"/>
      <c r="AM934" s="49"/>
      <c r="AN934" s="49"/>
      <c r="AO934" s="49"/>
      <c r="AP934" s="49"/>
      <c r="AQ934" s="49"/>
      <c r="AR934" s="40"/>
      <c r="AS934" s="51"/>
      <c r="AU934" s="49"/>
      <c r="AW934" s="52"/>
      <c r="BA934" s="2"/>
      <c r="BB934" s="2"/>
      <c r="BC934" s="101"/>
      <c r="BD934" s="101"/>
    </row>
    <row r="935" spans="1:56" s="84" customFormat="1" x14ac:dyDescent="0.35">
      <c r="B935" s="30" t="str">
        <f>IF(B861="","",B861)</f>
        <v>Rodrigue, Frank</v>
      </c>
      <c r="C935" s="31"/>
      <c r="D935" s="32"/>
      <c r="E935" s="33">
        <f t="shared" ref="E935:E951" si="390">IF(E861="","",E861)</f>
        <v>93545</v>
      </c>
      <c r="F935" s="50">
        <f>B897</f>
        <v>22</v>
      </c>
      <c r="G935" s="69"/>
      <c r="H935" s="70"/>
      <c r="I935" s="104"/>
      <c r="J935" s="103">
        <v>8</v>
      </c>
      <c r="K935" s="104"/>
      <c r="L935" s="103">
        <v>8</v>
      </c>
      <c r="M935" s="104"/>
      <c r="N935" s="103">
        <v>8</v>
      </c>
      <c r="O935" s="104"/>
      <c r="P935" s="103">
        <v>8</v>
      </c>
      <c r="Q935" s="104"/>
      <c r="R935" s="103">
        <v>8</v>
      </c>
      <c r="S935" s="69"/>
      <c r="T935" s="70"/>
      <c r="U935" s="71">
        <f t="shared" ref="U935" si="391">SUM(G935:T935)</f>
        <v>40</v>
      </c>
      <c r="V935" s="72"/>
      <c r="W935" s="69"/>
      <c r="X935" s="70"/>
      <c r="Y935" s="104"/>
      <c r="Z935" s="103">
        <v>8</v>
      </c>
      <c r="AA935" s="104"/>
      <c r="AB935" s="103">
        <v>8</v>
      </c>
      <c r="AC935" s="104"/>
      <c r="AD935" s="103">
        <v>8</v>
      </c>
      <c r="AE935" s="104"/>
      <c r="AF935" s="103">
        <v>8</v>
      </c>
      <c r="AG935" s="104"/>
      <c r="AH935" s="103">
        <v>8</v>
      </c>
      <c r="AI935" s="69"/>
      <c r="AJ935" s="70"/>
      <c r="AK935" s="71">
        <f>SUM(W935:AJ935)</f>
        <v>40</v>
      </c>
      <c r="AL935" s="72"/>
      <c r="AM935" s="73">
        <f>SUMIF($G934:$T934,"",$G935:$T935)+SUMIF($W934:$AJ934,"",$W935:$AJ935)-AN935</f>
        <v>72</v>
      </c>
      <c r="AN935" s="88">
        <f>IF(SUMIF($G934:$T934,"",$G935:$T935)+SUMIF($G934:$T934,"F",$G935:$T935)+SUMIF($G934:$T934,"V",$G935:$T935)-40&lt;0,0,SUMIF($G934:$T934,"",$G935:$T935)+SUMIF($G934:$T934,"F",$G935:$T935)+SUMIF($G934:$T934,"V",$G935:$T935)-($U$9/2))+IF(SUMIF($W934:$AJ934,"",$W935:$AJ935)+SUMIF($W934:$AJ934,"F",$W935:$AJ935)+SUMIF($W934:$AJ934,"V",$W935:$AJ935)-40&lt;0,0,SUMIF($W934:$AJ934,"",$W935:$AJ935)+SUMIF($W934:$AJ934,"F",$W935:$AJ935)+SUMIF($W934:$AJ934,"V",$W935:$AJ935)-($U$9/2))</f>
        <v>0</v>
      </c>
      <c r="AO935" s="73">
        <f>SUMIF($G934:$T934,"M",$G935:$T935)+SUMIF($W934:$AJ934,"M",$W935:$AJ935)</f>
        <v>0</v>
      </c>
      <c r="AP935" s="73">
        <f>SUMIF($G934:$T934,"F",$G935:$T935)+SUMIF($W934:$AJ934,"F",$W935:$AJ935)</f>
        <v>8</v>
      </c>
      <c r="AQ935" s="73">
        <f>SUMIF($G934:$T934,"V",$G935:$T935)+SUMIF($W934:$AJ934,"V",$W935:$AJ935)</f>
        <v>0</v>
      </c>
      <c r="AR935" s="74">
        <f>SUMIF($G934:$T934,"O",$G935:$T935)+SUMIF($W934:$AJ934,"O",$W935:$AJ935)</f>
        <v>0</v>
      </c>
      <c r="AS935" s="75">
        <f>SUM(AM935:AR935)</f>
        <v>80</v>
      </c>
      <c r="AT935" s="72"/>
      <c r="AU935" s="73">
        <f>SUMIF($G934:$T934,"A",$G935:$T935)+SUMIF($W934:$AJ934,"A",$W935:$AJ935)</f>
        <v>0</v>
      </c>
      <c r="AV935" s="72"/>
      <c r="AW935" s="76">
        <f>IF(B935="",0,IF($U$9="",0,$U$9))</f>
        <v>80</v>
      </c>
      <c r="BA935" s="2"/>
      <c r="BB935" s="2"/>
      <c r="BC935" s="101"/>
      <c r="BD935" s="101"/>
    </row>
    <row r="936" spans="1:56" s="84" customFormat="1" x14ac:dyDescent="0.35">
      <c r="B936" s="26"/>
      <c r="C936" s="27"/>
      <c r="D936" s="28">
        <f>IF(D862="","",D862)</f>
        <v>72673</v>
      </c>
      <c r="E936" s="29" t="str">
        <f t="shared" si="390"/>
        <v/>
      </c>
      <c r="F936" s="50">
        <f>B897</f>
        <v>22</v>
      </c>
      <c r="G936" s="59"/>
      <c r="H936" s="64"/>
      <c r="I936" s="106"/>
      <c r="J936" s="105"/>
      <c r="K936" s="106"/>
      <c r="L936" s="105"/>
      <c r="M936" s="106"/>
      <c r="N936" s="105"/>
      <c r="O936" s="106"/>
      <c r="P936" s="105"/>
      <c r="Q936" s="106"/>
      <c r="R936" s="105"/>
      <c r="S936" s="59"/>
      <c r="T936" s="64"/>
      <c r="U936" s="44"/>
      <c r="W936" s="59"/>
      <c r="X936" s="64"/>
      <c r="Y936" s="106"/>
      <c r="Z936" s="105"/>
      <c r="AA936" s="106"/>
      <c r="AB936" s="105"/>
      <c r="AC936" s="106"/>
      <c r="AD936" s="105"/>
      <c r="AE936" s="106"/>
      <c r="AF936" s="105"/>
      <c r="AG936" s="106"/>
      <c r="AH936" s="105"/>
      <c r="AI936" s="59"/>
      <c r="AJ936" s="64"/>
      <c r="AK936" s="44"/>
      <c r="AM936" s="49"/>
      <c r="AN936" s="49"/>
      <c r="AO936" s="49"/>
      <c r="AP936" s="49"/>
      <c r="AQ936" s="49"/>
      <c r="AR936" s="40"/>
      <c r="AS936" s="51"/>
      <c r="AU936" s="49"/>
      <c r="AW936" s="52"/>
      <c r="BA936" s="2"/>
      <c r="BB936" s="2"/>
      <c r="BC936" s="101"/>
      <c r="BD936" s="101"/>
    </row>
    <row r="937" spans="1:56" s="84" customFormat="1" x14ac:dyDescent="0.35">
      <c r="B937" s="30" t="str">
        <f>IF(B863="","",B863)</f>
        <v>St-Georges, Manuel (avance $2,000)</v>
      </c>
      <c r="C937" s="31"/>
      <c r="D937" s="32"/>
      <c r="E937" s="33">
        <f t="shared" si="390"/>
        <v>93595935</v>
      </c>
      <c r="F937" s="50">
        <f>B897</f>
        <v>22</v>
      </c>
      <c r="G937" s="69"/>
      <c r="H937" s="70"/>
      <c r="I937" s="104"/>
      <c r="J937" s="103" t="s">
        <v>69</v>
      </c>
      <c r="K937" s="104"/>
      <c r="L937" s="103" t="s">
        <v>69</v>
      </c>
      <c r="M937" s="104"/>
      <c r="N937" s="103" t="s">
        <v>69</v>
      </c>
      <c r="O937" s="104"/>
      <c r="P937" s="103" t="s">
        <v>69</v>
      </c>
      <c r="Q937" s="104"/>
      <c r="R937" s="103" t="s">
        <v>69</v>
      </c>
      <c r="S937" s="69"/>
      <c r="T937" s="70"/>
      <c r="U937" s="71">
        <f t="shared" ref="U937" si="392">SUM(G937:T937)</f>
        <v>0</v>
      </c>
      <c r="V937" s="72"/>
      <c r="W937" s="69"/>
      <c r="X937" s="70"/>
      <c r="Y937" s="104"/>
      <c r="Z937" s="103" t="s">
        <v>69</v>
      </c>
      <c r="AA937" s="104"/>
      <c r="AB937" s="103" t="s">
        <v>69</v>
      </c>
      <c r="AC937" s="104"/>
      <c r="AD937" s="103" t="s">
        <v>69</v>
      </c>
      <c r="AE937" s="104"/>
      <c r="AF937" s="103" t="s">
        <v>69</v>
      </c>
      <c r="AG937" s="104"/>
      <c r="AH937" s="103" t="s">
        <v>69</v>
      </c>
      <c r="AI937" s="69"/>
      <c r="AJ937" s="70"/>
      <c r="AK937" s="71">
        <f>SUM(W937:AJ937)</f>
        <v>0</v>
      </c>
      <c r="AL937" s="72"/>
      <c r="AM937" s="73">
        <f>SUMIF($G936:$T936,"",$G937:$T937)+SUMIF($W936:$AJ936,"",$W937:$AJ937)-AN937</f>
        <v>0</v>
      </c>
      <c r="AN937" s="88">
        <f>IF(SUMIF($G936:$T936,"",$G937:$T937)+SUMIF($G936:$T936,"F",$G937:$T937)+SUMIF($G936:$T936,"V",$G937:$T937)-40&lt;0,0,SUMIF($G936:$T936,"",$G937:$T937)+SUMIF($G936:$T936,"F",$G937:$T937)+SUMIF($G936:$T936,"V",$G937:$T937)-($U$9/2))+IF(SUMIF($W936:$AJ936,"",$W937:$AJ937)+SUMIF($W936:$AJ936,"F",$W937:$AJ937)+SUMIF($W936:$AJ936,"V",$W937:$AJ937)-40&lt;0,0,SUMIF($W936:$AJ936,"",$W937:$AJ937)+SUMIF($W936:$AJ936,"F",$W937:$AJ937)+SUMIF($W936:$AJ936,"V",$W937:$AJ937)-($U$9/2))</f>
        <v>0</v>
      </c>
      <c r="AO937" s="73">
        <f>SUMIF($G936:$T936,"M",$G937:$T937)+SUMIF($W936:$AJ936,"M",$W937:$AJ937)</f>
        <v>0</v>
      </c>
      <c r="AP937" s="73">
        <f>SUMIF($G936:$T936,"F",$G937:$T937)+SUMIF($W936:$AJ936,"F",$W937:$AJ937)</f>
        <v>0</v>
      </c>
      <c r="AQ937" s="73">
        <f>SUMIF($G936:$T936,"V",$G937:$T937)+SUMIF($W936:$AJ936,"V",$W937:$AJ937)</f>
        <v>0</v>
      </c>
      <c r="AR937" s="74">
        <f>SUMIF($G936:$T936,"O",$G937:$T937)+SUMIF($W936:$AJ936,"O",$W937:$AJ937)</f>
        <v>0</v>
      </c>
      <c r="AS937" s="75">
        <f>SUM(AM937:AR937)</f>
        <v>0</v>
      </c>
      <c r="AT937" s="72"/>
      <c r="AU937" s="73">
        <f>SUMIF($G936:$T936,"A",$G937:$T937)+SUMIF($W936:$AJ936,"A",$W937:$AJ937)</f>
        <v>0</v>
      </c>
      <c r="AV937" s="72"/>
      <c r="AW937" s="76">
        <f>IF(B937="",0,IF($U$9="",0,$U$9))</f>
        <v>80</v>
      </c>
      <c r="BA937" s="2"/>
      <c r="BB937" s="2"/>
      <c r="BC937" s="101"/>
      <c r="BD937" s="101"/>
    </row>
    <row r="938" spans="1:56" s="84" customFormat="1" x14ac:dyDescent="0.35">
      <c r="B938" s="26"/>
      <c r="C938" s="27"/>
      <c r="D938" s="28" t="str">
        <f>IF(D864="","",D864)</f>
        <v/>
      </c>
      <c r="E938" s="29" t="str">
        <f t="shared" si="390"/>
        <v/>
      </c>
      <c r="F938" s="50">
        <f>B897</f>
        <v>22</v>
      </c>
      <c r="G938" s="59"/>
      <c r="H938" s="64"/>
      <c r="I938" s="106"/>
      <c r="J938" s="105"/>
      <c r="K938" s="106"/>
      <c r="L938" s="105"/>
      <c r="M938" s="106"/>
      <c r="N938" s="105"/>
      <c r="O938" s="106"/>
      <c r="P938" s="105"/>
      <c r="Q938" s="106"/>
      <c r="R938" s="105"/>
      <c r="S938" s="59"/>
      <c r="T938" s="64"/>
      <c r="U938" s="44"/>
      <c r="W938" s="59"/>
      <c r="X938" s="64"/>
      <c r="Y938" s="106"/>
      <c r="Z938" s="105"/>
      <c r="AA938" s="106"/>
      <c r="AB938" s="105"/>
      <c r="AC938" s="106"/>
      <c r="AD938" s="105"/>
      <c r="AE938" s="106"/>
      <c r="AF938" s="105"/>
      <c r="AG938" s="106"/>
      <c r="AH938" s="105"/>
      <c r="AI938" s="59"/>
      <c r="AJ938" s="64"/>
      <c r="AK938" s="44"/>
      <c r="AM938" s="49"/>
      <c r="AN938" s="49"/>
      <c r="AO938" s="49"/>
      <c r="AP938" s="49"/>
      <c r="AQ938" s="49"/>
      <c r="AR938" s="40"/>
      <c r="AS938" s="51"/>
      <c r="AU938" s="49"/>
      <c r="AW938" s="52"/>
      <c r="BA938" s="2"/>
      <c r="BB938" s="2"/>
      <c r="BC938" s="101"/>
      <c r="BD938" s="101"/>
    </row>
    <row r="939" spans="1:56" s="84" customFormat="1" x14ac:dyDescent="0.35">
      <c r="B939" s="30" t="str">
        <f>IF(B865="","",B865)</f>
        <v/>
      </c>
      <c r="C939" s="31"/>
      <c r="D939" s="32"/>
      <c r="E939" s="33" t="str">
        <f t="shared" si="390"/>
        <v/>
      </c>
      <c r="F939" s="50">
        <f>B897</f>
        <v>22</v>
      </c>
      <c r="G939" s="69"/>
      <c r="H939" s="70"/>
      <c r="I939" s="104"/>
      <c r="J939" s="103"/>
      <c r="K939" s="104"/>
      <c r="L939" s="103"/>
      <c r="M939" s="104"/>
      <c r="N939" s="103"/>
      <c r="O939" s="104"/>
      <c r="P939" s="103"/>
      <c r="Q939" s="104"/>
      <c r="R939" s="103"/>
      <c r="S939" s="69"/>
      <c r="T939" s="70"/>
      <c r="U939" s="71">
        <f t="shared" ref="U939" si="393">SUM(G939:T939)</f>
        <v>0</v>
      </c>
      <c r="V939" s="72"/>
      <c r="W939" s="69"/>
      <c r="X939" s="70"/>
      <c r="Y939" s="104"/>
      <c r="Z939" s="103"/>
      <c r="AA939" s="104"/>
      <c r="AB939" s="103"/>
      <c r="AC939" s="104"/>
      <c r="AD939" s="103"/>
      <c r="AE939" s="104"/>
      <c r="AF939" s="103"/>
      <c r="AG939" s="104"/>
      <c r="AH939" s="103"/>
      <c r="AI939" s="69"/>
      <c r="AJ939" s="70"/>
      <c r="AK939" s="71">
        <f>SUM(W939:AJ939)</f>
        <v>0</v>
      </c>
      <c r="AL939" s="72"/>
      <c r="AM939" s="73">
        <f>SUMIF($G938:$T938,"",$G939:$T939)+SUMIF($W938:$AJ938,"",$W939:$AJ939)-AN939</f>
        <v>0</v>
      </c>
      <c r="AN939" s="88">
        <f>IF(SUMIF($G938:$T938,"",$G939:$T939)+SUMIF($G938:$T938,"F",$G939:$T939)+SUMIF($G938:$T938,"V",$G939:$T939)-40&lt;0,0,SUMIF($G938:$T938,"",$G939:$T939)+SUMIF($G938:$T938,"F",$G939:$T939)+SUMIF($G938:$T938,"V",$G939:$T939)-($U$9/2))+IF(SUMIF($W938:$AJ938,"",$W939:$AJ939)+SUMIF($W938:$AJ938,"F",$W939:$AJ939)+SUMIF($W938:$AJ938,"V",$W939:$AJ939)-40&lt;0,0,SUMIF($W938:$AJ938,"",$W939:$AJ939)+SUMIF($W938:$AJ938,"F",$W939:$AJ939)+SUMIF($W938:$AJ938,"V",$W939:$AJ939)-($U$9/2))</f>
        <v>0</v>
      </c>
      <c r="AO939" s="73">
        <f>SUMIF($G938:$T938,"M",$G939:$T939)+SUMIF($W938:$AJ938,"M",$W939:$AJ939)</f>
        <v>0</v>
      </c>
      <c r="AP939" s="73">
        <f>SUMIF($G938:$T938,"F",$G939:$T939)+SUMIF($W938:$AJ938,"F",$W939:$AJ939)</f>
        <v>0</v>
      </c>
      <c r="AQ939" s="73">
        <f>SUMIF($G938:$T938,"V",$G939:$T939)+SUMIF($W938:$AJ938,"V",$W939:$AJ939)</f>
        <v>0</v>
      </c>
      <c r="AR939" s="74">
        <f>SUMIF($G938:$T938,"O",$G939:$T939)+SUMIF($W938:$AJ938,"O",$W939:$AJ939)</f>
        <v>0</v>
      </c>
      <c r="AS939" s="75">
        <f>SUM(AM939:AR939)</f>
        <v>0</v>
      </c>
      <c r="AT939" s="72"/>
      <c r="AU939" s="73">
        <f>SUMIF($G938:$T938,"A",$G939:$T939)+SUMIF($W938:$AJ938,"A",$W939:$AJ939)</f>
        <v>0</v>
      </c>
      <c r="AV939" s="72"/>
      <c r="AW939" s="76">
        <f>IF(B939="",0,IF($U$9="",0,$U$9))</f>
        <v>0</v>
      </c>
      <c r="BA939" s="2"/>
      <c r="BB939" s="2"/>
      <c r="BC939" s="101"/>
      <c r="BD939" s="101"/>
    </row>
    <row r="940" spans="1:56" s="84" customFormat="1" x14ac:dyDescent="0.35">
      <c r="B940" s="26"/>
      <c r="C940" s="27"/>
      <c r="D940" s="28">
        <f>IF(D866="","",D866)</f>
        <v>23736</v>
      </c>
      <c r="E940" s="29" t="str">
        <f t="shared" si="390"/>
        <v/>
      </c>
      <c r="F940" s="50">
        <f>B897</f>
        <v>22</v>
      </c>
      <c r="G940" s="59"/>
      <c r="H940" s="64"/>
      <c r="I940" s="106"/>
      <c r="J940" s="105" t="s">
        <v>13</v>
      </c>
      <c r="K940" s="106"/>
      <c r="L940" s="105"/>
      <c r="M940" s="106"/>
      <c r="N940" s="105"/>
      <c r="O940" s="106"/>
      <c r="P940" s="105"/>
      <c r="Q940" s="106"/>
      <c r="R940" s="105"/>
      <c r="S940" s="59"/>
      <c r="T940" s="64"/>
      <c r="U940" s="44"/>
      <c r="W940" s="59"/>
      <c r="X940" s="64"/>
      <c r="Y940" s="106"/>
      <c r="Z940" s="105"/>
      <c r="AA940" s="106"/>
      <c r="AB940" s="105"/>
      <c r="AC940" s="106"/>
      <c r="AD940" s="105"/>
      <c r="AE940" s="106"/>
      <c r="AF940" s="105"/>
      <c r="AG940" s="106"/>
      <c r="AH940" s="105"/>
      <c r="AI940" s="59"/>
      <c r="AJ940" s="64"/>
      <c r="AK940" s="44"/>
      <c r="AM940" s="49"/>
      <c r="AN940" s="49"/>
      <c r="AO940" s="49"/>
      <c r="AP940" s="49"/>
      <c r="AQ940" s="49"/>
      <c r="AR940" s="40"/>
      <c r="AS940" s="51"/>
      <c r="AU940" s="49"/>
      <c r="AW940" s="52"/>
      <c r="BA940" s="2"/>
      <c r="BB940" s="2"/>
      <c r="BC940" s="101"/>
      <c r="BD940" s="101"/>
    </row>
    <row r="941" spans="1:56" s="84" customFormat="1" x14ac:dyDescent="0.35">
      <c r="B941" s="30" t="str">
        <f>IF(B867="","",B867)</f>
        <v>Voster, Jean-Michel</v>
      </c>
      <c r="C941" s="31"/>
      <c r="D941" s="32"/>
      <c r="E941" s="33">
        <f t="shared" si="390"/>
        <v>93545</v>
      </c>
      <c r="F941" s="50">
        <f>B897</f>
        <v>22</v>
      </c>
      <c r="G941" s="69"/>
      <c r="H941" s="70"/>
      <c r="I941" s="104"/>
      <c r="J941" s="103">
        <v>8</v>
      </c>
      <c r="K941" s="104"/>
      <c r="L941" s="103">
        <v>8</v>
      </c>
      <c r="M941" s="104"/>
      <c r="N941" s="103">
        <v>8</v>
      </c>
      <c r="O941" s="104"/>
      <c r="P941" s="103">
        <v>8</v>
      </c>
      <c r="Q941" s="104"/>
      <c r="R941" s="103">
        <v>7.5</v>
      </c>
      <c r="S941" s="69"/>
      <c r="T941" s="70"/>
      <c r="U941" s="71">
        <f t="shared" ref="U941" si="394">SUM(G941:T941)</f>
        <v>39.5</v>
      </c>
      <c r="V941" s="72"/>
      <c r="W941" s="69"/>
      <c r="X941" s="70"/>
      <c r="Y941" s="104"/>
      <c r="Z941" s="103">
        <v>7.75</v>
      </c>
      <c r="AA941" s="104"/>
      <c r="AB941" s="103">
        <v>8</v>
      </c>
      <c r="AC941" s="104"/>
      <c r="AD941" s="103">
        <v>8</v>
      </c>
      <c r="AE941" s="104"/>
      <c r="AF941" s="103">
        <v>8</v>
      </c>
      <c r="AG941" s="104"/>
      <c r="AH941" s="103">
        <v>8</v>
      </c>
      <c r="AI941" s="69"/>
      <c r="AJ941" s="70"/>
      <c r="AK941" s="71">
        <f>SUM(W941:AJ941)</f>
        <v>39.75</v>
      </c>
      <c r="AL941" s="72"/>
      <c r="AM941" s="73">
        <f>SUMIF($G940:$T940,"",$G941:$T941)+SUMIF($W940:$AJ940,"",$W941:$AJ941)-AN941</f>
        <v>71.25</v>
      </c>
      <c r="AN941" s="88">
        <f>IF(SUMIF($G940:$T940,"",$G941:$T941)+SUMIF($G940:$T940,"F",$G941:$T941)+SUMIF($G940:$T940,"V",$G941:$T941)-40&lt;0,0,SUMIF($G940:$T940,"",$G941:$T941)+SUMIF($G940:$T940,"F",$G941:$T941)+SUMIF($G940:$T940,"V",$G941:$T941)-($U$9/2))+IF(SUMIF($W940:$AJ940,"",$W941:$AJ941)+SUMIF($W940:$AJ940,"F",$W941:$AJ941)+SUMIF($W940:$AJ940,"V",$W941:$AJ941)-40&lt;0,0,SUMIF($W940:$AJ940,"",$W941:$AJ941)+SUMIF($W940:$AJ940,"F",$W941:$AJ941)+SUMIF($W940:$AJ940,"V",$W941:$AJ941)-($U$9/2))</f>
        <v>0</v>
      </c>
      <c r="AO941" s="73">
        <f>SUMIF($G940:$T940,"M",$G941:$T941)+SUMIF($W940:$AJ940,"M",$W941:$AJ941)</f>
        <v>0</v>
      </c>
      <c r="AP941" s="73">
        <f>SUMIF($G940:$T940,"F",$G941:$T941)+SUMIF($W940:$AJ940,"F",$W941:$AJ941)</f>
        <v>8</v>
      </c>
      <c r="AQ941" s="73">
        <f>SUMIF($G940:$T940,"V",$G941:$T941)+SUMIF($W940:$AJ940,"V",$W941:$AJ941)</f>
        <v>0</v>
      </c>
      <c r="AR941" s="74">
        <f>SUMIF($G940:$T940,"O",$G941:$T941)+SUMIF($W940:$AJ940,"O",$W941:$AJ941)</f>
        <v>0</v>
      </c>
      <c r="AS941" s="75">
        <f>SUM(AM941:AR941)</f>
        <v>79.25</v>
      </c>
      <c r="AT941" s="72"/>
      <c r="AU941" s="73">
        <f>SUMIF($G940:$T940,"A",$G941:$T941)+SUMIF($W940:$AJ940,"A",$W941:$AJ941)</f>
        <v>0</v>
      </c>
      <c r="AV941" s="72"/>
      <c r="AW941" s="76">
        <f>IF(B941="",0,IF($U$9="",0,$U$9))</f>
        <v>80</v>
      </c>
      <c r="BA941" s="2"/>
      <c r="BB941" s="2"/>
      <c r="BC941" s="101"/>
      <c r="BD941" s="101"/>
    </row>
    <row r="942" spans="1:56" s="53" customFormat="1" ht="15" customHeight="1" x14ac:dyDescent="0.35">
      <c r="A942" s="84"/>
      <c r="B942" s="26"/>
      <c r="C942" s="27"/>
      <c r="D942" s="28" t="str">
        <f>IF(D868="","",D868)</f>
        <v/>
      </c>
      <c r="E942" s="29" t="str">
        <f t="shared" si="390"/>
        <v/>
      </c>
      <c r="F942" s="50">
        <f>B897</f>
        <v>22</v>
      </c>
      <c r="G942" s="59"/>
      <c r="H942" s="64"/>
      <c r="I942" s="106"/>
      <c r="J942" s="105"/>
      <c r="K942" s="106"/>
      <c r="L942" s="105"/>
      <c r="M942" s="106"/>
      <c r="N942" s="105"/>
      <c r="O942" s="106"/>
      <c r="P942" s="105"/>
      <c r="Q942" s="106"/>
      <c r="R942" s="105"/>
      <c r="S942" s="59"/>
      <c r="T942" s="64"/>
      <c r="U942" s="44"/>
      <c r="V942" s="84"/>
      <c r="W942" s="59"/>
      <c r="X942" s="64"/>
      <c r="Y942" s="106"/>
      <c r="Z942" s="105"/>
      <c r="AA942" s="106"/>
      <c r="AB942" s="105"/>
      <c r="AC942" s="106"/>
      <c r="AD942" s="105"/>
      <c r="AE942" s="106"/>
      <c r="AF942" s="105"/>
      <c r="AG942" s="106"/>
      <c r="AH942" s="105"/>
      <c r="AI942" s="59"/>
      <c r="AJ942" s="64"/>
      <c r="AK942" s="44"/>
      <c r="AL942" s="84"/>
      <c r="AM942" s="49"/>
      <c r="AN942" s="49"/>
      <c r="AO942" s="49"/>
      <c r="AP942" s="49"/>
      <c r="AQ942" s="49"/>
      <c r="AR942" s="40"/>
      <c r="AS942" s="51"/>
      <c r="AT942" s="84"/>
      <c r="AU942" s="49"/>
      <c r="AV942" s="84"/>
      <c r="AW942" s="52"/>
      <c r="AX942" s="84"/>
      <c r="BA942" s="2"/>
      <c r="BB942" s="2"/>
      <c r="BC942" s="101"/>
      <c r="BD942" s="101"/>
    </row>
    <row r="943" spans="1:56" s="57" customFormat="1" ht="15" customHeight="1" x14ac:dyDescent="0.35">
      <c r="A943" s="84"/>
      <c r="B943" s="30"/>
      <c r="C943" s="31"/>
      <c r="D943" s="32"/>
      <c r="E943" s="33" t="str">
        <f t="shared" si="390"/>
        <v/>
      </c>
      <c r="F943" s="50">
        <f>B897</f>
        <v>22</v>
      </c>
      <c r="G943" s="69"/>
      <c r="H943" s="70"/>
      <c r="I943" s="104"/>
      <c r="J943" s="103"/>
      <c r="K943" s="104"/>
      <c r="L943" s="103"/>
      <c r="M943" s="104"/>
      <c r="N943" s="103"/>
      <c r="O943" s="104"/>
      <c r="P943" s="103"/>
      <c r="Q943" s="104"/>
      <c r="R943" s="103"/>
      <c r="S943" s="69"/>
      <c r="T943" s="70"/>
      <c r="U943" s="71">
        <f t="shared" ref="U943" si="395">SUM(G943:T943)</f>
        <v>0</v>
      </c>
      <c r="V943" s="72"/>
      <c r="W943" s="69"/>
      <c r="X943" s="70"/>
      <c r="Y943" s="104"/>
      <c r="Z943" s="103"/>
      <c r="AA943" s="104"/>
      <c r="AB943" s="103"/>
      <c r="AC943" s="104"/>
      <c r="AD943" s="103"/>
      <c r="AE943" s="104"/>
      <c r="AF943" s="103"/>
      <c r="AG943" s="104"/>
      <c r="AH943" s="103"/>
      <c r="AI943" s="69"/>
      <c r="AJ943" s="70"/>
      <c r="AK943" s="71">
        <f>SUM(W943:AJ943)</f>
        <v>0</v>
      </c>
      <c r="AL943" s="72"/>
      <c r="AM943" s="73">
        <f>SUMIF($G942:$T942,"",$G943:$T943)+SUMIF($W942:$AJ942,"",$W943:$AJ943)-AN943</f>
        <v>0</v>
      </c>
      <c r="AN943" s="88">
        <f>IF(SUMIF($G942:$T942,"",$G943:$T943)+SUMIF($G942:$T942,"F",$G943:$T943)+SUMIF($G942:$T942,"V",$G943:$T943)-40&lt;0,0,SUMIF($G942:$T942,"",$G943:$T943)+SUMIF($G942:$T942,"F",$G943:$T943)+SUMIF($G942:$T942,"V",$G943:$T943)-($U$9/2))+IF(SUMIF($W942:$AJ942,"",$W943:$AJ943)+SUMIF($W942:$AJ942,"F",$W943:$AJ943)+SUMIF($W942:$AJ942,"V",$W943:$AJ943)-40&lt;0,0,SUMIF($W942:$AJ942,"",$W943:$AJ943)+SUMIF($W942:$AJ942,"F",$W943:$AJ943)+SUMIF($W942:$AJ942,"V",$W943:$AJ943)-($U$9/2))</f>
        <v>0</v>
      </c>
      <c r="AO943" s="73">
        <f>SUMIF($G942:$T942,"M",$G943:$T943)+SUMIF($W942:$AJ942,"M",$W943:$AJ943)</f>
        <v>0</v>
      </c>
      <c r="AP943" s="73">
        <f>SUMIF($G942:$T942,"F",$G943:$T943)+SUMIF($W942:$AJ942,"F",$W943:$AJ943)</f>
        <v>0</v>
      </c>
      <c r="AQ943" s="73">
        <f>SUMIF($G942:$T942,"V",$G943:$T943)+SUMIF($W942:$AJ942,"V",$W943:$AJ943)</f>
        <v>0</v>
      </c>
      <c r="AR943" s="74">
        <f>SUMIF($G942:$T942,"O",$G943:$T943)+SUMIF($W942:$AJ942,"O",$W943:$AJ943)</f>
        <v>0</v>
      </c>
      <c r="AS943" s="75">
        <f>SUM(AM943:AR943)</f>
        <v>0</v>
      </c>
      <c r="AT943" s="72"/>
      <c r="AU943" s="73">
        <f>SUMIF($G942:$T942,"A",$G943:$T943)+SUMIF($W942:$AJ942,"A",$W943:$AJ943)</f>
        <v>0</v>
      </c>
      <c r="AV943" s="72"/>
      <c r="AW943" s="76">
        <f>IF(B943="",0,IF($U$9="",0,$U$9))</f>
        <v>0</v>
      </c>
      <c r="AX943" s="84"/>
      <c r="BA943" s="2"/>
      <c r="BB943" s="2"/>
      <c r="BC943" s="101"/>
      <c r="BD943" s="101"/>
    </row>
    <row r="944" spans="1:56" s="53" customFormat="1" ht="15" customHeight="1" x14ac:dyDescent="0.35">
      <c r="A944" s="84"/>
      <c r="B944" s="26"/>
      <c r="C944" s="27"/>
      <c r="D944" s="28" t="str">
        <f>IF(D870="","",D870)</f>
        <v/>
      </c>
      <c r="E944" s="29" t="str">
        <f t="shared" si="390"/>
        <v/>
      </c>
      <c r="F944" s="50">
        <f>B897</f>
        <v>22</v>
      </c>
      <c r="G944" s="59"/>
      <c r="H944" s="64"/>
      <c r="I944" s="106"/>
      <c r="J944" s="105"/>
      <c r="K944" s="106"/>
      <c r="L944" s="105"/>
      <c r="M944" s="106"/>
      <c r="N944" s="105"/>
      <c r="O944" s="106"/>
      <c r="P944" s="105"/>
      <c r="Q944" s="106"/>
      <c r="R944" s="105"/>
      <c r="S944" s="59"/>
      <c r="T944" s="64"/>
      <c r="U944" s="44"/>
      <c r="V944" s="84"/>
      <c r="W944" s="59"/>
      <c r="X944" s="64"/>
      <c r="Y944" s="106"/>
      <c r="Z944" s="105"/>
      <c r="AA944" s="106"/>
      <c r="AB944" s="105"/>
      <c r="AC944" s="106"/>
      <c r="AD944" s="105"/>
      <c r="AE944" s="106"/>
      <c r="AF944" s="105"/>
      <c r="AG944" s="106"/>
      <c r="AH944" s="105"/>
      <c r="AI944" s="59"/>
      <c r="AJ944" s="64"/>
      <c r="AK944" s="44"/>
      <c r="AL944" s="84"/>
      <c r="AM944" s="49"/>
      <c r="AN944" s="49"/>
      <c r="AO944" s="49"/>
      <c r="AP944" s="49"/>
      <c r="AQ944" s="49"/>
      <c r="AR944" s="40"/>
      <c r="AS944" s="51"/>
      <c r="AT944" s="84"/>
      <c r="AU944" s="49"/>
      <c r="AV944" s="84"/>
      <c r="AW944" s="52"/>
      <c r="AX944" s="84"/>
      <c r="BA944" s="2"/>
      <c r="BB944" s="2"/>
      <c r="BC944" s="101"/>
      <c r="BD944" s="101"/>
    </row>
    <row r="945" spans="1:56" s="53" customFormat="1" x14ac:dyDescent="0.35">
      <c r="A945" s="84"/>
      <c r="B945" s="30" t="str">
        <f>IF(B871="","",B871)</f>
        <v/>
      </c>
      <c r="C945" s="31"/>
      <c r="D945" s="32"/>
      <c r="E945" s="33" t="str">
        <f t="shared" si="390"/>
        <v/>
      </c>
      <c r="F945" s="50">
        <f>B897</f>
        <v>22</v>
      </c>
      <c r="G945" s="69"/>
      <c r="H945" s="70"/>
      <c r="I945" s="104"/>
      <c r="J945" s="103"/>
      <c r="K945" s="104"/>
      <c r="L945" s="103"/>
      <c r="M945" s="104"/>
      <c r="N945" s="103"/>
      <c r="O945" s="104"/>
      <c r="P945" s="103"/>
      <c r="Q945" s="104"/>
      <c r="R945" s="103"/>
      <c r="S945" s="69"/>
      <c r="T945" s="70"/>
      <c r="U945" s="71">
        <f t="shared" ref="U945" si="396">SUM(G945:T945)</f>
        <v>0</v>
      </c>
      <c r="V945" s="72"/>
      <c r="W945" s="69"/>
      <c r="X945" s="70"/>
      <c r="Y945" s="104"/>
      <c r="Z945" s="103"/>
      <c r="AA945" s="104"/>
      <c r="AB945" s="103"/>
      <c r="AC945" s="104"/>
      <c r="AD945" s="103"/>
      <c r="AE945" s="104"/>
      <c r="AF945" s="103"/>
      <c r="AG945" s="104"/>
      <c r="AH945" s="103"/>
      <c r="AI945" s="69"/>
      <c r="AJ945" s="70"/>
      <c r="AK945" s="71">
        <f>SUM(W945:AJ945)</f>
        <v>0</v>
      </c>
      <c r="AL945" s="72"/>
      <c r="AM945" s="73">
        <f>SUMIF($G944:$T944,"",$G945:$T945)+SUMIF($W944:$AJ944,"",$W945:$AJ945)-AN945</f>
        <v>0</v>
      </c>
      <c r="AN945" s="88">
        <f>IF(SUMIF($G944:$T944,"",$G945:$T945)+SUMIF($G944:$T944,"F",$G945:$T945)+SUMIF($G944:$T944,"V",$G945:$T945)-40&lt;0,0,SUMIF($G944:$T944,"",$G945:$T945)+SUMIF($G944:$T944,"F",$G945:$T945)+SUMIF($G944:$T944,"V",$G945:$T945)-($U$9/2))+IF(SUMIF($W944:$AJ944,"",$W945:$AJ945)+SUMIF($W944:$AJ944,"F",$W945:$AJ945)+SUMIF($W944:$AJ944,"V",$W945:$AJ945)-40&lt;0,0,SUMIF($W944:$AJ944,"",$W945:$AJ945)+SUMIF($W944:$AJ944,"F",$W945:$AJ945)+SUMIF($W944:$AJ944,"V",$W945:$AJ945)-($U$9/2))</f>
        <v>0</v>
      </c>
      <c r="AO945" s="73">
        <f>SUMIF($G944:$T944,"M",$G945:$T945)+SUMIF($W944:$AJ944,"M",$W945:$AJ945)</f>
        <v>0</v>
      </c>
      <c r="AP945" s="73">
        <f>SUMIF($G944:$T944,"F",$G945:$T945)+SUMIF($W944:$AJ944,"F",$W945:$AJ945)</f>
        <v>0</v>
      </c>
      <c r="AQ945" s="73">
        <f>SUMIF($G944:$T944,"V",$G945:$T945)+SUMIF($W944:$AJ944,"V",$W945:$AJ945)</f>
        <v>0</v>
      </c>
      <c r="AR945" s="74">
        <f>SUMIF($G944:$T944,"O",$G945:$T945)+SUMIF($W944:$AJ944,"O",$W945:$AJ945)</f>
        <v>0</v>
      </c>
      <c r="AS945" s="75">
        <f>SUM(AM945:AR945)</f>
        <v>0</v>
      </c>
      <c r="AT945" s="72"/>
      <c r="AU945" s="73">
        <f>SUMIF($G944:$T944,"A",$G945:$T945)+SUMIF($W944:$AJ944,"A",$W945:$AJ945)</f>
        <v>0</v>
      </c>
      <c r="AV945" s="72"/>
      <c r="AW945" s="76">
        <f>IF(B945="",0,IF($U$9="",0,$U$9))</f>
        <v>0</v>
      </c>
      <c r="AX945" s="84"/>
      <c r="BA945" s="2"/>
      <c r="BB945" s="2"/>
      <c r="BC945" s="101"/>
      <c r="BD945" s="101"/>
    </row>
    <row r="946" spans="1:56" s="53" customFormat="1" x14ac:dyDescent="0.35">
      <c r="A946" s="84"/>
      <c r="B946" s="26"/>
      <c r="C946" s="27"/>
      <c r="D946" s="28" t="str">
        <f>IF(D872="","",D872)</f>
        <v/>
      </c>
      <c r="E946" s="29" t="str">
        <f t="shared" si="390"/>
        <v/>
      </c>
      <c r="F946" s="50">
        <f>B897</f>
        <v>22</v>
      </c>
      <c r="G946" s="59"/>
      <c r="H946" s="64"/>
      <c r="I946" s="58"/>
      <c r="J946" s="65"/>
      <c r="K946" s="58"/>
      <c r="L946" s="65"/>
      <c r="M946" s="58"/>
      <c r="N946" s="65"/>
      <c r="O946" s="58"/>
      <c r="P946" s="65"/>
      <c r="Q946" s="58"/>
      <c r="R946" s="65"/>
      <c r="S946" s="59"/>
      <c r="T946" s="64"/>
      <c r="U946" s="44"/>
      <c r="V946" s="84"/>
      <c r="W946" s="59"/>
      <c r="X946" s="64"/>
      <c r="Y946" s="58"/>
      <c r="Z946" s="65"/>
      <c r="AA946" s="58"/>
      <c r="AB946" s="65"/>
      <c r="AC946" s="58"/>
      <c r="AD946" s="65"/>
      <c r="AE946" s="58"/>
      <c r="AF946" s="65"/>
      <c r="AG946" s="58"/>
      <c r="AH946" s="65"/>
      <c r="AI946" s="59"/>
      <c r="AJ946" s="64"/>
      <c r="AK946" s="44"/>
      <c r="AL946" s="84"/>
      <c r="AM946" s="49"/>
      <c r="AN946" s="49"/>
      <c r="AO946" s="49"/>
      <c r="AP946" s="49"/>
      <c r="AQ946" s="49"/>
      <c r="AR946" s="40"/>
      <c r="AS946" s="51"/>
      <c r="AT946" s="84"/>
      <c r="AU946" s="49"/>
      <c r="AV946" s="84"/>
      <c r="AW946" s="52"/>
      <c r="AX946" s="84"/>
      <c r="BA946" s="2"/>
      <c r="BB946" s="2"/>
      <c r="BC946" s="101"/>
      <c r="BD946" s="101"/>
    </row>
    <row r="947" spans="1:56" s="53" customFormat="1" x14ac:dyDescent="0.35">
      <c r="A947" s="84"/>
      <c r="B947" s="30" t="str">
        <f>IF(B873="","",B873)</f>
        <v/>
      </c>
      <c r="C947" s="31"/>
      <c r="D947" s="32"/>
      <c r="E947" s="33" t="str">
        <f t="shared" si="390"/>
        <v/>
      </c>
      <c r="F947" s="50">
        <f>B897</f>
        <v>22</v>
      </c>
      <c r="G947" s="69"/>
      <c r="H947" s="70"/>
      <c r="I947" s="67"/>
      <c r="J947" s="68"/>
      <c r="K947" s="67"/>
      <c r="L947" s="68"/>
      <c r="M947" s="67"/>
      <c r="N947" s="68"/>
      <c r="O947" s="67"/>
      <c r="P947" s="68"/>
      <c r="Q947" s="67"/>
      <c r="R947" s="68"/>
      <c r="S947" s="69"/>
      <c r="T947" s="70"/>
      <c r="U947" s="71">
        <f t="shared" ref="U947" si="397">SUM(G947:T947)</f>
        <v>0</v>
      </c>
      <c r="V947" s="72"/>
      <c r="W947" s="69"/>
      <c r="X947" s="70"/>
      <c r="Y947" s="67"/>
      <c r="Z947" s="68"/>
      <c r="AA947" s="67"/>
      <c r="AB947" s="68"/>
      <c r="AC947" s="67"/>
      <c r="AD947" s="68"/>
      <c r="AE947" s="67"/>
      <c r="AF947" s="68"/>
      <c r="AG947" s="67"/>
      <c r="AH947" s="68"/>
      <c r="AI947" s="69"/>
      <c r="AJ947" s="70"/>
      <c r="AK947" s="71">
        <v>0</v>
      </c>
      <c r="AL947" s="72"/>
      <c r="AM947" s="73">
        <f>SUMIF($G946:$T946,"",$G947:$T947)+SUMIF($W946:$AJ946,"",$W947:$AJ947)-AN947</f>
        <v>0</v>
      </c>
      <c r="AN947" s="88">
        <f>IF(SUMIF($G946:$T946,"",$G947:$T947)+SUMIF($G946:$T946,"F",$G947:$T947)+SUMIF($G946:$T946,"V",$G947:$T947)-40&lt;0,0,SUMIF($G946:$T946,"",$G947:$T947)+SUMIF($G946:$T946,"F",$G947:$T947)+SUMIF($G946:$T946,"V",$G947:$T947)-($U$9/2))+IF(SUMIF($W946:$AJ946,"",$W947:$AJ947)+SUMIF($W946:$AJ946,"F",$W947:$AJ947)+SUMIF($W946:$AJ946,"V",$W947:$AJ947)-40&lt;0,0,SUMIF($W946:$AJ946,"",$W947:$AJ947)+SUMIF($W946:$AJ946,"F",$W947:$AJ947)+SUMIF($W946:$AJ946,"V",$W947:$AJ947)-($U$9/2))</f>
        <v>0</v>
      </c>
      <c r="AO947" s="73">
        <f>SUMIF($G946:$T946,"M",$G947:$T947)+SUMIF($W946:$AJ946,"M",$W947:$AJ947)</f>
        <v>0</v>
      </c>
      <c r="AP947" s="73">
        <f>SUMIF($G946:$T946,"F",$G947:$T947)+SUMIF($W946:$AJ946,"F",$W947:$AJ947)</f>
        <v>0</v>
      </c>
      <c r="AQ947" s="73">
        <f>SUMIF($G946:$T946,"V",$G947:$T947)+SUMIF($W946:$AJ946,"V",$W947:$AJ947)</f>
        <v>0</v>
      </c>
      <c r="AR947" s="74">
        <f>SUMIF($G946:$T946,"O",$G947:$T947)+SUMIF($W946:$AJ946,"O",$W947:$AJ947)</f>
        <v>0</v>
      </c>
      <c r="AS947" s="75">
        <f>SUM(AM947:AR947)</f>
        <v>0</v>
      </c>
      <c r="AT947" s="72"/>
      <c r="AU947" s="73">
        <f>SUMIF($G946:$T946,"A",$G947:$T947)+SUMIF($W946:$AJ946,"A",$W947:$AJ947)</f>
        <v>0</v>
      </c>
      <c r="AV947" s="72"/>
      <c r="AW947" s="76">
        <f>IF(B947="",0,IF($U$9="",0,$U$9))</f>
        <v>0</v>
      </c>
      <c r="AX947" s="84"/>
      <c r="BA947" s="2"/>
      <c r="BB947" s="2"/>
      <c r="BC947" s="101"/>
      <c r="BD947" s="101"/>
    </row>
    <row r="948" spans="1:56" s="53" customFormat="1" x14ac:dyDescent="0.35">
      <c r="A948" s="84"/>
      <c r="B948" s="26"/>
      <c r="C948" s="27"/>
      <c r="D948" s="28" t="str">
        <f>IF(D874="","",D874)</f>
        <v/>
      </c>
      <c r="E948" s="29" t="str">
        <f t="shared" si="390"/>
        <v/>
      </c>
      <c r="F948" s="50">
        <f>B897</f>
        <v>22</v>
      </c>
      <c r="G948" s="59"/>
      <c r="H948" s="64"/>
      <c r="I948" s="58"/>
      <c r="J948" s="65"/>
      <c r="K948" s="58"/>
      <c r="L948" s="65"/>
      <c r="M948" s="58"/>
      <c r="N948" s="65"/>
      <c r="O948" s="58"/>
      <c r="P948" s="65"/>
      <c r="Q948" s="58"/>
      <c r="R948" s="65"/>
      <c r="S948" s="59"/>
      <c r="T948" s="64"/>
      <c r="U948" s="44"/>
      <c r="V948" s="84"/>
      <c r="W948" s="59"/>
      <c r="X948" s="64"/>
      <c r="Y948" s="58"/>
      <c r="Z948" s="65"/>
      <c r="AA948" s="58"/>
      <c r="AB948" s="65"/>
      <c r="AC948" s="58"/>
      <c r="AD948" s="65"/>
      <c r="AE948" s="58"/>
      <c r="AF948" s="65"/>
      <c r="AG948" s="58"/>
      <c r="AH948" s="65"/>
      <c r="AI948" s="59"/>
      <c r="AJ948" s="64"/>
      <c r="AK948" s="44"/>
      <c r="AL948" s="84"/>
      <c r="AM948" s="49"/>
      <c r="AN948" s="49"/>
      <c r="AO948" s="49"/>
      <c r="AP948" s="49"/>
      <c r="AQ948" s="49"/>
      <c r="AR948" s="40"/>
      <c r="AS948" s="51"/>
      <c r="AT948" s="84"/>
      <c r="AU948" s="49"/>
      <c r="AV948" s="84"/>
      <c r="AW948" s="52"/>
      <c r="AX948" s="84"/>
      <c r="BA948" s="2"/>
      <c r="BB948" s="2"/>
      <c r="BC948" s="101"/>
      <c r="BD948" s="101"/>
    </row>
    <row r="949" spans="1:56" s="53" customFormat="1" x14ac:dyDescent="0.35">
      <c r="A949" s="84"/>
      <c r="B949" s="30" t="str">
        <f>IF(B875="","",B875)</f>
        <v/>
      </c>
      <c r="C949" s="31"/>
      <c r="D949" s="32"/>
      <c r="E949" s="33" t="str">
        <f t="shared" si="390"/>
        <v/>
      </c>
      <c r="F949" s="50">
        <f>B897</f>
        <v>22</v>
      </c>
      <c r="G949" s="69"/>
      <c r="H949" s="70"/>
      <c r="I949" s="67"/>
      <c r="J949" s="68"/>
      <c r="K949" s="67"/>
      <c r="L949" s="68"/>
      <c r="M949" s="67"/>
      <c r="N949" s="68"/>
      <c r="O949" s="67"/>
      <c r="P949" s="68"/>
      <c r="Q949" s="67"/>
      <c r="R949" s="68"/>
      <c r="S949" s="69"/>
      <c r="T949" s="70"/>
      <c r="U949" s="71">
        <f t="shared" ref="U949" si="398">SUM(G949:T949)</f>
        <v>0</v>
      </c>
      <c r="V949" s="72"/>
      <c r="W949" s="69"/>
      <c r="X949" s="70"/>
      <c r="Y949" s="67"/>
      <c r="Z949" s="68"/>
      <c r="AA949" s="67"/>
      <c r="AB949" s="68"/>
      <c r="AC949" s="67"/>
      <c r="AD949" s="68"/>
      <c r="AE949" s="67"/>
      <c r="AF949" s="68"/>
      <c r="AG949" s="67"/>
      <c r="AH949" s="68"/>
      <c r="AI949" s="69"/>
      <c r="AJ949" s="70"/>
      <c r="AK949" s="71">
        <v>0</v>
      </c>
      <c r="AL949" s="72"/>
      <c r="AM949" s="73">
        <v>0</v>
      </c>
      <c r="AN949" s="88">
        <v>0</v>
      </c>
      <c r="AO949" s="73">
        <v>0</v>
      </c>
      <c r="AP949" s="73">
        <v>0</v>
      </c>
      <c r="AQ949" s="73">
        <v>0</v>
      </c>
      <c r="AR949" s="74">
        <v>0</v>
      </c>
      <c r="AS949" s="75">
        <v>0</v>
      </c>
      <c r="AT949" s="72"/>
      <c r="AU949" s="73">
        <f>SUMIF($G948:$T948,"A",$G949:$T949)+SUMIF($W948:$AJ948,"A",$W949:$AJ949)</f>
        <v>0</v>
      </c>
      <c r="AV949" s="72"/>
      <c r="AW949" s="76">
        <f>IF(B949="",0,IF($U$9="",0,$U$9))</f>
        <v>0</v>
      </c>
      <c r="AX949" s="84"/>
      <c r="BA949" s="2"/>
      <c r="BB949" s="2"/>
      <c r="BC949" s="101"/>
      <c r="BD949" s="101"/>
    </row>
    <row r="950" spans="1:56" s="53" customFormat="1" x14ac:dyDescent="0.35">
      <c r="A950" s="84"/>
      <c r="B950" s="26"/>
      <c r="C950" s="27"/>
      <c r="D950" s="28" t="str">
        <f>IF(D876="","",D876)</f>
        <v/>
      </c>
      <c r="E950" s="29" t="str">
        <f t="shared" si="390"/>
        <v/>
      </c>
      <c r="F950" s="50">
        <f>B897</f>
        <v>22</v>
      </c>
      <c r="G950" s="59"/>
      <c r="H950" s="64"/>
      <c r="I950" s="58"/>
      <c r="J950" s="65"/>
      <c r="K950" s="58"/>
      <c r="L950" s="65"/>
      <c r="M950" s="58"/>
      <c r="N950" s="65"/>
      <c r="O950" s="58"/>
      <c r="P950" s="65"/>
      <c r="Q950" s="58"/>
      <c r="R950" s="65"/>
      <c r="S950" s="59"/>
      <c r="T950" s="64"/>
      <c r="U950" s="44"/>
      <c r="V950" s="84"/>
      <c r="W950" s="59"/>
      <c r="X950" s="64"/>
      <c r="Y950" s="58"/>
      <c r="Z950" s="65"/>
      <c r="AA950" s="58"/>
      <c r="AB950" s="65"/>
      <c r="AC950" s="58"/>
      <c r="AD950" s="65"/>
      <c r="AE950" s="58"/>
      <c r="AF950" s="65"/>
      <c r="AG950" s="58"/>
      <c r="AH950" s="65"/>
      <c r="AI950" s="59"/>
      <c r="AJ950" s="64"/>
      <c r="AK950" s="44"/>
      <c r="AL950" s="84"/>
      <c r="AM950" s="49"/>
      <c r="AN950" s="49"/>
      <c r="AO950" s="49"/>
      <c r="AP950" s="49"/>
      <c r="AQ950" s="49"/>
      <c r="AR950" s="40"/>
      <c r="AS950" s="51"/>
      <c r="AT950" s="84"/>
      <c r="AU950" s="49"/>
      <c r="AV950" s="84"/>
      <c r="AW950" s="52"/>
      <c r="AX950" s="84"/>
      <c r="BA950" s="2"/>
      <c r="BB950" s="2"/>
      <c r="BC950" s="101"/>
      <c r="BD950" s="101"/>
    </row>
    <row r="951" spans="1:56" s="53" customFormat="1" ht="15" thickBot="1" x14ac:dyDescent="0.4">
      <c r="A951" s="84"/>
      <c r="B951" s="30" t="str">
        <f>IF(B877="","",B877)</f>
        <v/>
      </c>
      <c r="C951" s="31"/>
      <c r="D951" s="32"/>
      <c r="E951" s="33" t="str">
        <f t="shared" si="390"/>
        <v/>
      </c>
      <c r="F951" s="50">
        <f>B897</f>
        <v>22</v>
      </c>
      <c r="G951" s="69"/>
      <c r="H951" s="70"/>
      <c r="I951" s="67"/>
      <c r="J951" s="68"/>
      <c r="K951" s="67"/>
      <c r="L951" s="68"/>
      <c r="M951" s="67"/>
      <c r="N951" s="68"/>
      <c r="O951" s="67"/>
      <c r="P951" s="68"/>
      <c r="Q951" s="67"/>
      <c r="R951" s="68"/>
      <c r="S951" s="69"/>
      <c r="T951" s="70"/>
      <c r="U951" s="71">
        <f t="shared" ref="U951" si="399">SUM(G951:T951)</f>
        <v>0</v>
      </c>
      <c r="V951" s="72"/>
      <c r="W951" s="69"/>
      <c r="X951" s="70"/>
      <c r="Y951" s="67"/>
      <c r="Z951" s="68"/>
      <c r="AA951" s="67"/>
      <c r="AB951" s="68"/>
      <c r="AC951" s="67"/>
      <c r="AD951" s="68"/>
      <c r="AE951" s="67"/>
      <c r="AF951" s="68"/>
      <c r="AG951" s="67"/>
      <c r="AH951" s="68"/>
      <c r="AI951" s="69"/>
      <c r="AJ951" s="70"/>
      <c r="AK951" s="71">
        <v>0</v>
      </c>
      <c r="AL951" s="72"/>
      <c r="AM951" s="73">
        <v>0</v>
      </c>
      <c r="AN951" s="88">
        <v>0</v>
      </c>
      <c r="AO951" s="73">
        <v>0</v>
      </c>
      <c r="AP951" s="73">
        <v>0</v>
      </c>
      <c r="AQ951" s="73">
        <v>0</v>
      </c>
      <c r="AR951" s="74">
        <v>0</v>
      </c>
      <c r="AS951" s="75">
        <v>0</v>
      </c>
      <c r="AT951" s="72"/>
      <c r="AU951" s="73">
        <f>SUMIF($G950:$T950,"A",$G951:$T951)+SUMIF($W950:$AJ950,"A",$W951:$AJ951)</f>
        <v>0</v>
      </c>
      <c r="AV951" s="72"/>
      <c r="AW951" s="76">
        <f>IF(B951="",0,IF($U$9="",0,$U$9))</f>
        <v>0</v>
      </c>
      <c r="AX951" s="84"/>
      <c r="BA951" s="2"/>
      <c r="BB951" s="2"/>
      <c r="BC951" s="101"/>
      <c r="BD951" s="101"/>
    </row>
    <row r="952" spans="1:56" s="53" customFormat="1" ht="27.75" customHeight="1" thickBot="1" x14ac:dyDescent="0.4">
      <c r="A952" s="84"/>
      <c r="B952" s="149" t="s">
        <v>7</v>
      </c>
      <c r="C952" s="150"/>
      <c r="D952" s="150"/>
      <c r="E952" s="151"/>
      <c r="F952" s="97"/>
      <c r="G952" s="152">
        <f>SUM(G902:H951)</f>
        <v>0</v>
      </c>
      <c r="H952" s="152"/>
      <c r="I952" s="152">
        <f>SUM(I902:J951)</f>
        <v>119.4</v>
      </c>
      <c r="J952" s="152"/>
      <c r="K952" s="152">
        <f>SUM(K902:L951)</f>
        <v>109.5</v>
      </c>
      <c r="L952" s="152"/>
      <c r="M952" s="152">
        <f>SUM(M902:N951)</f>
        <v>120</v>
      </c>
      <c r="N952" s="152"/>
      <c r="O952" s="152">
        <f>SUM(O902:P951)</f>
        <v>121</v>
      </c>
      <c r="P952" s="152"/>
      <c r="Q952" s="152">
        <f>SUM(Q902:R951)</f>
        <v>118.5</v>
      </c>
      <c r="R952" s="152"/>
      <c r="S952" s="152">
        <f>SUM(S902:T951)</f>
        <v>0</v>
      </c>
      <c r="T952" s="153"/>
      <c r="U952" s="77">
        <f>SUM(U902:U951)</f>
        <v>588.4</v>
      </c>
      <c r="V952" s="78"/>
      <c r="W952" s="152">
        <f>SUM(W902:X951)</f>
        <v>0</v>
      </c>
      <c r="X952" s="152"/>
      <c r="Y952" s="152">
        <f>SUM(Y902:Z951)</f>
        <v>120.5</v>
      </c>
      <c r="Z952" s="152"/>
      <c r="AA952" s="152">
        <f>SUM(AA902:AB951)</f>
        <v>120.75</v>
      </c>
      <c r="AB952" s="152"/>
      <c r="AC952" s="152">
        <f>SUM(AC902:AD951)</f>
        <v>122.5</v>
      </c>
      <c r="AD952" s="152"/>
      <c r="AE952" s="152">
        <f>SUM(AE902:AF951)</f>
        <v>120</v>
      </c>
      <c r="AF952" s="152"/>
      <c r="AG952" s="152">
        <f>SUM(AG902:AH951)</f>
        <v>119</v>
      </c>
      <c r="AH952" s="152"/>
      <c r="AI952" s="152">
        <f>SUM(AI902:AJ951)</f>
        <v>0</v>
      </c>
      <c r="AJ952" s="152"/>
      <c r="AK952" s="77">
        <f>SUM(AK902:AK951)</f>
        <v>602.75</v>
      </c>
      <c r="AL952" s="78"/>
      <c r="AM952" s="79">
        <f t="shared" ref="AM952:AS952" si="400">SUM(AM902:AM951)</f>
        <v>1020.25</v>
      </c>
      <c r="AN952" s="79">
        <f t="shared" si="400"/>
        <v>3.5</v>
      </c>
      <c r="AO952" s="79">
        <f t="shared" si="400"/>
        <v>8</v>
      </c>
      <c r="AP952" s="79">
        <f t="shared" si="400"/>
        <v>119.4</v>
      </c>
      <c r="AQ952" s="79">
        <f t="shared" si="400"/>
        <v>40</v>
      </c>
      <c r="AR952" s="80">
        <f t="shared" si="400"/>
        <v>0</v>
      </c>
      <c r="AS952" s="81">
        <f t="shared" si="400"/>
        <v>1191.1500000000001</v>
      </c>
      <c r="AT952" s="78"/>
      <c r="AU952" s="82">
        <f>SUM(AU902:AU951)</f>
        <v>0</v>
      </c>
      <c r="AV952" s="78"/>
      <c r="AW952" s="83">
        <f>SUM(AW902:AW951)</f>
        <v>1440</v>
      </c>
      <c r="AX952" s="84"/>
      <c r="BA952" s="2"/>
      <c r="BB952" s="2"/>
      <c r="BC952" s="101"/>
      <c r="BD952" s="101"/>
    </row>
    <row r="953" spans="1:56" s="53" customFormat="1" ht="15" thickTop="1" x14ac:dyDescent="0.35">
      <c r="B953" s="54"/>
      <c r="F953" s="98"/>
      <c r="G953" s="55"/>
      <c r="H953" s="55"/>
      <c r="I953" s="55"/>
      <c r="J953" s="55"/>
      <c r="K953" s="55"/>
      <c r="L953" s="55"/>
      <c r="M953" s="55"/>
      <c r="N953" s="55"/>
      <c r="O953" s="55"/>
      <c r="P953" s="55"/>
      <c r="Q953" s="55"/>
      <c r="R953" s="55"/>
      <c r="S953" s="55"/>
      <c r="T953" s="55"/>
      <c r="U953" s="56"/>
      <c r="V953" s="55"/>
      <c r="W953" s="55"/>
      <c r="X953" s="55"/>
      <c r="Y953" s="55"/>
      <c r="Z953" s="55"/>
      <c r="AA953" s="55"/>
      <c r="AB953" s="55"/>
      <c r="AC953" s="55"/>
      <c r="AD953" s="55"/>
      <c r="AE953" s="55"/>
      <c r="AF953" s="55"/>
      <c r="AG953" s="55"/>
      <c r="AH953" s="55"/>
      <c r="AI953" s="55"/>
      <c r="AJ953" s="55"/>
      <c r="AK953" s="56"/>
      <c r="AL953" s="55"/>
      <c r="AM953" s="55"/>
      <c r="AN953" s="55"/>
      <c r="AO953" s="55"/>
      <c r="AP953" s="55"/>
      <c r="AQ953" s="55"/>
      <c r="AR953" s="55"/>
      <c r="AS953" s="55"/>
      <c r="AT953" s="55"/>
      <c r="AU953" s="55"/>
      <c r="AV953" s="55"/>
      <c r="AW953" s="55"/>
      <c r="BA953" s="2"/>
      <c r="BB953" s="2"/>
      <c r="BC953" s="101"/>
      <c r="BD953" s="101"/>
    </row>
    <row r="954" spans="1:56" s="53" customFormat="1" x14ac:dyDescent="0.35">
      <c r="B954" s="54" t="s">
        <v>52</v>
      </c>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c r="AH954" s="141"/>
      <c r="AI954" s="141"/>
      <c r="AJ954" s="141"/>
      <c r="AK954" s="56"/>
      <c r="AL954" s="55"/>
      <c r="AM954" s="55"/>
      <c r="AN954" s="55"/>
      <c r="AO954" s="55"/>
      <c r="AP954" s="55"/>
      <c r="AQ954" s="55"/>
      <c r="AR954" s="55"/>
      <c r="AS954" s="55"/>
      <c r="AT954" s="55"/>
      <c r="AU954" s="55"/>
      <c r="AV954" s="55"/>
      <c r="AW954" s="55"/>
      <c r="BA954" s="2"/>
      <c r="BB954" s="2"/>
      <c r="BC954" s="101"/>
      <c r="BD954" s="101"/>
    </row>
    <row r="955" spans="1:56" s="84" customFormat="1" x14ac:dyDescent="0.35">
      <c r="A955" s="53"/>
      <c r="B955" s="54"/>
      <c r="C955" s="53"/>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c r="AH955" s="141"/>
      <c r="AI955" s="141"/>
      <c r="AJ955" s="141"/>
      <c r="AK955" s="56"/>
      <c r="AL955" s="55"/>
      <c r="AM955" s="55"/>
      <c r="AN955" s="55"/>
      <c r="AO955" s="55"/>
      <c r="AP955" s="55"/>
      <c r="AQ955" s="55"/>
      <c r="AR955" s="55"/>
      <c r="AS955" s="55"/>
      <c r="AT955" s="55"/>
      <c r="AU955" s="55"/>
      <c r="AV955" s="55"/>
      <c r="AW955" s="55"/>
      <c r="AX955" s="53"/>
      <c r="BA955" s="2"/>
      <c r="BB955" s="2"/>
      <c r="BC955" s="101"/>
      <c r="BD955" s="101"/>
    </row>
    <row r="956" spans="1:56" s="84" customFormat="1" x14ac:dyDescent="0.35">
      <c r="A956" s="53"/>
      <c r="B956" s="54"/>
      <c r="C956" s="53"/>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c r="AH956" s="141"/>
      <c r="AI956" s="141"/>
      <c r="AJ956" s="141"/>
      <c r="AK956" s="56"/>
      <c r="AL956" s="55"/>
      <c r="AM956" s="55"/>
      <c r="AN956" s="55"/>
      <c r="AO956" s="55"/>
      <c r="AP956" s="55"/>
      <c r="AQ956" s="55"/>
      <c r="AR956" s="55"/>
      <c r="AS956" s="55"/>
      <c r="AT956" s="55"/>
      <c r="AU956" s="55"/>
      <c r="AV956" s="55"/>
      <c r="AW956" s="55"/>
      <c r="AX956" s="53"/>
      <c r="BA956" s="2"/>
      <c r="BB956" s="2"/>
      <c r="BC956" s="101"/>
      <c r="BD956" s="101"/>
    </row>
    <row r="957" spans="1:56" s="84" customFormat="1" ht="15" customHeight="1" x14ac:dyDescent="0.35">
      <c r="A957" s="53"/>
      <c r="B957" s="54"/>
      <c r="C957" s="53"/>
      <c r="D957" s="53"/>
      <c r="E957" s="53"/>
      <c r="F957" s="98"/>
      <c r="G957" s="55"/>
      <c r="H957" s="55"/>
      <c r="I957" s="55"/>
      <c r="J957" s="55"/>
      <c r="K957" s="55"/>
      <c r="L957" s="55"/>
      <c r="M957" s="55"/>
      <c r="N957" s="55"/>
      <c r="O957" s="55"/>
      <c r="P957" s="55"/>
      <c r="Q957" s="55"/>
      <c r="R957" s="55"/>
      <c r="S957" s="55"/>
      <c r="T957" s="55"/>
      <c r="U957" s="56"/>
      <c r="V957" s="55"/>
      <c r="W957" s="55"/>
      <c r="X957" s="55"/>
      <c r="Y957" s="55"/>
      <c r="Z957" s="55"/>
      <c r="AA957" s="55"/>
      <c r="AB957" s="55"/>
      <c r="AC957" s="55"/>
      <c r="AD957" s="55"/>
      <c r="AE957" s="55"/>
      <c r="AF957" s="55"/>
      <c r="AG957" s="55"/>
      <c r="AH957" s="55"/>
      <c r="AI957" s="55"/>
      <c r="AJ957" s="55"/>
      <c r="AK957" s="56"/>
      <c r="AL957" s="55"/>
      <c r="AM957" s="55"/>
      <c r="AN957" s="55"/>
      <c r="AO957" s="55"/>
      <c r="AP957" s="55"/>
      <c r="AQ957" s="55"/>
      <c r="AR957" s="55"/>
      <c r="AS957" s="55"/>
      <c r="AT957" s="55"/>
      <c r="AU957" s="55"/>
      <c r="AV957" s="55"/>
      <c r="AW957" s="55"/>
      <c r="AX957" s="53"/>
      <c r="BA957" s="2"/>
      <c r="BB957" s="2"/>
      <c r="BC957" s="101"/>
      <c r="BD957" s="101"/>
    </row>
    <row r="958" spans="1:56" s="84" customFormat="1" ht="15" customHeight="1" x14ac:dyDescent="0.35">
      <c r="A958" s="53"/>
      <c r="B958" s="54" t="s">
        <v>53</v>
      </c>
      <c r="C958" s="53"/>
      <c r="D958" s="31" t="s">
        <v>74</v>
      </c>
      <c r="E958" s="34"/>
      <c r="F958" s="99"/>
      <c r="G958" s="34"/>
      <c r="H958" s="34"/>
      <c r="I958" s="34"/>
      <c r="J958" s="34"/>
      <c r="K958" s="53"/>
      <c r="L958" s="55" t="s">
        <v>8</v>
      </c>
      <c r="M958" s="53"/>
      <c r="N958" s="142">
        <f ca="1">NOW()</f>
        <v>44720.650928935182</v>
      </c>
      <c r="O958" s="142"/>
      <c r="P958" s="142"/>
      <c r="Q958" s="53"/>
      <c r="R958" s="53"/>
      <c r="S958" s="53"/>
      <c r="T958" s="53"/>
      <c r="U958" s="53"/>
      <c r="V958" s="55"/>
      <c r="W958" s="55"/>
      <c r="X958" s="55"/>
      <c r="Y958" s="55"/>
      <c r="Z958" s="55"/>
      <c r="AA958" s="55"/>
      <c r="AB958" s="55"/>
      <c r="AC958" s="55"/>
      <c r="AD958" s="55"/>
      <c r="AE958" s="55"/>
      <c r="AF958" s="55"/>
      <c r="AG958" s="55"/>
      <c r="AH958" s="55"/>
      <c r="AI958" s="55"/>
      <c r="AJ958" s="55"/>
      <c r="AK958" s="56"/>
      <c r="AL958" s="55"/>
      <c r="AM958" s="55"/>
      <c r="AN958" s="55"/>
      <c r="AO958" s="55"/>
      <c r="AP958" s="55"/>
      <c r="AQ958" s="55"/>
      <c r="AR958" s="55"/>
      <c r="AS958" s="55"/>
      <c r="AT958" s="55"/>
      <c r="AU958" s="55"/>
      <c r="AV958" s="55"/>
      <c r="AW958" s="55"/>
      <c r="AX958" s="53"/>
      <c r="BA958" s="2"/>
      <c r="BB958" s="2"/>
      <c r="BC958" s="101"/>
      <c r="BD958" s="101"/>
    </row>
    <row r="959" spans="1:56" s="84" customFormat="1" x14ac:dyDescent="0.35">
      <c r="A959" s="53"/>
      <c r="B959" s="54"/>
      <c r="C959" s="53"/>
      <c r="D959" s="53"/>
      <c r="E959" s="53"/>
      <c r="F959" s="98"/>
      <c r="G959" s="55"/>
      <c r="H959" s="55"/>
      <c r="I959" s="55"/>
      <c r="J959" s="55"/>
      <c r="K959" s="53"/>
      <c r="L959" s="55"/>
      <c r="M959" s="53"/>
      <c r="N959" s="55"/>
      <c r="O959" s="56"/>
      <c r="P959" s="53"/>
      <c r="Q959" s="53"/>
      <c r="R959" s="53"/>
      <c r="S959" s="53"/>
      <c r="T959" s="53"/>
      <c r="U959" s="53"/>
      <c r="V959" s="55"/>
      <c r="W959" s="55"/>
      <c r="X959" s="55"/>
      <c r="Y959" s="55"/>
      <c r="Z959" s="55"/>
      <c r="AA959" s="55"/>
      <c r="AB959" s="55"/>
      <c r="AC959" s="55"/>
      <c r="AD959" s="55"/>
      <c r="AE959" s="55"/>
      <c r="AF959" s="55"/>
      <c r="AG959" s="55"/>
      <c r="AH959" s="55"/>
      <c r="AI959" s="55"/>
      <c r="AJ959" s="55"/>
      <c r="AK959" s="56"/>
      <c r="AL959" s="55"/>
      <c r="AM959" s="55"/>
      <c r="AN959" s="55"/>
      <c r="AO959" s="55"/>
      <c r="AP959" s="55"/>
      <c r="AQ959" s="55"/>
      <c r="AR959" s="55"/>
      <c r="AS959" s="55"/>
      <c r="AT959" s="55"/>
      <c r="AU959" s="55"/>
      <c r="AV959" s="55"/>
      <c r="AW959" s="55"/>
      <c r="AX959" s="53"/>
      <c r="BA959" s="2"/>
      <c r="BB959" s="2"/>
      <c r="BC959" s="101"/>
      <c r="BD959" s="101"/>
    </row>
    <row r="960" spans="1:56" s="84" customFormat="1" x14ac:dyDescent="0.35">
      <c r="A960" s="53"/>
      <c r="B960" s="54" t="s">
        <v>54</v>
      </c>
      <c r="C960" s="53"/>
      <c r="D960" s="31"/>
      <c r="E960" s="34"/>
      <c r="F960" s="99"/>
      <c r="G960" s="34"/>
      <c r="H960" s="34"/>
      <c r="I960" s="34"/>
      <c r="J960" s="34"/>
      <c r="K960" s="53"/>
      <c r="L960" s="55" t="s">
        <v>8</v>
      </c>
      <c r="M960" s="53"/>
      <c r="N960" s="142">
        <f ca="1">NOW()</f>
        <v>44720.650928935182</v>
      </c>
      <c r="O960" s="142"/>
      <c r="P960" s="142"/>
      <c r="Q960" s="53"/>
      <c r="R960" s="53"/>
      <c r="S960" s="53"/>
      <c r="T960" s="53"/>
      <c r="U960" s="53"/>
      <c r="V960" s="55"/>
      <c r="W960" s="55"/>
      <c r="X960" s="55"/>
      <c r="Y960" s="55"/>
      <c r="Z960" s="55"/>
      <c r="AA960" s="55"/>
      <c r="AB960" s="55"/>
      <c r="AC960" s="55"/>
      <c r="AD960" s="55"/>
      <c r="AE960" s="55"/>
      <c r="AF960" s="55"/>
      <c r="AG960" s="55"/>
      <c r="AH960" s="55"/>
      <c r="AI960" s="55"/>
      <c r="AJ960" s="55"/>
      <c r="AK960" s="56"/>
      <c r="AL960" s="55"/>
      <c r="AM960" s="55"/>
      <c r="AN960" s="55"/>
      <c r="AO960" s="55"/>
      <c r="AP960" s="55"/>
      <c r="AQ960" s="55"/>
      <c r="AR960" s="55"/>
      <c r="AS960" s="55"/>
      <c r="AT960" s="55"/>
      <c r="AU960" s="55"/>
      <c r="AV960" s="55"/>
      <c r="AW960" s="55"/>
      <c r="AX960" s="53"/>
      <c r="BA960" s="2"/>
      <c r="BB960" s="2"/>
      <c r="BC960" s="101"/>
      <c r="BD960" s="101"/>
    </row>
    <row r="961" spans="1:56" s="84" customFormat="1" x14ac:dyDescent="0.35">
      <c r="A961" s="53"/>
      <c r="B961" s="54"/>
      <c r="C961" s="53"/>
      <c r="D961" s="53"/>
      <c r="E961" s="53"/>
      <c r="F961" s="98"/>
      <c r="G961" s="55"/>
      <c r="H961" s="55"/>
      <c r="I961" s="55"/>
      <c r="J961" s="55"/>
      <c r="K961" s="55"/>
      <c r="L961" s="55"/>
      <c r="M961" s="55"/>
      <c r="N961" s="55"/>
      <c r="O961" s="55"/>
      <c r="P961" s="55"/>
      <c r="Q961" s="55"/>
      <c r="R961" s="55"/>
      <c r="S961" s="55"/>
      <c r="T961" s="55"/>
      <c r="U961" s="56"/>
      <c r="V961" s="55"/>
      <c r="W961" s="55"/>
      <c r="X961" s="55"/>
      <c r="Y961" s="55"/>
      <c r="Z961" s="55"/>
      <c r="AA961" s="55"/>
      <c r="AB961" s="55"/>
      <c r="AC961" s="55"/>
      <c r="AD961" s="55"/>
      <c r="AE961" s="55"/>
      <c r="AF961" s="55"/>
      <c r="AG961" s="55"/>
      <c r="AH961" s="55"/>
      <c r="AI961" s="55"/>
      <c r="AJ961" s="55"/>
      <c r="AK961" s="56"/>
      <c r="AL961" s="55"/>
      <c r="AM961" s="55"/>
      <c r="AN961" s="55"/>
      <c r="AO961" s="55"/>
      <c r="AP961" s="55"/>
      <c r="AQ961" s="55"/>
      <c r="AR961" s="55"/>
      <c r="AS961" s="55"/>
      <c r="AT961" s="55"/>
      <c r="AU961" s="55"/>
      <c r="AV961" s="55"/>
      <c r="AW961" s="55"/>
      <c r="AX961" s="53"/>
      <c r="BA961" s="2"/>
      <c r="BB961" s="2"/>
      <c r="BC961" s="101"/>
      <c r="BD961" s="101"/>
    </row>
    <row r="962" spans="1:56" s="84" customFormat="1" x14ac:dyDescent="0.35">
      <c r="A962" s="53"/>
      <c r="B962" s="54" t="s">
        <v>9</v>
      </c>
      <c r="C962" s="53"/>
      <c r="D962" s="53"/>
      <c r="E962" s="53"/>
      <c r="F962" s="98"/>
      <c r="G962" s="55"/>
      <c r="H962" s="55"/>
      <c r="I962" s="55"/>
      <c r="J962" s="55"/>
      <c r="K962" s="55"/>
      <c r="L962" s="55"/>
      <c r="M962" s="55"/>
      <c r="N962" s="55"/>
      <c r="O962" s="55"/>
      <c r="P962" s="55"/>
      <c r="Q962" s="55"/>
      <c r="R962" s="55"/>
      <c r="S962" s="55"/>
      <c r="T962" s="55"/>
      <c r="U962" s="56"/>
      <c r="V962" s="55"/>
      <c r="W962" s="55"/>
      <c r="X962" s="55"/>
      <c r="Y962" s="55"/>
      <c r="Z962" s="55"/>
      <c r="AA962" s="55"/>
      <c r="AB962" s="55"/>
      <c r="AC962" s="55"/>
      <c r="AD962" s="55"/>
      <c r="AE962" s="55"/>
      <c r="AF962" s="55"/>
      <c r="AG962" s="55"/>
      <c r="AH962" s="55"/>
      <c r="AI962" s="55"/>
      <c r="AJ962" s="55"/>
      <c r="AK962" s="56"/>
      <c r="AL962" s="55"/>
      <c r="AM962" s="55"/>
      <c r="AN962" s="55"/>
      <c r="AO962" s="55"/>
      <c r="AP962" s="55"/>
      <c r="AQ962" s="55"/>
      <c r="AR962" s="55"/>
      <c r="AS962" s="55"/>
      <c r="AT962" s="55"/>
      <c r="AU962" s="55"/>
      <c r="AV962" s="55"/>
      <c r="AW962" s="55"/>
      <c r="AX962" s="53"/>
      <c r="BA962" s="2"/>
      <c r="BB962" s="2"/>
      <c r="BC962" s="101"/>
      <c r="BD962" s="101"/>
    </row>
    <row r="963" spans="1:56" x14ac:dyDescent="0.35">
      <c r="BA963" s="2"/>
      <c r="BB963" s="2"/>
      <c r="BC963" s="101"/>
      <c r="BD963" s="101"/>
    </row>
    <row r="964" spans="1:56" x14ac:dyDescent="0.35">
      <c r="BA964" s="2"/>
      <c r="BB964" s="2"/>
      <c r="BC964" s="101"/>
      <c r="BD964" s="101"/>
    </row>
    <row r="965" spans="1:56" s="84" customFormat="1" ht="28.5" x14ac:dyDescent="0.65">
      <c r="F965" s="50"/>
      <c r="G965" s="143" t="s">
        <v>10</v>
      </c>
      <c r="H965" s="143"/>
      <c r="I965" s="143"/>
      <c r="J965" s="143"/>
      <c r="K965" s="143"/>
      <c r="L965" s="143"/>
      <c r="M965" s="143"/>
      <c r="N965" s="143"/>
      <c r="O965" s="143"/>
      <c r="P965" s="143"/>
      <c r="Q965" s="143"/>
      <c r="R965" s="143"/>
      <c r="S965" s="143"/>
      <c r="T965" s="143"/>
      <c r="U965" s="143"/>
      <c r="W965" s="37" t="s">
        <v>12</v>
      </c>
      <c r="X965" s="86" t="s">
        <v>11</v>
      </c>
      <c r="BA965" s="2"/>
      <c r="BB965" s="2"/>
      <c r="BC965" s="101"/>
      <c r="BD965" s="101"/>
    </row>
    <row r="966" spans="1:56" s="84" customFormat="1" x14ac:dyDescent="0.35">
      <c r="F966" s="50"/>
      <c r="G966" s="84" t="s">
        <v>0</v>
      </c>
      <c r="W966" s="37" t="s">
        <v>13</v>
      </c>
      <c r="X966" s="86" t="s">
        <v>14</v>
      </c>
      <c r="BA966" s="2"/>
      <c r="BB966" s="2"/>
      <c r="BC966" s="101"/>
      <c r="BD966" s="101"/>
    </row>
    <row r="967" spans="1:56" s="84" customFormat="1" x14ac:dyDescent="0.35">
      <c r="F967" s="50"/>
      <c r="W967" s="37" t="s">
        <v>1</v>
      </c>
      <c r="X967" s="86" t="s">
        <v>15</v>
      </c>
      <c r="BA967" s="2"/>
      <c r="BB967" s="2"/>
      <c r="BC967" s="101"/>
      <c r="BD967" s="101"/>
    </row>
    <row r="968" spans="1:56" s="84" customFormat="1" x14ac:dyDescent="0.35">
      <c r="F968" s="50"/>
      <c r="W968" s="37" t="s">
        <v>2</v>
      </c>
      <c r="X968" s="86" t="s">
        <v>16</v>
      </c>
      <c r="BA968" s="2"/>
      <c r="BB968" s="2"/>
      <c r="BC968" s="101"/>
      <c r="BD968" s="101"/>
    </row>
    <row r="969" spans="1:56" s="84" customFormat="1" ht="15" customHeight="1" x14ac:dyDescent="0.35">
      <c r="B969" s="154" t="s">
        <v>35</v>
      </c>
      <c r="F969" s="50"/>
      <c r="G969" s="154" t="s">
        <v>36</v>
      </c>
      <c r="H969" s="154"/>
      <c r="I969" s="154"/>
      <c r="K969" s="154" t="s">
        <v>36</v>
      </c>
      <c r="L969" s="154"/>
      <c r="M969" s="154"/>
      <c r="W969" s="37" t="s">
        <v>3</v>
      </c>
      <c r="X969" s="86" t="s">
        <v>17</v>
      </c>
      <c r="BA969" s="2"/>
      <c r="BB969" s="2"/>
      <c r="BC969" s="101"/>
      <c r="BD969" s="101"/>
    </row>
    <row r="970" spans="1:56" s="84" customFormat="1" x14ac:dyDescent="0.35">
      <c r="B970" s="155"/>
      <c r="D970" s="37" t="s">
        <v>34</v>
      </c>
      <c r="F970" s="50"/>
      <c r="G970" s="154"/>
      <c r="H970" s="154"/>
      <c r="I970" s="154"/>
      <c r="K970" s="154"/>
      <c r="L970" s="154"/>
      <c r="M970" s="154"/>
      <c r="W970" s="38"/>
      <c r="BA970" s="2"/>
      <c r="BB970" s="2"/>
      <c r="BC970" s="101"/>
      <c r="BD970" s="101"/>
    </row>
    <row r="971" spans="1:56" s="84" customFormat="1" x14ac:dyDescent="0.35">
      <c r="B971" s="100">
        <f>B897+1</f>
        <v>23</v>
      </c>
      <c r="D971" s="100">
        <f>D897</f>
        <v>2021</v>
      </c>
      <c r="E971" s="87" t="s">
        <v>38</v>
      </c>
      <c r="F971" s="50"/>
      <c r="G971" s="156">
        <f>K897+1</f>
        <v>44493</v>
      </c>
      <c r="H971" s="157"/>
      <c r="I971" s="158"/>
      <c r="J971" s="37" t="s">
        <v>37</v>
      </c>
      <c r="K971" s="156">
        <f>IF(G971="","",G971+13)</f>
        <v>44506</v>
      </c>
      <c r="L971" s="157"/>
      <c r="M971" s="158"/>
      <c r="P971" s="159" t="s">
        <v>39</v>
      </c>
      <c r="Q971" s="160"/>
      <c r="R971" s="160"/>
      <c r="S971" s="160"/>
      <c r="T971" s="161"/>
      <c r="U971" s="24">
        <v>80</v>
      </c>
      <c r="BA971" s="2"/>
      <c r="BB971" s="2"/>
      <c r="BC971" s="101"/>
      <c r="BD971" s="101"/>
    </row>
    <row r="972" spans="1:56" s="84" customFormat="1" x14ac:dyDescent="0.35">
      <c r="F972" s="50"/>
      <c r="AM972" s="144" t="s">
        <v>4</v>
      </c>
      <c r="AN972" s="144"/>
      <c r="AO972" s="144"/>
      <c r="AP972" s="144"/>
      <c r="AQ972" s="144"/>
      <c r="AR972" s="144"/>
      <c r="AS972" s="144"/>
      <c r="AU972" s="100" t="s">
        <v>4</v>
      </c>
      <c r="BA972" s="2"/>
      <c r="BB972" s="2"/>
      <c r="BC972" s="101"/>
      <c r="BD972" s="101"/>
    </row>
    <row r="973" spans="1:56" s="84" customFormat="1" ht="15" customHeight="1" x14ac:dyDescent="0.35">
      <c r="B973" s="40"/>
      <c r="C973" s="41"/>
      <c r="D973" s="42" t="s">
        <v>32</v>
      </c>
      <c r="E973" s="43" t="s">
        <v>5</v>
      </c>
      <c r="F973" s="50"/>
      <c r="G973" s="162">
        <f>G971</f>
        <v>44493</v>
      </c>
      <c r="H973" s="163"/>
      <c r="I973" s="162">
        <f>IF(G973="","",G973+1)</f>
        <v>44494</v>
      </c>
      <c r="J973" s="163"/>
      <c r="K973" s="162">
        <f>IF(I973="","",I973+1)</f>
        <v>44495</v>
      </c>
      <c r="L973" s="163"/>
      <c r="M973" s="162">
        <f>IF(K973="","",K973+1)</f>
        <v>44496</v>
      </c>
      <c r="N973" s="163"/>
      <c r="O973" s="162">
        <f>IF(M973="","",M973+1)</f>
        <v>44497</v>
      </c>
      <c r="P973" s="163"/>
      <c r="Q973" s="162">
        <f>IF(O973="","",O973+1)</f>
        <v>44498</v>
      </c>
      <c r="R973" s="163"/>
      <c r="S973" s="162">
        <f>IF(Q973="","",Q973+1)</f>
        <v>44499</v>
      </c>
      <c r="T973" s="164"/>
      <c r="U973" s="44"/>
      <c r="W973" s="162">
        <f>IF(S973="","",S973+1)</f>
        <v>44500</v>
      </c>
      <c r="X973" s="163"/>
      <c r="Y973" s="162">
        <f>IF(W973="","",W973+1)</f>
        <v>44501</v>
      </c>
      <c r="Z973" s="163"/>
      <c r="AA973" s="162">
        <f>IF(Y973="","",Y973+1)</f>
        <v>44502</v>
      </c>
      <c r="AB973" s="163"/>
      <c r="AC973" s="162">
        <f>IF(AA973="","",AA973+1)</f>
        <v>44503</v>
      </c>
      <c r="AD973" s="163"/>
      <c r="AE973" s="162">
        <f>IF(AC973="","",AC973+1)</f>
        <v>44504</v>
      </c>
      <c r="AF973" s="163"/>
      <c r="AG973" s="162">
        <f>IF(AE973="","",AE973+1)</f>
        <v>44505</v>
      </c>
      <c r="AH973" s="163"/>
      <c r="AI973" s="162">
        <f>IF(AG973="","",AG973+1)</f>
        <v>44506</v>
      </c>
      <c r="AJ973" s="164"/>
      <c r="AK973" s="44"/>
      <c r="AM973" s="145" t="s">
        <v>18</v>
      </c>
      <c r="AN973" s="165" t="s">
        <v>55</v>
      </c>
      <c r="AO973" s="145" t="s">
        <v>19</v>
      </c>
      <c r="AP973" s="145" t="s">
        <v>20</v>
      </c>
      <c r="AQ973" s="145" t="s">
        <v>21</v>
      </c>
      <c r="AR973" s="166" t="s">
        <v>22</v>
      </c>
      <c r="AS973" s="167" t="s">
        <v>23</v>
      </c>
      <c r="AU973" s="144" t="s">
        <v>6</v>
      </c>
      <c r="AW973" s="145" t="s">
        <v>24</v>
      </c>
      <c r="BA973" s="2"/>
      <c r="BB973" s="2"/>
      <c r="BC973" s="101"/>
      <c r="BD973" s="101"/>
    </row>
    <row r="974" spans="1:56" s="84" customFormat="1" x14ac:dyDescent="0.35">
      <c r="B974" s="45" t="s">
        <v>33</v>
      </c>
      <c r="C974" s="46"/>
      <c r="D974" s="47"/>
      <c r="E974" s="47"/>
      <c r="F974" s="50"/>
      <c r="G974" s="146" t="s">
        <v>25</v>
      </c>
      <c r="H974" s="147"/>
      <c r="I974" s="146" t="s">
        <v>26</v>
      </c>
      <c r="J974" s="147"/>
      <c r="K974" s="146" t="s">
        <v>27</v>
      </c>
      <c r="L974" s="147"/>
      <c r="M974" s="146" t="s">
        <v>28</v>
      </c>
      <c r="N974" s="147"/>
      <c r="O974" s="146" t="s">
        <v>29</v>
      </c>
      <c r="P974" s="147"/>
      <c r="Q974" s="146" t="s">
        <v>30</v>
      </c>
      <c r="R974" s="147"/>
      <c r="S974" s="146" t="s">
        <v>31</v>
      </c>
      <c r="T974" s="148"/>
      <c r="U974" s="48" t="s">
        <v>7</v>
      </c>
      <c r="W974" s="146" t="s">
        <v>25</v>
      </c>
      <c r="X974" s="147"/>
      <c r="Y974" s="146" t="s">
        <v>26</v>
      </c>
      <c r="Z974" s="147"/>
      <c r="AA974" s="146" t="s">
        <v>27</v>
      </c>
      <c r="AB974" s="147"/>
      <c r="AC974" s="146" t="s">
        <v>28</v>
      </c>
      <c r="AD974" s="147"/>
      <c r="AE974" s="146" t="s">
        <v>29</v>
      </c>
      <c r="AF974" s="147"/>
      <c r="AG974" s="146" t="s">
        <v>30</v>
      </c>
      <c r="AH974" s="147"/>
      <c r="AI974" s="146" t="s">
        <v>31</v>
      </c>
      <c r="AJ974" s="148"/>
      <c r="AK974" s="48" t="s">
        <v>7</v>
      </c>
      <c r="AM974" s="145"/>
      <c r="AN974" s="165"/>
      <c r="AO974" s="145"/>
      <c r="AP974" s="145"/>
      <c r="AQ974" s="145"/>
      <c r="AR974" s="166"/>
      <c r="AS974" s="167"/>
      <c r="AU974" s="144"/>
      <c r="AW974" s="145"/>
      <c r="BA974" s="2"/>
      <c r="BB974" s="2"/>
      <c r="BC974" s="101"/>
      <c r="BD974" s="101"/>
    </row>
    <row r="975" spans="1:56" s="84" customFormat="1" x14ac:dyDescent="0.35">
      <c r="B975" s="63"/>
      <c r="C975" s="25"/>
      <c r="D975" s="25"/>
      <c r="E975" s="25"/>
      <c r="F975" s="50"/>
      <c r="BA975" s="2"/>
      <c r="BB975" s="2"/>
      <c r="BC975" s="101"/>
      <c r="BD975" s="101"/>
    </row>
    <row r="976" spans="1:56" s="84" customFormat="1" x14ac:dyDescent="0.35">
      <c r="B976" s="26"/>
      <c r="C976" s="27"/>
      <c r="D976" s="28">
        <f>IF(D902="","",D902)</f>
        <v>31428</v>
      </c>
      <c r="E976" s="29" t="str">
        <f>IF(E902="","",E902)</f>
        <v/>
      </c>
      <c r="F976" s="50">
        <f>B971</f>
        <v>23</v>
      </c>
      <c r="G976" s="59"/>
      <c r="H976" s="64"/>
      <c r="I976" s="106"/>
      <c r="J976" s="105"/>
      <c r="K976" s="106"/>
      <c r="L976" s="105"/>
      <c r="M976" s="106"/>
      <c r="N976" s="105"/>
      <c r="O976" s="106"/>
      <c r="P976" s="105"/>
      <c r="Q976" s="106"/>
      <c r="R976" s="105"/>
      <c r="S976" s="59"/>
      <c r="T976" s="64"/>
      <c r="U976" s="44"/>
      <c r="W976" s="59"/>
      <c r="X976" s="64"/>
      <c r="Y976" s="106"/>
      <c r="Z976" s="105"/>
      <c r="AA976" s="106"/>
      <c r="AB976" s="105"/>
      <c r="AC976" s="106"/>
      <c r="AD976" s="105"/>
      <c r="AE976" s="106"/>
      <c r="AF976" s="105"/>
      <c r="AG976" s="106"/>
      <c r="AH976" s="105"/>
      <c r="AI976" s="59"/>
      <c r="AJ976" s="64"/>
      <c r="AK976" s="44"/>
      <c r="AM976" s="49"/>
      <c r="AN976" s="49"/>
      <c r="AO976" s="49"/>
      <c r="AP976" s="49"/>
      <c r="AQ976" s="49"/>
      <c r="AR976" s="40"/>
      <c r="AS976" s="51"/>
      <c r="AU976" s="49"/>
      <c r="AW976" s="52"/>
      <c r="BA976" s="2"/>
      <c r="BB976" s="2"/>
      <c r="BC976" s="101"/>
      <c r="BD976" s="101"/>
    </row>
    <row r="977" spans="2:56" s="84" customFormat="1" x14ac:dyDescent="0.35">
      <c r="B977" s="30" t="str">
        <f>IF(B903="","",B903)</f>
        <v>Gaulin, Francis</v>
      </c>
      <c r="C977" s="31"/>
      <c r="D977" s="32"/>
      <c r="E977" s="33">
        <f t="shared" ref="E977:E1008" si="401">IF(E903="","",E903)</f>
        <v>93542</v>
      </c>
      <c r="F977" s="50">
        <f>B971</f>
        <v>23</v>
      </c>
      <c r="G977" s="95"/>
      <c r="H977" s="70"/>
      <c r="I977" s="104"/>
      <c r="J977" s="103">
        <v>8</v>
      </c>
      <c r="K977" s="104"/>
      <c r="L977" s="103">
        <v>8</v>
      </c>
      <c r="M977" s="104"/>
      <c r="N977" s="103">
        <v>8</v>
      </c>
      <c r="O977" s="104"/>
      <c r="P977" s="103">
        <v>8</v>
      </c>
      <c r="Q977" s="104"/>
      <c r="R977" s="103">
        <v>8</v>
      </c>
      <c r="S977" s="69"/>
      <c r="T977" s="70"/>
      <c r="U977" s="71">
        <f>SUM(G977:T977)</f>
        <v>40</v>
      </c>
      <c r="V977" s="72"/>
      <c r="W977" s="69"/>
      <c r="X977" s="70"/>
      <c r="Y977" s="104"/>
      <c r="Z977" s="103">
        <v>8</v>
      </c>
      <c r="AA977" s="104"/>
      <c r="AB977" s="103">
        <v>8</v>
      </c>
      <c r="AC977" s="104"/>
      <c r="AD977" s="103">
        <v>8</v>
      </c>
      <c r="AE977" s="104"/>
      <c r="AF977" s="103">
        <v>8</v>
      </c>
      <c r="AG977" s="104"/>
      <c r="AH977" s="103">
        <v>8</v>
      </c>
      <c r="AI977" s="69"/>
      <c r="AJ977" s="70"/>
      <c r="AK977" s="71">
        <f>SUM(W977:AJ977)</f>
        <v>40</v>
      </c>
      <c r="AL977" s="72"/>
      <c r="AM977" s="73">
        <f>SUMIF($G976:$T976,"",$G977:$T977)+SUMIF($W976:$AJ976,"",$W977:$AJ977)-AN977</f>
        <v>80</v>
      </c>
      <c r="AN977" s="88">
        <f>IF(SUMIF($G976:$T976,"",$G977:$T977)+SUMIF($G976:$T976,"F",$G977:$T977)+SUMIF($G976:$T976,"V",$G977:$T977)-40&lt;0,0,SUMIF($G976:$T976,"",$G977:$T977)+SUMIF($G976:$T976,"F",$G977:$T977)+SUMIF($G976:$T976,"V",$G977:$T977)-($U$9/2))+IF(SUMIF($W976:$AJ976,"",$W977:$AJ977)+SUMIF($W976:$AJ976,"F",$W977:$AJ977)+SUMIF($W976:$AJ976,"V",$W977:$AJ977)-40&lt;0,0,SUMIF($W976:$AJ976,"",$W977:$AJ977)+SUMIF($W976:$AJ976,"F",$W977:$AJ977)+SUMIF($W976:$AJ976,"V",$W977:$AJ977)-($U$9/2))</f>
        <v>0</v>
      </c>
      <c r="AO977" s="73">
        <f>SUMIF($G976:$T976,"M",$G977:$T977)+SUMIF($W976:$AJ976,"M",$W977:$AJ977)</f>
        <v>0</v>
      </c>
      <c r="AP977" s="73">
        <f>SUMIF($G976:$T976,"F",$G977:$T977)+SUMIF($W976:$AJ976,"F",$W977:$AJ977)</f>
        <v>0</v>
      </c>
      <c r="AQ977" s="73">
        <f>SUMIF($G976:$T976,"V",$G977:$T977)+SUMIF($W976:$AJ976,"V",$W977:$AJ977)</f>
        <v>0</v>
      </c>
      <c r="AR977" s="74">
        <f>SUMIF($G976:$T976,"O",$G977:$T977)+SUMIF($W976:$AJ976,"O",$W977:$AJ977)</f>
        <v>0</v>
      </c>
      <c r="AS977" s="75">
        <f>SUM(AM977:AR977)</f>
        <v>80</v>
      </c>
      <c r="AT977" s="72"/>
      <c r="AU977" s="73">
        <f>SUMIF($G976:$T976,"A",$G977:$T977)+SUMIF($W976:$AJ976,"A",$W977:$AJ977)</f>
        <v>0</v>
      </c>
      <c r="AV977" s="72"/>
      <c r="AW977" s="76">
        <f>IF(B977="",0,IF($U$9="",0,$U$9))</f>
        <v>80</v>
      </c>
      <c r="BA977" s="2"/>
      <c r="BB977" s="2"/>
      <c r="BC977" s="101"/>
      <c r="BD977" s="101"/>
    </row>
    <row r="978" spans="2:56" s="84" customFormat="1" x14ac:dyDescent="0.35">
      <c r="B978" s="26"/>
      <c r="C978" s="27"/>
      <c r="D978" s="28">
        <f>IF(D904="","",D904)</f>
        <v>24287</v>
      </c>
      <c r="E978" s="29" t="str">
        <f t="shared" si="401"/>
        <v/>
      </c>
      <c r="F978" s="50">
        <f>B971</f>
        <v>23</v>
      </c>
      <c r="G978" s="59"/>
      <c r="H978" s="64"/>
      <c r="I978" s="106"/>
      <c r="J978" s="105"/>
      <c r="K978" s="106"/>
      <c r="L978" s="105"/>
      <c r="M978" s="106"/>
      <c r="N978" s="105"/>
      <c r="O978" s="106"/>
      <c r="P978" s="105"/>
      <c r="Q978" s="106"/>
      <c r="R978" s="105"/>
      <c r="S978" s="59"/>
      <c r="T978" s="64"/>
      <c r="U978" s="44"/>
      <c r="W978" s="59"/>
      <c r="X978" s="64"/>
      <c r="Y978" s="106"/>
      <c r="Z978" s="105"/>
      <c r="AA978" s="106"/>
      <c r="AB978" s="105"/>
      <c r="AC978" s="106"/>
      <c r="AD978" s="105"/>
      <c r="AE978" s="106"/>
      <c r="AF978" s="105"/>
      <c r="AG978" s="106"/>
      <c r="AH978" s="105"/>
      <c r="AI978" s="59"/>
      <c r="AJ978" s="64"/>
      <c r="AK978" s="44"/>
      <c r="AM978" s="49"/>
      <c r="AN978" s="49"/>
      <c r="AO978" s="49"/>
      <c r="AP978" s="49"/>
      <c r="AQ978" s="49"/>
      <c r="AR978" s="40"/>
      <c r="AS978" s="51"/>
      <c r="AU978" s="49"/>
      <c r="AW978" s="52"/>
      <c r="BA978" s="2"/>
      <c r="BB978" s="2"/>
      <c r="BC978" s="101"/>
      <c r="BD978" s="101"/>
    </row>
    <row r="979" spans="2:56" s="84" customFormat="1" x14ac:dyDescent="0.35">
      <c r="B979" s="30" t="str">
        <f>IF(B905="","",B905)</f>
        <v>Barrata, Dominic(Avance $500.00)</v>
      </c>
      <c r="C979" s="31"/>
      <c r="D979" s="32"/>
      <c r="E979" s="33">
        <f t="shared" si="401"/>
        <v>93595935</v>
      </c>
      <c r="F979" s="50">
        <f>B971</f>
        <v>23</v>
      </c>
      <c r="G979" s="69"/>
      <c r="H979" s="70"/>
      <c r="I979" s="104"/>
      <c r="J979" s="103" t="s">
        <v>69</v>
      </c>
      <c r="K979" s="104"/>
      <c r="L979" s="103" t="s">
        <v>69</v>
      </c>
      <c r="M979" s="104"/>
      <c r="N979" s="103" t="s">
        <v>69</v>
      </c>
      <c r="O979" s="104"/>
      <c r="P979" s="103" t="s">
        <v>69</v>
      </c>
      <c r="Q979" s="104"/>
      <c r="R979" s="103" t="s">
        <v>69</v>
      </c>
      <c r="S979" s="69"/>
      <c r="T979" s="70"/>
      <c r="U979" s="71">
        <f t="shared" ref="U979" si="402">SUM(G979:T979)</f>
        <v>0</v>
      </c>
      <c r="V979" s="72"/>
      <c r="W979" s="69"/>
      <c r="X979" s="70"/>
      <c r="Y979" s="104"/>
      <c r="Z979" s="103" t="s">
        <v>69</v>
      </c>
      <c r="AA979" s="104"/>
      <c r="AB979" s="103" t="s">
        <v>69</v>
      </c>
      <c r="AC979" s="104"/>
      <c r="AD979" s="103" t="s">
        <v>69</v>
      </c>
      <c r="AE979" s="104"/>
      <c r="AF979" s="103" t="s">
        <v>69</v>
      </c>
      <c r="AG979" s="104"/>
      <c r="AH979" s="103" t="s">
        <v>69</v>
      </c>
      <c r="AI979" s="69"/>
      <c r="AJ979" s="70"/>
      <c r="AK979" s="71">
        <f>SUM(W979:AJ979)</f>
        <v>0</v>
      </c>
      <c r="AL979" s="72"/>
      <c r="AM979" s="73">
        <f>SUMIF($G978:$T978,"",$G979:$T979)+SUMIF($W978:$AJ978,"",$W979:$AJ979)-AN979</f>
        <v>0</v>
      </c>
      <c r="AN979" s="88">
        <f>IF(SUMIF($G978:$T978,"",$G979:$T979)+SUMIF($G978:$T978,"F",$G979:$T979)+SUMIF($G978:$T978,"V",$G979:$T979)-40&lt;0,0,SUMIF($G978:$T978,"",$G979:$T979)+SUMIF($G978:$T978,"F",$G979:$T979)+SUMIF($G978:$T978,"V",$G979:$T979)-($U$9/2))+IF(SUMIF($W978:$AJ978,"",$W979:$AJ979)+SUMIF($W978:$AJ978,"F",$W979:$AJ979)+SUMIF($W978:$AJ978,"V",$W979:$AJ979)-40&lt;0,0,SUMIF($W978:$AJ978,"",$W979:$AJ979)+SUMIF($W978:$AJ978,"F",$W979:$AJ979)+SUMIF($W978:$AJ978,"V",$W979:$AJ979)-($U$9/2))</f>
        <v>0</v>
      </c>
      <c r="AO979" s="73">
        <f>SUMIF($G978:$T978,"M",$G979:$T979)+SUMIF($W978:$AJ978,"M",$W979:$AJ979)</f>
        <v>0</v>
      </c>
      <c r="AP979" s="73">
        <f>SUMIF($G978:$T978,"F",$G979:$T979)+SUMIF($W978:$AJ978,"F",$W979:$AJ979)</f>
        <v>0</v>
      </c>
      <c r="AQ979" s="73">
        <f>SUMIF($G978:$T978,"V",$G979:$T979)+SUMIF($W978:$AJ978,"V",$W979:$AJ979)</f>
        <v>0</v>
      </c>
      <c r="AR979" s="74">
        <f>SUMIF($G978:$T978,"O",$G979:$T979)+SUMIF($W978:$AJ978,"O",$W979:$AJ979)</f>
        <v>0</v>
      </c>
      <c r="AS979" s="75">
        <f>SUM(AM979:AR979)</f>
        <v>0</v>
      </c>
      <c r="AT979" s="72"/>
      <c r="AU979" s="73">
        <f>SUMIF($G978:$T978,"A",$G979:$T979)+SUMIF($W978:$AJ978,"A",$W979:$AJ979)</f>
        <v>0</v>
      </c>
      <c r="AV979" s="72"/>
      <c r="AW979" s="76">
        <f>IF(B979="",0,IF($U$9="",0,$U$9))</f>
        <v>80</v>
      </c>
      <c r="BA979" s="2"/>
      <c r="BB979" s="2"/>
      <c r="BC979" s="101"/>
      <c r="BD979" s="101"/>
    </row>
    <row r="980" spans="2:56" s="84" customFormat="1" x14ac:dyDescent="0.35">
      <c r="B980" s="26"/>
      <c r="C980" s="27"/>
      <c r="D980" s="28">
        <f>IF(D906="","",D906)</f>
        <v>92032</v>
      </c>
      <c r="E980" s="29" t="str">
        <f t="shared" si="401"/>
        <v/>
      </c>
      <c r="F980" s="50">
        <f>B971</f>
        <v>23</v>
      </c>
      <c r="G980" s="59"/>
      <c r="H980" s="64"/>
      <c r="I980" s="106"/>
      <c r="J980" s="105"/>
      <c r="K980" s="106"/>
      <c r="L980" s="105"/>
      <c r="M980" s="106"/>
      <c r="N980" s="105"/>
      <c r="O980" s="106"/>
      <c r="P980" s="105"/>
      <c r="Q980" s="106"/>
      <c r="R980" s="105"/>
      <c r="S980" s="59"/>
      <c r="T980" s="64"/>
      <c r="U980" s="44"/>
      <c r="W980" s="59"/>
      <c r="X980" s="64"/>
      <c r="Y980" s="106"/>
      <c r="Z980" s="105"/>
      <c r="AA980" s="106"/>
      <c r="AB980" s="105"/>
      <c r="AC980" s="106"/>
      <c r="AD980" s="105"/>
      <c r="AE980" s="106"/>
      <c r="AF980" s="105"/>
      <c r="AG980" s="106"/>
      <c r="AH980" s="105"/>
      <c r="AI980" s="59"/>
      <c r="AJ980" s="64"/>
      <c r="AK980" s="44"/>
      <c r="AM980" s="49"/>
      <c r="AN980" s="49"/>
      <c r="AO980" s="49"/>
      <c r="AP980" s="49"/>
      <c r="AQ980" s="49"/>
      <c r="AR980" s="40"/>
      <c r="AS980" s="51"/>
      <c r="AU980" s="49"/>
      <c r="AW980" s="52"/>
      <c r="BA980" s="2"/>
      <c r="BB980" s="2"/>
      <c r="BC980" s="101"/>
      <c r="BD980" s="101"/>
    </row>
    <row r="981" spans="2:56" s="84" customFormat="1" x14ac:dyDescent="0.35">
      <c r="B981" s="30" t="str">
        <f>IF(B907="","",B907)</f>
        <v>Benoit, Jean-Paul(Avance $1,600.00)</v>
      </c>
      <c r="C981" s="31"/>
      <c r="D981" s="32"/>
      <c r="E981" s="33">
        <f t="shared" si="401"/>
        <v>93595935</v>
      </c>
      <c r="F981" s="50">
        <f>B971</f>
        <v>23</v>
      </c>
      <c r="G981" s="69"/>
      <c r="H981" s="70"/>
      <c r="I981" s="104"/>
      <c r="J981" s="103" t="s">
        <v>69</v>
      </c>
      <c r="K981" s="104"/>
      <c r="L981" s="103" t="s">
        <v>69</v>
      </c>
      <c r="M981" s="104"/>
      <c r="N981" s="103" t="s">
        <v>69</v>
      </c>
      <c r="O981" s="104"/>
      <c r="P981" s="103" t="s">
        <v>69</v>
      </c>
      <c r="Q981" s="104"/>
      <c r="R981" s="103" t="s">
        <v>69</v>
      </c>
      <c r="S981" s="69"/>
      <c r="T981" s="70"/>
      <c r="U981" s="71">
        <f t="shared" ref="U981" si="403">SUM(G981:T981)</f>
        <v>0</v>
      </c>
      <c r="V981" s="72"/>
      <c r="W981" s="69"/>
      <c r="X981" s="70"/>
      <c r="Y981" s="104"/>
      <c r="Z981" s="103" t="s">
        <v>69</v>
      </c>
      <c r="AA981" s="104"/>
      <c r="AB981" s="103" t="s">
        <v>69</v>
      </c>
      <c r="AC981" s="104"/>
      <c r="AD981" s="103" t="s">
        <v>69</v>
      </c>
      <c r="AE981" s="104"/>
      <c r="AF981" s="103" t="s">
        <v>69</v>
      </c>
      <c r="AG981" s="104"/>
      <c r="AH981" s="103" t="s">
        <v>69</v>
      </c>
      <c r="AI981" s="69"/>
      <c r="AJ981" s="70"/>
      <c r="AK981" s="71">
        <f>SUM(W981:AJ981)</f>
        <v>0</v>
      </c>
      <c r="AL981" s="72"/>
      <c r="AM981" s="73">
        <f>SUMIF($G980:$T980,"",$G981:$T981)+SUMIF($W980:$AJ980,"",$W981:$AJ981)-AN981</f>
        <v>0</v>
      </c>
      <c r="AN981" s="88">
        <f>IF(SUMIF($G980:$T980,"",$G981:$T981)+SUMIF($G980:$T980,"F",$G981:$T981)+SUMIF($G980:$T980,"V",$G981:$T981)-40&lt;0,0,SUMIF($G980:$T980,"",$G981:$T981)+SUMIF($G980:$T980,"F",$G981:$T981)+SUMIF($G980:$T980,"V",$G981:$T981)-($U$9/2))+IF(SUMIF($W980:$AJ980,"",$W981:$AJ981)+SUMIF($W980:$AJ980,"F",$W981:$AJ981)+SUMIF($W980:$AJ980,"V",$W981:$AJ981)-40&lt;0,0,SUMIF($W980:$AJ980,"",$W981:$AJ981)+SUMIF($W980:$AJ980,"F",$W981:$AJ981)+SUMIF($W980:$AJ980,"V",$W981:$AJ981)-($U$9/2))</f>
        <v>0</v>
      </c>
      <c r="AO981" s="73">
        <f>SUMIF($G980:$T980,"M",$G981:$T981)+SUMIF($W980:$AJ980,"M",$W981:$AJ981)</f>
        <v>0</v>
      </c>
      <c r="AP981" s="73">
        <f>SUMIF($G980:$T980,"F",$G981:$T981)+SUMIF($W980:$AJ980,"F",$W981:$AJ981)</f>
        <v>0</v>
      </c>
      <c r="AQ981" s="73">
        <f>SUMIF($G980:$T980,"V",$G981:$T981)+SUMIF($W980:$AJ980,"V",$W981:$AJ981)</f>
        <v>0</v>
      </c>
      <c r="AR981" s="74">
        <f>SUMIF($G980:$T980,"O",$G981:$T981)+SUMIF($W980:$AJ980,"O",$W981:$AJ981)</f>
        <v>0</v>
      </c>
      <c r="AS981" s="75">
        <f>SUM(AM981:AR981)</f>
        <v>0</v>
      </c>
      <c r="AT981" s="72"/>
      <c r="AU981" s="73">
        <f>SUMIF($G980:$T980,"A",$G981:$T981)+SUMIF($W980:$AJ980,"A",$W981:$AJ981)</f>
        <v>0</v>
      </c>
      <c r="AV981" s="72"/>
      <c r="AW981" s="76">
        <f>IF(B981="",0,IF($U$9="",0,$U$9))</f>
        <v>80</v>
      </c>
      <c r="BA981" s="2"/>
      <c r="BB981" s="2"/>
      <c r="BC981" s="101"/>
      <c r="BD981" s="101"/>
    </row>
    <row r="982" spans="2:56" s="84" customFormat="1" x14ac:dyDescent="0.35">
      <c r="B982" s="26"/>
      <c r="C982" s="27"/>
      <c r="D982" s="28">
        <f>IF(D908="","",D908)</f>
        <v>81077</v>
      </c>
      <c r="E982" s="29" t="str">
        <f t="shared" si="401"/>
        <v/>
      </c>
      <c r="F982" s="50">
        <f>B971</f>
        <v>23</v>
      </c>
      <c r="G982" s="93"/>
      <c r="H982" s="94"/>
      <c r="I982" s="106"/>
      <c r="J982" s="105"/>
      <c r="K982" s="106"/>
      <c r="L982" s="105"/>
      <c r="M982" s="106"/>
      <c r="N982" s="105"/>
      <c r="O982" s="106"/>
      <c r="P982" s="105"/>
      <c r="Q982" s="106"/>
      <c r="R982" s="105"/>
      <c r="S982" s="59"/>
      <c r="T982" s="64"/>
      <c r="U982" s="44"/>
      <c r="W982" s="59"/>
      <c r="X982" s="64"/>
      <c r="Y982" s="106"/>
      <c r="Z982" s="105" t="s">
        <v>1</v>
      </c>
      <c r="AA982" s="106"/>
      <c r="AB982" s="105"/>
      <c r="AC982" s="106"/>
      <c r="AD982" s="105"/>
      <c r="AE982" s="106"/>
      <c r="AF982" s="105"/>
      <c r="AG982" s="106"/>
      <c r="AH982" s="105"/>
      <c r="AI982" s="59"/>
      <c r="AJ982" s="64"/>
      <c r="AK982" s="44"/>
      <c r="AM982" s="49"/>
      <c r="AN982" s="49"/>
      <c r="AO982" s="49"/>
      <c r="AP982" s="49"/>
      <c r="AQ982" s="49"/>
      <c r="AR982" s="40"/>
      <c r="AS982" s="51"/>
      <c r="AU982" s="49"/>
      <c r="AW982" s="52"/>
      <c r="BA982" s="2"/>
      <c r="BB982" s="2"/>
      <c r="BC982" s="101"/>
      <c r="BD982" s="101"/>
    </row>
    <row r="983" spans="2:56" s="84" customFormat="1" x14ac:dyDescent="0.35">
      <c r="B983" s="30" t="str">
        <f>IF(B909="","",B909)</f>
        <v>Bourassa, Julie</v>
      </c>
      <c r="C983" s="31"/>
      <c r="D983" s="32"/>
      <c r="E983" s="33">
        <f t="shared" si="401"/>
        <v>93540</v>
      </c>
      <c r="F983" s="50">
        <f>B971</f>
        <v>23</v>
      </c>
      <c r="G983" s="93"/>
      <c r="H983" s="94"/>
      <c r="I983" s="104"/>
      <c r="J983" s="103">
        <v>8</v>
      </c>
      <c r="K983" s="104"/>
      <c r="L983" s="103">
        <v>8.5</v>
      </c>
      <c r="M983" s="104"/>
      <c r="N983" s="103">
        <v>8</v>
      </c>
      <c r="O983" s="104"/>
      <c r="P983" s="103">
        <v>8</v>
      </c>
      <c r="Q983" s="104"/>
      <c r="R983" s="103">
        <v>8</v>
      </c>
      <c r="S983" s="69"/>
      <c r="T983" s="70"/>
      <c r="U983" s="71">
        <f t="shared" ref="U983" si="404">SUM(G983:T983)</f>
        <v>40.5</v>
      </c>
      <c r="V983" s="72"/>
      <c r="W983" s="69"/>
      <c r="X983" s="70"/>
      <c r="Y983" s="104"/>
      <c r="Z983" s="103">
        <v>8</v>
      </c>
      <c r="AA983" s="104"/>
      <c r="AB983" s="103">
        <v>8.5</v>
      </c>
      <c r="AC983" s="104"/>
      <c r="AD983" s="103">
        <v>8</v>
      </c>
      <c r="AE983" s="104"/>
      <c r="AF983" s="103">
        <v>8.5</v>
      </c>
      <c r="AG983" s="104"/>
      <c r="AH983" s="103">
        <v>7.5</v>
      </c>
      <c r="AI983" s="69"/>
      <c r="AJ983" s="70"/>
      <c r="AK983" s="71">
        <f>SUM(W983:AJ983)</f>
        <v>40.5</v>
      </c>
      <c r="AL983" s="72"/>
      <c r="AM983" s="73">
        <f>SUMIF($G982:$T982,"",$G983:$T983)+SUMIF($W982:$AJ982,"",$W983:$AJ983)-AN983</f>
        <v>72</v>
      </c>
      <c r="AN983" s="88">
        <f>IF(SUMIF($G982:$T982,"",$G983:$T983)+SUMIF($G982:$T982,"F",$G983:$T983)+SUMIF($G982:$T982,"V",$G983:$T983)-40&lt;0,0,SUMIF($G982:$T982,"",$G983:$T983)+SUMIF($G982:$T982,"F",$G983:$T983)+SUMIF($G982:$T982,"V",$G983:$T983)-($U$9/2))+IF(SUMIF($W982:$AJ982,"",$W983:$AJ983)+SUMIF($W982:$AJ982,"F",$W983:$AJ983)+SUMIF($W982:$AJ982,"V",$W983:$AJ983)-40&lt;0,0,SUMIF($W982:$AJ982,"",$W983:$AJ983)+SUMIF($W982:$AJ982,"F",$W983:$AJ983)+SUMIF($W982:$AJ982,"V",$W983:$AJ983)-($U$9/2))</f>
        <v>1</v>
      </c>
      <c r="AO983" s="73">
        <f>SUMIF($G982:$T982,"M",$G983:$T983)+SUMIF($W982:$AJ982,"M",$W983:$AJ983)</f>
        <v>0</v>
      </c>
      <c r="AP983" s="73">
        <f>SUMIF($G982:$T982,"F",$G983:$T983)+SUMIF($W982:$AJ982,"F",$W983:$AJ983)</f>
        <v>0</v>
      </c>
      <c r="AQ983" s="73">
        <f>SUMIF($G982:$T982,"V",$G983:$T983)+SUMIF($W982:$AJ982,"V",$W983:$AJ983)</f>
        <v>8</v>
      </c>
      <c r="AR983" s="74">
        <f>SUMIF($G982:$T982,"O",$G983:$T983)+SUMIF($W982:$AJ982,"O",$W983:$AJ983)</f>
        <v>0</v>
      </c>
      <c r="AS983" s="75">
        <f>SUM(AM983:AR983)</f>
        <v>81</v>
      </c>
      <c r="AT983" s="72"/>
      <c r="AU983" s="73">
        <f>SUMIF($G982:$T982,"A",$G983:$T983)+SUMIF($W982:$AJ982,"A",$W983:$AJ983)</f>
        <v>0</v>
      </c>
      <c r="AV983" s="72"/>
      <c r="AW983" s="76">
        <f>IF(B983="",0,IF($U$9="",0,$U$9))</f>
        <v>80</v>
      </c>
      <c r="BA983" s="2"/>
      <c r="BB983" s="2"/>
      <c r="BC983" s="101"/>
      <c r="BD983" s="101"/>
    </row>
    <row r="984" spans="2:56" s="84" customFormat="1" x14ac:dyDescent="0.35">
      <c r="B984" s="26"/>
      <c r="C984" s="27"/>
      <c r="D984" s="28">
        <f>IF(D910="","",D910)</f>
        <v>78475</v>
      </c>
      <c r="E984" s="29" t="str">
        <f t="shared" si="401"/>
        <v/>
      </c>
      <c r="F984" s="50">
        <f>B971</f>
        <v>23</v>
      </c>
      <c r="G984" s="59"/>
      <c r="H984" s="64"/>
      <c r="I984" s="106"/>
      <c r="J984" s="105"/>
      <c r="K984" s="106"/>
      <c r="L984" s="105"/>
      <c r="M984" s="106"/>
      <c r="N984" s="105"/>
      <c r="O984" s="106"/>
      <c r="P984" s="105"/>
      <c r="Q984" s="106"/>
      <c r="R984" s="105"/>
      <c r="S984" s="59"/>
      <c r="T984" s="64"/>
      <c r="U984" s="44"/>
      <c r="W984" s="59"/>
      <c r="X984" s="64"/>
      <c r="Y984" s="106"/>
      <c r="Z984" s="105"/>
      <c r="AA984" s="106"/>
      <c r="AB984" s="105"/>
      <c r="AC984" s="106"/>
      <c r="AD984" s="105"/>
      <c r="AE984" s="106"/>
      <c r="AF984" s="105"/>
      <c r="AG984" s="106"/>
      <c r="AH984" s="105"/>
      <c r="AI984" s="59"/>
      <c r="AJ984" s="64"/>
      <c r="AK984" s="44"/>
      <c r="AM984" s="49"/>
      <c r="AN984" s="49"/>
      <c r="AO984" s="49"/>
      <c r="AP984" s="49"/>
      <c r="AQ984" s="49"/>
      <c r="AR984" s="40"/>
      <c r="AS984" s="51"/>
      <c r="AU984" s="49"/>
      <c r="AW984" s="52"/>
      <c r="BA984" s="2"/>
      <c r="BB984" s="2"/>
      <c r="BC984" s="101"/>
      <c r="BD984" s="101"/>
    </row>
    <row r="985" spans="2:56" s="84" customFormat="1" x14ac:dyDescent="0.35">
      <c r="B985" s="30" t="str">
        <f>IF(B911="","",B911)</f>
        <v>Charbonneau, Samuel</v>
      </c>
      <c r="C985" s="31"/>
      <c r="D985" s="32"/>
      <c r="E985" s="33">
        <f t="shared" si="401"/>
        <v>93540</v>
      </c>
      <c r="F985" s="50">
        <f>B971</f>
        <v>23</v>
      </c>
      <c r="G985" s="69"/>
      <c r="H985" s="70"/>
      <c r="I985" s="104"/>
      <c r="J985" s="103">
        <v>8.5</v>
      </c>
      <c r="K985" s="104"/>
      <c r="L985" s="103">
        <v>8</v>
      </c>
      <c r="M985" s="104"/>
      <c r="N985" s="103">
        <v>8.5</v>
      </c>
      <c r="O985" s="104"/>
      <c r="P985" s="103">
        <v>8.5</v>
      </c>
      <c r="Q985" s="104"/>
      <c r="R985" s="103">
        <v>7.5</v>
      </c>
      <c r="S985" s="69"/>
      <c r="T985" s="70"/>
      <c r="U985" s="71">
        <f t="shared" ref="U985" si="405">SUM(G985:T985)</f>
        <v>41</v>
      </c>
      <c r="V985" s="72"/>
      <c r="W985" s="69"/>
      <c r="X985" s="70"/>
      <c r="Y985" s="104"/>
      <c r="Z985" s="103">
        <v>8.5</v>
      </c>
      <c r="AA985" s="104"/>
      <c r="AB985" s="103">
        <v>8</v>
      </c>
      <c r="AC985" s="104"/>
      <c r="AD985" s="103">
        <v>8.5</v>
      </c>
      <c r="AE985" s="104"/>
      <c r="AF985" s="103">
        <v>8</v>
      </c>
      <c r="AG985" s="104"/>
      <c r="AH985" s="103">
        <v>8</v>
      </c>
      <c r="AI985" s="69"/>
      <c r="AJ985" s="70"/>
      <c r="AK985" s="71">
        <f>SUM(W985:AJ985)</f>
        <v>41</v>
      </c>
      <c r="AL985" s="72"/>
      <c r="AM985" s="73">
        <f>SUMIF($G984:$T984,"",$G985:$T985)+SUMIF($W984:$AJ984,"",$W985:$AJ985)-AN985</f>
        <v>80</v>
      </c>
      <c r="AN985" s="88">
        <f>IF(SUMIF($G984:$T984,"",$G985:$T985)+SUMIF($G984:$T984,"F",$G985:$T985)+SUMIF($G984:$T984,"V",$G985:$T985)-40&lt;0,0,SUMIF($G984:$T984,"",$G985:$T985)+SUMIF($G984:$T984,"F",$G985:$T985)+SUMIF($G984:$T984,"V",$G985:$T985)-($U$9/2))+IF(SUMIF($W984:$AJ984,"",$W985:$AJ985)+SUMIF($W984:$AJ984,"F",$W985:$AJ985)+SUMIF($W984:$AJ984,"V",$W985:$AJ985)-40&lt;0,0,SUMIF($W984:$AJ984,"",$W985:$AJ985)+SUMIF($W984:$AJ984,"F",$W985:$AJ985)+SUMIF($W984:$AJ984,"V",$W985:$AJ985)-($U$9/2))</f>
        <v>2</v>
      </c>
      <c r="AO985" s="73">
        <f>SUMIF($G984:$T984,"M",$G985:$T985)+SUMIF($W984:$AJ984,"M",$W985:$AJ985)</f>
        <v>0</v>
      </c>
      <c r="AP985" s="73">
        <f>SUMIF($G984:$T984,"F",$G985:$T985)+SUMIF($W984:$AJ984,"F",$W985:$AJ985)</f>
        <v>0</v>
      </c>
      <c r="AQ985" s="73">
        <f>SUMIF($G984:$T984,"V",$G985:$T985)+SUMIF($W984:$AJ984,"V",$W985:$AJ985)</f>
        <v>0</v>
      </c>
      <c r="AR985" s="74">
        <f>SUMIF($G984:$T984,"O",$G985:$T985)+SUMIF($W984:$AJ984,"O",$W985:$AJ985)</f>
        <v>0</v>
      </c>
      <c r="AS985" s="75">
        <f>SUM(AM985:AR985)</f>
        <v>82</v>
      </c>
      <c r="AT985" s="72"/>
      <c r="AU985" s="73">
        <f>SUMIF($G984:$T984,"A",$G985:$T985)+SUMIF($W984:$AJ984,"A",$W985:$AJ985)</f>
        <v>0</v>
      </c>
      <c r="AV985" s="72"/>
      <c r="AW985" s="76">
        <f>IF(B985="",0,IF($U$9="",0,$U$9))</f>
        <v>80</v>
      </c>
      <c r="BA985" s="2"/>
      <c r="BB985" s="2"/>
      <c r="BC985" s="101"/>
      <c r="BD985" s="101"/>
    </row>
    <row r="986" spans="2:56" s="84" customFormat="1" x14ac:dyDescent="0.35">
      <c r="B986" s="26"/>
      <c r="C986" s="27"/>
      <c r="D986" s="28" t="str">
        <f>IF(D912="","",D912)</f>
        <v/>
      </c>
      <c r="E986" s="29" t="str">
        <f t="shared" si="401"/>
        <v/>
      </c>
      <c r="F986" s="50">
        <f>B971</f>
        <v>23</v>
      </c>
      <c r="G986" s="59"/>
      <c r="H986" s="64"/>
      <c r="I986" s="106"/>
      <c r="J986" s="105"/>
      <c r="K986" s="106"/>
      <c r="L986" s="105"/>
      <c r="M986" s="106"/>
      <c r="N986" s="105"/>
      <c r="O986" s="106"/>
      <c r="P986" s="105"/>
      <c r="Q986" s="106"/>
      <c r="R986" s="105"/>
      <c r="S986" s="59"/>
      <c r="T986" s="64"/>
      <c r="U986" s="44"/>
      <c r="W986" s="59"/>
      <c r="X986" s="64"/>
      <c r="Y986" s="106"/>
      <c r="Z986" s="105"/>
      <c r="AA986" s="106"/>
      <c r="AB986" s="105"/>
      <c r="AC986" s="106"/>
      <c r="AD986" s="105"/>
      <c r="AE986" s="106"/>
      <c r="AF986" s="105"/>
      <c r="AG986" s="106"/>
      <c r="AH986" s="105"/>
      <c r="AI986" s="59"/>
      <c r="AJ986" s="64"/>
      <c r="AK986" s="44"/>
      <c r="AM986" s="49"/>
      <c r="AN986" s="49"/>
      <c r="AO986" s="49"/>
      <c r="AP986" s="49"/>
      <c r="AQ986" s="49"/>
      <c r="AR986" s="40"/>
      <c r="AS986" s="51"/>
      <c r="AU986" s="49"/>
      <c r="AW986" s="52"/>
      <c r="BA986" s="2"/>
      <c r="BB986" s="2"/>
      <c r="BC986" s="101"/>
      <c r="BD986" s="101"/>
    </row>
    <row r="987" spans="2:56" s="84" customFormat="1" x14ac:dyDescent="0.35">
      <c r="B987" s="30" t="str">
        <f>IF(B913="","",B913)</f>
        <v/>
      </c>
      <c r="C987" s="31"/>
      <c r="D987" s="32"/>
      <c r="E987" s="33" t="str">
        <f t="shared" si="401"/>
        <v/>
      </c>
      <c r="F987" s="50">
        <f>B971</f>
        <v>23</v>
      </c>
      <c r="G987" s="69"/>
      <c r="H987" s="70"/>
      <c r="I987" s="104"/>
      <c r="J987" s="103"/>
      <c r="K987" s="104"/>
      <c r="L987" s="103"/>
      <c r="M987" s="104"/>
      <c r="N987" s="103"/>
      <c r="O987" s="104"/>
      <c r="P987" s="103"/>
      <c r="Q987" s="104"/>
      <c r="R987" s="103"/>
      <c r="S987" s="69"/>
      <c r="T987" s="70"/>
      <c r="U987" s="71">
        <f t="shared" ref="U987" si="406">SUM(G987:T987)</f>
        <v>0</v>
      </c>
      <c r="V987" s="72"/>
      <c r="W987" s="69"/>
      <c r="X987" s="70"/>
      <c r="Y987" s="104"/>
      <c r="Z987" s="103"/>
      <c r="AA987" s="104"/>
      <c r="AB987" s="103"/>
      <c r="AC987" s="104"/>
      <c r="AD987" s="103"/>
      <c r="AE987" s="104"/>
      <c r="AF987" s="103"/>
      <c r="AG987" s="104"/>
      <c r="AH987" s="103"/>
      <c r="AI987" s="69"/>
      <c r="AJ987" s="70"/>
      <c r="AK987" s="71">
        <f>SUM(W987:AJ987)</f>
        <v>0</v>
      </c>
      <c r="AL987" s="72"/>
      <c r="AM987" s="73">
        <f>SUMIF($G986:$T986,"",$G987:$T987)+SUMIF($W986:$AJ986,"",$W987:$AJ987)-AN987</f>
        <v>0</v>
      </c>
      <c r="AN987" s="88">
        <f>IF(SUMIF($G986:$T986,"",$G987:$T987)+SUMIF($G986:$T986,"F",$G987:$T987)+SUMIF($G986:$T986,"V",$G987:$T987)-40&lt;0,0,SUMIF($G986:$T986,"",$G987:$T987)+SUMIF($G986:$T986,"F",$G987:$T987)+SUMIF($G986:$T986,"V",$G987:$T987)-($U$9/2))+IF(SUMIF($W986:$AJ986,"",$W987:$AJ987)+SUMIF($W986:$AJ986,"F",$W987:$AJ987)+SUMIF($W986:$AJ986,"V",$W987:$AJ987)-40&lt;0,0,SUMIF($W986:$AJ986,"",$W987:$AJ987)+SUMIF($W986:$AJ986,"F",$W987:$AJ987)+SUMIF($W986:$AJ986,"V",$W987:$AJ987)-($U$9/2))</f>
        <v>0</v>
      </c>
      <c r="AO987" s="73">
        <f>SUMIF($G986:$T986,"M",$G987:$T987)+SUMIF($W986:$AJ986,"M",$W987:$AJ987)</f>
        <v>0</v>
      </c>
      <c r="AP987" s="73">
        <f>SUMIF($G986:$T986,"F",$G987:$T987)+SUMIF($W986:$AJ986,"F",$W987:$AJ987)</f>
        <v>0</v>
      </c>
      <c r="AQ987" s="73">
        <f>SUMIF($G986:$T986,"V",$G987:$T987)+SUMIF($W986:$AJ986,"V",$W987:$AJ987)</f>
        <v>0</v>
      </c>
      <c r="AR987" s="74">
        <f>SUMIF($G986:$T986,"O",$G987:$T987)+SUMIF($W986:$AJ986,"O",$W987:$AJ987)</f>
        <v>0</v>
      </c>
      <c r="AS987" s="75">
        <f>SUM(AM987:AR987)</f>
        <v>0</v>
      </c>
      <c r="AT987" s="72"/>
      <c r="AU987" s="73">
        <f>SUMIF($G986:$T986,"A",$G987:$T987)+SUMIF($W986:$AJ986,"A",$W987:$AJ987)</f>
        <v>0</v>
      </c>
      <c r="AV987" s="72"/>
      <c r="AW987" s="76">
        <f>IF(B987="",0,IF($U$9="",0,$U$9))</f>
        <v>0</v>
      </c>
      <c r="BA987" s="2"/>
      <c r="BB987" s="2"/>
      <c r="BC987" s="101"/>
      <c r="BD987" s="101"/>
    </row>
    <row r="988" spans="2:56" s="84" customFormat="1" x14ac:dyDescent="0.35">
      <c r="B988" s="26"/>
      <c r="C988" s="27"/>
      <c r="D988" s="28">
        <f>IF(D914="","",D914)</f>
        <v>79709</v>
      </c>
      <c r="E988" s="29" t="str">
        <f t="shared" si="401"/>
        <v/>
      </c>
      <c r="F988" s="50">
        <f>B971</f>
        <v>23</v>
      </c>
      <c r="G988" s="59"/>
      <c r="H988" s="64"/>
      <c r="I988" s="106"/>
      <c r="J988" s="105"/>
      <c r="K988" s="106"/>
      <c r="L988" s="105"/>
      <c r="M988" s="106"/>
      <c r="N988" s="105"/>
      <c r="O988" s="106"/>
      <c r="P988" s="105"/>
      <c r="Q988" s="106"/>
      <c r="R988" s="105"/>
      <c r="S988" s="59"/>
      <c r="T988" s="64"/>
      <c r="U988" s="44"/>
      <c r="W988" s="59"/>
      <c r="X988" s="64"/>
      <c r="Y988" s="106"/>
      <c r="Z988" s="105"/>
      <c r="AA988" s="106"/>
      <c r="AB988" s="105"/>
      <c r="AC988" s="106"/>
      <c r="AD988" s="105"/>
      <c r="AE988" s="106"/>
      <c r="AF988" s="105"/>
      <c r="AG988" s="106"/>
      <c r="AH988" s="105"/>
      <c r="AI988" s="59"/>
      <c r="AJ988" s="64"/>
      <c r="AK988" s="44"/>
      <c r="AM988" s="49"/>
      <c r="AN988" s="49"/>
      <c r="AO988" s="49"/>
      <c r="AP988" s="49"/>
      <c r="AQ988" s="49"/>
      <c r="AR988" s="40"/>
      <c r="AS988" s="51"/>
      <c r="AU988" s="49"/>
      <c r="AW988" s="52"/>
      <c r="BA988" s="2"/>
      <c r="BB988" s="2"/>
      <c r="BC988" s="101"/>
      <c r="BD988" s="101"/>
    </row>
    <row r="989" spans="2:56" s="84" customFormat="1" x14ac:dyDescent="0.35">
      <c r="B989" s="30" t="str">
        <f>IF(B915="","",B915)</f>
        <v>De Rose, Natale</v>
      </c>
      <c r="C989" s="31"/>
      <c r="D989" s="32"/>
      <c r="E989" s="33">
        <f t="shared" si="401"/>
        <v>93595935</v>
      </c>
      <c r="F989" s="50">
        <f>B971</f>
        <v>23</v>
      </c>
      <c r="G989" s="69"/>
      <c r="H989" s="70"/>
      <c r="I989" s="104"/>
      <c r="J989" s="103">
        <v>8</v>
      </c>
      <c r="K989" s="104"/>
      <c r="L989" s="103">
        <v>8</v>
      </c>
      <c r="M989" s="104"/>
      <c r="N989" s="103">
        <v>8</v>
      </c>
      <c r="O989" s="104"/>
      <c r="P989" s="103">
        <v>8</v>
      </c>
      <c r="Q989" s="104"/>
      <c r="R989" s="103">
        <v>8</v>
      </c>
      <c r="S989" s="69"/>
      <c r="T989" s="70"/>
      <c r="U989" s="71">
        <f t="shared" ref="U989" si="407">SUM(G989:T989)</f>
        <v>40</v>
      </c>
      <c r="V989" s="72"/>
      <c r="W989" s="69"/>
      <c r="X989" s="70"/>
      <c r="Y989" s="104"/>
      <c r="Z989" s="103">
        <v>8</v>
      </c>
      <c r="AA989" s="104"/>
      <c r="AB989" s="103">
        <v>8</v>
      </c>
      <c r="AC989" s="104"/>
      <c r="AD989" s="103">
        <v>8</v>
      </c>
      <c r="AE989" s="104"/>
      <c r="AF989" s="103">
        <v>8</v>
      </c>
      <c r="AG989" s="104"/>
      <c r="AH989" s="103">
        <v>8</v>
      </c>
      <c r="AI989" s="69"/>
      <c r="AJ989" s="70"/>
      <c r="AK989" s="71">
        <f>SUM(W989:AJ989)</f>
        <v>40</v>
      </c>
      <c r="AL989" s="72"/>
      <c r="AM989" s="73">
        <f>SUMIF($G988:$T988,"",$G989:$T989)+SUMIF($W988:$AJ988,"",$W989:$AJ989)-AN989</f>
        <v>80</v>
      </c>
      <c r="AN989" s="88">
        <f>IF(SUMIF($G988:$T988,"",$G989:$T989)+SUMIF($G988:$T988,"F",$G989:$T989)+SUMIF($G988:$T988,"V",$G989:$T989)-40&lt;0,0,SUMIF($G988:$T988,"",$G989:$T989)+SUMIF($G988:$T988,"F",$G989:$T989)+SUMIF($G988:$T988,"V",$G989:$T989)-($U$9/2))+IF(SUMIF($W988:$AJ988,"",$W989:$AJ989)+SUMIF($W988:$AJ988,"F",$W989:$AJ989)+SUMIF($W988:$AJ988,"V",$W989:$AJ989)-40&lt;0,0,SUMIF($W988:$AJ988,"",$W989:$AJ989)+SUMIF($W988:$AJ988,"F",$W989:$AJ989)+SUMIF($W988:$AJ988,"V",$W989:$AJ989)-($U$9/2))</f>
        <v>0</v>
      </c>
      <c r="AO989" s="73">
        <f>SUMIF($G988:$T988,"M",$G989:$T989)+SUMIF($W988:$AJ988,"M",$W989:$AJ989)</f>
        <v>0</v>
      </c>
      <c r="AP989" s="73">
        <f>SUMIF($G988:$T988,"F",$G989:$T989)+SUMIF($W988:$AJ988,"F",$W989:$AJ989)</f>
        <v>0</v>
      </c>
      <c r="AQ989" s="73">
        <f>SUMIF($G988:$T988,"V",$G989:$T989)+SUMIF($W988:$AJ988,"V",$W989:$AJ989)</f>
        <v>0</v>
      </c>
      <c r="AR989" s="74">
        <f>SUMIF($G988:$T988,"O",$G989:$T989)+SUMIF($W988:$AJ988,"O",$W989:$AJ989)</f>
        <v>0</v>
      </c>
      <c r="AS989" s="75">
        <f>SUM(AM989:AR989)</f>
        <v>80</v>
      </c>
      <c r="AT989" s="72"/>
      <c r="AU989" s="73">
        <f>SUMIF($G988:$T988,"A",$G989:$T989)+SUMIF($W988:$AJ988,"A",$W989:$AJ989)</f>
        <v>0</v>
      </c>
      <c r="AV989" s="72"/>
      <c r="AW989" s="76">
        <f>IF(B989="",0,IF($U$9="",0,$U$9))</f>
        <v>80</v>
      </c>
      <c r="BA989" s="2"/>
      <c r="BB989" s="2"/>
      <c r="BC989" s="101"/>
      <c r="BD989" s="101"/>
    </row>
    <row r="990" spans="2:56" s="84" customFormat="1" x14ac:dyDescent="0.35">
      <c r="B990" s="26"/>
      <c r="C990" s="27"/>
      <c r="D990" s="28">
        <f>IF(D916="","",D916)</f>
        <v>92027</v>
      </c>
      <c r="E990" s="29" t="str">
        <f t="shared" si="401"/>
        <v/>
      </c>
      <c r="F990" s="50">
        <f>B971</f>
        <v>23</v>
      </c>
      <c r="G990" s="59"/>
      <c r="H990" s="64"/>
      <c r="I990" s="106"/>
      <c r="J990" s="105"/>
      <c r="K990" s="106"/>
      <c r="L990" s="105"/>
      <c r="M990" s="106"/>
      <c r="N990" s="105"/>
      <c r="O990" s="106"/>
      <c r="P990" s="105"/>
      <c r="Q990" s="106"/>
      <c r="R990" s="105"/>
      <c r="S990" s="59"/>
      <c r="T990" s="64"/>
      <c r="U990" s="44"/>
      <c r="W990" s="59"/>
      <c r="X990" s="64"/>
      <c r="Y990" s="106"/>
      <c r="Z990" s="105"/>
      <c r="AA990" s="106"/>
      <c r="AB990" s="105"/>
      <c r="AC990" s="106"/>
      <c r="AD990" s="105"/>
      <c r="AE990" s="106"/>
      <c r="AF990" s="105"/>
      <c r="AG990" s="106"/>
      <c r="AH990" s="105"/>
      <c r="AI990" s="59"/>
      <c r="AJ990" s="64"/>
      <c r="AK990" s="44"/>
      <c r="AM990" s="49"/>
      <c r="AN990" s="49"/>
      <c r="AO990" s="49"/>
      <c r="AP990" s="49"/>
      <c r="AQ990" s="49"/>
      <c r="AR990" s="40"/>
      <c r="AS990" s="51"/>
      <c r="AU990" s="49"/>
      <c r="AW990" s="52"/>
      <c r="BA990" s="2"/>
      <c r="BB990" s="2"/>
      <c r="BC990" s="101"/>
      <c r="BD990" s="101"/>
    </row>
    <row r="991" spans="2:56" s="84" customFormat="1" x14ac:dyDescent="0.35">
      <c r="B991" s="30" t="str">
        <f>IF(B917="","",B917)</f>
        <v>Descoteaux, Gerald</v>
      </c>
      <c r="C991" s="31"/>
      <c r="D991" s="32"/>
      <c r="E991" s="33">
        <f t="shared" si="401"/>
        <v>93595935</v>
      </c>
      <c r="F991" s="50">
        <f>B971</f>
        <v>23</v>
      </c>
      <c r="G991" s="69"/>
      <c r="H991" s="70"/>
      <c r="I991" s="104"/>
      <c r="J991" s="103">
        <v>8</v>
      </c>
      <c r="K991" s="104"/>
      <c r="L991" s="103">
        <v>8</v>
      </c>
      <c r="M991" s="104"/>
      <c r="N991" s="103">
        <v>8</v>
      </c>
      <c r="O991" s="104"/>
      <c r="P991" s="103">
        <v>8</v>
      </c>
      <c r="Q991" s="104"/>
      <c r="R991" s="103">
        <v>8</v>
      </c>
      <c r="S991" s="69"/>
      <c r="T991" s="70"/>
      <c r="U991" s="71">
        <f t="shared" ref="U991" si="408">SUM(G991:T991)</f>
        <v>40</v>
      </c>
      <c r="V991" s="72"/>
      <c r="W991" s="69"/>
      <c r="X991" s="70"/>
      <c r="Y991" s="104"/>
      <c r="Z991" s="103">
        <v>8</v>
      </c>
      <c r="AA991" s="104"/>
      <c r="AB991" s="103">
        <v>8</v>
      </c>
      <c r="AC991" s="104"/>
      <c r="AD991" s="103">
        <v>8</v>
      </c>
      <c r="AE991" s="104"/>
      <c r="AF991" s="103">
        <v>8</v>
      </c>
      <c r="AG991" s="104"/>
      <c r="AH991" s="103">
        <v>8</v>
      </c>
      <c r="AI991" s="69"/>
      <c r="AJ991" s="70"/>
      <c r="AK991" s="71">
        <f>SUM(W991:AJ991)</f>
        <v>40</v>
      </c>
      <c r="AL991" s="72"/>
      <c r="AM991" s="73">
        <f>SUMIF($G990:$T990,"",$G991:$T991)+SUMIF($W990:$AJ990,"",$W991:$AJ991)-AN991</f>
        <v>80</v>
      </c>
      <c r="AN991" s="88">
        <f>IF(SUMIF($G990:$T990,"",$G991:$T991)+SUMIF($G990:$T990,"F",$G991:$T991)+SUMIF($G990:$T990,"V",$G991:$T991)-40&lt;0,0,SUMIF($G990:$T990,"",$G991:$T991)+SUMIF($G990:$T990,"F",$G991:$T991)+SUMIF($G990:$T990,"V",$G991:$T991)-($U$9/2))+IF(SUMIF($W990:$AJ990,"",$W991:$AJ991)+SUMIF($W990:$AJ990,"F",$W991:$AJ991)+SUMIF($W990:$AJ990,"V",$W991:$AJ991)-40&lt;0,0,SUMIF($W990:$AJ990,"",$W991:$AJ991)+SUMIF($W990:$AJ990,"F",$W991:$AJ991)+SUMIF($W990:$AJ990,"V",$W991:$AJ991)-($U$9/2))</f>
        <v>0</v>
      </c>
      <c r="AO991" s="73">
        <f>SUMIF($G990:$T990,"M",$G991:$T991)+SUMIF($W990:$AJ990,"M",$W991:$AJ991)</f>
        <v>0</v>
      </c>
      <c r="AP991" s="73">
        <f>SUMIF($G990:$T990,"F",$G991:$T991)+SUMIF($W990:$AJ990,"F",$W991:$AJ991)</f>
        <v>0</v>
      </c>
      <c r="AQ991" s="73">
        <f>SUMIF($G990:$T990,"V",$G991:$T991)+SUMIF($W990:$AJ990,"V",$W991:$AJ991)</f>
        <v>0</v>
      </c>
      <c r="AR991" s="74">
        <f>SUMIF($G990:$T990,"O",$G991:$T991)+SUMIF($W990:$AJ990,"O",$W991:$AJ991)</f>
        <v>0</v>
      </c>
      <c r="AS991" s="75">
        <f>SUM(AM991:AR991)</f>
        <v>80</v>
      </c>
      <c r="AT991" s="72"/>
      <c r="AU991" s="73">
        <f>SUMIF($G990:$T990,"A",$G991:$T991)+SUMIF($W990:$AJ990,"A",$W991:$AJ991)</f>
        <v>0</v>
      </c>
      <c r="AV991" s="72"/>
      <c r="AW991" s="76">
        <f>IF(B991="",0,IF($U$9="",0,$U$9))</f>
        <v>80</v>
      </c>
      <c r="BA991" s="2"/>
      <c r="BB991" s="2"/>
      <c r="BC991" s="101"/>
      <c r="BD991" s="101"/>
    </row>
    <row r="992" spans="2:56" s="84" customFormat="1" x14ac:dyDescent="0.35">
      <c r="B992" s="26"/>
      <c r="C992" s="27"/>
      <c r="D992" s="28">
        <f>IF(D918="","",D918)</f>
        <v>73795</v>
      </c>
      <c r="E992" s="29" t="str">
        <f t="shared" si="401"/>
        <v/>
      </c>
      <c r="F992" s="50">
        <f>B971</f>
        <v>23</v>
      </c>
      <c r="G992" s="59"/>
      <c r="H992" s="64"/>
      <c r="I992" s="106"/>
      <c r="J992" s="105"/>
      <c r="K992" s="106"/>
      <c r="L992" s="105"/>
      <c r="M992" s="106"/>
      <c r="N992" s="105"/>
      <c r="O992" s="106"/>
      <c r="P992" s="105"/>
      <c r="Q992" s="106"/>
      <c r="R992" s="105"/>
      <c r="S992" s="59"/>
      <c r="T992" s="64"/>
      <c r="U992" s="44"/>
      <c r="W992" s="59"/>
      <c r="X992" s="64"/>
      <c r="Y992" s="106"/>
      <c r="Z992" s="105"/>
      <c r="AA992" s="106"/>
      <c r="AB992" s="105"/>
      <c r="AC992" s="106"/>
      <c r="AD992" s="105"/>
      <c r="AE992" s="106"/>
      <c r="AF992" s="105"/>
      <c r="AG992" s="106"/>
      <c r="AH992" s="105"/>
      <c r="AI992" s="59"/>
      <c r="AJ992" s="64"/>
      <c r="AK992" s="44"/>
      <c r="AM992" s="49"/>
      <c r="AN992" s="49"/>
      <c r="AO992" s="49"/>
      <c r="AP992" s="49"/>
      <c r="AQ992" s="49"/>
      <c r="AR992" s="40"/>
      <c r="AS992" s="51"/>
      <c r="AU992" s="49"/>
      <c r="AW992" s="52"/>
      <c r="BA992" s="2"/>
      <c r="BB992" s="2"/>
      <c r="BC992" s="101"/>
      <c r="BD992" s="101"/>
    </row>
    <row r="993" spans="2:56" s="84" customFormat="1" x14ac:dyDescent="0.35">
      <c r="B993" s="30" t="str">
        <f>IF(B919="","",B919)</f>
        <v>Fortin, Veronique</v>
      </c>
      <c r="C993" s="31"/>
      <c r="D993" s="32"/>
      <c r="E993" s="33">
        <f t="shared" si="401"/>
        <v>93540</v>
      </c>
      <c r="F993" s="50">
        <f>B971</f>
        <v>23</v>
      </c>
      <c r="G993" s="69"/>
      <c r="H993" s="70"/>
      <c r="I993" s="104"/>
      <c r="J993" s="103">
        <v>8</v>
      </c>
      <c r="K993" s="104"/>
      <c r="L993" s="103">
        <v>8</v>
      </c>
      <c r="M993" s="104"/>
      <c r="N993" s="103">
        <v>8</v>
      </c>
      <c r="O993" s="104"/>
      <c r="P993" s="103">
        <v>8</v>
      </c>
      <c r="Q993" s="104"/>
      <c r="R993" s="103">
        <v>7.5</v>
      </c>
      <c r="S993" s="69"/>
      <c r="T993" s="70"/>
      <c r="U993" s="71">
        <f t="shared" ref="U993" si="409">SUM(G993:T993)</f>
        <v>39.5</v>
      </c>
      <c r="V993" s="72"/>
      <c r="W993" s="69"/>
      <c r="X993" s="70"/>
      <c r="Y993" s="104"/>
      <c r="Z993" s="103">
        <v>8</v>
      </c>
      <c r="AA993" s="104"/>
      <c r="AB993" s="103">
        <v>8</v>
      </c>
      <c r="AC993" s="104"/>
      <c r="AD993" s="103">
        <v>8</v>
      </c>
      <c r="AE993" s="104"/>
      <c r="AF993" s="103">
        <v>8</v>
      </c>
      <c r="AG993" s="104"/>
      <c r="AH993" s="103">
        <v>7.5</v>
      </c>
      <c r="AI993" s="69"/>
      <c r="AJ993" s="70"/>
      <c r="AK993" s="71">
        <f>SUM(W993:AJ993)</f>
        <v>39.5</v>
      </c>
      <c r="AL993" s="72"/>
      <c r="AM993" s="73">
        <f>SUMIF($G992:$T992,"",$G993:$T993)+SUMIF($W992:$AJ992,"",$W993:$AJ993)-AN993</f>
        <v>79</v>
      </c>
      <c r="AN993" s="88">
        <f>IF(SUMIF($G992:$T992,"",$G993:$T993)+SUMIF($G992:$T992,"F",$G993:$T993)+SUMIF($G992:$T992,"V",$G993:$T993)-40&lt;0,0,SUMIF($G992:$T992,"",$G993:$T993)+SUMIF($G992:$T992,"F",$G993:$T993)+SUMIF($G992:$T992,"V",$G993:$T993)-($U$9/2))+IF(SUMIF($W992:$AJ992,"",$W993:$AJ993)+SUMIF($W992:$AJ992,"F",$W993:$AJ993)+SUMIF($W992:$AJ992,"V",$W993:$AJ993)-40&lt;0,0,SUMIF($W992:$AJ992,"",$W993:$AJ993)+SUMIF($W992:$AJ992,"F",$W993:$AJ993)+SUMIF($W992:$AJ992,"V",$W993:$AJ993)-($U$9/2))</f>
        <v>0</v>
      </c>
      <c r="AO993" s="73">
        <f>SUMIF($G992:$T992,"M",$G993:$T993)+SUMIF($W992:$AJ992,"M",$W993:$AJ993)</f>
        <v>0</v>
      </c>
      <c r="AP993" s="73">
        <f>SUMIF($G992:$T992,"F",$G993:$T993)+SUMIF($W992:$AJ992,"F",$W993:$AJ993)</f>
        <v>0</v>
      </c>
      <c r="AQ993" s="73">
        <f>SUMIF($G992:$T992,"V",$G993:$T993)+SUMIF($W992:$AJ992,"V",$W993:$AJ993)</f>
        <v>0</v>
      </c>
      <c r="AR993" s="74">
        <f>SUMIF($G992:$T992,"O",$G993:$T993)+SUMIF($W992:$AJ992,"O",$W993:$AJ993)</f>
        <v>0</v>
      </c>
      <c r="AS993" s="75">
        <f>SUM(AM993:AR993)</f>
        <v>79</v>
      </c>
      <c r="AT993" s="72"/>
      <c r="AU993" s="73">
        <f>SUMIF($G992:$T992,"A",$G993:$T993)+SUMIF($W992:$AJ992,"A",$W993:$AJ993)</f>
        <v>0</v>
      </c>
      <c r="AV993" s="72"/>
      <c r="AW993" s="76">
        <f>IF(B993="",0,IF($U$9="",0,$U$9))</f>
        <v>80</v>
      </c>
      <c r="BA993" s="2"/>
      <c r="BB993" s="2"/>
      <c r="BC993" s="101"/>
      <c r="BD993" s="101"/>
    </row>
    <row r="994" spans="2:56" s="84" customFormat="1" x14ac:dyDescent="0.35">
      <c r="B994" s="26"/>
      <c r="C994" s="27"/>
      <c r="D994" s="28">
        <f>IF(D920="","",D920)</f>
        <v>23206</v>
      </c>
      <c r="E994" s="29" t="str">
        <f t="shared" si="401"/>
        <v/>
      </c>
      <c r="F994" s="50">
        <f>B971</f>
        <v>23</v>
      </c>
      <c r="G994" s="59"/>
      <c r="H994" s="64"/>
      <c r="I994" s="106"/>
      <c r="J994" s="105"/>
      <c r="K994" s="106"/>
      <c r="L994" s="105"/>
      <c r="M994" s="106"/>
      <c r="N994" s="105"/>
      <c r="O994" s="106"/>
      <c r="P994" s="105"/>
      <c r="Q994" s="106"/>
      <c r="R994" s="105"/>
      <c r="S994" s="59"/>
      <c r="T994" s="64"/>
      <c r="U994" s="44"/>
      <c r="W994" s="59"/>
      <c r="X994" s="64"/>
      <c r="Y994" s="106"/>
      <c r="Z994" s="105"/>
      <c r="AA994" s="106"/>
      <c r="AB994" s="105"/>
      <c r="AC994" s="106"/>
      <c r="AD994" s="105"/>
      <c r="AE994" s="106"/>
      <c r="AF994" s="105"/>
      <c r="AG994" s="106"/>
      <c r="AH994" s="105"/>
      <c r="AI994" s="59"/>
      <c r="AJ994" s="64"/>
      <c r="AK994" s="44"/>
      <c r="AM994" s="49"/>
      <c r="AN994" s="49"/>
      <c r="AO994" s="49"/>
      <c r="AP994" s="49"/>
      <c r="AQ994" s="49"/>
      <c r="AR994" s="40"/>
      <c r="AS994" s="51"/>
      <c r="AU994" s="49"/>
      <c r="AW994" s="52"/>
      <c r="BA994" s="2"/>
      <c r="BB994" s="2"/>
      <c r="BC994" s="101"/>
      <c r="BD994" s="101"/>
    </row>
    <row r="995" spans="2:56" s="84" customFormat="1" x14ac:dyDescent="0.35">
      <c r="B995" s="30" t="str">
        <f>IF(B921="","",B921)</f>
        <v>Gadbois, Dominic</v>
      </c>
      <c r="C995" s="31"/>
      <c r="D995" s="32"/>
      <c r="E995" s="33">
        <f t="shared" si="401"/>
        <v>93545</v>
      </c>
      <c r="F995" s="50">
        <f>B971</f>
        <v>23</v>
      </c>
      <c r="G995" s="69"/>
      <c r="H995" s="70"/>
      <c r="I995" s="104"/>
      <c r="J995" s="103">
        <v>8</v>
      </c>
      <c r="K995" s="104"/>
      <c r="L995" s="103">
        <v>7.75</v>
      </c>
      <c r="M995" s="104"/>
      <c r="N995" s="103">
        <v>8.25</v>
      </c>
      <c r="O995" s="104"/>
      <c r="P995" s="103">
        <v>8.25</v>
      </c>
      <c r="Q995" s="104"/>
      <c r="R995" s="103">
        <v>7</v>
      </c>
      <c r="S995" s="69"/>
      <c r="T995" s="70"/>
      <c r="U995" s="71">
        <f t="shared" ref="U995" si="410">SUM(G995:T995)</f>
        <v>39.25</v>
      </c>
      <c r="V995" s="72"/>
      <c r="W995" s="69"/>
      <c r="X995" s="70"/>
      <c r="Y995" s="104"/>
      <c r="Z995" s="103">
        <v>8</v>
      </c>
      <c r="AA995" s="104"/>
      <c r="AB995" s="103">
        <v>8.25</v>
      </c>
      <c r="AC995" s="104"/>
      <c r="AD995" s="103">
        <v>7.75</v>
      </c>
      <c r="AE995" s="104"/>
      <c r="AF995" s="103">
        <v>7.75</v>
      </c>
      <c r="AG995" s="104"/>
      <c r="AH995" s="103">
        <v>7.5</v>
      </c>
      <c r="AI995" s="69"/>
      <c r="AJ995" s="70"/>
      <c r="AK995" s="71">
        <f>SUM(W995:AJ995)</f>
        <v>39.25</v>
      </c>
      <c r="AL995" s="72"/>
      <c r="AM995" s="73">
        <f>SUMIF($G994:$T994,"",$G995:$T995)+SUMIF($W994:$AJ994,"",$W995:$AJ995)-AN995</f>
        <v>78.5</v>
      </c>
      <c r="AN995" s="88">
        <f>IF(SUMIF($G994:$T994,"",$G995:$T995)+SUMIF($G994:$T994,"F",$G995:$T995)+SUMIF($G994:$T994,"V",$G995:$T995)-40&lt;0,0,SUMIF($G994:$T994,"",$G995:$T995)+SUMIF($G994:$T994,"F",$G995:$T995)+SUMIF($G994:$T994,"V",$G995:$T995)-($U$9/2))+IF(SUMIF($W994:$AJ994,"",$W995:$AJ995)+SUMIF($W994:$AJ994,"F",$W995:$AJ995)+SUMIF($W994:$AJ994,"V",$W995:$AJ995)-40&lt;0,0,SUMIF($W994:$AJ994,"",$W995:$AJ995)+SUMIF($W994:$AJ994,"F",$W995:$AJ995)+SUMIF($W994:$AJ994,"V",$W995:$AJ995)-($U$9/2))</f>
        <v>0</v>
      </c>
      <c r="AO995" s="73">
        <f>SUMIF($G994:$T994,"M",$G995:$T995)+SUMIF($W994:$AJ994,"M",$W995:$AJ995)</f>
        <v>0</v>
      </c>
      <c r="AP995" s="73">
        <f>SUMIF($G994:$T994,"F",$G995:$T995)+SUMIF($W994:$AJ994,"F",$W995:$AJ995)</f>
        <v>0</v>
      </c>
      <c r="AQ995" s="73">
        <f>SUMIF($G994:$T994,"V",$G995:$T995)+SUMIF($W994:$AJ994,"V",$W995:$AJ995)</f>
        <v>0</v>
      </c>
      <c r="AR995" s="74">
        <f>SUMIF($G994:$T994,"O",$G995:$T995)+SUMIF($W994:$AJ994,"O",$W995:$AJ995)</f>
        <v>0</v>
      </c>
      <c r="AS995" s="75">
        <f>SUM(AM995:AR995)</f>
        <v>78.5</v>
      </c>
      <c r="AT995" s="72"/>
      <c r="AU995" s="73">
        <f>SUMIF($G994:$T994,"A",$G995:$T995)+SUMIF($W994:$AJ994,"A",$W995:$AJ995)</f>
        <v>0</v>
      </c>
      <c r="AV995" s="72"/>
      <c r="AW995" s="76">
        <f>IF(B995="",0,IF($U$9="",0,$U$9))</f>
        <v>80</v>
      </c>
      <c r="BA995" s="2"/>
      <c r="BB995" s="2"/>
      <c r="BC995" s="101"/>
      <c r="BD995" s="101"/>
    </row>
    <row r="996" spans="2:56" s="84" customFormat="1" x14ac:dyDescent="0.35">
      <c r="B996" s="26"/>
      <c r="C996" s="27"/>
      <c r="D996" s="28">
        <f>IF(D922="","",D922)</f>
        <v>33664</v>
      </c>
      <c r="E996" s="29" t="str">
        <f t="shared" si="401"/>
        <v/>
      </c>
      <c r="F996" s="50">
        <f>B971</f>
        <v>23</v>
      </c>
      <c r="G996" s="59"/>
      <c r="H996" s="64"/>
      <c r="I996" s="106"/>
      <c r="J996" s="105"/>
      <c r="K996" s="106"/>
      <c r="L996" s="105"/>
      <c r="M996" s="106"/>
      <c r="N996" s="105"/>
      <c r="O996" s="106"/>
      <c r="P996" s="105"/>
      <c r="Q996" s="106"/>
      <c r="R996" s="105"/>
      <c r="S996" s="59"/>
      <c r="T996" s="64"/>
      <c r="U996" s="44"/>
      <c r="W996" s="59"/>
      <c r="X996" s="64"/>
      <c r="Y996" s="106"/>
      <c r="Z996" s="105"/>
      <c r="AA996" s="106"/>
      <c r="AB996" s="105"/>
      <c r="AC996" s="106"/>
      <c r="AD996" s="105"/>
      <c r="AE996" s="106"/>
      <c r="AF996" s="105"/>
      <c r="AG996" s="106"/>
      <c r="AH996" s="105"/>
      <c r="AI996" s="59"/>
      <c r="AJ996" s="64"/>
      <c r="AK996" s="44"/>
      <c r="AM996" s="49"/>
      <c r="AN996" s="49"/>
      <c r="AO996" s="49"/>
      <c r="AP996" s="49"/>
      <c r="AQ996" s="49"/>
      <c r="AR996" s="40"/>
      <c r="AS996" s="51"/>
      <c r="AU996" s="49"/>
      <c r="AW996" s="52"/>
      <c r="BA996" s="2"/>
      <c r="BB996" s="2"/>
      <c r="BC996" s="101"/>
      <c r="BD996" s="101"/>
    </row>
    <row r="997" spans="2:56" s="84" customFormat="1" x14ac:dyDescent="0.35">
      <c r="B997" s="30" t="str">
        <f>IF(B923="","",B923)</f>
        <v>Knox Michaud, Jessy</v>
      </c>
      <c r="C997" s="31"/>
      <c r="D997" s="32"/>
      <c r="E997" s="33">
        <f t="shared" si="401"/>
        <v>93542</v>
      </c>
      <c r="F997" s="50">
        <f>B971</f>
        <v>23</v>
      </c>
      <c r="G997" s="69"/>
      <c r="H997" s="70"/>
      <c r="I997" s="104"/>
      <c r="J997" s="103">
        <v>8</v>
      </c>
      <c r="K997" s="104"/>
      <c r="L997" s="103">
        <v>8</v>
      </c>
      <c r="M997" s="104"/>
      <c r="N997" s="103">
        <v>8</v>
      </c>
      <c r="O997" s="104"/>
      <c r="P997" s="103">
        <v>8</v>
      </c>
      <c r="Q997" s="104"/>
      <c r="R997" s="103">
        <v>8</v>
      </c>
      <c r="S997" s="69"/>
      <c r="T997" s="70"/>
      <c r="U997" s="71">
        <f t="shared" ref="U997" si="411">SUM(G997:T997)</f>
        <v>40</v>
      </c>
      <c r="V997" s="72"/>
      <c r="W997" s="69"/>
      <c r="X997" s="70"/>
      <c r="Y997" s="104"/>
      <c r="Z997" s="103">
        <v>8</v>
      </c>
      <c r="AA997" s="104"/>
      <c r="AB997" s="103">
        <v>8</v>
      </c>
      <c r="AC997" s="104"/>
      <c r="AD997" s="103">
        <v>8</v>
      </c>
      <c r="AE997" s="104"/>
      <c r="AF997" s="103">
        <v>8</v>
      </c>
      <c r="AG997" s="104"/>
      <c r="AH997" s="103">
        <v>8</v>
      </c>
      <c r="AI997" s="69"/>
      <c r="AJ997" s="70"/>
      <c r="AK997" s="71">
        <f>SUM(W997:AJ997)</f>
        <v>40</v>
      </c>
      <c r="AL997" s="72"/>
      <c r="AM997" s="73">
        <f>SUMIF($G996:$T996,"",$G997:$T997)+SUMIF($W996:$AJ996,"",$W997:$AJ997)-AN997</f>
        <v>80</v>
      </c>
      <c r="AN997" s="88">
        <f>IF(SUMIF($G996:$T996,"",$G997:$T997)+SUMIF($G996:$T996,"F",$G997:$T997)+SUMIF($G996:$T996,"V",$G997:$T997)-40&lt;0,0,SUMIF($G996:$T996,"",$G997:$T997)+SUMIF($G996:$T996,"F",$G997:$T997)+SUMIF($G996:$T996,"V",$G997:$T997)-($U$9/2))+IF(SUMIF($W996:$AJ996,"",$W997:$AJ997)+SUMIF($W996:$AJ996,"F",$W997:$AJ997)+SUMIF($W996:$AJ996,"V",$W997:$AJ997)-40&lt;0,0,SUMIF($W996:$AJ996,"",$W997:$AJ997)+SUMIF($W996:$AJ996,"F",$W997:$AJ997)+SUMIF($W996:$AJ996,"V",$W997:$AJ997)-($U$9/2))</f>
        <v>0</v>
      </c>
      <c r="AO997" s="73">
        <f>SUMIF($G996:$T996,"M",$G997:$T997)+SUMIF($W996:$AJ996,"M",$W997:$AJ997)</f>
        <v>0</v>
      </c>
      <c r="AP997" s="73">
        <f>SUMIF($G996:$T996,"F",$G997:$T997)+SUMIF($W996:$AJ996,"F",$W997:$AJ997)</f>
        <v>0</v>
      </c>
      <c r="AQ997" s="73">
        <f>SUMIF($G996:$T996,"V",$G997:$T997)+SUMIF($W996:$AJ996,"V",$W997:$AJ997)</f>
        <v>0</v>
      </c>
      <c r="AR997" s="74">
        <f>SUMIF($G996:$T996,"O",$G997:$T997)+SUMIF($W996:$AJ996,"O",$W997:$AJ997)</f>
        <v>0</v>
      </c>
      <c r="AS997" s="75">
        <f>SUM(AM997:AR997)</f>
        <v>80</v>
      </c>
      <c r="AT997" s="72"/>
      <c r="AU997" s="73">
        <f>SUMIF($G996:$T996,"A",$G997:$T997)+SUMIF($W996:$AJ996,"A",$W997:$AJ997)</f>
        <v>0</v>
      </c>
      <c r="AV997" s="72"/>
      <c r="AW997" s="76">
        <f>IF(B997="",0,IF($U$9="",0,$U$9))</f>
        <v>80</v>
      </c>
      <c r="BA997" s="2"/>
      <c r="BB997" s="2"/>
      <c r="BC997" s="101"/>
      <c r="BD997" s="101"/>
    </row>
    <row r="998" spans="2:56" s="84" customFormat="1" x14ac:dyDescent="0.35">
      <c r="B998" s="26"/>
      <c r="C998" s="27"/>
      <c r="D998" s="28">
        <f>IF(D924="","",D924)</f>
        <v>14206</v>
      </c>
      <c r="E998" s="29" t="str">
        <f t="shared" si="401"/>
        <v/>
      </c>
      <c r="F998" s="50">
        <f>B971</f>
        <v>23</v>
      </c>
      <c r="G998" s="59"/>
      <c r="H998" s="64"/>
      <c r="I998" s="106"/>
      <c r="J998" s="105"/>
      <c r="K998" s="106"/>
      <c r="L998" s="105"/>
      <c r="M998" s="106"/>
      <c r="N998" s="105"/>
      <c r="O998" s="106"/>
      <c r="P998" s="105"/>
      <c r="Q998" s="106"/>
      <c r="R998" s="105"/>
      <c r="S998" s="59"/>
      <c r="T998" s="64"/>
      <c r="U998" s="44"/>
      <c r="W998" s="59"/>
      <c r="X998" s="64"/>
      <c r="Y998" s="106"/>
      <c r="Z998" s="105"/>
      <c r="AA998" s="106"/>
      <c r="AB998" s="105"/>
      <c r="AC998" s="106"/>
      <c r="AD998" s="105"/>
      <c r="AE998" s="106"/>
      <c r="AF998" s="105"/>
      <c r="AG998" s="106"/>
      <c r="AH998" s="105"/>
      <c r="AI998" s="59"/>
      <c r="AJ998" s="64"/>
      <c r="AK998" s="44"/>
      <c r="AM998" s="49"/>
      <c r="AN998" s="49"/>
      <c r="AO998" s="49"/>
      <c r="AP998" s="49"/>
      <c r="AQ998" s="49"/>
      <c r="AR998" s="40"/>
      <c r="AS998" s="51"/>
      <c r="AU998" s="49"/>
      <c r="AW998" s="52"/>
      <c r="BA998" s="2"/>
      <c r="BB998" s="2"/>
      <c r="BC998" s="101"/>
      <c r="BD998" s="101"/>
    </row>
    <row r="999" spans="2:56" s="84" customFormat="1" x14ac:dyDescent="0.35">
      <c r="B999" s="30" t="str">
        <f>IF(B925="","",B925)</f>
        <v>Landry, Bernard</v>
      </c>
      <c r="C999" s="31"/>
      <c r="D999" s="32"/>
      <c r="E999" s="33">
        <f t="shared" si="401"/>
        <v>93545</v>
      </c>
      <c r="F999" s="50">
        <f>B971</f>
        <v>23</v>
      </c>
      <c r="G999" s="69"/>
      <c r="H999" s="70"/>
      <c r="I999" s="104"/>
      <c r="J999" s="103">
        <v>8</v>
      </c>
      <c r="K999" s="104"/>
      <c r="L999" s="103">
        <v>8</v>
      </c>
      <c r="M999" s="104"/>
      <c r="N999" s="103">
        <v>8</v>
      </c>
      <c r="O999" s="104"/>
      <c r="P999" s="103">
        <v>8</v>
      </c>
      <c r="Q999" s="104"/>
      <c r="R999" s="103">
        <v>8</v>
      </c>
      <c r="S999" s="69"/>
      <c r="T999" s="70"/>
      <c r="U999" s="71">
        <f t="shared" ref="U999" si="412">SUM(G999:T999)</f>
        <v>40</v>
      </c>
      <c r="V999" s="72"/>
      <c r="W999" s="69"/>
      <c r="X999" s="70"/>
      <c r="Y999" s="104"/>
      <c r="Z999" s="103">
        <v>8</v>
      </c>
      <c r="AA999" s="104"/>
      <c r="AB999" s="103">
        <v>8</v>
      </c>
      <c r="AC999" s="104"/>
      <c r="AD999" s="103">
        <v>8</v>
      </c>
      <c r="AE999" s="104"/>
      <c r="AF999" s="103">
        <v>8</v>
      </c>
      <c r="AG999" s="104"/>
      <c r="AH999" s="103">
        <v>8</v>
      </c>
      <c r="AI999" s="69"/>
      <c r="AJ999" s="70"/>
      <c r="AK999" s="71">
        <f>SUM(W999:AJ999)</f>
        <v>40</v>
      </c>
      <c r="AL999" s="72"/>
      <c r="AM999" s="73">
        <f>SUMIF($G998:$T998,"",$G999:$T999)+SUMIF($W998:$AJ998,"",$W999:$AJ999)-AN999</f>
        <v>80</v>
      </c>
      <c r="AN999" s="88">
        <f>IF(SUMIF($G998:$T998,"",$G999:$T999)+SUMIF($G998:$T998,"F",$G999:$T999)+SUMIF($G998:$T998,"V",$G999:$T999)-40&lt;0,0,SUMIF($G998:$T998,"",$G999:$T999)+SUMIF($G998:$T998,"F",$G999:$T999)+SUMIF($G998:$T998,"V",$G999:$T999)-($U$9/2))+IF(SUMIF($W998:$AJ998,"",$W999:$AJ999)+SUMIF($W998:$AJ998,"F",$W999:$AJ999)+SUMIF($W998:$AJ998,"V",$W999:$AJ999)-40&lt;0,0,SUMIF($W998:$AJ998,"",$W999:$AJ999)+SUMIF($W998:$AJ998,"F",$W999:$AJ999)+SUMIF($W998:$AJ998,"V",$W999:$AJ999)-($U$9/2))</f>
        <v>0</v>
      </c>
      <c r="AO999" s="73">
        <f>SUMIF($G998:$T998,"M",$G999:$T999)+SUMIF($W998:$AJ998,"M",$W999:$AJ999)</f>
        <v>0</v>
      </c>
      <c r="AP999" s="73">
        <f>SUMIF($G998:$T998,"F",$G999:$T999)+SUMIF($W998:$AJ998,"F",$W999:$AJ999)</f>
        <v>0</v>
      </c>
      <c r="AQ999" s="73">
        <f>SUMIF($G998:$T998,"V",$G999:$T999)+SUMIF($W998:$AJ998,"V",$W999:$AJ999)</f>
        <v>0</v>
      </c>
      <c r="AR999" s="74">
        <f>SUMIF($G998:$T998,"O",$G999:$T999)+SUMIF($W998:$AJ998,"O",$W999:$AJ999)</f>
        <v>0</v>
      </c>
      <c r="AS999" s="75">
        <f>SUM(AM999:AR999)</f>
        <v>80</v>
      </c>
      <c r="AT999" s="72"/>
      <c r="AU999" s="73">
        <f>SUMIF($G998:$T998,"A",$G999:$T999)+SUMIF($W998:$AJ998,"A",$W999:$AJ999)</f>
        <v>0</v>
      </c>
      <c r="AV999" s="72"/>
      <c r="AW999" s="76">
        <f>IF(B999="",0,IF($U$9="",0,$U$9))</f>
        <v>80</v>
      </c>
      <c r="BA999" s="2"/>
      <c r="BB999" s="2"/>
      <c r="BC999" s="101"/>
      <c r="BD999" s="101"/>
    </row>
    <row r="1000" spans="2:56" s="84" customFormat="1" x14ac:dyDescent="0.35">
      <c r="B1000" s="26"/>
      <c r="C1000" s="27"/>
      <c r="D1000" s="28">
        <f>IF(D926="","",D926)</f>
        <v>92257</v>
      </c>
      <c r="E1000" s="29" t="str">
        <f t="shared" si="401"/>
        <v/>
      </c>
      <c r="F1000" s="50">
        <f>B971</f>
        <v>23</v>
      </c>
      <c r="G1000" s="59"/>
      <c r="H1000" s="64"/>
      <c r="I1000" s="106"/>
      <c r="J1000" s="105"/>
      <c r="K1000" s="106"/>
      <c r="L1000" s="105"/>
      <c r="M1000" s="106"/>
      <c r="N1000" s="105"/>
      <c r="O1000" s="106"/>
      <c r="P1000" s="105"/>
      <c r="Q1000" s="106"/>
      <c r="R1000" s="105"/>
      <c r="S1000" s="59"/>
      <c r="T1000" s="64"/>
      <c r="U1000" s="44"/>
      <c r="W1000" s="59"/>
      <c r="X1000" s="64"/>
      <c r="Y1000" s="106"/>
      <c r="Z1000" s="105"/>
      <c r="AA1000" s="106"/>
      <c r="AB1000" s="105"/>
      <c r="AC1000" s="106"/>
      <c r="AD1000" s="105"/>
      <c r="AE1000" s="106"/>
      <c r="AF1000" s="105"/>
      <c r="AG1000" s="106"/>
      <c r="AH1000" s="105"/>
      <c r="AI1000" s="59"/>
      <c r="AJ1000" s="64"/>
      <c r="AK1000" s="44"/>
      <c r="AM1000" s="49"/>
      <c r="AN1000" s="49"/>
      <c r="AO1000" s="49"/>
      <c r="AP1000" s="49"/>
      <c r="AQ1000" s="49"/>
      <c r="AR1000" s="40"/>
      <c r="AS1000" s="51"/>
      <c r="AU1000" s="49"/>
      <c r="AW1000" s="52"/>
      <c r="BA1000" s="2"/>
      <c r="BB1000" s="2"/>
      <c r="BC1000" s="101"/>
      <c r="BD1000" s="101"/>
    </row>
    <row r="1001" spans="2:56" s="84" customFormat="1" x14ac:dyDescent="0.35">
      <c r="B1001" s="30" t="str">
        <f>IF(B927="","",B927)</f>
        <v>Lelievre, Anik</v>
      </c>
      <c r="C1001" s="31"/>
      <c r="D1001" s="32"/>
      <c r="E1001" s="33">
        <f t="shared" si="401"/>
        <v>93513</v>
      </c>
      <c r="F1001" s="50">
        <f>B971</f>
        <v>23</v>
      </c>
      <c r="G1001" s="69"/>
      <c r="H1001" s="70"/>
      <c r="I1001" s="104"/>
      <c r="J1001" s="103">
        <v>8</v>
      </c>
      <c r="K1001" s="104"/>
      <c r="L1001" s="103">
        <v>8</v>
      </c>
      <c r="M1001" s="104"/>
      <c r="N1001" s="103">
        <v>8</v>
      </c>
      <c r="O1001" s="104"/>
      <c r="P1001" s="103">
        <v>8</v>
      </c>
      <c r="Q1001" s="104"/>
      <c r="R1001" s="103">
        <v>8</v>
      </c>
      <c r="S1001" s="69"/>
      <c r="T1001" s="70"/>
      <c r="U1001" s="71">
        <f t="shared" ref="U1001" si="413">SUM(G1001:T1001)</f>
        <v>40</v>
      </c>
      <c r="V1001" s="72"/>
      <c r="W1001" s="69"/>
      <c r="X1001" s="70"/>
      <c r="Y1001" s="104"/>
      <c r="Z1001" s="103">
        <v>8</v>
      </c>
      <c r="AA1001" s="104"/>
      <c r="AB1001" s="103">
        <v>8</v>
      </c>
      <c r="AC1001" s="104"/>
      <c r="AD1001" s="103">
        <v>8</v>
      </c>
      <c r="AE1001" s="104"/>
      <c r="AF1001" s="103">
        <v>8</v>
      </c>
      <c r="AG1001" s="104"/>
      <c r="AH1001" s="103">
        <v>8</v>
      </c>
      <c r="AI1001" s="69"/>
      <c r="AJ1001" s="70"/>
      <c r="AK1001" s="71">
        <f>SUM(W1001:AJ1001)</f>
        <v>40</v>
      </c>
      <c r="AL1001" s="72"/>
      <c r="AM1001" s="73">
        <f>SUMIF($G1000:$T1000,"",$G1001:$T1001)+SUMIF($W1000:$AJ1000,"",$W1001:$AJ1001)-AN1001</f>
        <v>80</v>
      </c>
      <c r="AN1001" s="88">
        <f>IF(SUMIF($G1000:$T1000,"",$G1001:$T1001)+SUMIF($G1000:$T1000,"F",$G1001:$T1001)+SUMIF($G1000:$T1000,"V",$G1001:$T1001)-40&lt;0,0,SUMIF($G1000:$T1000,"",$G1001:$T1001)+SUMIF($G1000:$T1000,"F",$G1001:$T1001)+SUMIF($G1000:$T1000,"V",$G1001:$T1001)-($U$9/2))+IF(SUMIF($W1000:$AJ1000,"",$W1001:$AJ1001)+SUMIF($W1000:$AJ1000,"F",$W1001:$AJ1001)+SUMIF($W1000:$AJ1000,"V",$W1001:$AJ1001)-40&lt;0,0,SUMIF($W1000:$AJ1000,"",$W1001:$AJ1001)+SUMIF($W1000:$AJ1000,"F",$W1001:$AJ1001)+SUMIF($W1000:$AJ1000,"V",$W1001:$AJ1001)-($U$9/2))</f>
        <v>0</v>
      </c>
      <c r="AO1001" s="73">
        <f>SUMIF($G1000:$T1000,"M",$G1001:$T1001)+SUMIF($W1000:$AJ1000,"M",$W1001:$AJ1001)</f>
        <v>0</v>
      </c>
      <c r="AP1001" s="73">
        <f>SUMIF($G1000:$T1000,"F",$G1001:$T1001)+SUMIF($W1000:$AJ1000,"F",$W1001:$AJ1001)</f>
        <v>0</v>
      </c>
      <c r="AQ1001" s="73">
        <f>SUMIF($G1000:$T1000,"V",$G1001:$T1001)+SUMIF($W1000:$AJ1000,"V",$W1001:$AJ1001)</f>
        <v>0</v>
      </c>
      <c r="AR1001" s="74">
        <f>SUMIF($G1000:$T1000,"O",$G1001:$T1001)+SUMIF($W1000:$AJ1000,"O",$W1001:$AJ1001)</f>
        <v>0</v>
      </c>
      <c r="AS1001" s="75">
        <f>SUM(AM1001:AR1001)</f>
        <v>80</v>
      </c>
      <c r="AT1001" s="72"/>
      <c r="AU1001" s="73">
        <f>SUMIF($G1000:$T1000,"A",$G1001:$T1001)+SUMIF($W1000:$AJ1000,"A",$W1001:$AJ1001)</f>
        <v>0</v>
      </c>
      <c r="AV1001" s="72"/>
      <c r="AW1001" s="76">
        <f>IF(B1001="",0,IF($U$9="",0,$U$9))</f>
        <v>80</v>
      </c>
      <c r="BA1001" s="2"/>
      <c r="BB1001" s="2"/>
      <c r="BC1001" s="101"/>
      <c r="BD1001" s="101"/>
    </row>
    <row r="1002" spans="2:56" s="84" customFormat="1" x14ac:dyDescent="0.35">
      <c r="B1002" s="26"/>
      <c r="C1002" s="27"/>
      <c r="D1002" s="28">
        <f>IF(D928="","",D928)</f>
        <v>81042</v>
      </c>
      <c r="E1002" s="29" t="str">
        <f t="shared" si="401"/>
        <v/>
      </c>
      <c r="F1002" s="50">
        <f>B971</f>
        <v>23</v>
      </c>
      <c r="G1002" s="59"/>
      <c r="H1002" s="64"/>
      <c r="I1002" s="106"/>
      <c r="J1002" s="105"/>
      <c r="K1002" s="106"/>
      <c r="L1002" s="105"/>
      <c r="M1002" s="106"/>
      <c r="N1002" s="105"/>
      <c r="O1002" s="106"/>
      <c r="P1002" s="105"/>
      <c r="Q1002" s="106"/>
      <c r="R1002" s="105"/>
      <c r="S1002" s="59"/>
      <c r="T1002" s="64"/>
      <c r="U1002" s="44"/>
      <c r="W1002" s="59"/>
      <c r="X1002" s="64"/>
      <c r="Y1002" s="106"/>
      <c r="Z1002" s="105"/>
      <c r="AA1002" s="106"/>
      <c r="AB1002" s="105"/>
      <c r="AC1002" s="106"/>
      <c r="AD1002" s="105"/>
      <c r="AE1002" s="106"/>
      <c r="AF1002" s="105" t="s">
        <v>1</v>
      </c>
      <c r="AG1002" s="106"/>
      <c r="AH1002" s="105"/>
      <c r="AI1002" s="59"/>
      <c r="AJ1002" s="64"/>
      <c r="AK1002" s="44"/>
      <c r="AM1002" s="49"/>
      <c r="AN1002" s="49"/>
      <c r="AO1002" s="49"/>
      <c r="AP1002" s="49"/>
      <c r="AQ1002" s="49"/>
      <c r="AR1002" s="40"/>
      <c r="AS1002" s="51"/>
      <c r="AU1002" s="49"/>
      <c r="AW1002" s="52"/>
      <c r="BA1002" s="2"/>
      <c r="BB1002" s="2"/>
      <c r="BC1002" s="101"/>
      <c r="BD1002" s="101"/>
    </row>
    <row r="1003" spans="2:56" s="84" customFormat="1" x14ac:dyDescent="0.35">
      <c r="B1003" s="30" t="str">
        <f>IF(B929="","",B929)</f>
        <v>Letarte, Martin</v>
      </c>
      <c r="C1003" s="31"/>
      <c r="D1003" s="32"/>
      <c r="E1003" s="33">
        <f t="shared" si="401"/>
        <v>93545</v>
      </c>
      <c r="F1003" s="50">
        <f>B971</f>
        <v>23</v>
      </c>
      <c r="G1003" s="69"/>
      <c r="H1003" s="70"/>
      <c r="I1003" s="104"/>
      <c r="J1003" s="103">
        <v>8</v>
      </c>
      <c r="K1003" s="104"/>
      <c r="L1003" s="103">
        <v>8</v>
      </c>
      <c r="M1003" s="104"/>
      <c r="N1003" s="103">
        <v>8</v>
      </c>
      <c r="O1003" s="104"/>
      <c r="P1003" s="103">
        <v>8</v>
      </c>
      <c r="Q1003" s="104"/>
      <c r="R1003" s="103">
        <v>8</v>
      </c>
      <c r="S1003" s="69"/>
      <c r="T1003" s="70"/>
      <c r="U1003" s="71">
        <f t="shared" ref="U1003" si="414">SUM(G1003:T1003)</f>
        <v>40</v>
      </c>
      <c r="V1003" s="72"/>
      <c r="W1003" s="69"/>
      <c r="X1003" s="70"/>
      <c r="Y1003" s="104"/>
      <c r="Z1003" s="103">
        <v>8</v>
      </c>
      <c r="AA1003" s="104"/>
      <c r="AB1003" s="103">
        <v>8</v>
      </c>
      <c r="AC1003" s="104"/>
      <c r="AD1003" s="103">
        <v>8</v>
      </c>
      <c r="AE1003" s="104"/>
      <c r="AF1003" s="103">
        <v>8</v>
      </c>
      <c r="AG1003" s="104"/>
      <c r="AH1003" s="103">
        <v>8</v>
      </c>
      <c r="AI1003" s="69"/>
      <c r="AJ1003" s="70"/>
      <c r="AK1003" s="71">
        <f>SUM(W1003:AJ1003)</f>
        <v>40</v>
      </c>
      <c r="AL1003" s="72"/>
      <c r="AM1003" s="73">
        <f>SUMIF($G1002:$T1002,"",$G1003:$T1003)+SUMIF($W1002:$AJ1002,"",$W1003:$AJ1003)-AN1003</f>
        <v>72</v>
      </c>
      <c r="AN1003" s="88">
        <f>IF(SUMIF($G1002:$T1002,"",$G1003:$T1003)+SUMIF($G1002:$T1002,"F",$G1003:$T1003)+SUMIF($G1002:$T1002,"V",$G1003:$T1003)-40&lt;0,0,SUMIF($G1002:$T1002,"",$G1003:$T1003)+SUMIF($G1002:$T1002,"F",$G1003:$T1003)+SUMIF($G1002:$T1002,"V",$G1003:$T1003)-($U$9/2))+IF(SUMIF($W1002:$AJ1002,"",$W1003:$AJ1003)+SUMIF($W1002:$AJ1002,"F",$W1003:$AJ1003)+SUMIF($W1002:$AJ1002,"V",$W1003:$AJ1003)-40&lt;0,0,SUMIF($W1002:$AJ1002,"",$W1003:$AJ1003)+SUMIF($W1002:$AJ1002,"F",$W1003:$AJ1003)+SUMIF($W1002:$AJ1002,"V",$W1003:$AJ1003)-($U$9/2))</f>
        <v>0</v>
      </c>
      <c r="AO1003" s="73">
        <f>SUMIF($G1002:$T1002,"M",$G1003:$T1003)+SUMIF($W1002:$AJ1002,"M",$W1003:$AJ1003)</f>
        <v>0</v>
      </c>
      <c r="AP1003" s="73">
        <f>SUMIF($G1002:$T1002,"F",$G1003:$T1003)+SUMIF($W1002:$AJ1002,"F",$W1003:$AJ1003)</f>
        <v>0</v>
      </c>
      <c r="AQ1003" s="73">
        <f>SUMIF($G1002:$T1002,"V",$G1003:$T1003)+SUMIF($W1002:$AJ1002,"V",$W1003:$AJ1003)</f>
        <v>8</v>
      </c>
      <c r="AR1003" s="74">
        <f>SUMIF($G1002:$T1002,"O",$G1003:$T1003)+SUMIF($W1002:$AJ1002,"O",$W1003:$AJ1003)</f>
        <v>0</v>
      </c>
      <c r="AS1003" s="75">
        <f>SUM(AM1003:AR1003)</f>
        <v>80</v>
      </c>
      <c r="AT1003" s="72"/>
      <c r="AU1003" s="73">
        <f>SUMIF($G1002:$T1002,"A",$G1003:$T1003)+SUMIF($W1002:$AJ1002,"A",$W1003:$AJ1003)</f>
        <v>0</v>
      </c>
      <c r="AV1003" s="72"/>
      <c r="AW1003" s="76">
        <f>IF(B1003="",0,IF($U$9="",0,$U$9))</f>
        <v>80</v>
      </c>
      <c r="BA1003" s="2"/>
      <c r="BB1003" s="2"/>
      <c r="BC1003" s="101"/>
      <c r="BD1003" s="101"/>
    </row>
    <row r="1004" spans="2:56" s="84" customFormat="1" x14ac:dyDescent="0.35">
      <c r="B1004" s="26"/>
      <c r="C1004" s="27"/>
      <c r="D1004" s="28"/>
      <c r="E1004" s="29" t="str">
        <f t="shared" si="401"/>
        <v/>
      </c>
      <c r="F1004" s="50">
        <f>B971</f>
        <v>23</v>
      </c>
      <c r="G1004" s="59"/>
      <c r="H1004" s="64"/>
      <c r="I1004" s="106"/>
      <c r="J1004" s="105"/>
      <c r="K1004" s="106"/>
      <c r="L1004" s="105"/>
      <c r="M1004" s="106"/>
      <c r="N1004" s="105"/>
      <c r="O1004" s="106"/>
      <c r="P1004" s="105"/>
      <c r="Q1004" s="106"/>
      <c r="R1004" s="105"/>
      <c r="S1004" s="59"/>
      <c r="T1004" s="64"/>
      <c r="U1004" s="44"/>
      <c r="W1004" s="59"/>
      <c r="X1004" s="64"/>
      <c r="Y1004" s="106"/>
      <c r="Z1004" s="105"/>
      <c r="AA1004" s="106"/>
      <c r="AB1004" s="105"/>
      <c r="AC1004" s="106"/>
      <c r="AD1004" s="105"/>
      <c r="AE1004" s="106"/>
      <c r="AF1004" s="105"/>
      <c r="AG1004" s="106"/>
      <c r="AH1004" s="105"/>
      <c r="AI1004" s="59"/>
      <c r="AJ1004" s="64"/>
      <c r="AK1004" s="44"/>
      <c r="AM1004" s="49"/>
      <c r="AN1004" s="49"/>
      <c r="AO1004" s="49"/>
      <c r="AP1004" s="49"/>
      <c r="AQ1004" s="49"/>
      <c r="AR1004" s="40"/>
      <c r="AS1004" s="51"/>
      <c r="AU1004" s="49"/>
      <c r="AW1004" s="52"/>
      <c r="BA1004" s="2"/>
      <c r="BB1004" s="2"/>
      <c r="BC1004" s="101"/>
      <c r="BD1004" s="101"/>
    </row>
    <row r="1005" spans="2:56" s="84" customFormat="1" x14ac:dyDescent="0.35">
      <c r="B1005" s="30"/>
      <c r="C1005" s="31"/>
      <c r="D1005" s="32"/>
      <c r="E1005" s="33"/>
      <c r="F1005" s="50">
        <f>B971</f>
        <v>23</v>
      </c>
      <c r="G1005" s="69"/>
      <c r="H1005" s="70"/>
      <c r="I1005" s="104"/>
      <c r="J1005" s="103"/>
      <c r="K1005" s="104"/>
      <c r="L1005" s="103"/>
      <c r="M1005" s="104"/>
      <c r="N1005" s="103"/>
      <c r="O1005" s="104"/>
      <c r="P1005" s="103"/>
      <c r="Q1005" s="104"/>
      <c r="R1005" s="103"/>
      <c r="S1005" s="69"/>
      <c r="T1005" s="70"/>
      <c r="U1005" s="71">
        <f t="shared" ref="U1005" si="415">SUM(G1005:T1005)</f>
        <v>0</v>
      </c>
      <c r="V1005" s="72"/>
      <c r="W1005" s="69"/>
      <c r="X1005" s="70"/>
      <c r="Y1005" s="104"/>
      <c r="Z1005" s="103"/>
      <c r="AA1005" s="104"/>
      <c r="AB1005" s="103"/>
      <c r="AC1005" s="104"/>
      <c r="AD1005" s="103"/>
      <c r="AE1005" s="104"/>
      <c r="AF1005" s="103"/>
      <c r="AG1005" s="104"/>
      <c r="AH1005" s="103"/>
      <c r="AI1005" s="69"/>
      <c r="AJ1005" s="70"/>
      <c r="AK1005" s="71">
        <f>SUM(W1005:AJ1005)</f>
        <v>0</v>
      </c>
      <c r="AL1005" s="72"/>
      <c r="AM1005" s="73">
        <f>SUMIF($G1004:$T1004,"",$G1005:$T1005)+SUMIF($W1004:$AJ1004,"",$W1005:$AJ1005)-AN1005</f>
        <v>0</v>
      </c>
      <c r="AN1005" s="88">
        <f>IF(SUMIF($G1004:$T1004,"",$G1005:$T1005)+SUMIF($G1004:$T1004,"F",$G1005:$T1005)+SUMIF($G1004:$T1004,"V",$G1005:$T1005)-40&lt;0,0,SUMIF($G1004:$T1004,"",$G1005:$T1005)+SUMIF($G1004:$T1004,"F",$G1005:$T1005)+SUMIF($G1004:$T1004,"V",$G1005:$T1005)-($U$9/2))+IF(SUMIF($W1004:$AJ1004,"",$W1005:$AJ1005)+SUMIF($W1004:$AJ1004,"F",$W1005:$AJ1005)+SUMIF($W1004:$AJ1004,"V",$W1005:$AJ1005)-40&lt;0,0,SUMIF($W1004:$AJ1004,"",$W1005:$AJ1005)+SUMIF($W1004:$AJ1004,"F",$W1005:$AJ1005)+SUMIF($W1004:$AJ1004,"V",$W1005:$AJ1005)-($U$9/2))</f>
        <v>0</v>
      </c>
      <c r="AO1005" s="73">
        <f>SUMIF($G1004:$T1004,"M",$G1005:$T1005)+SUMIF($W1004:$AJ1004,"M",$W1005:$AJ1005)</f>
        <v>0</v>
      </c>
      <c r="AP1005" s="73">
        <f>SUMIF($G1004:$T1004,"F",$G1005:$T1005)+SUMIF($W1004:$AJ1004,"F",$W1005:$AJ1005)</f>
        <v>0</v>
      </c>
      <c r="AQ1005" s="73">
        <f>SUMIF($G1004:$T1004,"V",$G1005:$T1005)+SUMIF($W1004:$AJ1004,"V",$W1005:$AJ1005)</f>
        <v>0</v>
      </c>
      <c r="AR1005" s="74">
        <f>SUMIF($G1004:$T1004,"O",$G1005:$T1005)+SUMIF($W1004:$AJ1004,"O",$W1005:$AJ1005)</f>
        <v>0</v>
      </c>
      <c r="AS1005" s="75">
        <f>SUM(AM1005:AR1005)</f>
        <v>0</v>
      </c>
      <c r="AT1005" s="72"/>
      <c r="AU1005" s="73">
        <f>SUMIF($G1004:$T1004,"A",$G1005:$T1005)+SUMIF($W1004:$AJ1004,"A",$W1005:$AJ1005)</f>
        <v>0</v>
      </c>
      <c r="AV1005" s="72"/>
      <c r="AW1005" s="76">
        <f>IF(B1005="",0,IF($U$9="",0,$U$9))</f>
        <v>0</v>
      </c>
      <c r="BA1005" s="2"/>
      <c r="BB1005" s="2"/>
      <c r="BC1005" s="101"/>
      <c r="BD1005" s="101"/>
    </row>
    <row r="1006" spans="2:56" s="84" customFormat="1" x14ac:dyDescent="0.35">
      <c r="B1006" s="26"/>
      <c r="C1006" s="27"/>
      <c r="D1006" s="28">
        <f>IF(D932="","",D932)</f>
        <v>11792</v>
      </c>
      <c r="E1006" s="29" t="str">
        <f t="shared" si="401"/>
        <v/>
      </c>
      <c r="F1006" s="50">
        <f>B971</f>
        <v>23</v>
      </c>
      <c r="G1006" s="59"/>
      <c r="H1006" s="64"/>
      <c r="I1006" s="106"/>
      <c r="J1006" s="105"/>
      <c r="K1006" s="106"/>
      <c r="L1006" s="105"/>
      <c r="M1006" s="106"/>
      <c r="N1006" s="105"/>
      <c r="O1006" s="106"/>
      <c r="P1006" s="105"/>
      <c r="Q1006" s="106"/>
      <c r="R1006" s="105"/>
      <c r="S1006" s="59"/>
      <c r="T1006" s="64"/>
      <c r="U1006" s="44"/>
      <c r="W1006" s="59"/>
      <c r="X1006" s="64"/>
      <c r="Y1006" s="106"/>
      <c r="Z1006" s="105"/>
      <c r="AA1006" s="106"/>
      <c r="AB1006" s="105"/>
      <c r="AC1006" s="106"/>
      <c r="AD1006" s="105"/>
      <c r="AE1006" s="106"/>
      <c r="AF1006" s="105"/>
      <c r="AG1006" s="106"/>
      <c r="AH1006" s="105"/>
      <c r="AI1006" s="59"/>
      <c r="AJ1006" s="64"/>
      <c r="AK1006" s="44"/>
      <c r="AM1006" s="49"/>
      <c r="AN1006" s="49"/>
      <c r="AO1006" s="49"/>
      <c r="AP1006" s="49"/>
      <c r="AQ1006" s="49"/>
      <c r="AR1006" s="40"/>
      <c r="AS1006" s="51"/>
      <c r="AU1006" s="49"/>
      <c r="AW1006" s="52"/>
      <c r="BA1006" s="2"/>
      <c r="BB1006" s="2"/>
      <c r="BC1006" s="101"/>
      <c r="BD1006" s="101"/>
    </row>
    <row r="1007" spans="2:56" s="84" customFormat="1" x14ac:dyDescent="0.35">
      <c r="B1007" s="30" t="str">
        <f>IF(B933="","",B933)</f>
        <v>Pellerin, Pierre</v>
      </c>
      <c r="C1007" s="31"/>
      <c r="D1007" s="32"/>
      <c r="E1007" s="33">
        <f t="shared" si="401"/>
        <v>93595935</v>
      </c>
      <c r="F1007" s="50">
        <f>B971</f>
        <v>23</v>
      </c>
      <c r="G1007" s="69"/>
      <c r="H1007" s="70"/>
      <c r="I1007" s="104"/>
      <c r="J1007" s="103">
        <v>8</v>
      </c>
      <c r="K1007" s="104"/>
      <c r="L1007" s="103">
        <v>8</v>
      </c>
      <c r="M1007" s="104"/>
      <c r="N1007" s="103">
        <v>8</v>
      </c>
      <c r="O1007" s="104"/>
      <c r="P1007" s="103">
        <v>8</v>
      </c>
      <c r="Q1007" s="104"/>
      <c r="R1007" s="103">
        <v>8</v>
      </c>
      <c r="S1007" s="69"/>
      <c r="T1007" s="70"/>
      <c r="U1007" s="71">
        <f t="shared" ref="U1007" si="416">SUM(G1007:T1007)</f>
        <v>40</v>
      </c>
      <c r="V1007" s="72"/>
      <c r="W1007" s="69"/>
      <c r="X1007" s="70"/>
      <c r="Y1007" s="104"/>
      <c r="Z1007" s="103">
        <v>8</v>
      </c>
      <c r="AA1007" s="104"/>
      <c r="AB1007" s="103">
        <v>8</v>
      </c>
      <c r="AC1007" s="104"/>
      <c r="AD1007" s="103">
        <v>8</v>
      </c>
      <c r="AE1007" s="104"/>
      <c r="AF1007" s="103">
        <v>8</v>
      </c>
      <c r="AG1007" s="104"/>
      <c r="AH1007" s="103">
        <v>8</v>
      </c>
      <c r="AI1007" s="69"/>
      <c r="AJ1007" s="70"/>
      <c r="AK1007" s="71">
        <f>SUM(Z1007:AH1007)</f>
        <v>40</v>
      </c>
      <c r="AL1007" s="72"/>
      <c r="AM1007" s="73">
        <f>SUMIF($G1006:$T1006,"",$G1007:$T1007)+SUMIF($W1006:$AJ1006,"",$W1007:$AJ1007)-AN1007</f>
        <v>80</v>
      </c>
      <c r="AN1007" s="88">
        <f>IF(SUMIF($G1006:$T1006,"",$G1007:$T1007)+SUMIF($G1006:$T1006,"F",$G1007:$T1007)+SUMIF($G1006:$T1006,"V",$G1007:$T1007)-40&lt;0,0,SUMIF($G1006:$T1006,"",$G1007:$T1007)+SUMIF($G1006:$T1006,"F",$G1007:$T1007)+SUMIF($G1006:$T1006,"V",$G1007:$T1007)-($U$9/2))+IF(SUMIF($W1006:$AJ1006,"",$W1007:$AJ1007)+SUMIF($W1006:$AJ1006,"F",$W1007:$AJ1007)+SUMIF($W1006:$AJ1006,"V",$W1007:$AJ1007)-40&lt;0,0,SUMIF($W1006:$AJ1006,"",$W1007:$AJ1007)+SUMIF($W1006:$AJ1006,"F",$W1007:$AJ1007)+SUMIF($W1006:$AJ1006,"V",$W1007:$AJ1007)-($U$9/2))</f>
        <v>0</v>
      </c>
      <c r="AO1007" s="73">
        <f>SUMIF($G1006:$T1006,"M",$G1007:$T1007)+SUMIF($W1006:$AJ1006,"M",$W1007:$AJ1007)</f>
        <v>0</v>
      </c>
      <c r="AP1007" s="73">
        <f>SUMIF($G1006:$T1006,"F",$G1007:$T1007)+SUMIF($W1006:$AJ1006,"F",$W1007:$AJ1007)</f>
        <v>0</v>
      </c>
      <c r="AQ1007" s="73">
        <f>SUMIF($G1006:$T1006,"V",$G1007:$T1007)+SUMIF($W1006:$AJ1006,"V",$W1007:$AJ1007)</f>
        <v>0</v>
      </c>
      <c r="AR1007" s="74">
        <f>SUMIF($G1006:$T1006,"O",$G1007:$T1007)+SUMIF($W1006:$AJ1006,"O",$W1007:$AJ1007)</f>
        <v>0</v>
      </c>
      <c r="AS1007" s="75">
        <f>SUM(AM1007:AR1007)</f>
        <v>80</v>
      </c>
      <c r="AT1007" s="72"/>
      <c r="AU1007" s="73">
        <f>SUMIF($G1006:$T1006,"A",$G1007:$T1007)+SUMIF($W1006:$AJ1006,"A",$W1007:$AJ1007)</f>
        <v>0</v>
      </c>
      <c r="AV1007" s="72"/>
      <c r="AW1007" s="76">
        <f>IF(B1007="",0,IF($U$9="",0,$U$9))</f>
        <v>80</v>
      </c>
      <c r="BA1007" s="2"/>
      <c r="BB1007" s="2"/>
      <c r="BC1007" s="101"/>
      <c r="BD1007" s="101"/>
    </row>
    <row r="1008" spans="2:56" s="84" customFormat="1" x14ac:dyDescent="0.35">
      <c r="B1008" s="26"/>
      <c r="C1008" s="27"/>
      <c r="D1008" s="28">
        <f>IF(D934="","",D934)</f>
        <v>81043</v>
      </c>
      <c r="E1008" s="29" t="str">
        <f t="shared" si="401"/>
        <v/>
      </c>
      <c r="F1008" s="50">
        <f>B971</f>
        <v>23</v>
      </c>
      <c r="G1008" s="59"/>
      <c r="H1008" s="64"/>
      <c r="I1008" s="106"/>
      <c r="J1008" s="105"/>
      <c r="K1008" s="106"/>
      <c r="L1008" s="105"/>
      <c r="M1008" s="106"/>
      <c r="N1008" s="105"/>
      <c r="O1008" s="106"/>
      <c r="P1008" s="105"/>
      <c r="Q1008" s="106"/>
      <c r="R1008" s="105"/>
      <c r="S1008" s="59"/>
      <c r="T1008" s="64"/>
      <c r="U1008" s="44"/>
      <c r="W1008" s="59"/>
      <c r="X1008" s="64"/>
      <c r="Y1008" s="106"/>
      <c r="Z1008" s="105"/>
      <c r="AA1008" s="106"/>
      <c r="AB1008" s="105"/>
      <c r="AC1008" s="106"/>
      <c r="AD1008" s="105"/>
      <c r="AE1008" s="106"/>
      <c r="AF1008" s="105"/>
      <c r="AG1008" s="106"/>
      <c r="AH1008" s="105"/>
      <c r="AI1008" s="59"/>
      <c r="AJ1008" s="64"/>
      <c r="AK1008" s="44"/>
      <c r="AM1008" s="49"/>
      <c r="AN1008" s="49"/>
      <c r="AO1008" s="49"/>
      <c r="AP1008" s="49"/>
      <c r="AQ1008" s="49"/>
      <c r="AR1008" s="40"/>
      <c r="AS1008" s="51"/>
      <c r="AU1008" s="49"/>
      <c r="AW1008" s="52"/>
      <c r="BA1008" s="2"/>
      <c r="BB1008" s="2"/>
      <c r="BC1008" s="101"/>
      <c r="BD1008" s="101"/>
    </row>
    <row r="1009" spans="1:56" s="84" customFormat="1" x14ac:dyDescent="0.35">
      <c r="B1009" s="30" t="str">
        <f>IF(B935="","",B935)</f>
        <v>Rodrigue, Frank</v>
      </c>
      <c r="C1009" s="31"/>
      <c r="D1009" s="32"/>
      <c r="E1009" s="33">
        <f t="shared" ref="E1009:E1025" si="417">IF(E935="","",E935)</f>
        <v>93545</v>
      </c>
      <c r="F1009" s="50">
        <f>B971</f>
        <v>23</v>
      </c>
      <c r="G1009" s="69"/>
      <c r="H1009" s="70"/>
      <c r="I1009" s="104"/>
      <c r="J1009" s="103">
        <v>8</v>
      </c>
      <c r="K1009" s="104"/>
      <c r="L1009" s="103">
        <v>8</v>
      </c>
      <c r="M1009" s="104"/>
      <c r="N1009" s="103">
        <v>8</v>
      </c>
      <c r="O1009" s="104"/>
      <c r="P1009" s="103">
        <v>8</v>
      </c>
      <c r="Q1009" s="104"/>
      <c r="R1009" s="103">
        <v>8</v>
      </c>
      <c r="S1009" s="69"/>
      <c r="T1009" s="70"/>
      <c r="U1009" s="71">
        <f t="shared" ref="U1009" si="418">SUM(G1009:T1009)</f>
        <v>40</v>
      </c>
      <c r="V1009" s="72"/>
      <c r="W1009" s="69"/>
      <c r="X1009" s="70"/>
      <c r="Y1009" s="104"/>
      <c r="Z1009" s="103">
        <v>8</v>
      </c>
      <c r="AA1009" s="104"/>
      <c r="AB1009" s="103">
        <v>8</v>
      </c>
      <c r="AC1009" s="104"/>
      <c r="AD1009" s="103">
        <v>8</v>
      </c>
      <c r="AE1009" s="104"/>
      <c r="AF1009" s="103">
        <v>8</v>
      </c>
      <c r="AG1009" s="104"/>
      <c r="AH1009" s="103">
        <v>8</v>
      </c>
      <c r="AI1009" s="69"/>
      <c r="AJ1009" s="70"/>
      <c r="AK1009" s="71">
        <f>SUM(W1009:AJ1009)</f>
        <v>40</v>
      </c>
      <c r="AL1009" s="72"/>
      <c r="AM1009" s="73">
        <f>SUMIF($G1008:$T1008,"",$G1009:$T1009)+SUMIF($W1008:$AJ1008,"",$W1009:$AJ1009)-AN1009</f>
        <v>80</v>
      </c>
      <c r="AN1009" s="88">
        <f>IF(SUMIF($G1008:$T1008,"",$G1009:$T1009)+SUMIF($G1008:$T1008,"F",$G1009:$T1009)+SUMIF($G1008:$T1008,"V",$G1009:$T1009)-40&lt;0,0,SUMIF($G1008:$T1008,"",$G1009:$T1009)+SUMIF($G1008:$T1008,"F",$G1009:$T1009)+SUMIF($G1008:$T1008,"V",$G1009:$T1009)-($U$9/2))+IF(SUMIF($W1008:$AJ1008,"",$W1009:$AJ1009)+SUMIF($W1008:$AJ1008,"F",$W1009:$AJ1009)+SUMIF($W1008:$AJ1008,"V",$W1009:$AJ1009)-40&lt;0,0,SUMIF($W1008:$AJ1008,"",$W1009:$AJ1009)+SUMIF($W1008:$AJ1008,"F",$W1009:$AJ1009)+SUMIF($W1008:$AJ1008,"V",$W1009:$AJ1009)-($U$9/2))</f>
        <v>0</v>
      </c>
      <c r="AO1009" s="73">
        <f>SUMIF($G1008:$T1008,"M",$G1009:$T1009)+SUMIF($W1008:$AJ1008,"M",$W1009:$AJ1009)</f>
        <v>0</v>
      </c>
      <c r="AP1009" s="73">
        <f>SUMIF($G1008:$T1008,"F",$G1009:$T1009)+SUMIF($W1008:$AJ1008,"F",$W1009:$AJ1009)</f>
        <v>0</v>
      </c>
      <c r="AQ1009" s="73">
        <f>SUMIF($G1008:$T1008,"V",$G1009:$T1009)+SUMIF($W1008:$AJ1008,"V",$W1009:$AJ1009)</f>
        <v>0</v>
      </c>
      <c r="AR1009" s="74">
        <f>SUMIF($G1008:$T1008,"O",$G1009:$T1009)+SUMIF($W1008:$AJ1008,"O",$W1009:$AJ1009)</f>
        <v>0</v>
      </c>
      <c r="AS1009" s="75">
        <f>SUM(AM1009:AR1009)</f>
        <v>80</v>
      </c>
      <c r="AT1009" s="72"/>
      <c r="AU1009" s="73">
        <f>SUMIF($G1008:$T1008,"A",$G1009:$T1009)+SUMIF($W1008:$AJ1008,"A",$W1009:$AJ1009)</f>
        <v>0</v>
      </c>
      <c r="AV1009" s="72"/>
      <c r="AW1009" s="76">
        <f>IF(B1009="",0,IF($U$9="",0,$U$9))</f>
        <v>80</v>
      </c>
      <c r="BA1009" s="2"/>
      <c r="BB1009" s="2"/>
      <c r="BC1009" s="101"/>
      <c r="BD1009" s="101"/>
    </row>
    <row r="1010" spans="1:56" s="84" customFormat="1" x14ac:dyDescent="0.35">
      <c r="B1010" s="26"/>
      <c r="C1010" s="27"/>
      <c r="D1010" s="28">
        <f>IF(D936="","",D936)</f>
        <v>72673</v>
      </c>
      <c r="E1010" s="29" t="str">
        <f t="shared" si="417"/>
        <v/>
      </c>
      <c r="F1010" s="50">
        <f>B971</f>
        <v>23</v>
      </c>
      <c r="G1010" s="59"/>
      <c r="H1010" s="64"/>
      <c r="I1010" s="106"/>
      <c r="J1010" s="105"/>
      <c r="K1010" s="106"/>
      <c r="L1010" s="105"/>
      <c r="M1010" s="106"/>
      <c r="N1010" s="105"/>
      <c r="O1010" s="106"/>
      <c r="P1010" s="105"/>
      <c r="Q1010" s="106"/>
      <c r="R1010" s="105"/>
      <c r="S1010" s="59"/>
      <c r="T1010" s="64"/>
      <c r="U1010" s="44"/>
      <c r="W1010" s="59"/>
      <c r="X1010" s="64"/>
      <c r="Y1010" s="106"/>
      <c r="Z1010" s="105"/>
      <c r="AA1010" s="106"/>
      <c r="AB1010" s="105"/>
      <c r="AC1010" s="106"/>
      <c r="AD1010" s="105"/>
      <c r="AE1010" s="106"/>
      <c r="AF1010" s="105"/>
      <c r="AG1010" s="106"/>
      <c r="AH1010" s="105"/>
      <c r="AI1010" s="59"/>
      <c r="AJ1010" s="64"/>
      <c r="AK1010" s="44"/>
      <c r="AM1010" s="49"/>
      <c r="AN1010" s="49"/>
      <c r="AO1010" s="49"/>
      <c r="AP1010" s="49"/>
      <c r="AQ1010" s="49"/>
      <c r="AR1010" s="40"/>
      <c r="AS1010" s="51"/>
      <c r="AU1010" s="49"/>
      <c r="AW1010" s="52"/>
      <c r="BA1010" s="2"/>
      <c r="BB1010" s="2"/>
      <c r="BC1010" s="101"/>
      <c r="BD1010" s="101"/>
    </row>
    <row r="1011" spans="1:56" s="84" customFormat="1" x14ac:dyDescent="0.35">
      <c r="B1011" s="30" t="str">
        <f>IF(B937="","",B937)</f>
        <v>St-Georges, Manuel (avance $2,000)</v>
      </c>
      <c r="C1011" s="31"/>
      <c r="D1011" s="32"/>
      <c r="E1011" s="33">
        <f t="shared" si="417"/>
        <v>93595935</v>
      </c>
      <c r="F1011" s="50">
        <f>B971</f>
        <v>23</v>
      </c>
      <c r="G1011" s="69"/>
      <c r="H1011" s="70"/>
      <c r="I1011" s="104"/>
      <c r="J1011" s="103" t="s">
        <v>69</v>
      </c>
      <c r="K1011" s="104"/>
      <c r="L1011" s="103" t="s">
        <v>69</v>
      </c>
      <c r="M1011" s="104"/>
      <c r="N1011" s="103" t="s">
        <v>69</v>
      </c>
      <c r="O1011" s="104"/>
      <c r="P1011" s="103" t="s">
        <v>69</v>
      </c>
      <c r="Q1011" s="104"/>
      <c r="R1011" s="103" t="s">
        <v>69</v>
      </c>
      <c r="S1011" s="69"/>
      <c r="T1011" s="70"/>
      <c r="U1011" s="71">
        <f t="shared" ref="U1011" si="419">SUM(G1011:T1011)</f>
        <v>0</v>
      </c>
      <c r="V1011" s="72"/>
      <c r="W1011" s="69"/>
      <c r="X1011" s="70"/>
      <c r="Y1011" s="104"/>
      <c r="Z1011" s="103" t="s">
        <v>69</v>
      </c>
      <c r="AA1011" s="104"/>
      <c r="AB1011" s="103" t="s">
        <v>69</v>
      </c>
      <c r="AC1011" s="104"/>
      <c r="AD1011" s="103" t="s">
        <v>69</v>
      </c>
      <c r="AE1011" s="104"/>
      <c r="AF1011" s="103" t="s">
        <v>69</v>
      </c>
      <c r="AG1011" s="104"/>
      <c r="AH1011" s="103" t="s">
        <v>69</v>
      </c>
      <c r="AI1011" s="69"/>
      <c r="AJ1011" s="70"/>
      <c r="AK1011" s="71">
        <f>SUM(W1011:AJ1011)</f>
        <v>0</v>
      </c>
      <c r="AL1011" s="72"/>
      <c r="AM1011" s="73">
        <f>SUMIF($G1010:$T1010,"",$G1011:$T1011)+SUMIF($W1010:$AJ1010,"",$W1011:$AJ1011)-AN1011</f>
        <v>0</v>
      </c>
      <c r="AN1011" s="88">
        <f>IF(SUMIF($G1010:$T1010,"",$G1011:$T1011)+SUMIF($G1010:$T1010,"F",$G1011:$T1011)+SUMIF($G1010:$T1010,"V",$G1011:$T1011)-40&lt;0,0,SUMIF($G1010:$T1010,"",$G1011:$T1011)+SUMIF($G1010:$T1010,"F",$G1011:$T1011)+SUMIF($G1010:$T1010,"V",$G1011:$T1011)-($U$9/2))+IF(SUMIF($W1010:$AJ1010,"",$W1011:$AJ1011)+SUMIF($W1010:$AJ1010,"F",$W1011:$AJ1011)+SUMIF($W1010:$AJ1010,"V",$W1011:$AJ1011)-40&lt;0,0,SUMIF($W1010:$AJ1010,"",$W1011:$AJ1011)+SUMIF($W1010:$AJ1010,"F",$W1011:$AJ1011)+SUMIF($W1010:$AJ1010,"V",$W1011:$AJ1011)-($U$9/2))</f>
        <v>0</v>
      </c>
      <c r="AO1011" s="73">
        <f>SUMIF($G1010:$T1010,"M",$G1011:$T1011)+SUMIF($W1010:$AJ1010,"M",$W1011:$AJ1011)</f>
        <v>0</v>
      </c>
      <c r="AP1011" s="73">
        <f>SUMIF($G1010:$T1010,"F",$G1011:$T1011)+SUMIF($W1010:$AJ1010,"F",$W1011:$AJ1011)</f>
        <v>0</v>
      </c>
      <c r="AQ1011" s="73">
        <f>SUMIF($G1010:$T1010,"V",$G1011:$T1011)+SUMIF($W1010:$AJ1010,"V",$W1011:$AJ1011)</f>
        <v>0</v>
      </c>
      <c r="AR1011" s="74">
        <f>SUMIF($G1010:$T1010,"O",$G1011:$T1011)+SUMIF($W1010:$AJ1010,"O",$W1011:$AJ1011)</f>
        <v>0</v>
      </c>
      <c r="AS1011" s="75">
        <f>SUM(AM1011:AR1011)</f>
        <v>0</v>
      </c>
      <c r="AT1011" s="72"/>
      <c r="AU1011" s="73">
        <f>SUMIF($G1010:$T1010,"A",$G1011:$T1011)+SUMIF($W1010:$AJ1010,"A",$W1011:$AJ1011)</f>
        <v>0</v>
      </c>
      <c r="AV1011" s="72"/>
      <c r="AW1011" s="76">
        <f>IF(B1011="",0,IF($U$9="",0,$U$9))</f>
        <v>80</v>
      </c>
      <c r="BA1011" s="2"/>
      <c r="BB1011" s="2"/>
      <c r="BC1011" s="101"/>
      <c r="BD1011" s="101"/>
    </row>
    <row r="1012" spans="1:56" s="84" customFormat="1" x14ac:dyDescent="0.35">
      <c r="B1012" s="26"/>
      <c r="C1012" s="27"/>
      <c r="D1012" s="28" t="str">
        <f>IF(D938="","",D938)</f>
        <v/>
      </c>
      <c r="E1012" s="29" t="str">
        <f t="shared" si="417"/>
        <v/>
      </c>
      <c r="F1012" s="50">
        <f>B971</f>
        <v>23</v>
      </c>
      <c r="G1012" s="59"/>
      <c r="H1012" s="64"/>
      <c r="I1012" s="106"/>
      <c r="J1012" s="105"/>
      <c r="K1012" s="106"/>
      <c r="L1012" s="105"/>
      <c r="M1012" s="106"/>
      <c r="N1012" s="105"/>
      <c r="O1012" s="106"/>
      <c r="P1012" s="105"/>
      <c r="Q1012" s="106"/>
      <c r="R1012" s="105"/>
      <c r="S1012" s="59"/>
      <c r="T1012" s="64"/>
      <c r="U1012" s="44"/>
      <c r="W1012" s="59"/>
      <c r="X1012" s="64"/>
      <c r="Y1012" s="106"/>
      <c r="Z1012" s="105"/>
      <c r="AA1012" s="106"/>
      <c r="AB1012" s="105"/>
      <c r="AC1012" s="106"/>
      <c r="AD1012" s="105"/>
      <c r="AE1012" s="106"/>
      <c r="AF1012" s="105"/>
      <c r="AG1012" s="106"/>
      <c r="AH1012" s="105"/>
      <c r="AI1012" s="59"/>
      <c r="AJ1012" s="64"/>
      <c r="AK1012" s="44"/>
      <c r="AM1012" s="49"/>
      <c r="AN1012" s="49"/>
      <c r="AO1012" s="49"/>
      <c r="AP1012" s="49"/>
      <c r="AQ1012" s="49"/>
      <c r="AR1012" s="40"/>
      <c r="AS1012" s="51"/>
      <c r="AU1012" s="49"/>
      <c r="AW1012" s="52"/>
      <c r="BA1012" s="2"/>
      <c r="BB1012" s="2"/>
      <c r="BC1012" s="101"/>
      <c r="BD1012" s="101"/>
    </row>
    <row r="1013" spans="1:56" s="84" customFormat="1" x14ac:dyDescent="0.35">
      <c r="B1013" s="30" t="str">
        <f>IF(B939="","",B939)</f>
        <v/>
      </c>
      <c r="C1013" s="31"/>
      <c r="D1013" s="32"/>
      <c r="E1013" s="33" t="str">
        <f t="shared" si="417"/>
        <v/>
      </c>
      <c r="F1013" s="50">
        <f>B971</f>
        <v>23</v>
      </c>
      <c r="G1013" s="69"/>
      <c r="H1013" s="70"/>
      <c r="I1013" s="104"/>
      <c r="J1013" s="103"/>
      <c r="K1013" s="104"/>
      <c r="L1013" s="103"/>
      <c r="M1013" s="104"/>
      <c r="N1013" s="103"/>
      <c r="O1013" s="104"/>
      <c r="P1013" s="103"/>
      <c r="Q1013" s="104"/>
      <c r="R1013" s="103"/>
      <c r="S1013" s="69"/>
      <c r="T1013" s="70"/>
      <c r="U1013" s="71">
        <f t="shared" ref="U1013" si="420">SUM(G1013:T1013)</f>
        <v>0</v>
      </c>
      <c r="V1013" s="72"/>
      <c r="W1013" s="69"/>
      <c r="X1013" s="70"/>
      <c r="Y1013" s="104"/>
      <c r="Z1013" s="103"/>
      <c r="AA1013" s="104"/>
      <c r="AB1013" s="103"/>
      <c r="AC1013" s="104"/>
      <c r="AD1013" s="103"/>
      <c r="AE1013" s="104"/>
      <c r="AF1013" s="103"/>
      <c r="AG1013" s="104"/>
      <c r="AH1013" s="103"/>
      <c r="AI1013" s="69"/>
      <c r="AJ1013" s="70"/>
      <c r="AK1013" s="71">
        <f>SUM(W1013:AJ1013)</f>
        <v>0</v>
      </c>
      <c r="AL1013" s="72"/>
      <c r="AM1013" s="73">
        <f>SUMIF($G1012:$T1012,"",$G1013:$T1013)+SUMIF($W1012:$AJ1012,"",$W1013:$AJ1013)-AN1013</f>
        <v>0</v>
      </c>
      <c r="AN1013" s="88">
        <f>IF(SUMIF($G1012:$T1012,"",$G1013:$T1013)+SUMIF($G1012:$T1012,"F",$G1013:$T1013)+SUMIF($G1012:$T1012,"V",$G1013:$T1013)-40&lt;0,0,SUMIF($G1012:$T1012,"",$G1013:$T1013)+SUMIF($G1012:$T1012,"F",$G1013:$T1013)+SUMIF($G1012:$T1012,"V",$G1013:$T1013)-($U$9/2))+IF(SUMIF($W1012:$AJ1012,"",$W1013:$AJ1013)+SUMIF($W1012:$AJ1012,"F",$W1013:$AJ1013)+SUMIF($W1012:$AJ1012,"V",$W1013:$AJ1013)-40&lt;0,0,SUMIF($W1012:$AJ1012,"",$W1013:$AJ1013)+SUMIF($W1012:$AJ1012,"F",$W1013:$AJ1013)+SUMIF($W1012:$AJ1012,"V",$W1013:$AJ1013)-($U$9/2))</f>
        <v>0</v>
      </c>
      <c r="AO1013" s="73">
        <f>SUMIF($G1012:$T1012,"M",$G1013:$T1013)+SUMIF($W1012:$AJ1012,"M",$W1013:$AJ1013)</f>
        <v>0</v>
      </c>
      <c r="AP1013" s="73">
        <f>SUMIF($G1012:$T1012,"F",$G1013:$T1013)+SUMIF($W1012:$AJ1012,"F",$W1013:$AJ1013)</f>
        <v>0</v>
      </c>
      <c r="AQ1013" s="73">
        <f>SUMIF($G1012:$T1012,"V",$G1013:$T1013)+SUMIF($W1012:$AJ1012,"V",$W1013:$AJ1013)</f>
        <v>0</v>
      </c>
      <c r="AR1013" s="74">
        <f>SUMIF($G1012:$T1012,"O",$G1013:$T1013)+SUMIF($W1012:$AJ1012,"O",$W1013:$AJ1013)</f>
        <v>0</v>
      </c>
      <c r="AS1013" s="75">
        <f>SUM(AM1013:AR1013)</f>
        <v>0</v>
      </c>
      <c r="AT1013" s="72"/>
      <c r="AU1013" s="73">
        <f>SUMIF($G1012:$T1012,"A",$G1013:$T1013)+SUMIF($W1012:$AJ1012,"A",$W1013:$AJ1013)</f>
        <v>0</v>
      </c>
      <c r="AV1013" s="72"/>
      <c r="AW1013" s="76">
        <f>IF(B1013="",0,IF($U$9="",0,$U$9))</f>
        <v>0</v>
      </c>
      <c r="BA1013" s="2"/>
      <c r="BB1013" s="2"/>
      <c r="BC1013" s="101"/>
      <c r="BD1013" s="101"/>
    </row>
    <row r="1014" spans="1:56" s="84" customFormat="1" x14ac:dyDescent="0.35">
      <c r="B1014" s="26"/>
      <c r="C1014" s="27"/>
      <c r="D1014" s="28">
        <f>IF(D940="","",D940)</f>
        <v>23736</v>
      </c>
      <c r="E1014" s="29" t="str">
        <f t="shared" si="417"/>
        <v/>
      </c>
      <c r="F1014" s="50">
        <f>B971</f>
        <v>23</v>
      </c>
      <c r="G1014" s="59"/>
      <c r="H1014" s="64"/>
      <c r="I1014" s="106"/>
      <c r="J1014" s="105" t="s">
        <v>3</v>
      </c>
      <c r="K1014" s="106"/>
      <c r="L1014" s="105" t="s">
        <v>3</v>
      </c>
      <c r="M1014" s="106"/>
      <c r="N1014" s="105" t="s">
        <v>3</v>
      </c>
      <c r="O1014" s="106"/>
      <c r="P1014" s="105" t="s">
        <v>3</v>
      </c>
      <c r="Q1014" s="106"/>
      <c r="R1014" s="105" t="s">
        <v>3</v>
      </c>
      <c r="S1014" s="59"/>
      <c r="T1014" s="64"/>
      <c r="U1014" s="44"/>
      <c r="W1014" s="59"/>
      <c r="X1014" s="64"/>
      <c r="Y1014" s="106"/>
      <c r="Z1014" s="105" t="s">
        <v>1</v>
      </c>
      <c r="AA1014" s="106"/>
      <c r="AB1014" s="105" t="s">
        <v>1</v>
      </c>
      <c r="AC1014" s="106"/>
      <c r="AD1014" s="105"/>
      <c r="AE1014" s="106"/>
      <c r="AF1014" s="105"/>
      <c r="AG1014" s="106"/>
      <c r="AH1014" s="105"/>
      <c r="AI1014" s="59"/>
      <c r="AJ1014" s="64"/>
      <c r="AK1014" s="44"/>
      <c r="AM1014" s="49"/>
      <c r="AN1014" s="49"/>
      <c r="AO1014" s="49"/>
      <c r="AP1014" s="49"/>
      <c r="AQ1014" s="49"/>
      <c r="AR1014" s="40"/>
      <c r="AS1014" s="51"/>
      <c r="AU1014" s="49"/>
      <c r="AW1014" s="52"/>
      <c r="BA1014" s="2"/>
      <c r="BB1014" s="2"/>
      <c r="BC1014" s="101"/>
      <c r="BD1014" s="101"/>
    </row>
    <row r="1015" spans="1:56" s="84" customFormat="1" x14ac:dyDescent="0.35">
      <c r="B1015" s="30" t="str">
        <f>IF(B941="","",B941)</f>
        <v>Voster, Jean-Michel</v>
      </c>
      <c r="C1015" s="31"/>
      <c r="D1015" s="32"/>
      <c r="E1015" s="33">
        <f t="shared" si="417"/>
        <v>93545</v>
      </c>
      <c r="F1015" s="50">
        <f>B971</f>
        <v>23</v>
      </c>
      <c r="G1015" s="69"/>
      <c r="H1015" s="70"/>
      <c r="I1015" s="104"/>
      <c r="J1015" s="103">
        <v>0</v>
      </c>
      <c r="K1015" s="104"/>
      <c r="L1015" s="103">
        <v>0</v>
      </c>
      <c r="M1015" s="104"/>
      <c r="N1015" s="103">
        <v>0</v>
      </c>
      <c r="O1015" s="104"/>
      <c r="P1015" s="103">
        <v>0</v>
      </c>
      <c r="Q1015" s="104"/>
      <c r="R1015" s="103">
        <v>0</v>
      </c>
      <c r="S1015" s="69"/>
      <c r="T1015" s="70"/>
      <c r="U1015" s="71">
        <f t="shared" ref="U1015" si="421">SUM(G1015:T1015)</f>
        <v>0</v>
      </c>
      <c r="V1015" s="72"/>
      <c r="W1015" s="69"/>
      <c r="X1015" s="70"/>
      <c r="Y1015" s="104"/>
      <c r="Z1015" s="103">
        <v>8</v>
      </c>
      <c r="AA1015" s="104"/>
      <c r="AB1015" s="103">
        <v>8</v>
      </c>
      <c r="AC1015" s="104"/>
      <c r="AD1015" s="103">
        <v>8</v>
      </c>
      <c r="AE1015" s="104"/>
      <c r="AF1015" s="103">
        <v>8</v>
      </c>
      <c r="AG1015" s="104"/>
      <c r="AH1015" s="103">
        <v>8</v>
      </c>
      <c r="AI1015" s="69"/>
      <c r="AJ1015" s="70"/>
      <c r="AK1015" s="71">
        <f>SUM(W1015:AJ1015)</f>
        <v>40</v>
      </c>
      <c r="AL1015" s="72"/>
      <c r="AM1015" s="73">
        <f>SUMIF($G1014:$T1014,"",$G1015:$T1015)+SUMIF($W1014:$AJ1014,"",$W1015:$AJ1015)-AN1015</f>
        <v>24</v>
      </c>
      <c r="AN1015" s="88">
        <f>IF(SUMIF($G1014:$T1014,"",$G1015:$T1015)+SUMIF($G1014:$T1014,"F",$G1015:$T1015)+SUMIF($G1014:$T1014,"V",$G1015:$T1015)-40&lt;0,0,SUMIF($G1014:$T1014,"",$G1015:$T1015)+SUMIF($G1014:$T1014,"F",$G1015:$T1015)+SUMIF($G1014:$T1014,"V",$G1015:$T1015)-($U$9/2))+IF(SUMIF($W1014:$AJ1014,"",$W1015:$AJ1015)+SUMIF($W1014:$AJ1014,"F",$W1015:$AJ1015)+SUMIF($W1014:$AJ1014,"V",$W1015:$AJ1015)-40&lt;0,0,SUMIF($W1014:$AJ1014,"",$W1015:$AJ1015)+SUMIF($W1014:$AJ1014,"F",$W1015:$AJ1015)+SUMIF($W1014:$AJ1014,"V",$W1015:$AJ1015)-($U$9/2))</f>
        <v>0</v>
      </c>
      <c r="AO1015" s="73">
        <f>SUMIF($G1014:$T1014,"M",$G1015:$T1015)+SUMIF($W1014:$AJ1014,"M",$W1015:$AJ1015)</f>
        <v>0</v>
      </c>
      <c r="AP1015" s="73">
        <f>SUMIF($G1014:$T1014,"F",$G1015:$T1015)+SUMIF($W1014:$AJ1014,"F",$W1015:$AJ1015)</f>
        <v>0</v>
      </c>
      <c r="AQ1015" s="73">
        <f>SUMIF($G1014:$T1014,"V",$G1015:$T1015)+SUMIF($W1014:$AJ1014,"V",$W1015:$AJ1015)</f>
        <v>16</v>
      </c>
      <c r="AR1015" s="74">
        <f>SUMIF($G1014:$T1014,"O",$G1015:$T1015)+SUMIF($W1014:$AJ1014,"O",$W1015:$AJ1015)</f>
        <v>0</v>
      </c>
      <c r="AS1015" s="75">
        <f>SUM(AM1015:AR1015)</f>
        <v>40</v>
      </c>
      <c r="AT1015" s="72"/>
      <c r="AU1015" s="73">
        <f>SUMIF($G1014:$T1014,"A",$G1015:$T1015)+SUMIF($W1014:$AJ1014,"A",$W1015:$AJ1015)</f>
        <v>0</v>
      </c>
      <c r="AV1015" s="72"/>
      <c r="AW1015" s="76">
        <f>IF(B1015="",0,IF($U$9="",0,$U$9))</f>
        <v>80</v>
      </c>
      <c r="BA1015" s="2"/>
      <c r="BB1015" s="2"/>
      <c r="BC1015" s="101"/>
      <c r="BD1015" s="101"/>
    </row>
    <row r="1016" spans="1:56" s="53" customFormat="1" ht="15" customHeight="1" x14ac:dyDescent="0.35">
      <c r="A1016" s="84"/>
      <c r="B1016" s="26"/>
      <c r="C1016" s="27"/>
      <c r="D1016" s="28" t="str">
        <f>IF(D942="","",D942)</f>
        <v/>
      </c>
      <c r="E1016" s="29" t="str">
        <f t="shared" si="417"/>
        <v/>
      </c>
      <c r="F1016" s="50">
        <f>B971</f>
        <v>23</v>
      </c>
      <c r="G1016" s="59"/>
      <c r="H1016" s="64"/>
      <c r="I1016" s="106"/>
      <c r="J1016" s="105"/>
      <c r="K1016" s="106"/>
      <c r="L1016" s="105"/>
      <c r="M1016" s="106"/>
      <c r="N1016" s="105"/>
      <c r="O1016" s="106"/>
      <c r="P1016" s="105"/>
      <c r="Q1016" s="106"/>
      <c r="R1016" s="105"/>
      <c r="S1016" s="59"/>
      <c r="T1016" s="64"/>
      <c r="U1016" s="44"/>
      <c r="V1016" s="84"/>
      <c r="W1016" s="59"/>
      <c r="X1016" s="64"/>
      <c r="Y1016" s="106"/>
      <c r="Z1016" s="105"/>
      <c r="AA1016" s="106"/>
      <c r="AB1016" s="105"/>
      <c r="AC1016" s="106"/>
      <c r="AD1016" s="105"/>
      <c r="AE1016" s="106"/>
      <c r="AF1016" s="105"/>
      <c r="AG1016" s="106"/>
      <c r="AH1016" s="105"/>
      <c r="AI1016" s="59"/>
      <c r="AJ1016" s="64"/>
      <c r="AK1016" s="44"/>
      <c r="AL1016" s="84"/>
      <c r="AM1016" s="49"/>
      <c r="AN1016" s="49"/>
      <c r="AO1016" s="49"/>
      <c r="AP1016" s="49"/>
      <c r="AQ1016" s="49"/>
      <c r="AR1016" s="40"/>
      <c r="AS1016" s="51"/>
      <c r="AT1016" s="84"/>
      <c r="AU1016" s="49"/>
      <c r="AV1016" s="84"/>
      <c r="AW1016" s="52"/>
      <c r="AX1016" s="84"/>
      <c r="BA1016" s="2"/>
      <c r="BB1016" s="2"/>
      <c r="BC1016" s="101"/>
      <c r="BD1016" s="101"/>
    </row>
    <row r="1017" spans="1:56" s="57" customFormat="1" ht="15" customHeight="1" x14ac:dyDescent="0.35">
      <c r="A1017" s="84"/>
      <c r="B1017" s="30" t="str">
        <f>IF(B943="","",B943)</f>
        <v/>
      </c>
      <c r="C1017" s="31"/>
      <c r="D1017" s="32"/>
      <c r="E1017" s="33" t="str">
        <f t="shared" si="417"/>
        <v/>
      </c>
      <c r="F1017" s="50">
        <f>B971</f>
        <v>23</v>
      </c>
      <c r="G1017" s="69"/>
      <c r="H1017" s="70"/>
      <c r="I1017" s="104"/>
      <c r="J1017" s="103"/>
      <c r="K1017" s="104"/>
      <c r="L1017" s="103"/>
      <c r="M1017" s="104"/>
      <c r="N1017" s="103"/>
      <c r="O1017" s="104"/>
      <c r="P1017" s="103"/>
      <c r="Q1017" s="104"/>
      <c r="R1017" s="103"/>
      <c r="S1017" s="69"/>
      <c r="T1017" s="70"/>
      <c r="U1017" s="71">
        <f t="shared" ref="U1017" si="422">SUM(G1017:T1017)</f>
        <v>0</v>
      </c>
      <c r="V1017" s="72"/>
      <c r="W1017" s="69"/>
      <c r="X1017" s="70"/>
      <c r="Y1017" s="104"/>
      <c r="Z1017" s="103"/>
      <c r="AA1017" s="104"/>
      <c r="AB1017" s="103"/>
      <c r="AC1017" s="104"/>
      <c r="AD1017" s="103"/>
      <c r="AE1017" s="104"/>
      <c r="AF1017" s="103"/>
      <c r="AG1017" s="104"/>
      <c r="AH1017" s="103"/>
      <c r="AI1017" s="69"/>
      <c r="AJ1017" s="70"/>
      <c r="AK1017" s="71">
        <f>SUM(W1017:AJ1017)</f>
        <v>0</v>
      </c>
      <c r="AL1017" s="72"/>
      <c r="AM1017" s="73">
        <f>SUMIF($G1016:$T1016,"",$G1017:$T1017)+SUMIF($W1016:$AJ1016,"",$W1017:$AJ1017)-AN1017</f>
        <v>0</v>
      </c>
      <c r="AN1017" s="88">
        <f>IF(SUMIF($G1016:$T1016,"",$G1017:$T1017)+SUMIF($G1016:$T1016,"F",$G1017:$T1017)+SUMIF($G1016:$T1016,"V",$G1017:$T1017)-40&lt;0,0,SUMIF($G1016:$T1016,"",$G1017:$T1017)+SUMIF($G1016:$T1016,"F",$G1017:$T1017)+SUMIF($G1016:$T1016,"V",$G1017:$T1017)-($U$9/2))+IF(SUMIF($W1016:$AJ1016,"",$W1017:$AJ1017)+SUMIF($W1016:$AJ1016,"F",$W1017:$AJ1017)+SUMIF($W1016:$AJ1016,"V",$W1017:$AJ1017)-40&lt;0,0,SUMIF($W1016:$AJ1016,"",$W1017:$AJ1017)+SUMIF($W1016:$AJ1016,"F",$W1017:$AJ1017)+SUMIF($W1016:$AJ1016,"V",$W1017:$AJ1017)-($U$9/2))</f>
        <v>0</v>
      </c>
      <c r="AO1017" s="73">
        <f>SUMIF($G1016:$T1016,"M",$G1017:$T1017)+SUMIF($W1016:$AJ1016,"M",$W1017:$AJ1017)</f>
        <v>0</v>
      </c>
      <c r="AP1017" s="73">
        <f>SUMIF($G1016:$T1016,"F",$G1017:$T1017)+SUMIF($W1016:$AJ1016,"F",$W1017:$AJ1017)</f>
        <v>0</v>
      </c>
      <c r="AQ1017" s="73">
        <f>SUMIF($G1016:$T1016,"V",$G1017:$T1017)+SUMIF($W1016:$AJ1016,"V",$W1017:$AJ1017)</f>
        <v>0</v>
      </c>
      <c r="AR1017" s="74">
        <f>SUMIF($G1016:$T1016,"O",$G1017:$T1017)+SUMIF($W1016:$AJ1016,"O",$W1017:$AJ1017)</f>
        <v>0</v>
      </c>
      <c r="AS1017" s="75">
        <f>SUM(AM1017:AR1017)</f>
        <v>0</v>
      </c>
      <c r="AT1017" s="72"/>
      <c r="AU1017" s="73">
        <f>SUMIF($G1016:$T1016,"A",$G1017:$T1017)+SUMIF($W1016:$AJ1016,"A",$W1017:$AJ1017)</f>
        <v>0</v>
      </c>
      <c r="AV1017" s="72"/>
      <c r="AW1017" s="76">
        <f>IF(B1017="",0,IF($U$9="",0,$U$9))</f>
        <v>0</v>
      </c>
      <c r="AX1017" s="84"/>
      <c r="BA1017" s="2"/>
      <c r="BB1017" s="2"/>
      <c r="BC1017" s="101"/>
      <c r="BD1017" s="101"/>
    </row>
    <row r="1018" spans="1:56" s="53" customFormat="1" ht="15" customHeight="1" x14ac:dyDescent="0.35">
      <c r="A1018" s="84"/>
      <c r="B1018" s="26"/>
      <c r="C1018" s="27"/>
      <c r="D1018" s="28" t="str">
        <f>IF(D944="","",D944)</f>
        <v/>
      </c>
      <c r="E1018" s="29" t="str">
        <f t="shared" si="417"/>
        <v/>
      </c>
      <c r="F1018" s="50">
        <f>B971</f>
        <v>23</v>
      </c>
      <c r="G1018" s="59"/>
      <c r="H1018" s="64"/>
      <c r="I1018" s="106"/>
      <c r="J1018" s="105"/>
      <c r="K1018" s="106"/>
      <c r="L1018" s="105"/>
      <c r="M1018" s="106"/>
      <c r="N1018" s="105"/>
      <c r="O1018" s="106"/>
      <c r="P1018" s="105"/>
      <c r="Q1018" s="106"/>
      <c r="R1018" s="105"/>
      <c r="S1018" s="59"/>
      <c r="T1018" s="64"/>
      <c r="U1018" s="44"/>
      <c r="V1018" s="84"/>
      <c r="W1018" s="59"/>
      <c r="X1018" s="64"/>
      <c r="Y1018" s="106"/>
      <c r="Z1018" s="105"/>
      <c r="AA1018" s="106"/>
      <c r="AB1018" s="105"/>
      <c r="AC1018" s="106"/>
      <c r="AD1018" s="105"/>
      <c r="AE1018" s="106"/>
      <c r="AF1018" s="105"/>
      <c r="AG1018" s="106"/>
      <c r="AH1018" s="105"/>
      <c r="AI1018" s="59"/>
      <c r="AJ1018" s="64"/>
      <c r="AK1018" s="44"/>
      <c r="AL1018" s="84"/>
      <c r="AM1018" s="49"/>
      <c r="AN1018" s="49"/>
      <c r="AO1018" s="49"/>
      <c r="AP1018" s="49"/>
      <c r="AQ1018" s="49"/>
      <c r="AR1018" s="40"/>
      <c r="AS1018" s="51"/>
      <c r="AT1018" s="84"/>
      <c r="AU1018" s="49"/>
      <c r="AV1018" s="84"/>
      <c r="AW1018" s="52"/>
      <c r="AX1018" s="84"/>
      <c r="BA1018" s="2"/>
      <c r="BB1018" s="2"/>
      <c r="BC1018" s="101"/>
      <c r="BD1018" s="101"/>
    </row>
    <row r="1019" spans="1:56" s="53" customFormat="1" x14ac:dyDescent="0.35">
      <c r="A1019" s="84"/>
      <c r="B1019" s="30" t="str">
        <f>IF(B945="","",B945)</f>
        <v/>
      </c>
      <c r="C1019" s="31"/>
      <c r="D1019" s="32"/>
      <c r="E1019" s="33" t="str">
        <f t="shared" si="417"/>
        <v/>
      </c>
      <c r="F1019" s="50">
        <f>B971</f>
        <v>23</v>
      </c>
      <c r="G1019" s="69"/>
      <c r="H1019" s="70"/>
      <c r="I1019" s="104"/>
      <c r="J1019" s="103"/>
      <c r="K1019" s="104"/>
      <c r="L1019" s="103"/>
      <c r="M1019" s="104"/>
      <c r="N1019" s="103"/>
      <c r="O1019" s="104"/>
      <c r="P1019" s="103"/>
      <c r="Q1019" s="104"/>
      <c r="R1019" s="103"/>
      <c r="S1019" s="69"/>
      <c r="T1019" s="70"/>
      <c r="U1019" s="71">
        <f t="shared" ref="U1019" si="423">SUM(G1019:T1019)</f>
        <v>0</v>
      </c>
      <c r="V1019" s="72"/>
      <c r="W1019" s="69"/>
      <c r="X1019" s="70"/>
      <c r="Y1019" s="104"/>
      <c r="Z1019" s="103"/>
      <c r="AA1019" s="104"/>
      <c r="AB1019" s="103"/>
      <c r="AC1019" s="104"/>
      <c r="AD1019" s="103"/>
      <c r="AE1019" s="104"/>
      <c r="AF1019" s="103"/>
      <c r="AG1019" s="104"/>
      <c r="AH1019" s="103"/>
      <c r="AI1019" s="69"/>
      <c r="AJ1019" s="70"/>
      <c r="AK1019" s="71">
        <f>SUM(W1019:AJ1019)</f>
        <v>0</v>
      </c>
      <c r="AL1019" s="72"/>
      <c r="AM1019" s="73">
        <f>SUMIF($G1018:$T1018,"",$G1019:$T1019)+SUMIF($W1018:$AJ1018,"",$W1019:$AJ1019)-AN1019</f>
        <v>0</v>
      </c>
      <c r="AN1019" s="88">
        <f>IF(SUMIF($G1018:$T1018,"",$G1019:$T1019)+SUMIF($G1018:$T1018,"F",$G1019:$T1019)+SUMIF($G1018:$T1018,"V",$G1019:$T1019)-40&lt;0,0,SUMIF($G1018:$T1018,"",$G1019:$T1019)+SUMIF($G1018:$T1018,"F",$G1019:$T1019)+SUMIF($G1018:$T1018,"V",$G1019:$T1019)-($U$9/2))+IF(SUMIF($W1018:$AJ1018,"",$W1019:$AJ1019)+SUMIF($W1018:$AJ1018,"F",$W1019:$AJ1019)+SUMIF($W1018:$AJ1018,"V",$W1019:$AJ1019)-40&lt;0,0,SUMIF($W1018:$AJ1018,"",$W1019:$AJ1019)+SUMIF($W1018:$AJ1018,"F",$W1019:$AJ1019)+SUMIF($W1018:$AJ1018,"V",$W1019:$AJ1019)-($U$9/2))</f>
        <v>0</v>
      </c>
      <c r="AO1019" s="73">
        <f>SUMIF($G1018:$T1018,"M",$G1019:$T1019)+SUMIF($W1018:$AJ1018,"M",$W1019:$AJ1019)</f>
        <v>0</v>
      </c>
      <c r="AP1019" s="73">
        <f>SUMIF($G1018:$T1018,"F",$G1019:$T1019)+SUMIF($W1018:$AJ1018,"F",$W1019:$AJ1019)</f>
        <v>0</v>
      </c>
      <c r="AQ1019" s="73">
        <f>SUMIF($G1018:$T1018,"V",$G1019:$T1019)+SUMIF($W1018:$AJ1018,"V",$W1019:$AJ1019)</f>
        <v>0</v>
      </c>
      <c r="AR1019" s="74">
        <f>SUMIF($G1018:$T1018,"O",$G1019:$T1019)+SUMIF($W1018:$AJ1018,"O",$W1019:$AJ1019)</f>
        <v>0</v>
      </c>
      <c r="AS1019" s="75">
        <f>SUM(AM1019:AR1019)</f>
        <v>0</v>
      </c>
      <c r="AT1019" s="72"/>
      <c r="AU1019" s="73">
        <f>SUMIF($G1018:$T1018,"A",$G1019:$T1019)+SUMIF($W1018:$AJ1018,"A",$W1019:$AJ1019)</f>
        <v>0</v>
      </c>
      <c r="AV1019" s="72"/>
      <c r="AW1019" s="76">
        <f>IF(B1019="",0,IF($U$9="",0,$U$9))</f>
        <v>0</v>
      </c>
      <c r="AX1019" s="84"/>
      <c r="BA1019" s="2"/>
      <c r="BB1019" s="2"/>
      <c r="BC1019" s="101"/>
      <c r="BD1019" s="101"/>
    </row>
    <row r="1020" spans="1:56" s="53" customFormat="1" x14ac:dyDescent="0.35">
      <c r="A1020" s="84"/>
      <c r="B1020" s="26"/>
      <c r="C1020" s="27"/>
      <c r="D1020" s="28" t="str">
        <f>IF(D946="","",D946)</f>
        <v/>
      </c>
      <c r="E1020" s="29" t="str">
        <f t="shared" si="417"/>
        <v/>
      </c>
      <c r="F1020" s="50">
        <f>B971</f>
        <v>23</v>
      </c>
      <c r="G1020" s="59"/>
      <c r="H1020" s="64"/>
      <c r="I1020" s="58"/>
      <c r="J1020" s="65"/>
      <c r="K1020" s="58"/>
      <c r="L1020" s="65"/>
      <c r="M1020" s="58"/>
      <c r="N1020" s="65"/>
      <c r="O1020" s="58"/>
      <c r="P1020" s="65"/>
      <c r="Q1020" s="58"/>
      <c r="R1020" s="65"/>
      <c r="S1020" s="59"/>
      <c r="T1020" s="64"/>
      <c r="U1020" s="44"/>
      <c r="V1020" s="84"/>
      <c r="W1020" s="59"/>
      <c r="X1020" s="64"/>
      <c r="Y1020" s="58"/>
      <c r="Z1020" s="65"/>
      <c r="AA1020" s="58"/>
      <c r="AB1020" s="65"/>
      <c r="AC1020" s="58"/>
      <c r="AD1020" s="65"/>
      <c r="AE1020" s="58"/>
      <c r="AF1020" s="65"/>
      <c r="AG1020" s="58"/>
      <c r="AH1020" s="65"/>
      <c r="AI1020" s="59"/>
      <c r="AJ1020" s="64"/>
      <c r="AK1020" s="44"/>
      <c r="AL1020" s="84"/>
      <c r="AM1020" s="49"/>
      <c r="AN1020" s="49"/>
      <c r="AO1020" s="49"/>
      <c r="AP1020" s="49"/>
      <c r="AQ1020" s="49"/>
      <c r="AR1020" s="40"/>
      <c r="AS1020" s="51"/>
      <c r="AT1020" s="84"/>
      <c r="AU1020" s="49"/>
      <c r="AV1020" s="84"/>
      <c r="AW1020" s="52"/>
      <c r="AX1020" s="84"/>
      <c r="BA1020" s="2"/>
      <c r="BB1020" s="2"/>
      <c r="BC1020" s="101"/>
      <c r="BD1020" s="101"/>
    </row>
    <row r="1021" spans="1:56" s="53" customFormat="1" x14ac:dyDescent="0.35">
      <c r="A1021" s="84"/>
      <c r="B1021" s="30" t="str">
        <f>IF(B947="","",B947)</f>
        <v/>
      </c>
      <c r="C1021" s="31"/>
      <c r="D1021" s="32"/>
      <c r="E1021" s="33" t="str">
        <f t="shared" si="417"/>
        <v/>
      </c>
      <c r="F1021" s="50">
        <f>B971</f>
        <v>23</v>
      </c>
      <c r="G1021" s="69"/>
      <c r="H1021" s="70"/>
      <c r="I1021" s="67"/>
      <c r="J1021" s="68"/>
      <c r="K1021" s="67"/>
      <c r="L1021" s="68"/>
      <c r="M1021" s="67"/>
      <c r="N1021" s="68"/>
      <c r="O1021" s="67"/>
      <c r="P1021" s="68"/>
      <c r="Q1021" s="67"/>
      <c r="R1021" s="68"/>
      <c r="S1021" s="69"/>
      <c r="T1021" s="70"/>
      <c r="U1021" s="71">
        <f t="shared" ref="U1021" si="424">SUM(G1021:T1021)</f>
        <v>0</v>
      </c>
      <c r="V1021" s="72"/>
      <c r="W1021" s="69"/>
      <c r="X1021" s="70"/>
      <c r="Y1021" s="67"/>
      <c r="Z1021" s="68"/>
      <c r="AA1021" s="67"/>
      <c r="AB1021" s="68"/>
      <c r="AC1021" s="67"/>
      <c r="AD1021" s="68"/>
      <c r="AE1021" s="67"/>
      <c r="AF1021" s="68"/>
      <c r="AG1021" s="67"/>
      <c r="AH1021" s="68"/>
      <c r="AI1021" s="69"/>
      <c r="AJ1021" s="70"/>
      <c r="AK1021" s="71">
        <v>0</v>
      </c>
      <c r="AL1021" s="72"/>
      <c r="AM1021" s="73">
        <f>SUMIF($G1020:$T1020,"",$G1021:$T1021)+SUMIF($W1020:$AJ1020,"",$W1021:$AJ1021)-AN1021</f>
        <v>0</v>
      </c>
      <c r="AN1021" s="88">
        <f>IF(SUMIF($G1020:$T1020,"",$G1021:$T1021)+SUMIF($G1020:$T1020,"F",$G1021:$T1021)+SUMIF($G1020:$T1020,"V",$G1021:$T1021)-40&lt;0,0,SUMIF($G1020:$T1020,"",$G1021:$T1021)+SUMIF($G1020:$T1020,"F",$G1021:$T1021)+SUMIF($G1020:$T1020,"V",$G1021:$T1021)-($U$9/2))+IF(SUMIF($W1020:$AJ1020,"",$W1021:$AJ1021)+SUMIF($W1020:$AJ1020,"F",$W1021:$AJ1021)+SUMIF($W1020:$AJ1020,"V",$W1021:$AJ1021)-40&lt;0,0,SUMIF($W1020:$AJ1020,"",$W1021:$AJ1021)+SUMIF($W1020:$AJ1020,"F",$W1021:$AJ1021)+SUMIF($W1020:$AJ1020,"V",$W1021:$AJ1021)-($U$9/2))</f>
        <v>0</v>
      </c>
      <c r="AO1021" s="73">
        <f>SUMIF($G1020:$T1020,"M",$G1021:$T1021)+SUMIF($W1020:$AJ1020,"M",$W1021:$AJ1021)</f>
        <v>0</v>
      </c>
      <c r="AP1021" s="73">
        <f>SUMIF($G1020:$T1020,"F",$G1021:$T1021)+SUMIF($W1020:$AJ1020,"F",$W1021:$AJ1021)</f>
        <v>0</v>
      </c>
      <c r="AQ1021" s="73">
        <f>SUMIF($G1020:$T1020,"V",$G1021:$T1021)+SUMIF($W1020:$AJ1020,"V",$W1021:$AJ1021)</f>
        <v>0</v>
      </c>
      <c r="AR1021" s="74">
        <f>SUMIF($G1020:$T1020,"O",$G1021:$T1021)+SUMIF($W1020:$AJ1020,"O",$W1021:$AJ1021)</f>
        <v>0</v>
      </c>
      <c r="AS1021" s="75">
        <f>SUM(AM1021:AR1021)</f>
        <v>0</v>
      </c>
      <c r="AT1021" s="72"/>
      <c r="AU1021" s="73">
        <f>SUMIF($G1020:$T1020,"A",$G1021:$T1021)+SUMIF($W1020:$AJ1020,"A",$W1021:$AJ1021)</f>
        <v>0</v>
      </c>
      <c r="AV1021" s="72"/>
      <c r="AW1021" s="76">
        <f>IF(B1021="",0,IF($U$9="",0,$U$9))</f>
        <v>0</v>
      </c>
      <c r="AX1021" s="84"/>
      <c r="BA1021" s="2"/>
      <c r="BB1021" s="2"/>
      <c r="BC1021" s="101"/>
      <c r="BD1021" s="101"/>
    </row>
    <row r="1022" spans="1:56" s="53" customFormat="1" x14ac:dyDescent="0.35">
      <c r="A1022" s="84"/>
      <c r="B1022" s="26"/>
      <c r="C1022" s="27"/>
      <c r="D1022" s="28" t="str">
        <f>IF(D948="","",D948)</f>
        <v/>
      </c>
      <c r="E1022" s="29" t="str">
        <f t="shared" si="417"/>
        <v/>
      </c>
      <c r="F1022" s="50">
        <f>B971</f>
        <v>23</v>
      </c>
      <c r="G1022" s="59"/>
      <c r="H1022" s="64"/>
      <c r="I1022" s="58"/>
      <c r="J1022" s="65"/>
      <c r="K1022" s="58"/>
      <c r="L1022" s="65"/>
      <c r="M1022" s="58"/>
      <c r="N1022" s="65"/>
      <c r="O1022" s="58"/>
      <c r="P1022" s="65"/>
      <c r="Q1022" s="58"/>
      <c r="R1022" s="65"/>
      <c r="S1022" s="59"/>
      <c r="T1022" s="64"/>
      <c r="U1022" s="44"/>
      <c r="V1022" s="84"/>
      <c r="W1022" s="59"/>
      <c r="X1022" s="64"/>
      <c r="Y1022" s="58"/>
      <c r="Z1022" s="65"/>
      <c r="AA1022" s="58"/>
      <c r="AB1022" s="65"/>
      <c r="AC1022" s="58"/>
      <c r="AD1022" s="65"/>
      <c r="AE1022" s="58"/>
      <c r="AF1022" s="65"/>
      <c r="AG1022" s="58"/>
      <c r="AH1022" s="65"/>
      <c r="AI1022" s="59"/>
      <c r="AJ1022" s="64"/>
      <c r="AK1022" s="44"/>
      <c r="AL1022" s="84"/>
      <c r="AM1022" s="49"/>
      <c r="AN1022" s="49"/>
      <c r="AO1022" s="49"/>
      <c r="AP1022" s="49"/>
      <c r="AQ1022" s="49"/>
      <c r="AR1022" s="40"/>
      <c r="AS1022" s="51"/>
      <c r="AT1022" s="84"/>
      <c r="AU1022" s="49"/>
      <c r="AV1022" s="84"/>
      <c r="AW1022" s="52"/>
      <c r="AX1022" s="84"/>
      <c r="BA1022" s="2"/>
      <c r="BB1022" s="2"/>
      <c r="BC1022" s="101"/>
      <c r="BD1022" s="101"/>
    </row>
    <row r="1023" spans="1:56" s="53" customFormat="1" x14ac:dyDescent="0.35">
      <c r="A1023" s="84"/>
      <c r="B1023" s="30" t="str">
        <f>IF(B949="","",B949)</f>
        <v/>
      </c>
      <c r="C1023" s="31"/>
      <c r="D1023" s="32"/>
      <c r="E1023" s="33" t="str">
        <f t="shared" si="417"/>
        <v/>
      </c>
      <c r="F1023" s="50">
        <f>B971</f>
        <v>23</v>
      </c>
      <c r="G1023" s="69"/>
      <c r="H1023" s="70"/>
      <c r="I1023" s="67"/>
      <c r="J1023" s="68"/>
      <c r="K1023" s="67"/>
      <c r="L1023" s="68"/>
      <c r="M1023" s="67"/>
      <c r="N1023" s="68"/>
      <c r="O1023" s="67"/>
      <c r="P1023" s="68"/>
      <c r="Q1023" s="67"/>
      <c r="R1023" s="68"/>
      <c r="S1023" s="69"/>
      <c r="T1023" s="70"/>
      <c r="U1023" s="71">
        <f t="shared" ref="U1023" si="425">SUM(G1023:T1023)</f>
        <v>0</v>
      </c>
      <c r="V1023" s="72"/>
      <c r="W1023" s="69"/>
      <c r="X1023" s="70"/>
      <c r="Y1023" s="67"/>
      <c r="Z1023" s="68"/>
      <c r="AA1023" s="67"/>
      <c r="AB1023" s="68"/>
      <c r="AC1023" s="67"/>
      <c r="AD1023" s="68"/>
      <c r="AE1023" s="67"/>
      <c r="AF1023" s="68"/>
      <c r="AG1023" s="67"/>
      <c r="AH1023" s="68"/>
      <c r="AI1023" s="69"/>
      <c r="AJ1023" s="70"/>
      <c r="AK1023" s="71">
        <v>0</v>
      </c>
      <c r="AL1023" s="72"/>
      <c r="AM1023" s="73">
        <v>0</v>
      </c>
      <c r="AN1023" s="88">
        <v>0</v>
      </c>
      <c r="AO1023" s="73">
        <v>0</v>
      </c>
      <c r="AP1023" s="73">
        <v>0</v>
      </c>
      <c r="AQ1023" s="73">
        <v>0</v>
      </c>
      <c r="AR1023" s="74">
        <v>0</v>
      </c>
      <c r="AS1023" s="75">
        <v>0</v>
      </c>
      <c r="AT1023" s="72"/>
      <c r="AU1023" s="73">
        <f>SUMIF($G1022:$T1022,"A",$G1023:$T1023)+SUMIF($W1022:$AJ1022,"A",$W1023:$AJ1023)</f>
        <v>0</v>
      </c>
      <c r="AV1023" s="72"/>
      <c r="AW1023" s="76">
        <f>IF(B1023="",0,IF($U$9="",0,$U$9))</f>
        <v>0</v>
      </c>
      <c r="AX1023" s="84"/>
      <c r="BA1023" s="2"/>
      <c r="BB1023" s="2"/>
      <c r="BC1023" s="101"/>
      <c r="BD1023" s="101"/>
    </row>
    <row r="1024" spans="1:56" s="53" customFormat="1" x14ac:dyDescent="0.35">
      <c r="A1024" s="84"/>
      <c r="B1024" s="26"/>
      <c r="C1024" s="27"/>
      <c r="D1024" s="28" t="str">
        <f>IF(D950="","",D950)</f>
        <v/>
      </c>
      <c r="E1024" s="29" t="str">
        <f t="shared" si="417"/>
        <v/>
      </c>
      <c r="F1024" s="50">
        <f>B971</f>
        <v>23</v>
      </c>
      <c r="G1024" s="59"/>
      <c r="H1024" s="64"/>
      <c r="I1024" s="58"/>
      <c r="J1024" s="65"/>
      <c r="K1024" s="58"/>
      <c r="L1024" s="65"/>
      <c r="M1024" s="58"/>
      <c r="N1024" s="65"/>
      <c r="O1024" s="58"/>
      <c r="P1024" s="65"/>
      <c r="Q1024" s="58"/>
      <c r="R1024" s="65"/>
      <c r="S1024" s="59"/>
      <c r="T1024" s="64"/>
      <c r="U1024" s="44"/>
      <c r="V1024" s="84"/>
      <c r="W1024" s="59"/>
      <c r="X1024" s="64"/>
      <c r="Y1024" s="58"/>
      <c r="Z1024" s="65"/>
      <c r="AA1024" s="58"/>
      <c r="AB1024" s="65"/>
      <c r="AC1024" s="58"/>
      <c r="AD1024" s="65"/>
      <c r="AE1024" s="58"/>
      <c r="AF1024" s="65"/>
      <c r="AG1024" s="58"/>
      <c r="AH1024" s="65"/>
      <c r="AI1024" s="59"/>
      <c r="AJ1024" s="64"/>
      <c r="AK1024" s="44"/>
      <c r="AL1024" s="84"/>
      <c r="AM1024" s="49"/>
      <c r="AN1024" s="49"/>
      <c r="AO1024" s="49"/>
      <c r="AP1024" s="49"/>
      <c r="AQ1024" s="49"/>
      <c r="AR1024" s="40"/>
      <c r="AS1024" s="51"/>
      <c r="AT1024" s="84"/>
      <c r="AU1024" s="49"/>
      <c r="AV1024" s="84"/>
      <c r="AW1024" s="52"/>
      <c r="AX1024" s="84"/>
      <c r="BA1024" s="2"/>
      <c r="BB1024" s="2"/>
      <c r="BC1024" s="101"/>
      <c r="BD1024" s="101"/>
    </row>
    <row r="1025" spans="1:56" s="53" customFormat="1" ht="15" thickBot="1" x14ac:dyDescent="0.4">
      <c r="A1025" s="84"/>
      <c r="B1025" s="30" t="str">
        <f>IF(B951="","",B951)</f>
        <v/>
      </c>
      <c r="C1025" s="31"/>
      <c r="D1025" s="32"/>
      <c r="E1025" s="33" t="str">
        <f t="shared" si="417"/>
        <v/>
      </c>
      <c r="F1025" s="50">
        <f>B971</f>
        <v>23</v>
      </c>
      <c r="G1025" s="69"/>
      <c r="H1025" s="70"/>
      <c r="I1025" s="67"/>
      <c r="J1025" s="68"/>
      <c r="K1025" s="67"/>
      <c r="L1025" s="68"/>
      <c r="M1025" s="67"/>
      <c r="N1025" s="68"/>
      <c r="O1025" s="67"/>
      <c r="P1025" s="68"/>
      <c r="Q1025" s="67"/>
      <c r="R1025" s="68"/>
      <c r="S1025" s="69"/>
      <c r="T1025" s="70"/>
      <c r="U1025" s="71">
        <f t="shared" ref="U1025" si="426">SUM(G1025:T1025)</f>
        <v>0</v>
      </c>
      <c r="V1025" s="72"/>
      <c r="W1025" s="69"/>
      <c r="X1025" s="70"/>
      <c r="Y1025" s="67"/>
      <c r="Z1025" s="68"/>
      <c r="AA1025" s="67"/>
      <c r="AB1025" s="68"/>
      <c r="AC1025" s="67"/>
      <c r="AD1025" s="68"/>
      <c r="AE1025" s="67"/>
      <c r="AF1025" s="68"/>
      <c r="AG1025" s="67"/>
      <c r="AH1025" s="68"/>
      <c r="AI1025" s="69"/>
      <c r="AJ1025" s="70"/>
      <c r="AK1025" s="71">
        <v>0</v>
      </c>
      <c r="AL1025" s="72"/>
      <c r="AM1025" s="73">
        <v>0</v>
      </c>
      <c r="AN1025" s="88">
        <v>0</v>
      </c>
      <c r="AO1025" s="73">
        <v>0</v>
      </c>
      <c r="AP1025" s="73">
        <v>0</v>
      </c>
      <c r="AQ1025" s="73">
        <v>0</v>
      </c>
      <c r="AR1025" s="74">
        <v>0</v>
      </c>
      <c r="AS1025" s="75">
        <v>0</v>
      </c>
      <c r="AT1025" s="72"/>
      <c r="AU1025" s="73">
        <f>SUMIF($G1024:$T1024,"A",$G1025:$T1025)+SUMIF($W1024:$AJ1024,"A",$W1025:$AJ1025)</f>
        <v>0</v>
      </c>
      <c r="AV1025" s="72"/>
      <c r="AW1025" s="76">
        <f>IF(B1025="",0,IF($U$9="",0,$U$9))</f>
        <v>0</v>
      </c>
      <c r="AX1025" s="84"/>
      <c r="BA1025" s="2"/>
      <c r="BB1025" s="2"/>
      <c r="BC1025" s="101"/>
      <c r="BD1025" s="101"/>
    </row>
    <row r="1026" spans="1:56" s="53" customFormat="1" ht="27.75" customHeight="1" thickBot="1" x14ac:dyDescent="0.4">
      <c r="A1026" s="84"/>
      <c r="B1026" s="149" t="s">
        <v>7</v>
      </c>
      <c r="C1026" s="150"/>
      <c r="D1026" s="150"/>
      <c r="E1026" s="151"/>
      <c r="F1026" s="97"/>
      <c r="G1026" s="152">
        <f>SUM(G976:H1025)</f>
        <v>0</v>
      </c>
      <c r="H1026" s="152"/>
      <c r="I1026" s="152">
        <f>SUM(I976:J1025)</f>
        <v>104.5</v>
      </c>
      <c r="J1026" s="152"/>
      <c r="K1026" s="152">
        <f>SUM(K976:L1025)</f>
        <v>104.25</v>
      </c>
      <c r="L1026" s="152"/>
      <c r="M1026" s="152">
        <f>SUM(M976:N1025)</f>
        <v>104.75</v>
      </c>
      <c r="N1026" s="152"/>
      <c r="O1026" s="152">
        <f>SUM(O976:P1025)</f>
        <v>104.75</v>
      </c>
      <c r="P1026" s="152"/>
      <c r="Q1026" s="152">
        <f>SUM(Q976:R1025)</f>
        <v>102</v>
      </c>
      <c r="R1026" s="152"/>
      <c r="S1026" s="152">
        <f>SUM(S976:T1025)</f>
        <v>0</v>
      </c>
      <c r="T1026" s="153"/>
      <c r="U1026" s="77">
        <f>SUM(U976:U1025)</f>
        <v>520.25</v>
      </c>
      <c r="V1026" s="78"/>
      <c r="W1026" s="152">
        <f>SUM(W976:X1025)</f>
        <v>0</v>
      </c>
      <c r="X1026" s="152"/>
      <c r="Y1026" s="152">
        <f>SUM(Y976:Z1025)</f>
        <v>112.5</v>
      </c>
      <c r="Z1026" s="152"/>
      <c r="AA1026" s="152">
        <f>SUM(AA976:AB1025)</f>
        <v>112.75</v>
      </c>
      <c r="AB1026" s="152"/>
      <c r="AC1026" s="152">
        <f>SUM(AC976:AD1025)</f>
        <v>112.25</v>
      </c>
      <c r="AD1026" s="152"/>
      <c r="AE1026" s="152">
        <f>SUM(AE976:AF1025)</f>
        <v>112.25</v>
      </c>
      <c r="AF1026" s="152"/>
      <c r="AG1026" s="152">
        <f>SUM(AG976:AH1025)</f>
        <v>110.5</v>
      </c>
      <c r="AH1026" s="152"/>
      <c r="AI1026" s="152">
        <f>SUM(AI976:AJ1025)</f>
        <v>0</v>
      </c>
      <c r="AJ1026" s="152"/>
      <c r="AK1026" s="77">
        <f>SUM(AK976:AK1025)</f>
        <v>560.25</v>
      </c>
      <c r="AL1026" s="78"/>
      <c r="AM1026" s="79">
        <f t="shared" ref="AM1026:AS1026" si="427">SUM(AM976:AM1025)</f>
        <v>1045.5</v>
      </c>
      <c r="AN1026" s="79">
        <f t="shared" si="427"/>
        <v>3</v>
      </c>
      <c r="AO1026" s="79">
        <f t="shared" si="427"/>
        <v>0</v>
      </c>
      <c r="AP1026" s="79">
        <f t="shared" si="427"/>
        <v>0</v>
      </c>
      <c r="AQ1026" s="79">
        <f t="shared" si="427"/>
        <v>32</v>
      </c>
      <c r="AR1026" s="80">
        <f t="shared" si="427"/>
        <v>0</v>
      </c>
      <c r="AS1026" s="81">
        <f t="shared" si="427"/>
        <v>1080.5</v>
      </c>
      <c r="AT1026" s="78"/>
      <c r="AU1026" s="82">
        <f>SUM(AU976:AU1025)</f>
        <v>0</v>
      </c>
      <c r="AV1026" s="78"/>
      <c r="AW1026" s="83">
        <f>SUM(AW976:AW1025)</f>
        <v>1360</v>
      </c>
      <c r="AX1026" s="84"/>
      <c r="BA1026" s="2"/>
      <c r="BB1026" s="2"/>
      <c r="BC1026" s="101"/>
      <c r="BD1026" s="101"/>
    </row>
    <row r="1027" spans="1:56" s="53" customFormat="1" ht="15" thickTop="1" x14ac:dyDescent="0.35">
      <c r="B1027" s="54"/>
      <c r="F1027" s="98"/>
      <c r="G1027" s="55"/>
      <c r="H1027" s="55"/>
      <c r="I1027" s="55"/>
      <c r="J1027" s="55"/>
      <c r="K1027" s="55"/>
      <c r="L1027" s="55"/>
      <c r="M1027" s="55"/>
      <c r="N1027" s="55"/>
      <c r="O1027" s="55"/>
      <c r="P1027" s="55"/>
      <c r="Q1027" s="55"/>
      <c r="R1027" s="55"/>
      <c r="S1027" s="55"/>
      <c r="T1027" s="55"/>
      <c r="U1027" s="56"/>
      <c r="V1027" s="55"/>
      <c r="W1027" s="55"/>
      <c r="X1027" s="55"/>
      <c r="Y1027" s="55"/>
      <c r="Z1027" s="55"/>
      <c r="AA1027" s="55"/>
      <c r="AB1027" s="55"/>
      <c r="AC1027" s="55"/>
      <c r="AD1027" s="55"/>
      <c r="AE1027" s="55"/>
      <c r="AF1027" s="55"/>
      <c r="AG1027" s="55"/>
      <c r="AH1027" s="55"/>
      <c r="AI1027" s="55"/>
      <c r="AJ1027" s="55"/>
      <c r="AK1027" s="56"/>
      <c r="AL1027" s="55"/>
      <c r="AM1027" s="55"/>
      <c r="AN1027" s="55"/>
      <c r="AO1027" s="55"/>
      <c r="AP1027" s="55"/>
      <c r="AQ1027" s="55"/>
      <c r="AR1027" s="55"/>
      <c r="AS1027" s="55"/>
      <c r="AT1027" s="55"/>
      <c r="AU1027" s="55"/>
      <c r="AV1027" s="55"/>
      <c r="AW1027" s="55"/>
      <c r="BA1027" s="2"/>
      <c r="BB1027" s="2"/>
      <c r="BC1027" s="101"/>
      <c r="BD1027" s="101"/>
    </row>
    <row r="1028" spans="1:56" s="53" customFormat="1" x14ac:dyDescent="0.35">
      <c r="B1028" s="54" t="s">
        <v>52</v>
      </c>
      <c r="D1028" s="141" t="s">
        <v>98</v>
      </c>
      <c r="E1028" s="141"/>
      <c r="F1028" s="141"/>
      <c r="G1028" s="141"/>
      <c r="H1028" s="141"/>
      <c r="I1028" s="141"/>
      <c r="J1028" s="141"/>
      <c r="K1028" s="141"/>
      <c r="L1028" s="141"/>
      <c r="M1028" s="141"/>
      <c r="N1028" s="141"/>
      <c r="O1028" s="141"/>
      <c r="P1028" s="141"/>
      <c r="Q1028" s="141"/>
      <c r="R1028" s="141"/>
      <c r="S1028" s="141"/>
      <c r="T1028" s="141"/>
      <c r="U1028" s="141"/>
      <c r="V1028" s="141"/>
      <c r="W1028" s="141"/>
      <c r="X1028" s="141"/>
      <c r="Y1028" s="141"/>
      <c r="Z1028" s="141"/>
      <c r="AA1028" s="141"/>
      <c r="AB1028" s="141"/>
      <c r="AC1028" s="141"/>
      <c r="AD1028" s="141"/>
      <c r="AE1028" s="141"/>
      <c r="AF1028" s="141"/>
      <c r="AG1028" s="141"/>
      <c r="AH1028" s="141"/>
      <c r="AI1028" s="141"/>
      <c r="AJ1028" s="141"/>
      <c r="AK1028" s="56"/>
      <c r="AL1028" s="55"/>
      <c r="AM1028" s="55"/>
      <c r="AN1028" s="55"/>
      <c r="AO1028" s="55"/>
      <c r="AP1028" s="55"/>
      <c r="AQ1028" s="55"/>
      <c r="AR1028" s="55"/>
      <c r="AS1028" s="55"/>
      <c r="AT1028" s="55"/>
      <c r="AU1028" s="55"/>
      <c r="AV1028" s="55"/>
      <c r="AW1028" s="55"/>
      <c r="BA1028" s="2"/>
      <c r="BB1028" s="2"/>
      <c r="BC1028" s="101"/>
      <c r="BD1028" s="101"/>
    </row>
    <row r="1029" spans="1:56" s="84" customFormat="1" x14ac:dyDescent="0.35">
      <c r="A1029" s="53"/>
      <c r="B1029" s="54"/>
      <c r="C1029" s="53"/>
      <c r="D1029" s="141"/>
      <c r="E1029" s="141"/>
      <c r="F1029" s="141"/>
      <c r="G1029" s="141"/>
      <c r="H1029" s="141"/>
      <c r="I1029" s="141"/>
      <c r="J1029" s="141"/>
      <c r="K1029" s="141"/>
      <c r="L1029" s="141"/>
      <c r="M1029" s="141"/>
      <c r="N1029" s="141"/>
      <c r="O1029" s="141"/>
      <c r="P1029" s="141"/>
      <c r="Q1029" s="141"/>
      <c r="R1029" s="141"/>
      <c r="S1029" s="141"/>
      <c r="T1029" s="141"/>
      <c r="U1029" s="141"/>
      <c r="V1029" s="141"/>
      <c r="W1029" s="141"/>
      <c r="X1029" s="141"/>
      <c r="Y1029" s="141"/>
      <c r="Z1029" s="141"/>
      <c r="AA1029" s="141"/>
      <c r="AB1029" s="141"/>
      <c r="AC1029" s="141"/>
      <c r="AD1029" s="141"/>
      <c r="AE1029" s="141"/>
      <c r="AF1029" s="141"/>
      <c r="AG1029" s="141"/>
      <c r="AH1029" s="141"/>
      <c r="AI1029" s="141"/>
      <c r="AJ1029" s="141"/>
      <c r="AK1029" s="56"/>
      <c r="AL1029" s="55"/>
      <c r="AM1029" s="55"/>
      <c r="AN1029" s="55"/>
      <c r="AO1029" s="55"/>
      <c r="AP1029" s="55"/>
      <c r="AQ1029" s="55"/>
      <c r="AR1029" s="55"/>
      <c r="AS1029" s="55"/>
      <c r="AT1029" s="55"/>
      <c r="AU1029" s="55"/>
      <c r="AV1029" s="55"/>
      <c r="AW1029" s="55"/>
      <c r="AX1029" s="53"/>
      <c r="BA1029" s="2"/>
      <c r="BB1029" s="2"/>
      <c r="BC1029" s="101"/>
      <c r="BD1029" s="101"/>
    </row>
    <row r="1030" spans="1:56" s="84" customFormat="1" x14ac:dyDescent="0.35">
      <c r="A1030" s="53"/>
      <c r="B1030" s="54"/>
      <c r="C1030" s="53"/>
      <c r="D1030" s="141"/>
      <c r="E1030" s="141"/>
      <c r="F1030" s="141"/>
      <c r="G1030" s="141"/>
      <c r="H1030" s="141"/>
      <c r="I1030" s="141"/>
      <c r="J1030" s="141"/>
      <c r="K1030" s="141"/>
      <c r="L1030" s="141"/>
      <c r="M1030" s="141"/>
      <c r="N1030" s="141"/>
      <c r="O1030" s="141"/>
      <c r="P1030" s="141"/>
      <c r="Q1030" s="141"/>
      <c r="R1030" s="141"/>
      <c r="S1030" s="141"/>
      <c r="T1030" s="141"/>
      <c r="U1030" s="141"/>
      <c r="V1030" s="141"/>
      <c r="W1030" s="141"/>
      <c r="X1030" s="141"/>
      <c r="Y1030" s="141"/>
      <c r="Z1030" s="141"/>
      <c r="AA1030" s="141"/>
      <c r="AB1030" s="141"/>
      <c r="AC1030" s="141"/>
      <c r="AD1030" s="141"/>
      <c r="AE1030" s="141"/>
      <c r="AF1030" s="141"/>
      <c r="AG1030" s="141"/>
      <c r="AH1030" s="141"/>
      <c r="AI1030" s="141"/>
      <c r="AJ1030" s="141"/>
      <c r="AK1030" s="56"/>
      <c r="AL1030" s="55"/>
      <c r="AM1030" s="55"/>
      <c r="AN1030" s="55"/>
      <c r="AO1030" s="55"/>
      <c r="AP1030" s="55"/>
      <c r="AQ1030" s="55"/>
      <c r="AR1030" s="55"/>
      <c r="AS1030" s="55"/>
      <c r="AT1030" s="55"/>
      <c r="AU1030" s="55"/>
      <c r="AV1030" s="55"/>
      <c r="AW1030" s="55"/>
      <c r="AX1030" s="53"/>
      <c r="BA1030" s="2"/>
      <c r="BB1030" s="2"/>
      <c r="BC1030" s="101"/>
      <c r="BD1030" s="101"/>
    </row>
    <row r="1031" spans="1:56" s="84" customFormat="1" ht="15" customHeight="1" x14ac:dyDescent="0.35">
      <c r="A1031" s="53"/>
      <c r="B1031" s="54"/>
      <c r="C1031" s="53"/>
      <c r="D1031" s="53"/>
      <c r="E1031" s="53"/>
      <c r="F1031" s="98"/>
      <c r="G1031" s="55"/>
      <c r="H1031" s="55"/>
      <c r="I1031" s="55"/>
      <c r="J1031" s="55"/>
      <c r="K1031" s="55"/>
      <c r="L1031" s="55"/>
      <c r="M1031" s="55"/>
      <c r="N1031" s="55"/>
      <c r="O1031" s="55"/>
      <c r="P1031" s="55"/>
      <c r="Q1031" s="55"/>
      <c r="R1031" s="55"/>
      <c r="S1031" s="55"/>
      <c r="T1031" s="55"/>
      <c r="U1031" s="56"/>
      <c r="V1031" s="55"/>
      <c r="W1031" s="55"/>
      <c r="X1031" s="55"/>
      <c r="Y1031" s="55"/>
      <c r="Z1031" s="55"/>
      <c r="AA1031" s="55"/>
      <c r="AB1031" s="55"/>
      <c r="AC1031" s="55"/>
      <c r="AD1031" s="55"/>
      <c r="AE1031" s="55"/>
      <c r="AF1031" s="55"/>
      <c r="AG1031" s="55"/>
      <c r="AH1031" s="55"/>
      <c r="AI1031" s="55"/>
      <c r="AJ1031" s="55"/>
      <c r="AK1031" s="56"/>
      <c r="AL1031" s="55"/>
      <c r="AM1031" s="55"/>
      <c r="AN1031" s="55"/>
      <c r="AO1031" s="55"/>
      <c r="AP1031" s="55"/>
      <c r="AQ1031" s="55"/>
      <c r="AR1031" s="55"/>
      <c r="AS1031" s="55"/>
      <c r="AT1031" s="55"/>
      <c r="AU1031" s="55"/>
      <c r="AV1031" s="55"/>
      <c r="AW1031" s="55"/>
      <c r="AX1031" s="53"/>
      <c r="BA1031" s="2"/>
      <c r="BB1031" s="2"/>
      <c r="BC1031" s="101"/>
      <c r="BD1031" s="101"/>
    </row>
    <row r="1032" spans="1:56" s="84" customFormat="1" ht="15" customHeight="1" x14ac:dyDescent="0.35">
      <c r="A1032" s="53"/>
      <c r="B1032" s="54" t="s">
        <v>53</v>
      </c>
      <c r="C1032" s="53"/>
      <c r="D1032" s="31"/>
      <c r="E1032" s="34"/>
      <c r="F1032" s="99"/>
      <c r="G1032" s="34"/>
      <c r="H1032" s="34"/>
      <c r="I1032" s="34"/>
      <c r="J1032" s="34"/>
      <c r="K1032" s="53"/>
      <c r="L1032" s="55" t="s">
        <v>8</v>
      </c>
      <c r="M1032" s="53"/>
      <c r="N1032" s="142">
        <f ca="1">NOW()</f>
        <v>44720.650928935182</v>
      </c>
      <c r="O1032" s="142"/>
      <c r="P1032" s="142"/>
      <c r="Q1032" s="53"/>
      <c r="R1032" s="53"/>
      <c r="S1032" s="53"/>
      <c r="T1032" s="53"/>
      <c r="U1032" s="53"/>
      <c r="V1032" s="55"/>
      <c r="W1032" s="55"/>
      <c r="X1032" s="55"/>
      <c r="Y1032" s="55"/>
      <c r="Z1032" s="55"/>
      <c r="AA1032" s="55"/>
      <c r="AB1032" s="55"/>
      <c r="AC1032" s="55"/>
      <c r="AD1032" s="55"/>
      <c r="AE1032" s="55"/>
      <c r="AF1032" s="55"/>
      <c r="AG1032" s="55"/>
      <c r="AH1032" s="55"/>
      <c r="AI1032" s="55"/>
      <c r="AJ1032" s="55"/>
      <c r="AK1032" s="56"/>
      <c r="AL1032" s="55"/>
      <c r="AM1032" s="55"/>
      <c r="AN1032" s="55"/>
      <c r="AO1032" s="55"/>
      <c r="AP1032" s="55"/>
      <c r="AQ1032" s="55"/>
      <c r="AR1032" s="55"/>
      <c r="AS1032" s="55"/>
      <c r="AT1032" s="55"/>
      <c r="AU1032" s="55"/>
      <c r="AV1032" s="55"/>
      <c r="AW1032" s="55"/>
      <c r="AX1032" s="53"/>
      <c r="BA1032" s="2"/>
      <c r="BB1032" s="2"/>
      <c r="BC1032" s="101"/>
      <c r="BD1032" s="101"/>
    </row>
    <row r="1033" spans="1:56" s="84" customFormat="1" x14ac:dyDescent="0.35">
      <c r="A1033" s="53"/>
      <c r="B1033" s="54"/>
      <c r="C1033" s="53"/>
      <c r="D1033" s="53"/>
      <c r="E1033" s="53"/>
      <c r="F1033" s="98"/>
      <c r="G1033" s="55"/>
      <c r="H1033" s="55"/>
      <c r="I1033" s="55"/>
      <c r="J1033" s="55"/>
      <c r="K1033" s="53"/>
      <c r="L1033" s="55"/>
      <c r="M1033" s="53"/>
      <c r="N1033" s="55"/>
      <c r="O1033" s="56"/>
      <c r="P1033" s="53"/>
      <c r="Q1033" s="53"/>
      <c r="R1033" s="53"/>
      <c r="S1033" s="53"/>
      <c r="T1033" s="53"/>
      <c r="U1033" s="53"/>
      <c r="V1033" s="55"/>
      <c r="W1033" s="55"/>
      <c r="X1033" s="55"/>
      <c r="Y1033" s="55"/>
      <c r="Z1033" s="55"/>
      <c r="AA1033" s="55"/>
      <c r="AB1033" s="55"/>
      <c r="AC1033" s="55"/>
      <c r="AD1033" s="55"/>
      <c r="AE1033" s="55"/>
      <c r="AF1033" s="55"/>
      <c r="AG1033" s="55"/>
      <c r="AH1033" s="55"/>
      <c r="AI1033" s="55"/>
      <c r="AJ1033" s="55"/>
      <c r="AK1033" s="56"/>
      <c r="AL1033" s="55"/>
      <c r="AM1033" s="55"/>
      <c r="AN1033" s="55"/>
      <c r="AO1033" s="55"/>
      <c r="AP1033" s="55"/>
      <c r="AQ1033" s="55"/>
      <c r="AR1033" s="55"/>
      <c r="AS1033" s="55"/>
      <c r="AT1033" s="55"/>
      <c r="AU1033" s="55"/>
      <c r="AV1033" s="55"/>
      <c r="AW1033" s="55"/>
      <c r="AX1033" s="53"/>
      <c r="BA1033" s="2"/>
      <c r="BB1033" s="2"/>
      <c r="BC1033" s="101"/>
      <c r="BD1033" s="101"/>
    </row>
    <row r="1034" spans="1:56" s="84" customFormat="1" x14ac:dyDescent="0.35">
      <c r="A1034" s="53"/>
      <c r="B1034" s="54" t="s">
        <v>54</v>
      </c>
      <c r="C1034" s="53"/>
      <c r="D1034" s="31"/>
      <c r="E1034" s="34"/>
      <c r="F1034" s="99"/>
      <c r="G1034" s="34"/>
      <c r="H1034" s="34"/>
      <c r="I1034" s="34"/>
      <c r="J1034" s="34"/>
      <c r="K1034" s="53"/>
      <c r="L1034" s="55" t="s">
        <v>8</v>
      </c>
      <c r="M1034" s="53"/>
      <c r="N1034" s="142">
        <f ca="1">NOW()</f>
        <v>44720.650928935182</v>
      </c>
      <c r="O1034" s="142"/>
      <c r="P1034" s="142"/>
      <c r="Q1034" s="53"/>
      <c r="R1034" s="53"/>
      <c r="S1034" s="53"/>
      <c r="T1034" s="53"/>
      <c r="U1034" s="53"/>
      <c r="V1034" s="55"/>
      <c r="W1034" s="55"/>
      <c r="X1034" s="55"/>
      <c r="Y1034" s="55"/>
      <c r="Z1034" s="55"/>
      <c r="AA1034" s="55"/>
      <c r="AB1034" s="55"/>
      <c r="AC1034" s="55"/>
      <c r="AD1034" s="55"/>
      <c r="AE1034" s="55"/>
      <c r="AF1034" s="55"/>
      <c r="AG1034" s="55"/>
      <c r="AH1034" s="55"/>
      <c r="AI1034" s="55"/>
      <c r="AJ1034" s="55"/>
      <c r="AK1034" s="56"/>
      <c r="AL1034" s="55"/>
      <c r="AM1034" s="55"/>
      <c r="AN1034" s="55"/>
      <c r="AO1034" s="55"/>
      <c r="AP1034" s="55"/>
      <c r="AQ1034" s="55"/>
      <c r="AR1034" s="55"/>
      <c r="AS1034" s="55"/>
      <c r="AT1034" s="55"/>
      <c r="AU1034" s="55"/>
      <c r="AV1034" s="55"/>
      <c r="AW1034" s="55"/>
      <c r="AX1034" s="53"/>
      <c r="BA1034" s="2"/>
      <c r="BB1034" s="2"/>
      <c r="BC1034" s="101"/>
      <c r="BD1034" s="101"/>
    </row>
    <row r="1035" spans="1:56" s="84" customFormat="1" x14ac:dyDescent="0.35">
      <c r="A1035" s="53"/>
      <c r="B1035" s="54"/>
      <c r="C1035" s="53"/>
      <c r="D1035" s="53"/>
      <c r="E1035" s="53"/>
      <c r="F1035" s="98"/>
      <c r="G1035" s="55"/>
      <c r="H1035" s="55"/>
      <c r="I1035" s="55"/>
      <c r="J1035" s="55"/>
      <c r="K1035" s="55"/>
      <c r="L1035" s="55"/>
      <c r="M1035" s="55"/>
      <c r="N1035" s="55"/>
      <c r="O1035" s="55"/>
      <c r="P1035" s="55"/>
      <c r="Q1035" s="55"/>
      <c r="R1035" s="55"/>
      <c r="S1035" s="55"/>
      <c r="T1035" s="55"/>
      <c r="U1035" s="56"/>
      <c r="V1035" s="55"/>
      <c r="W1035" s="55"/>
      <c r="X1035" s="55"/>
      <c r="Y1035" s="55"/>
      <c r="Z1035" s="55"/>
      <c r="AA1035" s="55"/>
      <c r="AB1035" s="55"/>
      <c r="AC1035" s="55"/>
      <c r="AD1035" s="55"/>
      <c r="AE1035" s="55"/>
      <c r="AF1035" s="55"/>
      <c r="AG1035" s="55"/>
      <c r="AH1035" s="55"/>
      <c r="AI1035" s="55"/>
      <c r="AJ1035" s="55"/>
      <c r="AK1035" s="56"/>
      <c r="AL1035" s="55"/>
      <c r="AM1035" s="55"/>
      <c r="AN1035" s="55"/>
      <c r="AO1035" s="55"/>
      <c r="AP1035" s="55"/>
      <c r="AQ1035" s="55"/>
      <c r="AR1035" s="55"/>
      <c r="AS1035" s="55"/>
      <c r="AT1035" s="55"/>
      <c r="AU1035" s="55"/>
      <c r="AV1035" s="55"/>
      <c r="AW1035" s="55"/>
      <c r="AX1035" s="53"/>
      <c r="BA1035" s="2"/>
      <c r="BB1035" s="2"/>
      <c r="BC1035" s="101"/>
      <c r="BD1035" s="101"/>
    </row>
    <row r="1036" spans="1:56" s="84" customFormat="1" x14ac:dyDescent="0.35">
      <c r="A1036" s="53"/>
      <c r="B1036" s="54" t="s">
        <v>9</v>
      </c>
      <c r="C1036" s="53"/>
      <c r="D1036" s="53"/>
      <c r="E1036" s="53"/>
      <c r="F1036" s="98"/>
      <c r="G1036" s="55"/>
      <c r="H1036" s="55"/>
      <c r="I1036" s="55"/>
      <c r="J1036" s="55"/>
      <c r="K1036" s="55"/>
      <c r="L1036" s="55"/>
      <c r="M1036" s="55"/>
      <c r="N1036" s="55"/>
      <c r="O1036" s="55"/>
      <c r="P1036" s="55"/>
      <c r="Q1036" s="55"/>
      <c r="R1036" s="55"/>
      <c r="S1036" s="55"/>
      <c r="T1036" s="55"/>
      <c r="U1036" s="56"/>
      <c r="V1036" s="55"/>
      <c r="W1036" s="55"/>
      <c r="X1036" s="55"/>
      <c r="Y1036" s="55"/>
      <c r="Z1036" s="55"/>
      <c r="AA1036" s="55"/>
      <c r="AB1036" s="55"/>
      <c r="AC1036" s="55"/>
      <c r="AD1036" s="55"/>
      <c r="AE1036" s="55"/>
      <c r="AF1036" s="55"/>
      <c r="AG1036" s="55"/>
      <c r="AH1036" s="55"/>
      <c r="AI1036" s="55"/>
      <c r="AJ1036" s="55"/>
      <c r="AK1036" s="56"/>
      <c r="AL1036" s="55"/>
      <c r="AM1036" s="55"/>
      <c r="AN1036" s="55"/>
      <c r="AO1036" s="55"/>
      <c r="AP1036" s="55"/>
      <c r="AQ1036" s="55"/>
      <c r="AR1036" s="55"/>
      <c r="AS1036" s="55"/>
      <c r="AT1036" s="55"/>
      <c r="AU1036" s="55"/>
      <c r="AV1036" s="55"/>
      <c r="AW1036" s="55"/>
      <c r="AX1036" s="53"/>
      <c r="BA1036" s="2"/>
      <c r="BB1036" s="2"/>
      <c r="BC1036" s="101"/>
      <c r="BD1036" s="101"/>
    </row>
    <row r="1037" spans="1:56" x14ac:dyDescent="0.35">
      <c r="BA1037" s="2"/>
      <c r="BB1037" s="2"/>
      <c r="BC1037" s="101"/>
      <c r="BD1037" s="101"/>
    </row>
    <row r="1038" spans="1:56" x14ac:dyDescent="0.35">
      <c r="BA1038" s="2"/>
      <c r="BB1038" s="2"/>
      <c r="BC1038" s="101"/>
      <c r="BD1038" s="101"/>
    </row>
    <row r="1039" spans="1:56" s="84" customFormat="1" ht="28.5" x14ac:dyDescent="0.65">
      <c r="F1039" s="50"/>
      <c r="G1039" s="143" t="s">
        <v>10</v>
      </c>
      <c r="H1039" s="143"/>
      <c r="I1039" s="143"/>
      <c r="J1039" s="143"/>
      <c r="K1039" s="143"/>
      <c r="L1039" s="143"/>
      <c r="M1039" s="143"/>
      <c r="N1039" s="143"/>
      <c r="O1039" s="143"/>
      <c r="P1039" s="143"/>
      <c r="Q1039" s="143"/>
      <c r="R1039" s="143"/>
      <c r="S1039" s="143"/>
      <c r="T1039" s="143"/>
      <c r="U1039" s="143"/>
      <c r="W1039" s="37" t="s">
        <v>12</v>
      </c>
      <c r="X1039" s="86" t="s">
        <v>11</v>
      </c>
      <c r="BA1039" s="2"/>
      <c r="BB1039" s="2"/>
      <c r="BC1039" s="101"/>
      <c r="BD1039" s="101"/>
    </row>
    <row r="1040" spans="1:56" s="84" customFormat="1" x14ac:dyDescent="0.35">
      <c r="F1040" s="50"/>
      <c r="G1040" s="84" t="s">
        <v>0</v>
      </c>
      <c r="W1040" s="37" t="s">
        <v>13</v>
      </c>
      <c r="X1040" s="86" t="s">
        <v>14</v>
      </c>
      <c r="BA1040" s="2"/>
      <c r="BB1040" s="2"/>
      <c r="BC1040" s="101"/>
      <c r="BD1040" s="101"/>
    </row>
    <row r="1041" spans="2:56" s="84" customFormat="1" x14ac:dyDescent="0.35">
      <c r="F1041" s="50"/>
      <c r="W1041" s="37" t="s">
        <v>1</v>
      </c>
      <c r="X1041" s="86" t="s">
        <v>15</v>
      </c>
      <c r="BA1041" s="2"/>
      <c r="BB1041" s="2"/>
      <c r="BC1041" s="101"/>
      <c r="BD1041" s="101"/>
    </row>
    <row r="1042" spans="2:56" s="84" customFormat="1" x14ac:dyDescent="0.35">
      <c r="F1042" s="50"/>
      <c r="W1042" s="37" t="s">
        <v>2</v>
      </c>
      <c r="X1042" s="86" t="s">
        <v>16</v>
      </c>
      <c r="BA1042" s="2"/>
      <c r="BB1042" s="2"/>
      <c r="BC1042" s="101"/>
      <c r="BD1042" s="101"/>
    </row>
    <row r="1043" spans="2:56" s="84" customFormat="1" ht="15" customHeight="1" x14ac:dyDescent="0.35">
      <c r="B1043" s="154" t="s">
        <v>35</v>
      </c>
      <c r="F1043" s="50"/>
      <c r="G1043" s="154" t="s">
        <v>36</v>
      </c>
      <c r="H1043" s="154"/>
      <c r="I1043" s="154"/>
      <c r="K1043" s="154" t="s">
        <v>36</v>
      </c>
      <c r="L1043" s="154"/>
      <c r="M1043" s="154"/>
      <c r="W1043" s="37" t="s">
        <v>3</v>
      </c>
      <c r="X1043" s="86" t="s">
        <v>17</v>
      </c>
      <c r="BA1043" s="2"/>
      <c r="BB1043" s="2"/>
      <c r="BC1043" s="101"/>
      <c r="BD1043" s="101"/>
    </row>
    <row r="1044" spans="2:56" s="84" customFormat="1" x14ac:dyDescent="0.35">
      <c r="B1044" s="155"/>
      <c r="D1044" s="37" t="s">
        <v>34</v>
      </c>
      <c r="F1044" s="50"/>
      <c r="G1044" s="154"/>
      <c r="H1044" s="154"/>
      <c r="I1044" s="154"/>
      <c r="K1044" s="154"/>
      <c r="L1044" s="154"/>
      <c r="M1044" s="154"/>
      <c r="W1044" s="38"/>
      <c r="BA1044" s="2"/>
      <c r="BB1044" s="2"/>
      <c r="BC1044" s="101"/>
      <c r="BD1044" s="101"/>
    </row>
    <row r="1045" spans="2:56" s="84" customFormat="1" x14ac:dyDescent="0.35">
      <c r="B1045" s="100">
        <f>B971+1</f>
        <v>24</v>
      </c>
      <c r="D1045" s="100">
        <f>D971</f>
        <v>2021</v>
      </c>
      <c r="E1045" s="87" t="s">
        <v>38</v>
      </c>
      <c r="F1045" s="50"/>
      <c r="G1045" s="156">
        <f>K971+1</f>
        <v>44507</v>
      </c>
      <c r="H1045" s="157"/>
      <c r="I1045" s="158"/>
      <c r="J1045" s="37" t="s">
        <v>37</v>
      </c>
      <c r="K1045" s="156">
        <f>IF(G1045="","",G1045+13)</f>
        <v>44520</v>
      </c>
      <c r="L1045" s="157"/>
      <c r="M1045" s="158"/>
      <c r="P1045" s="159" t="s">
        <v>39</v>
      </c>
      <c r="Q1045" s="160"/>
      <c r="R1045" s="160"/>
      <c r="S1045" s="160"/>
      <c r="T1045" s="161"/>
      <c r="U1045" s="24">
        <v>80</v>
      </c>
      <c r="BA1045" s="2"/>
      <c r="BB1045" s="2"/>
      <c r="BC1045" s="101"/>
      <c r="BD1045" s="101"/>
    </row>
    <row r="1046" spans="2:56" s="84" customFormat="1" x14ac:dyDescent="0.35">
      <c r="F1046" s="50"/>
      <c r="AM1046" s="144" t="s">
        <v>4</v>
      </c>
      <c r="AN1046" s="144"/>
      <c r="AO1046" s="144"/>
      <c r="AP1046" s="144"/>
      <c r="AQ1046" s="144"/>
      <c r="AR1046" s="144"/>
      <c r="AS1046" s="144"/>
      <c r="AU1046" s="100" t="s">
        <v>4</v>
      </c>
      <c r="BA1046" s="2"/>
      <c r="BB1046" s="2"/>
      <c r="BC1046" s="101"/>
      <c r="BD1046" s="101"/>
    </row>
    <row r="1047" spans="2:56" s="84" customFormat="1" ht="15" customHeight="1" x14ac:dyDescent="0.35">
      <c r="B1047" s="40"/>
      <c r="C1047" s="41"/>
      <c r="D1047" s="42" t="s">
        <v>32</v>
      </c>
      <c r="E1047" s="43" t="s">
        <v>5</v>
      </c>
      <c r="F1047" s="50"/>
      <c r="G1047" s="162">
        <f>G1045</f>
        <v>44507</v>
      </c>
      <c r="H1047" s="163"/>
      <c r="I1047" s="162">
        <f>IF(G1047="","",G1047+1)</f>
        <v>44508</v>
      </c>
      <c r="J1047" s="163"/>
      <c r="K1047" s="162">
        <f>IF(I1047="","",I1047+1)</f>
        <v>44509</v>
      </c>
      <c r="L1047" s="163"/>
      <c r="M1047" s="162">
        <f>IF(K1047="","",K1047+1)</f>
        <v>44510</v>
      </c>
      <c r="N1047" s="163"/>
      <c r="O1047" s="162">
        <f>IF(M1047="","",M1047+1)</f>
        <v>44511</v>
      </c>
      <c r="P1047" s="163"/>
      <c r="Q1047" s="162">
        <f>IF(O1047="","",O1047+1)</f>
        <v>44512</v>
      </c>
      <c r="R1047" s="163"/>
      <c r="S1047" s="162">
        <f>IF(Q1047="","",Q1047+1)</f>
        <v>44513</v>
      </c>
      <c r="T1047" s="164"/>
      <c r="U1047" s="44"/>
      <c r="W1047" s="162">
        <f>IF(S1047="","",S1047+1)</f>
        <v>44514</v>
      </c>
      <c r="X1047" s="163"/>
      <c r="Y1047" s="162">
        <f>IF(W1047="","",W1047+1)</f>
        <v>44515</v>
      </c>
      <c r="Z1047" s="163"/>
      <c r="AA1047" s="162">
        <f>IF(Y1047="","",Y1047+1)</f>
        <v>44516</v>
      </c>
      <c r="AB1047" s="163"/>
      <c r="AC1047" s="162">
        <f>IF(AA1047="","",AA1047+1)</f>
        <v>44517</v>
      </c>
      <c r="AD1047" s="163"/>
      <c r="AE1047" s="162">
        <f>IF(AC1047="","",AC1047+1)</f>
        <v>44518</v>
      </c>
      <c r="AF1047" s="163"/>
      <c r="AG1047" s="162">
        <f>IF(AE1047="","",AE1047+1)</f>
        <v>44519</v>
      </c>
      <c r="AH1047" s="163"/>
      <c r="AI1047" s="162">
        <f>IF(AG1047="","",AG1047+1)</f>
        <v>44520</v>
      </c>
      <c r="AJ1047" s="164"/>
      <c r="AK1047" s="44"/>
      <c r="AM1047" s="145" t="s">
        <v>18</v>
      </c>
      <c r="AN1047" s="165" t="s">
        <v>55</v>
      </c>
      <c r="AO1047" s="145" t="s">
        <v>19</v>
      </c>
      <c r="AP1047" s="145" t="s">
        <v>20</v>
      </c>
      <c r="AQ1047" s="145" t="s">
        <v>21</v>
      </c>
      <c r="AR1047" s="166" t="s">
        <v>22</v>
      </c>
      <c r="AS1047" s="167" t="s">
        <v>23</v>
      </c>
      <c r="AU1047" s="144" t="s">
        <v>6</v>
      </c>
      <c r="AW1047" s="145" t="s">
        <v>24</v>
      </c>
      <c r="BA1047" s="2"/>
      <c r="BB1047" s="2"/>
      <c r="BC1047" s="101"/>
      <c r="BD1047" s="101"/>
    </row>
    <row r="1048" spans="2:56" s="84" customFormat="1" x14ac:dyDescent="0.35">
      <c r="B1048" s="45" t="s">
        <v>33</v>
      </c>
      <c r="C1048" s="46"/>
      <c r="D1048" s="47"/>
      <c r="E1048" s="47"/>
      <c r="F1048" s="50"/>
      <c r="G1048" s="146" t="s">
        <v>25</v>
      </c>
      <c r="H1048" s="147"/>
      <c r="I1048" s="146" t="s">
        <v>26</v>
      </c>
      <c r="J1048" s="147"/>
      <c r="K1048" s="146" t="s">
        <v>27</v>
      </c>
      <c r="L1048" s="147"/>
      <c r="M1048" s="146" t="s">
        <v>28</v>
      </c>
      <c r="N1048" s="147"/>
      <c r="O1048" s="146" t="s">
        <v>29</v>
      </c>
      <c r="P1048" s="147"/>
      <c r="Q1048" s="146" t="s">
        <v>30</v>
      </c>
      <c r="R1048" s="147"/>
      <c r="S1048" s="146" t="s">
        <v>31</v>
      </c>
      <c r="T1048" s="148"/>
      <c r="U1048" s="48" t="s">
        <v>7</v>
      </c>
      <c r="W1048" s="146" t="s">
        <v>25</v>
      </c>
      <c r="X1048" s="147"/>
      <c r="Y1048" s="146" t="s">
        <v>26</v>
      </c>
      <c r="Z1048" s="147"/>
      <c r="AA1048" s="146" t="s">
        <v>27</v>
      </c>
      <c r="AB1048" s="147"/>
      <c r="AC1048" s="146" t="s">
        <v>28</v>
      </c>
      <c r="AD1048" s="147"/>
      <c r="AE1048" s="146" t="s">
        <v>29</v>
      </c>
      <c r="AF1048" s="147"/>
      <c r="AG1048" s="146" t="s">
        <v>30</v>
      </c>
      <c r="AH1048" s="147"/>
      <c r="AI1048" s="146" t="s">
        <v>31</v>
      </c>
      <c r="AJ1048" s="148"/>
      <c r="AK1048" s="48" t="s">
        <v>7</v>
      </c>
      <c r="AM1048" s="145"/>
      <c r="AN1048" s="165"/>
      <c r="AO1048" s="145"/>
      <c r="AP1048" s="145"/>
      <c r="AQ1048" s="145"/>
      <c r="AR1048" s="166"/>
      <c r="AS1048" s="167"/>
      <c r="AU1048" s="144"/>
      <c r="AW1048" s="145"/>
      <c r="BA1048" s="2"/>
      <c r="BB1048" s="2"/>
      <c r="BC1048" s="101"/>
      <c r="BD1048" s="101"/>
    </row>
    <row r="1049" spans="2:56" s="84" customFormat="1" x14ac:dyDescent="0.35">
      <c r="B1049" s="63"/>
      <c r="C1049" s="25"/>
      <c r="D1049" s="25"/>
      <c r="E1049" s="25"/>
      <c r="F1049" s="50"/>
      <c r="BA1049" s="2"/>
      <c r="BB1049" s="2"/>
      <c r="BC1049" s="101"/>
      <c r="BD1049" s="101"/>
    </row>
    <row r="1050" spans="2:56" s="84" customFormat="1" x14ac:dyDescent="0.35">
      <c r="B1050" s="26"/>
      <c r="C1050" s="27"/>
      <c r="D1050" s="28">
        <f>IF(D976="","",D976)</f>
        <v>31428</v>
      </c>
      <c r="E1050" s="29" t="str">
        <f>IF(E976="","",E976)</f>
        <v/>
      </c>
      <c r="F1050" s="50">
        <f>B1045</f>
        <v>24</v>
      </c>
      <c r="G1050" s="59"/>
      <c r="H1050" s="64"/>
      <c r="I1050" s="106"/>
      <c r="J1050" s="105"/>
      <c r="K1050" s="106"/>
      <c r="L1050" s="105"/>
      <c r="M1050" s="106"/>
      <c r="N1050" s="105"/>
      <c r="O1050" s="106"/>
      <c r="P1050" s="105"/>
      <c r="Q1050" s="106"/>
      <c r="R1050" s="105"/>
      <c r="S1050" s="59"/>
      <c r="T1050" s="64"/>
      <c r="U1050" s="44"/>
      <c r="W1050" s="59"/>
      <c r="X1050" s="64"/>
      <c r="Y1050" s="106"/>
      <c r="Z1050" s="105"/>
      <c r="AA1050" s="106"/>
      <c r="AB1050" s="105"/>
      <c r="AC1050" s="106"/>
      <c r="AD1050" s="105"/>
      <c r="AE1050" s="106"/>
      <c r="AF1050" s="105"/>
      <c r="AG1050" s="106"/>
      <c r="AH1050" s="105"/>
      <c r="AI1050" s="59"/>
      <c r="AJ1050" s="64"/>
      <c r="AK1050" s="44"/>
      <c r="AM1050" s="49"/>
      <c r="AN1050" s="49"/>
      <c r="AO1050" s="49"/>
      <c r="AP1050" s="49"/>
      <c r="AQ1050" s="49"/>
      <c r="AR1050" s="40"/>
      <c r="AS1050" s="51"/>
      <c r="AU1050" s="49"/>
      <c r="AW1050" s="52"/>
      <c r="BA1050" s="2"/>
      <c r="BB1050" s="2"/>
      <c r="BC1050" s="101"/>
      <c r="BD1050" s="101"/>
    </row>
    <row r="1051" spans="2:56" s="84" customFormat="1" x14ac:dyDescent="0.35">
      <c r="B1051" s="30" t="str">
        <f>IF(B977="","",B977)</f>
        <v>Gaulin, Francis</v>
      </c>
      <c r="C1051" s="31"/>
      <c r="D1051" s="32"/>
      <c r="E1051" s="33">
        <f t="shared" ref="E1051:E1082" si="428">IF(E977="","",E977)</f>
        <v>93542</v>
      </c>
      <c r="F1051" s="50">
        <f>B1045</f>
        <v>24</v>
      </c>
      <c r="G1051" s="95"/>
      <c r="H1051" s="70"/>
      <c r="I1051" s="104"/>
      <c r="J1051" s="103">
        <v>8</v>
      </c>
      <c r="K1051" s="104"/>
      <c r="L1051" s="103">
        <v>8.25</v>
      </c>
      <c r="M1051" s="104"/>
      <c r="N1051" s="103">
        <v>8</v>
      </c>
      <c r="O1051" s="104"/>
      <c r="P1051" s="103">
        <v>8</v>
      </c>
      <c r="Q1051" s="104"/>
      <c r="R1051" s="103">
        <v>8</v>
      </c>
      <c r="S1051" s="69"/>
      <c r="T1051" s="70"/>
      <c r="U1051" s="71">
        <f>SUM(G1051:T1051)</f>
        <v>40.25</v>
      </c>
      <c r="V1051" s="72"/>
      <c r="W1051" s="69"/>
      <c r="X1051" s="70"/>
      <c r="Y1051" s="104"/>
      <c r="Z1051" s="103">
        <v>8</v>
      </c>
      <c r="AA1051" s="104"/>
      <c r="AB1051" s="103">
        <v>8</v>
      </c>
      <c r="AC1051" s="104"/>
      <c r="AD1051" s="103">
        <v>8</v>
      </c>
      <c r="AE1051" s="104"/>
      <c r="AF1051" s="103">
        <v>8</v>
      </c>
      <c r="AG1051" s="104"/>
      <c r="AH1051" s="103">
        <v>8</v>
      </c>
      <c r="AI1051" s="69"/>
      <c r="AJ1051" s="70"/>
      <c r="AK1051" s="71">
        <f>SUM(W1051:AJ1051)</f>
        <v>40</v>
      </c>
      <c r="AL1051" s="72"/>
      <c r="AM1051" s="73">
        <f>SUMIF($G1050:$T1050,"",$G1051:$T1051)+SUMIF($W1050:$AJ1050,"",$W1051:$AJ1051)-AN1051</f>
        <v>80</v>
      </c>
      <c r="AN1051" s="88">
        <f>IF(SUMIF($G1050:$T1050,"",$G1051:$T1051)+SUMIF($G1050:$T1050,"F",$G1051:$T1051)+SUMIF($G1050:$T1050,"V",$G1051:$T1051)-40&lt;0,0,SUMIF($G1050:$T1050,"",$G1051:$T1051)+SUMIF($G1050:$T1050,"F",$G1051:$T1051)+SUMIF($G1050:$T1050,"V",$G1051:$T1051)-($U$9/2))+IF(SUMIF($W1050:$AJ1050,"",$W1051:$AJ1051)+SUMIF($W1050:$AJ1050,"F",$W1051:$AJ1051)+SUMIF($W1050:$AJ1050,"V",$W1051:$AJ1051)-40&lt;0,0,SUMIF($W1050:$AJ1050,"",$W1051:$AJ1051)+SUMIF($W1050:$AJ1050,"F",$W1051:$AJ1051)+SUMIF($W1050:$AJ1050,"V",$W1051:$AJ1051)-($U$9/2))</f>
        <v>0.25</v>
      </c>
      <c r="AO1051" s="73">
        <f>SUMIF($G1050:$T1050,"M",$G1051:$T1051)+SUMIF($W1050:$AJ1050,"M",$W1051:$AJ1051)</f>
        <v>0</v>
      </c>
      <c r="AP1051" s="73">
        <f>SUMIF($G1050:$T1050,"F",$G1051:$T1051)+SUMIF($W1050:$AJ1050,"F",$W1051:$AJ1051)</f>
        <v>0</v>
      </c>
      <c r="AQ1051" s="73">
        <f>SUMIF($G1050:$T1050,"V",$G1051:$T1051)+SUMIF($W1050:$AJ1050,"V",$W1051:$AJ1051)</f>
        <v>0</v>
      </c>
      <c r="AR1051" s="74">
        <f>SUMIF($G1050:$T1050,"O",$G1051:$T1051)+SUMIF($W1050:$AJ1050,"O",$W1051:$AJ1051)</f>
        <v>0</v>
      </c>
      <c r="AS1051" s="75">
        <f>SUM(AM1051:AR1051)</f>
        <v>80.25</v>
      </c>
      <c r="AT1051" s="72"/>
      <c r="AU1051" s="73">
        <f>SUMIF($G1050:$T1050,"A",$G1051:$T1051)+SUMIF($W1050:$AJ1050,"A",$W1051:$AJ1051)</f>
        <v>0</v>
      </c>
      <c r="AV1051" s="72"/>
      <c r="AW1051" s="76">
        <f>IF(B1051="",0,IF($U$9="",0,$U$9))</f>
        <v>80</v>
      </c>
      <c r="BA1051" s="2"/>
      <c r="BB1051" s="2"/>
      <c r="BC1051" s="101"/>
      <c r="BD1051" s="101"/>
    </row>
    <row r="1052" spans="2:56" s="84" customFormat="1" x14ac:dyDescent="0.35">
      <c r="B1052" s="26"/>
      <c r="C1052" s="27"/>
      <c r="D1052" s="28">
        <f>IF(D978="","",D978)</f>
        <v>24287</v>
      </c>
      <c r="E1052" s="29" t="str">
        <f t="shared" si="428"/>
        <v/>
      </c>
      <c r="F1052" s="50">
        <f>B1045</f>
        <v>24</v>
      </c>
      <c r="G1052" s="59"/>
      <c r="H1052" s="64"/>
      <c r="I1052" s="106"/>
      <c r="J1052" s="105"/>
      <c r="K1052" s="106"/>
      <c r="L1052" s="105"/>
      <c r="M1052" s="106"/>
      <c r="N1052" s="105"/>
      <c r="O1052" s="106"/>
      <c r="P1052" s="105"/>
      <c r="Q1052" s="106"/>
      <c r="R1052" s="105"/>
      <c r="S1052" s="59"/>
      <c r="T1052" s="64"/>
      <c r="U1052" s="44"/>
      <c r="W1052" s="59"/>
      <c r="X1052" s="64"/>
      <c r="Y1052" s="106"/>
      <c r="Z1052" s="105"/>
      <c r="AA1052" s="106"/>
      <c r="AB1052" s="105"/>
      <c r="AC1052" s="106"/>
      <c r="AD1052" s="105"/>
      <c r="AE1052" s="106"/>
      <c r="AF1052" s="105"/>
      <c r="AG1052" s="106"/>
      <c r="AH1052" s="105"/>
      <c r="AI1052" s="59"/>
      <c r="AJ1052" s="64"/>
      <c r="AK1052" s="44"/>
      <c r="AM1052" s="49"/>
      <c r="AN1052" s="49"/>
      <c r="AO1052" s="49"/>
      <c r="AP1052" s="49"/>
      <c r="AQ1052" s="49"/>
      <c r="AR1052" s="40"/>
      <c r="AS1052" s="51"/>
      <c r="AU1052" s="49"/>
      <c r="AW1052" s="52"/>
      <c r="BA1052" s="2"/>
      <c r="BB1052" s="2"/>
      <c r="BC1052" s="101"/>
      <c r="BD1052" s="101"/>
    </row>
    <row r="1053" spans="2:56" s="84" customFormat="1" x14ac:dyDescent="0.35">
      <c r="B1053" s="30" t="str">
        <f>IF(B979="","",B979)</f>
        <v>Barrata, Dominic(Avance $500.00)</v>
      </c>
      <c r="C1053" s="31"/>
      <c r="D1053" s="32"/>
      <c r="E1053" s="33">
        <f t="shared" si="428"/>
        <v>93595935</v>
      </c>
      <c r="F1053" s="50">
        <f>B1045</f>
        <v>24</v>
      </c>
      <c r="G1053" s="69"/>
      <c r="H1053" s="70"/>
      <c r="I1053" s="104"/>
      <c r="J1053" s="103" t="s">
        <v>69</v>
      </c>
      <c r="K1053" s="104"/>
      <c r="L1053" s="103" t="s">
        <v>69</v>
      </c>
      <c r="M1053" s="104"/>
      <c r="N1053" s="103" t="s">
        <v>69</v>
      </c>
      <c r="O1053" s="104"/>
      <c r="P1053" s="103" t="s">
        <v>69</v>
      </c>
      <c r="Q1053" s="104"/>
      <c r="R1053" s="103" t="s">
        <v>69</v>
      </c>
      <c r="S1053" s="69"/>
      <c r="T1053" s="70"/>
      <c r="U1053" s="71">
        <f t="shared" ref="U1053" si="429">SUM(G1053:T1053)</f>
        <v>0</v>
      </c>
      <c r="V1053" s="72"/>
      <c r="W1053" s="69"/>
      <c r="X1053" s="70"/>
      <c r="Y1053" s="104"/>
      <c r="Z1053" s="103" t="s">
        <v>69</v>
      </c>
      <c r="AA1053" s="104"/>
      <c r="AB1053" s="103" t="s">
        <v>69</v>
      </c>
      <c r="AC1053" s="104"/>
      <c r="AD1053" s="103" t="s">
        <v>69</v>
      </c>
      <c r="AE1053" s="104"/>
      <c r="AF1053" s="103" t="s">
        <v>69</v>
      </c>
      <c r="AG1053" s="104"/>
      <c r="AH1053" s="103" t="s">
        <v>69</v>
      </c>
      <c r="AI1053" s="69"/>
      <c r="AJ1053" s="70"/>
      <c r="AK1053" s="71">
        <f>SUM(W1053:AJ1053)</f>
        <v>0</v>
      </c>
      <c r="AL1053" s="72"/>
      <c r="AM1053" s="73">
        <f>SUMIF($G1052:$T1052,"",$G1053:$T1053)+SUMIF($W1052:$AJ1052,"",$W1053:$AJ1053)-AN1053</f>
        <v>0</v>
      </c>
      <c r="AN1053" s="88">
        <f>IF(SUMIF($G1052:$T1052,"",$G1053:$T1053)+SUMIF($G1052:$T1052,"F",$G1053:$T1053)+SUMIF($G1052:$T1052,"V",$G1053:$T1053)-40&lt;0,0,SUMIF($G1052:$T1052,"",$G1053:$T1053)+SUMIF($G1052:$T1052,"F",$G1053:$T1053)+SUMIF($G1052:$T1052,"V",$G1053:$T1053)-($U$9/2))+IF(SUMIF($W1052:$AJ1052,"",$W1053:$AJ1053)+SUMIF($W1052:$AJ1052,"F",$W1053:$AJ1053)+SUMIF($W1052:$AJ1052,"V",$W1053:$AJ1053)-40&lt;0,0,SUMIF($W1052:$AJ1052,"",$W1053:$AJ1053)+SUMIF($W1052:$AJ1052,"F",$W1053:$AJ1053)+SUMIF($W1052:$AJ1052,"V",$W1053:$AJ1053)-($U$9/2))</f>
        <v>0</v>
      </c>
      <c r="AO1053" s="73">
        <f>SUMIF($G1052:$T1052,"M",$G1053:$T1053)+SUMIF($W1052:$AJ1052,"M",$W1053:$AJ1053)</f>
        <v>0</v>
      </c>
      <c r="AP1053" s="73">
        <f>SUMIF($G1052:$T1052,"F",$G1053:$T1053)+SUMIF($W1052:$AJ1052,"F",$W1053:$AJ1053)</f>
        <v>0</v>
      </c>
      <c r="AQ1053" s="73">
        <f>SUMIF($G1052:$T1052,"V",$G1053:$T1053)+SUMIF($W1052:$AJ1052,"V",$W1053:$AJ1053)</f>
        <v>0</v>
      </c>
      <c r="AR1053" s="74">
        <f>SUMIF($G1052:$T1052,"O",$G1053:$T1053)+SUMIF($W1052:$AJ1052,"O",$W1053:$AJ1053)</f>
        <v>0</v>
      </c>
      <c r="AS1053" s="75">
        <f>SUM(AM1053:AR1053)</f>
        <v>0</v>
      </c>
      <c r="AT1053" s="72"/>
      <c r="AU1053" s="73">
        <f>SUMIF($G1052:$T1052,"A",$G1053:$T1053)+SUMIF($W1052:$AJ1052,"A",$W1053:$AJ1053)</f>
        <v>0</v>
      </c>
      <c r="AV1053" s="72"/>
      <c r="AW1053" s="76">
        <f>IF(B1053="",0,IF($U$9="",0,$U$9))</f>
        <v>80</v>
      </c>
      <c r="BA1053" s="2"/>
      <c r="BB1053" s="2"/>
      <c r="BC1053" s="101"/>
      <c r="BD1053" s="101"/>
    </row>
    <row r="1054" spans="2:56" s="84" customFormat="1" x14ac:dyDescent="0.35">
      <c r="B1054" s="26"/>
      <c r="C1054" s="27"/>
      <c r="D1054" s="28">
        <f>IF(D980="","",D980)</f>
        <v>92032</v>
      </c>
      <c r="E1054" s="29" t="str">
        <f t="shared" si="428"/>
        <v/>
      </c>
      <c r="F1054" s="50">
        <f>B1045</f>
        <v>24</v>
      </c>
      <c r="G1054" s="59"/>
      <c r="H1054" s="64"/>
      <c r="I1054" s="106"/>
      <c r="J1054" s="105"/>
      <c r="K1054" s="106"/>
      <c r="L1054" s="105"/>
      <c r="M1054" s="106"/>
      <c r="N1054" s="105"/>
      <c r="O1054" s="106"/>
      <c r="P1054" s="105"/>
      <c r="Q1054" s="106"/>
      <c r="R1054" s="105"/>
      <c r="S1054" s="59"/>
      <c r="T1054" s="64"/>
      <c r="U1054" s="44"/>
      <c r="W1054" s="59"/>
      <c r="X1054" s="64"/>
      <c r="Y1054" s="106"/>
      <c r="Z1054" s="105"/>
      <c r="AA1054" s="106"/>
      <c r="AB1054" s="105"/>
      <c r="AC1054" s="106"/>
      <c r="AD1054" s="105"/>
      <c r="AE1054" s="106"/>
      <c r="AF1054" s="105"/>
      <c r="AG1054" s="106"/>
      <c r="AH1054" s="105"/>
      <c r="AI1054" s="59"/>
      <c r="AJ1054" s="64"/>
      <c r="AK1054" s="44"/>
      <c r="AM1054" s="49"/>
      <c r="AN1054" s="49"/>
      <c r="AO1054" s="49"/>
      <c r="AP1054" s="49"/>
      <c r="AQ1054" s="49"/>
      <c r="AR1054" s="40"/>
      <c r="AS1054" s="51"/>
      <c r="AU1054" s="49"/>
      <c r="AW1054" s="52"/>
      <c r="BA1054" s="2"/>
      <c r="BB1054" s="2"/>
      <c r="BC1054" s="101"/>
      <c r="BD1054" s="101"/>
    </row>
    <row r="1055" spans="2:56" s="84" customFormat="1" x14ac:dyDescent="0.35">
      <c r="B1055" s="30" t="str">
        <f>IF(B981="","",B981)</f>
        <v>Benoit, Jean-Paul(Avance $1,600.00)</v>
      </c>
      <c r="C1055" s="31"/>
      <c r="D1055" s="32"/>
      <c r="E1055" s="33">
        <f t="shared" si="428"/>
        <v>93595935</v>
      </c>
      <c r="F1055" s="50">
        <f>B1045</f>
        <v>24</v>
      </c>
      <c r="G1055" s="69"/>
      <c r="H1055" s="70"/>
      <c r="I1055" s="104"/>
      <c r="J1055" s="103" t="s">
        <v>69</v>
      </c>
      <c r="K1055" s="104"/>
      <c r="L1055" s="103" t="s">
        <v>69</v>
      </c>
      <c r="M1055" s="104"/>
      <c r="N1055" s="103" t="s">
        <v>69</v>
      </c>
      <c r="O1055" s="104"/>
      <c r="P1055" s="103" t="s">
        <v>69</v>
      </c>
      <c r="Q1055" s="104"/>
      <c r="R1055" s="103" t="s">
        <v>69</v>
      </c>
      <c r="S1055" s="69"/>
      <c r="T1055" s="70"/>
      <c r="U1055" s="71">
        <f t="shared" ref="U1055" si="430">SUM(G1055:T1055)</f>
        <v>0</v>
      </c>
      <c r="V1055" s="72"/>
      <c r="W1055" s="69"/>
      <c r="X1055" s="70"/>
      <c r="Y1055" s="104"/>
      <c r="Z1055" s="103" t="s">
        <v>69</v>
      </c>
      <c r="AA1055" s="104"/>
      <c r="AB1055" s="103" t="s">
        <v>69</v>
      </c>
      <c r="AC1055" s="104"/>
      <c r="AD1055" s="103" t="s">
        <v>69</v>
      </c>
      <c r="AE1055" s="104"/>
      <c r="AF1055" s="103" t="s">
        <v>69</v>
      </c>
      <c r="AG1055" s="104"/>
      <c r="AH1055" s="103" t="s">
        <v>69</v>
      </c>
      <c r="AI1055" s="69"/>
      <c r="AJ1055" s="70"/>
      <c r="AK1055" s="71">
        <f>SUM(W1055:AJ1055)</f>
        <v>0</v>
      </c>
      <c r="AL1055" s="72"/>
      <c r="AM1055" s="73">
        <f>SUMIF($G1054:$T1054,"",$G1055:$T1055)+SUMIF($W1054:$AJ1054,"",$W1055:$AJ1055)-AN1055</f>
        <v>0</v>
      </c>
      <c r="AN1055" s="88">
        <f>IF(SUMIF($G1054:$T1054,"",$G1055:$T1055)+SUMIF($G1054:$T1054,"F",$G1055:$T1055)+SUMIF($G1054:$T1054,"V",$G1055:$T1055)-40&lt;0,0,SUMIF($G1054:$T1054,"",$G1055:$T1055)+SUMIF($G1054:$T1054,"F",$G1055:$T1055)+SUMIF($G1054:$T1054,"V",$G1055:$T1055)-($U$9/2))+IF(SUMIF($W1054:$AJ1054,"",$W1055:$AJ1055)+SUMIF($W1054:$AJ1054,"F",$W1055:$AJ1055)+SUMIF($W1054:$AJ1054,"V",$W1055:$AJ1055)-40&lt;0,0,SUMIF($W1054:$AJ1054,"",$W1055:$AJ1055)+SUMIF($W1054:$AJ1054,"F",$W1055:$AJ1055)+SUMIF($W1054:$AJ1054,"V",$W1055:$AJ1055)-($U$9/2))</f>
        <v>0</v>
      </c>
      <c r="AO1055" s="73">
        <f>SUMIF($G1054:$T1054,"M",$G1055:$T1055)+SUMIF($W1054:$AJ1054,"M",$W1055:$AJ1055)</f>
        <v>0</v>
      </c>
      <c r="AP1055" s="73">
        <f>SUMIF($G1054:$T1054,"F",$G1055:$T1055)+SUMIF($W1054:$AJ1054,"F",$W1055:$AJ1055)</f>
        <v>0</v>
      </c>
      <c r="AQ1055" s="73">
        <f>SUMIF($G1054:$T1054,"V",$G1055:$T1055)+SUMIF($W1054:$AJ1054,"V",$W1055:$AJ1055)</f>
        <v>0</v>
      </c>
      <c r="AR1055" s="74">
        <f>SUMIF($G1054:$T1054,"O",$G1055:$T1055)+SUMIF($W1054:$AJ1054,"O",$W1055:$AJ1055)</f>
        <v>0</v>
      </c>
      <c r="AS1055" s="75">
        <f>SUM(AM1055:AR1055)</f>
        <v>0</v>
      </c>
      <c r="AT1055" s="72"/>
      <c r="AU1055" s="73">
        <f>SUMIF($G1054:$T1054,"A",$G1055:$T1055)+SUMIF($W1054:$AJ1054,"A",$W1055:$AJ1055)</f>
        <v>0</v>
      </c>
      <c r="AV1055" s="72"/>
      <c r="AW1055" s="76">
        <f>IF(B1055="",0,IF($U$9="",0,$U$9))</f>
        <v>80</v>
      </c>
      <c r="BA1055" s="2"/>
      <c r="BB1055" s="2"/>
      <c r="BC1055" s="101"/>
      <c r="BD1055" s="101"/>
    </row>
    <row r="1056" spans="2:56" s="84" customFormat="1" x14ac:dyDescent="0.35">
      <c r="B1056" s="26"/>
      <c r="C1056" s="27"/>
      <c r="D1056" s="28">
        <f>IF(D982="","",D982)</f>
        <v>81077</v>
      </c>
      <c r="E1056" s="29" t="str">
        <f t="shared" si="428"/>
        <v/>
      </c>
      <c r="F1056" s="50">
        <f>B1045</f>
        <v>24</v>
      </c>
      <c r="G1056" s="93"/>
      <c r="H1056" s="94"/>
      <c r="I1056" s="106"/>
      <c r="J1056" s="105" t="s">
        <v>12</v>
      </c>
      <c r="K1056" s="106"/>
      <c r="L1056" s="105"/>
      <c r="M1056" s="106"/>
      <c r="N1056" s="105"/>
      <c r="O1056" s="106"/>
      <c r="P1056" s="105"/>
      <c r="Q1056" s="106"/>
      <c r="R1056" s="105"/>
      <c r="S1056" s="59"/>
      <c r="T1056" s="64"/>
      <c r="U1056" s="44"/>
      <c r="W1056" s="59"/>
      <c r="X1056" s="64"/>
      <c r="Y1056" s="106"/>
      <c r="Z1056" s="105"/>
      <c r="AA1056" s="106"/>
      <c r="AB1056" s="105"/>
      <c r="AC1056" s="106"/>
      <c r="AD1056" s="105"/>
      <c r="AE1056" s="106"/>
      <c r="AF1056" s="105"/>
      <c r="AG1056" s="106"/>
      <c r="AH1056" s="105" t="s">
        <v>1</v>
      </c>
      <c r="AI1056" s="59"/>
      <c r="AJ1056" s="64"/>
      <c r="AK1056" s="44"/>
      <c r="AM1056" s="49"/>
      <c r="AN1056" s="49"/>
      <c r="AO1056" s="49"/>
      <c r="AP1056" s="49"/>
      <c r="AQ1056" s="49"/>
      <c r="AR1056" s="40"/>
      <c r="AS1056" s="51"/>
      <c r="AU1056" s="49"/>
      <c r="AW1056" s="52"/>
      <c r="BA1056" s="2"/>
      <c r="BB1056" s="2"/>
      <c r="BC1056" s="101"/>
      <c r="BD1056" s="101"/>
    </row>
    <row r="1057" spans="2:56" s="84" customFormat="1" x14ac:dyDescent="0.35">
      <c r="B1057" s="30" t="str">
        <f>IF(B983="","",B983)</f>
        <v>Bourassa, Julie</v>
      </c>
      <c r="C1057" s="31"/>
      <c r="D1057" s="32"/>
      <c r="E1057" s="33">
        <f t="shared" si="428"/>
        <v>93540</v>
      </c>
      <c r="F1057" s="50">
        <f>B1045</f>
        <v>24</v>
      </c>
      <c r="G1057" s="93"/>
      <c r="H1057" s="94"/>
      <c r="I1057" s="104"/>
      <c r="J1057" s="103">
        <v>8</v>
      </c>
      <c r="K1057" s="104"/>
      <c r="L1057" s="103">
        <v>8.5</v>
      </c>
      <c r="M1057" s="104"/>
      <c r="N1057" s="103">
        <v>8</v>
      </c>
      <c r="O1057" s="104"/>
      <c r="P1057" s="103">
        <v>8.5</v>
      </c>
      <c r="Q1057" s="104"/>
      <c r="R1057" s="103">
        <v>8</v>
      </c>
      <c r="S1057" s="69"/>
      <c r="T1057" s="70"/>
      <c r="U1057" s="71">
        <f t="shared" ref="U1057" si="431">SUM(G1057:T1057)</f>
        <v>41</v>
      </c>
      <c r="V1057" s="72"/>
      <c r="W1057" s="69"/>
      <c r="X1057" s="70"/>
      <c r="Y1057" s="104"/>
      <c r="Z1057" s="103">
        <v>8</v>
      </c>
      <c r="AA1057" s="104"/>
      <c r="AB1057" s="103">
        <v>8.5</v>
      </c>
      <c r="AC1057" s="104"/>
      <c r="AD1057" s="103">
        <v>8.5</v>
      </c>
      <c r="AE1057" s="104"/>
      <c r="AF1057" s="103">
        <v>8</v>
      </c>
      <c r="AG1057" s="104"/>
      <c r="AH1057" s="103">
        <v>8</v>
      </c>
      <c r="AI1057" s="69"/>
      <c r="AJ1057" s="70">
        <v>6</v>
      </c>
      <c r="AK1057" s="71">
        <f>SUM(W1057:AJ1057)</f>
        <v>47</v>
      </c>
      <c r="AL1057" s="72"/>
      <c r="AM1057" s="73">
        <f>SUMIF($G1056:$T1056,"",$G1057:$T1057)+SUMIF($W1056:$AJ1056,"",$W1057:$AJ1057)-AN1057</f>
        <v>65</v>
      </c>
      <c r="AN1057" s="88">
        <f>IF(SUMIF($G1056:$T1056,"",$G1057:$T1057)+SUMIF($G1056:$T1056,"F",$G1057:$T1057)+SUMIF($G1056:$T1056,"V",$G1057:$T1057)-40&lt;0,0,SUMIF($G1056:$T1056,"",$G1057:$T1057)+SUMIF($G1056:$T1056,"F",$G1057:$T1057)+SUMIF($G1056:$T1056,"V",$G1057:$T1057)-($U$9/2))+IF(SUMIF($W1056:$AJ1056,"",$W1057:$AJ1057)+SUMIF($W1056:$AJ1056,"F",$W1057:$AJ1057)+SUMIF($W1056:$AJ1056,"V",$W1057:$AJ1057)-40&lt;0,0,SUMIF($W1056:$AJ1056,"",$W1057:$AJ1057)+SUMIF($W1056:$AJ1056,"F",$W1057:$AJ1057)+SUMIF($W1056:$AJ1056,"V",$W1057:$AJ1057)-($U$9/2))</f>
        <v>7</v>
      </c>
      <c r="AO1057" s="73">
        <f>SUMIF($G1056:$T1056,"M",$G1057:$T1057)+SUMIF($W1056:$AJ1056,"M",$W1057:$AJ1057)</f>
        <v>8</v>
      </c>
      <c r="AP1057" s="73">
        <f>SUMIF($G1056:$T1056,"F",$G1057:$T1057)+SUMIF($W1056:$AJ1056,"F",$W1057:$AJ1057)</f>
        <v>0</v>
      </c>
      <c r="AQ1057" s="73">
        <f>SUMIF($G1056:$T1056,"V",$G1057:$T1057)+SUMIF($W1056:$AJ1056,"V",$W1057:$AJ1057)</f>
        <v>8</v>
      </c>
      <c r="AR1057" s="74">
        <f>SUMIF($G1056:$T1056,"O",$G1057:$T1057)+SUMIF($W1056:$AJ1056,"O",$W1057:$AJ1057)</f>
        <v>0</v>
      </c>
      <c r="AS1057" s="75">
        <f>SUM(AM1057:AR1057)</f>
        <v>88</v>
      </c>
      <c r="AT1057" s="72"/>
      <c r="AU1057" s="73">
        <f>SUMIF($G1056:$T1056,"A",$G1057:$T1057)+SUMIF($W1056:$AJ1056,"A",$W1057:$AJ1057)</f>
        <v>0</v>
      </c>
      <c r="AV1057" s="72"/>
      <c r="AW1057" s="76">
        <f>IF(B1057="",0,IF($U$9="",0,$U$9))</f>
        <v>80</v>
      </c>
      <c r="BA1057" s="2"/>
      <c r="BB1057" s="2"/>
      <c r="BC1057" s="101"/>
      <c r="BD1057" s="101"/>
    </row>
    <row r="1058" spans="2:56" s="84" customFormat="1" x14ac:dyDescent="0.35">
      <c r="B1058" s="26"/>
      <c r="C1058" s="27"/>
      <c r="D1058" s="28">
        <f>IF(D984="","",D984)</f>
        <v>78475</v>
      </c>
      <c r="E1058" s="29" t="str">
        <f t="shared" si="428"/>
        <v/>
      </c>
      <c r="F1058" s="50">
        <f>B1045</f>
        <v>24</v>
      </c>
      <c r="G1058" s="59"/>
      <c r="H1058" s="64"/>
      <c r="I1058" s="106"/>
      <c r="J1058" s="105"/>
      <c r="K1058" s="106"/>
      <c r="L1058" s="105"/>
      <c r="M1058" s="106"/>
      <c r="N1058" s="105"/>
      <c r="O1058" s="106"/>
      <c r="P1058" s="105"/>
      <c r="Q1058" s="106"/>
      <c r="R1058" s="105"/>
      <c r="S1058" s="59"/>
      <c r="T1058" s="64"/>
      <c r="U1058" s="44"/>
      <c r="W1058" s="59"/>
      <c r="X1058" s="64"/>
      <c r="Y1058" s="106"/>
      <c r="Z1058" s="105"/>
      <c r="AA1058" s="106"/>
      <c r="AB1058" s="105"/>
      <c r="AC1058" s="106"/>
      <c r="AD1058" s="105"/>
      <c r="AE1058" s="106"/>
      <c r="AF1058" s="105"/>
      <c r="AG1058" s="106"/>
      <c r="AH1058" s="105"/>
      <c r="AI1058" s="59"/>
      <c r="AJ1058" s="64"/>
      <c r="AK1058" s="44"/>
      <c r="AM1058" s="49"/>
      <c r="AN1058" s="49"/>
      <c r="AO1058" s="49"/>
      <c r="AP1058" s="49"/>
      <c r="AQ1058" s="49"/>
      <c r="AR1058" s="40"/>
      <c r="AS1058" s="51"/>
      <c r="AU1058" s="49"/>
      <c r="AW1058" s="52"/>
      <c r="BA1058" s="2"/>
      <c r="BB1058" s="2"/>
      <c r="BC1058" s="101"/>
      <c r="BD1058" s="101"/>
    </row>
    <row r="1059" spans="2:56" s="84" customFormat="1" x14ac:dyDescent="0.35">
      <c r="B1059" s="30" t="str">
        <f>IF(B985="","",B985)</f>
        <v>Charbonneau, Samuel</v>
      </c>
      <c r="C1059" s="31"/>
      <c r="D1059" s="32"/>
      <c r="E1059" s="33">
        <f t="shared" si="428"/>
        <v>93540</v>
      </c>
      <c r="F1059" s="50">
        <f>B1045</f>
        <v>24</v>
      </c>
      <c r="G1059" s="69"/>
      <c r="H1059" s="70"/>
      <c r="I1059" s="104"/>
      <c r="J1059" s="103">
        <v>8.5</v>
      </c>
      <c r="K1059" s="104"/>
      <c r="L1059" s="103">
        <v>8</v>
      </c>
      <c r="M1059" s="104"/>
      <c r="N1059" s="103">
        <v>8.5</v>
      </c>
      <c r="O1059" s="104"/>
      <c r="P1059" s="103">
        <v>8</v>
      </c>
      <c r="Q1059" s="104"/>
      <c r="R1059" s="103">
        <v>7.5</v>
      </c>
      <c r="S1059" s="69"/>
      <c r="T1059" s="70"/>
      <c r="U1059" s="71">
        <f t="shared" ref="U1059" si="432">SUM(G1059:T1059)</f>
        <v>40.5</v>
      </c>
      <c r="V1059" s="72"/>
      <c r="W1059" s="69"/>
      <c r="X1059" s="70"/>
      <c r="Y1059" s="104"/>
      <c r="Z1059" s="103">
        <v>8.5</v>
      </c>
      <c r="AA1059" s="104"/>
      <c r="AB1059" s="103">
        <v>8</v>
      </c>
      <c r="AC1059" s="104"/>
      <c r="AD1059" s="103">
        <v>11</v>
      </c>
      <c r="AE1059" s="104"/>
      <c r="AF1059" s="103">
        <v>8.5</v>
      </c>
      <c r="AG1059" s="104"/>
      <c r="AH1059" s="103">
        <v>8</v>
      </c>
      <c r="AI1059" s="69"/>
      <c r="AJ1059" s="70">
        <v>6</v>
      </c>
      <c r="AK1059" s="71">
        <f>SUM(W1059:AJ1059)</f>
        <v>50</v>
      </c>
      <c r="AL1059" s="72"/>
      <c r="AM1059" s="73">
        <f>SUMIF($G1058:$T1058,"",$G1059:$T1059)+SUMIF($W1058:$AJ1058,"",$W1059:$AJ1059)-AN1059</f>
        <v>80</v>
      </c>
      <c r="AN1059" s="88">
        <f>IF(SUMIF($G1058:$T1058,"",$G1059:$T1059)+SUMIF($G1058:$T1058,"F",$G1059:$T1059)+SUMIF($G1058:$T1058,"V",$G1059:$T1059)-40&lt;0,0,SUMIF($G1058:$T1058,"",$G1059:$T1059)+SUMIF($G1058:$T1058,"F",$G1059:$T1059)+SUMIF($G1058:$T1058,"V",$G1059:$T1059)-($U$9/2))+IF(SUMIF($W1058:$AJ1058,"",$W1059:$AJ1059)+SUMIF($W1058:$AJ1058,"F",$W1059:$AJ1059)+SUMIF($W1058:$AJ1058,"V",$W1059:$AJ1059)-40&lt;0,0,SUMIF($W1058:$AJ1058,"",$W1059:$AJ1059)+SUMIF($W1058:$AJ1058,"F",$W1059:$AJ1059)+SUMIF($W1058:$AJ1058,"V",$W1059:$AJ1059)-($U$9/2))</f>
        <v>10.5</v>
      </c>
      <c r="AO1059" s="73">
        <f>SUMIF($G1058:$T1058,"M",$G1059:$T1059)+SUMIF($W1058:$AJ1058,"M",$W1059:$AJ1059)</f>
        <v>0</v>
      </c>
      <c r="AP1059" s="73">
        <f>SUMIF($G1058:$T1058,"F",$G1059:$T1059)+SUMIF($W1058:$AJ1058,"F",$W1059:$AJ1059)</f>
        <v>0</v>
      </c>
      <c r="AQ1059" s="73">
        <f>SUMIF($G1058:$T1058,"V",$G1059:$T1059)+SUMIF($W1058:$AJ1058,"V",$W1059:$AJ1059)</f>
        <v>0</v>
      </c>
      <c r="AR1059" s="74">
        <f>SUMIF($G1058:$T1058,"O",$G1059:$T1059)+SUMIF($W1058:$AJ1058,"O",$W1059:$AJ1059)</f>
        <v>0</v>
      </c>
      <c r="AS1059" s="75">
        <f>SUM(AM1059:AR1059)</f>
        <v>90.5</v>
      </c>
      <c r="AT1059" s="72"/>
      <c r="AU1059" s="73">
        <f>SUMIF($G1058:$T1058,"A",$G1059:$T1059)+SUMIF($W1058:$AJ1058,"A",$W1059:$AJ1059)</f>
        <v>0</v>
      </c>
      <c r="AV1059" s="72"/>
      <c r="AW1059" s="76">
        <f>IF(B1059="",0,IF($U$9="",0,$U$9))</f>
        <v>80</v>
      </c>
      <c r="BA1059" s="2"/>
      <c r="BB1059" s="2"/>
      <c r="BC1059" s="101"/>
      <c r="BD1059" s="101"/>
    </row>
    <row r="1060" spans="2:56" s="84" customFormat="1" x14ac:dyDescent="0.35">
      <c r="B1060" s="26"/>
      <c r="C1060" s="27"/>
      <c r="D1060" s="28" t="str">
        <f>IF(D986="","",D986)</f>
        <v/>
      </c>
      <c r="E1060" s="29" t="str">
        <f t="shared" si="428"/>
        <v/>
      </c>
      <c r="F1060" s="50">
        <f>B1045</f>
        <v>24</v>
      </c>
      <c r="G1060" s="59"/>
      <c r="H1060" s="64"/>
      <c r="I1060" s="106"/>
      <c r="J1060" s="105"/>
      <c r="K1060" s="106"/>
      <c r="L1060" s="105"/>
      <c r="M1060" s="106"/>
      <c r="N1060" s="105"/>
      <c r="O1060" s="106"/>
      <c r="P1060" s="105"/>
      <c r="Q1060" s="106"/>
      <c r="R1060" s="105"/>
      <c r="S1060" s="59"/>
      <c r="T1060" s="64"/>
      <c r="U1060" s="44"/>
      <c r="W1060" s="59"/>
      <c r="X1060" s="64"/>
      <c r="Y1060" s="106"/>
      <c r="Z1060" s="105"/>
      <c r="AA1060" s="106"/>
      <c r="AB1060" s="105"/>
      <c r="AC1060" s="106"/>
      <c r="AD1060" s="105"/>
      <c r="AE1060" s="106"/>
      <c r="AF1060" s="105"/>
      <c r="AG1060" s="106"/>
      <c r="AH1060" s="105"/>
      <c r="AI1060" s="59"/>
      <c r="AJ1060" s="64"/>
      <c r="AK1060" s="44"/>
      <c r="AM1060" s="49"/>
      <c r="AN1060" s="49"/>
      <c r="AO1060" s="49"/>
      <c r="AP1060" s="49"/>
      <c r="AQ1060" s="49"/>
      <c r="AR1060" s="40"/>
      <c r="AS1060" s="51"/>
      <c r="AU1060" s="49"/>
      <c r="AW1060" s="52"/>
      <c r="BA1060" s="2"/>
      <c r="BB1060" s="2"/>
      <c r="BC1060" s="101"/>
      <c r="BD1060" s="101"/>
    </row>
    <row r="1061" spans="2:56" s="84" customFormat="1" x14ac:dyDescent="0.35">
      <c r="B1061" s="30" t="str">
        <f>IF(B987="","",B987)</f>
        <v/>
      </c>
      <c r="C1061" s="31"/>
      <c r="D1061" s="32"/>
      <c r="E1061" s="33" t="str">
        <f t="shared" si="428"/>
        <v/>
      </c>
      <c r="F1061" s="50">
        <f>B1045</f>
        <v>24</v>
      </c>
      <c r="G1061" s="69"/>
      <c r="H1061" s="70"/>
      <c r="I1061" s="104"/>
      <c r="J1061" s="103"/>
      <c r="K1061" s="104"/>
      <c r="L1061" s="103"/>
      <c r="M1061" s="104"/>
      <c r="N1061" s="103"/>
      <c r="O1061" s="104"/>
      <c r="P1061" s="103"/>
      <c r="Q1061" s="104"/>
      <c r="R1061" s="103"/>
      <c r="S1061" s="69"/>
      <c r="T1061" s="70"/>
      <c r="U1061" s="71">
        <f t="shared" ref="U1061" si="433">SUM(G1061:T1061)</f>
        <v>0</v>
      </c>
      <c r="V1061" s="72"/>
      <c r="W1061" s="69"/>
      <c r="X1061" s="70"/>
      <c r="Y1061" s="104"/>
      <c r="Z1061" s="103"/>
      <c r="AA1061" s="104"/>
      <c r="AB1061" s="103"/>
      <c r="AC1061" s="104"/>
      <c r="AD1061" s="103"/>
      <c r="AE1061" s="104"/>
      <c r="AF1061" s="103"/>
      <c r="AG1061" s="104"/>
      <c r="AH1061" s="103"/>
      <c r="AI1061" s="69"/>
      <c r="AJ1061" s="70"/>
      <c r="AK1061" s="71">
        <f>SUM(W1061:AJ1061)</f>
        <v>0</v>
      </c>
      <c r="AL1061" s="72"/>
      <c r="AM1061" s="73">
        <f>SUMIF($G1060:$T1060,"",$G1061:$T1061)+SUMIF($W1060:$AJ1060,"",$W1061:$AJ1061)-AN1061</f>
        <v>0</v>
      </c>
      <c r="AN1061" s="88">
        <f>IF(SUMIF($G1060:$T1060,"",$G1061:$T1061)+SUMIF($G1060:$T1060,"F",$G1061:$T1061)+SUMIF($G1060:$T1060,"V",$G1061:$T1061)-40&lt;0,0,SUMIF($G1060:$T1060,"",$G1061:$T1061)+SUMIF($G1060:$T1060,"F",$G1061:$T1061)+SUMIF($G1060:$T1060,"V",$G1061:$T1061)-($U$9/2))+IF(SUMIF($W1060:$AJ1060,"",$W1061:$AJ1061)+SUMIF($W1060:$AJ1060,"F",$W1061:$AJ1061)+SUMIF($W1060:$AJ1060,"V",$W1061:$AJ1061)-40&lt;0,0,SUMIF($W1060:$AJ1060,"",$W1061:$AJ1061)+SUMIF($W1060:$AJ1060,"F",$W1061:$AJ1061)+SUMIF($W1060:$AJ1060,"V",$W1061:$AJ1061)-($U$9/2))</f>
        <v>0</v>
      </c>
      <c r="AO1061" s="73">
        <f>SUMIF($G1060:$T1060,"M",$G1061:$T1061)+SUMIF($W1060:$AJ1060,"M",$W1061:$AJ1061)</f>
        <v>0</v>
      </c>
      <c r="AP1061" s="73">
        <f>SUMIF($G1060:$T1060,"F",$G1061:$T1061)+SUMIF($W1060:$AJ1060,"F",$W1061:$AJ1061)</f>
        <v>0</v>
      </c>
      <c r="AQ1061" s="73">
        <f>SUMIF($G1060:$T1060,"V",$G1061:$T1061)+SUMIF($W1060:$AJ1060,"V",$W1061:$AJ1061)</f>
        <v>0</v>
      </c>
      <c r="AR1061" s="74">
        <f>SUMIF($G1060:$T1060,"O",$G1061:$T1061)+SUMIF($W1060:$AJ1060,"O",$W1061:$AJ1061)</f>
        <v>0</v>
      </c>
      <c r="AS1061" s="75">
        <f>SUM(AM1061:AR1061)</f>
        <v>0</v>
      </c>
      <c r="AT1061" s="72"/>
      <c r="AU1061" s="73">
        <f>SUMIF($G1060:$T1060,"A",$G1061:$T1061)+SUMIF($W1060:$AJ1060,"A",$W1061:$AJ1061)</f>
        <v>0</v>
      </c>
      <c r="AV1061" s="72"/>
      <c r="AW1061" s="76">
        <f>IF(B1061="",0,IF($U$9="",0,$U$9))</f>
        <v>0</v>
      </c>
      <c r="BA1061" s="2"/>
      <c r="BB1061" s="2"/>
      <c r="BC1061" s="101"/>
      <c r="BD1061" s="101"/>
    </row>
    <row r="1062" spans="2:56" s="84" customFormat="1" x14ac:dyDescent="0.35">
      <c r="B1062" s="26"/>
      <c r="C1062" s="27"/>
      <c r="D1062" s="28">
        <f>IF(D988="","",D988)</f>
        <v>79709</v>
      </c>
      <c r="E1062" s="29" t="str">
        <f t="shared" si="428"/>
        <v/>
      </c>
      <c r="F1062" s="50">
        <f>B1045</f>
        <v>24</v>
      </c>
      <c r="G1062" s="59"/>
      <c r="H1062" s="64"/>
      <c r="I1062" s="106"/>
      <c r="J1062" s="105"/>
      <c r="K1062" s="106"/>
      <c r="L1062" s="105"/>
      <c r="M1062" s="106"/>
      <c r="N1062" s="105"/>
      <c r="O1062" s="106"/>
      <c r="P1062" s="105"/>
      <c r="Q1062" s="106"/>
      <c r="R1062" s="105"/>
      <c r="S1062" s="59"/>
      <c r="T1062" s="64"/>
      <c r="U1062" s="44"/>
      <c r="W1062" s="59"/>
      <c r="X1062" s="64"/>
      <c r="Y1062" s="106"/>
      <c r="Z1062" s="105"/>
      <c r="AA1062" s="106"/>
      <c r="AB1062" s="105"/>
      <c r="AC1062" s="106"/>
      <c r="AD1062" s="105"/>
      <c r="AE1062" s="106"/>
      <c r="AF1062" s="105"/>
      <c r="AG1062" s="106"/>
      <c r="AH1062" s="105"/>
      <c r="AI1062" s="59"/>
      <c r="AJ1062" s="64"/>
      <c r="AK1062" s="44"/>
      <c r="AM1062" s="49"/>
      <c r="AN1062" s="49"/>
      <c r="AO1062" s="49"/>
      <c r="AP1062" s="49"/>
      <c r="AQ1062" s="49"/>
      <c r="AR1062" s="40"/>
      <c r="AS1062" s="51"/>
      <c r="AU1062" s="49"/>
      <c r="AW1062" s="52"/>
      <c r="BA1062" s="2"/>
      <c r="BB1062" s="2"/>
      <c r="BC1062" s="101"/>
      <c r="BD1062" s="101"/>
    </row>
    <row r="1063" spans="2:56" s="84" customFormat="1" x14ac:dyDescent="0.35">
      <c r="B1063" s="30" t="str">
        <f>IF(B989="","",B989)</f>
        <v>De Rose, Natale</v>
      </c>
      <c r="C1063" s="31"/>
      <c r="D1063" s="32"/>
      <c r="E1063" s="33">
        <f t="shared" si="428"/>
        <v>93595935</v>
      </c>
      <c r="F1063" s="50">
        <f>B1045</f>
        <v>24</v>
      </c>
      <c r="G1063" s="69"/>
      <c r="H1063" s="70"/>
      <c r="I1063" s="104"/>
      <c r="J1063" s="103">
        <v>8</v>
      </c>
      <c r="K1063" s="104"/>
      <c r="L1063" s="103">
        <v>8</v>
      </c>
      <c r="M1063" s="104"/>
      <c r="N1063" s="103">
        <v>8</v>
      </c>
      <c r="O1063" s="104"/>
      <c r="P1063" s="103">
        <v>8</v>
      </c>
      <c r="Q1063" s="104"/>
      <c r="R1063" s="103">
        <v>8</v>
      </c>
      <c r="S1063" s="69"/>
      <c r="T1063" s="70"/>
      <c r="U1063" s="71">
        <f t="shared" ref="U1063" si="434">SUM(G1063:T1063)</f>
        <v>40</v>
      </c>
      <c r="V1063" s="72"/>
      <c r="W1063" s="69"/>
      <c r="X1063" s="70"/>
      <c r="Y1063" s="104"/>
      <c r="Z1063" s="103">
        <v>8</v>
      </c>
      <c r="AA1063" s="104"/>
      <c r="AB1063" s="103">
        <v>8</v>
      </c>
      <c r="AC1063" s="104"/>
      <c r="AD1063" s="103">
        <v>8</v>
      </c>
      <c r="AE1063" s="104"/>
      <c r="AF1063" s="103">
        <v>8</v>
      </c>
      <c r="AG1063" s="104"/>
      <c r="AH1063" s="103">
        <v>8</v>
      </c>
      <c r="AI1063" s="69"/>
      <c r="AJ1063" s="70"/>
      <c r="AK1063" s="71">
        <f>SUM(W1063:AJ1063)</f>
        <v>40</v>
      </c>
      <c r="AL1063" s="72"/>
      <c r="AM1063" s="73">
        <f>SUMIF($G1062:$T1062,"",$G1063:$T1063)+SUMIF($W1062:$AJ1062,"",$W1063:$AJ1063)-AN1063</f>
        <v>80</v>
      </c>
      <c r="AN1063" s="88">
        <f>IF(SUMIF($G1062:$T1062,"",$G1063:$T1063)+SUMIF($G1062:$T1062,"F",$G1063:$T1063)+SUMIF($G1062:$T1062,"V",$G1063:$T1063)-40&lt;0,0,SUMIF($G1062:$T1062,"",$G1063:$T1063)+SUMIF($G1062:$T1062,"F",$G1063:$T1063)+SUMIF($G1062:$T1062,"V",$G1063:$T1063)-($U$9/2))+IF(SUMIF($W1062:$AJ1062,"",$W1063:$AJ1063)+SUMIF($W1062:$AJ1062,"F",$W1063:$AJ1063)+SUMIF($W1062:$AJ1062,"V",$W1063:$AJ1063)-40&lt;0,0,SUMIF($W1062:$AJ1062,"",$W1063:$AJ1063)+SUMIF($W1062:$AJ1062,"F",$W1063:$AJ1063)+SUMIF($W1062:$AJ1062,"V",$W1063:$AJ1063)-($U$9/2))</f>
        <v>0</v>
      </c>
      <c r="AO1063" s="73">
        <f>SUMIF($G1062:$T1062,"M",$G1063:$T1063)+SUMIF($W1062:$AJ1062,"M",$W1063:$AJ1063)</f>
        <v>0</v>
      </c>
      <c r="AP1063" s="73">
        <f>SUMIF($G1062:$T1062,"F",$G1063:$T1063)+SUMIF($W1062:$AJ1062,"F",$W1063:$AJ1063)</f>
        <v>0</v>
      </c>
      <c r="AQ1063" s="73">
        <f>SUMIF($G1062:$T1062,"V",$G1063:$T1063)+SUMIF($W1062:$AJ1062,"V",$W1063:$AJ1063)</f>
        <v>0</v>
      </c>
      <c r="AR1063" s="74">
        <f>SUMIF($G1062:$T1062,"O",$G1063:$T1063)+SUMIF($W1062:$AJ1062,"O",$W1063:$AJ1063)</f>
        <v>0</v>
      </c>
      <c r="AS1063" s="75">
        <f>SUM(AM1063:AR1063)</f>
        <v>80</v>
      </c>
      <c r="AT1063" s="72"/>
      <c r="AU1063" s="73">
        <f>SUMIF($G1062:$T1062,"A",$G1063:$T1063)+SUMIF($W1062:$AJ1062,"A",$W1063:$AJ1063)</f>
        <v>0</v>
      </c>
      <c r="AV1063" s="72"/>
      <c r="AW1063" s="76">
        <f>IF(B1063="",0,IF($U$9="",0,$U$9))</f>
        <v>80</v>
      </c>
      <c r="BA1063" s="2"/>
      <c r="BB1063" s="2"/>
      <c r="BC1063" s="101"/>
      <c r="BD1063" s="101"/>
    </row>
    <row r="1064" spans="2:56" s="84" customFormat="1" x14ac:dyDescent="0.35">
      <c r="B1064" s="26"/>
      <c r="C1064" s="27"/>
      <c r="D1064" s="28">
        <f>IF(D990="","",D990)</f>
        <v>92027</v>
      </c>
      <c r="E1064" s="29" t="str">
        <f t="shared" si="428"/>
        <v/>
      </c>
      <c r="F1064" s="50">
        <f>B1045</f>
        <v>24</v>
      </c>
      <c r="G1064" s="59"/>
      <c r="H1064" s="64"/>
      <c r="I1064" s="106"/>
      <c r="J1064" s="105"/>
      <c r="K1064" s="106"/>
      <c r="L1064" s="105"/>
      <c r="M1064" s="106"/>
      <c r="N1064" s="105"/>
      <c r="O1064" s="106"/>
      <c r="P1064" s="105"/>
      <c r="Q1064" s="106"/>
      <c r="R1064" s="105"/>
      <c r="S1064" s="59"/>
      <c r="T1064" s="64"/>
      <c r="U1064" s="44"/>
      <c r="W1064" s="59"/>
      <c r="X1064" s="64"/>
      <c r="Y1064" s="106"/>
      <c r="Z1064" s="105"/>
      <c r="AA1064" s="106"/>
      <c r="AB1064" s="105"/>
      <c r="AC1064" s="106"/>
      <c r="AD1064" s="105"/>
      <c r="AE1064" s="106"/>
      <c r="AF1064" s="105"/>
      <c r="AG1064" s="106"/>
      <c r="AH1064" s="105"/>
      <c r="AI1064" s="59"/>
      <c r="AJ1064" s="64"/>
      <c r="AK1064" s="44"/>
      <c r="AM1064" s="49"/>
      <c r="AN1064" s="49"/>
      <c r="AO1064" s="49"/>
      <c r="AP1064" s="49"/>
      <c r="AQ1064" s="49"/>
      <c r="AR1064" s="40"/>
      <c r="AS1064" s="51"/>
      <c r="AU1064" s="49"/>
      <c r="AW1064" s="52"/>
      <c r="BA1064" s="2"/>
      <c r="BB1064" s="2"/>
      <c r="BC1064" s="101"/>
      <c r="BD1064" s="101"/>
    </row>
    <row r="1065" spans="2:56" s="84" customFormat="1" x14ac:dyDescent="0.35">
      <c r="B1065" s="30" t="str">
        <f>IF(B991="","",B991)</f>
        <v>Descoteaux, Gerald</v>
      </c>
      <c r="C1065" s="31"/>
      <c r="D1065" s="32"/>
      <c r="E1065" s="33">
        <f t="shared" si="428"/>
        <v>93595935</v>
      </c>
      <c r="F1065" s="50">
        <f>B1045</f>
        <v>24</v>
      </c>
      <c r="G1065" s="69"/>
      <c r="H1065" s="70"/>
      <c r="I1065" s="104"/>
      <c r="J1065" s="103">
        <v>8</v>
      </c>
      <c r="K1065" s="104"/>
      <c r="L1065" s="103">
        <v>8</v>
      </c>
      <c r="M1065" s="104"/>
      <c r="N1065" s="103">
        <v>8</v>
      </c>
      <c r="O1065" s="104"/>
      <c r="P1065" s="103">
        <v>8</v>
      </c>
      <c r="Q1065" s="104"/>
      <c r="R1065" s="103">
        <v>8</v>
      </c>
      <c r="S1065" s="69"/>
      <c r="T1065" s="70"/>
      <c r="U1065" s="71">
        <f t="shared" ref="U1065" si="435">SUM(G1065:T1065)</f>
        <v>40</v>
      </c>
      <c r="V1065" s="72"/>
      <c r="W1065" s="69"/>
      <c r="X1065" s="70"/>
      <c r="Y1065" s="104"/>
      <c r="Z1065" s="103">
        <v>8</v>
      </c>
      <c r="AA1065" s="104"/>
      <c r="AB1065" s="103">
        <v>8</v>
      </c>
      <c r="AC1065" s="104"/>
      <c r="AD1065" s="103">
        <v>8</v>
      </c>
      <c r="AE1065" s="104"/>
      <c r="AF1065" s="103">
        <v>8</v>
      </c>
      <c r="AG1065" s="104"/>
      <c r="AH1065" s="103">
        <v>8</v>
      </c>
      <c r="AI1065" s="69"/>
      <c r="AJ1065" s="70"/>
      <c r="AK1065" s="71">
        <f>SUM(W1065:AJ1065)</f>
        <v>40</v>
      </c>
      <c r="AL1065" s="72"/>
      <c r="AM1065" s="73">
        <f>SUMIF($G1064:$T1064,"",$G1065:$T1065)+SUMIF($W1064:$AJ1064,"",$W1065:$AJ1065)-AN1065</f>
        <v>80</v>
      </c>
      <c r="AN1065" s="88">
        <f>IF(SUMIF($G1064:$T1064,"",$G1065:$T1065)+SUMIF($G1064:$T1064,"F",$G1065:$T1065)+SUMIF($G1064:$T1064,"V",$G1065:$T1065)-40&lt;0,0,SUMIF($G1064:$T1064,"",$G1065:$T1065)+SUMIF($G1064:$T1064,"F",$G1065:$T1065)+SUMIF($G1064:$T1064,"V",$G1065:$T1065)-($U$9/2))+IF(SUMIF($W1064:$AJ1064,"",$W1065:$AJ1065)+SUMIF($W1064:$AJ1064,"F",$W1065:$AJ1065)+SUMIF($W1064:$AJ1064,"V",$W1065:$AJ1065)-40&lt;0,0,SUMIF($W1064:$AJ1064,"",$W1065:$AJ1065)+SUMIF($W1064:$AJ1064,"F",$W1065:$AJ1065)+SUMIF($W1064:$AJ1064,"V",$W1065:$AJ1065)-($U$9/2))</f>
        <v>0</v>
      </c>
      <c r="AO1065" s="73">
        <f>SUMIF($G1064:$T1064,"M",$G1065:$T1065)+SUMIF($W1064:$AJ1064,"M",$W1065:$AJ1065)</f>
        <v>0</v>
      </c>
      <c r="AP1065" s="73">
        <f>SUMIF($G1064:$T1064,"F",$G1065:$T1065)+SUMIF($W1064:$AJ1064,"F",$W1065:$AJ1065)</f>
        <v>0</v>
      </c>
      <c r="AQ1065" s="73">
        <f>SUMIF($G1064:$T1064,"V",$G1065:$T1065)+SUMIF($W1064:$AJ1064,"V",$W1065:$AJ1065)</f>
        <v>0</v>
      </c>
      <c r="AR1065" s="74">
        <f>SUMIF($G1064:$T1064,"O",$G1065:$T1065)+SUMIF($W1064:$AJ1064,"O",$W1065:$AJ1065)</f>
        <v>0</v>
      </c>
      <c r="AS1065" s="75">
        <f>SUM(AM1065:AR1065)</f>
        <v>80</v>
      </c>
      <c r="AT1065" s="72"/>
      <c r="AU1065" s="73">
        <f>SUMIF($G1064:$T1064,"A",$G1065:$T1065)+SUMIF($W1064:$AJ1064,"A",$W1065:$AJ1065)</f>
        <v>0</v>
      </c>
      <c r="AV1065" s="72"/>
      <c r="AW1065" s="76">
        <f>IF(B1065="",0,IF($U$9="",0,$U$9))</f>
        <v>80</v>
      </c>
      <c r="BA1065" s="2"/>
      <c r="BB1065" s="2"/>
      <c r="BC1065" s="101"/>
      <c r="BD1065" s="101"/>
    </row>
    <row r="1066" spans="2:56" s="84" customFormat="1" x14ac:dyDescent="0.35">
      <c r="B1066" s="26"/>
      <c r="C1066" s="27"/>
      <c r="D1066" s="28">
        <f>IF(D992="","",D992)</f>
        <v>73795</v>
      </c>
      <c r="E1066" s="29" t="str">
        <f t="shared" si="428"/>
        <v/>
      </c>
      <c r="F1066" s="50">
        <f>B1045</f>
        <v>24</v>
      </c>
      <c r="G1066" s="59"/>
      <c r="H1066" s="64"/>
      <c r="I1066" s="106"/>
      <c r="J1066" s="105"/>
      <c r="K1066" s="106"/>
      <c r="L1066" s="105"/>
      <c r="M1066" s="106"/>
      <c r="N1066" s="105"/>
      <c r="O1066" s="106"/>
      <c r="P1066" s="105"/>
      <c r="Q1066" s="106"/>
      <c r="R1066" s="105"/>
      <c r="S1066" s="59"/>
      <c r="T1066" s="64"/>
      <c r="U1066" s="44"/>
      <c r="W1066" s="59"/>
      <c r="X1066" s="64"/>
      <c r="Y1066" s="106"/>
      <c r="Z1066" s="105"/>
      <c r="AA1066" s="106"/>
      <c r="AB1066" s="105"/>
      <c r="AC1066" s="106"/>
      <c r="AD1066" s="105"/>
      <c r="AE1066" s="106"/>
      <c r="AF1066" s="105"/>
      <c r="AG1066" s="106"/>
      <c r="AH1066" s="105"/>
      <c r="AI1066" s="59"/>
      <c r="AJ1066" s="64"/>
      <c r="AK1066" s="44"/>
      <c r="AM1066" s="49"/>
      <c r="AN1066" s="49"/>
      <c r="AO1066" s="49"/>
      <c r="AP1066" s="49"/>
      <c r="AQ1066" s="49"/>
      <c r="AR1066" s="40"/>
      <c r="AS1066" s="51"/>
      <c r="AU1066" s="49"/>
      <c r="AW1066" s="52"/>
      <c r="BA1066" s="2"/>
      <c r="BB1066" s="2"/>
      <c r="BC1066" s="101"/>
      <c r="BD1066" s="101"/>
    </row>
    <row r="1067" spans="2:56" s="84" customFormat="1" x14ac:dyDescent="0.35">
      <c r="B1067" s="30" t="str">
        <f>IF(B993="","",B993)</f>
        <v>Fortin, Veronique</v>
      </c>
      <c r="C1067" s="31"/>
      <c r="D1067" s="32"/>
      <c r="E1067" s="33">
        <f t="shared" si="428"/>
        <v>93540</v>
      </c>
      <c r="F1067" s="50">
        <f>B1045</f>
        <v>24</v>
      </c>
      <c r="G1067" s="69"/>
      <c r="H1067" s="70"/>
      <c r="I1067" s="104"/>
      <c r="J1067" s="103">
        <v>8</v>
      </c>
      <c r="K1067" s="104"/>
      <c r="L1067" s="103">
        <v>8</v>
      </c>
      <c r="M1067" s="104"/>
      <c r="N1067" s="103">
        <v>8</v>
      </c>
      <c r="O1067" s="104"/>
      <c r="P1067" s="103">
        <v>8</v>
      </c>
      <c r="Q1067" s="104"/>
      <c r="R1067" s="103">
        <v>8</v>
      </c>
      <c r="S1067" s="69"/>
      <c r="T1067" s="70"/>
      <c r="U1067" s="71">
        <f t="shared" ref="U1067" si="436">SUM(G1067:T1067)</f>
        <v>40</v>
      </c>
      <c r="V1067" s="72"/>
      <c r="W1067" s="69"/>
      <c r="X1067" s="70"/>
      <c r="Y1067" s="104"/>
      <c r="Z1067" s="103">
        <v>8</v>
      </c>
      <c r="AA1067" s="104"/>
      <c r="AB1067" s="103">
        <v>8</v>
      </c>
      <c r="AC1067" s="104"/>
      <c r="AD1067" s="103">
        <v>8</v>
      </c>
      <c r="AE1067" s="104"/>
      <c r="AF1067" s="103">
        <v>8</v>
      </c>
      <c r="AG1067" s="104"/>
      <c r="AH1067" s="103">
        <v>8</v>
      </c>
      <c r="AI1067" s="69"/>
      <c r="AJ1067" s="70"/>
      <c r="AK1067" s="71">
        <f>SUM(W1067:AJ1067)</f>
        <v>40</v>
      </c>
      <c r="AL1067" s="72"/>
      <c r="AM1067" s="73">
        <f>SUMIF($G1066:$T1066,"",$G1067:$T1067)+SUMIF($W1066:$AJ1066,"",$W1067:$AJ1067)-AN1067</f>
        <v>80</v>
      </c>
      <c r="AN1067" s="88">
        <f>IF(SUMIF($G1066:$T1066,"",$G1067:$T1067)+SUMIF($G1066:$T1066,"F",$G1067:$T1067)+SUMIF($G1066:$T1066,"V",$G1067:$T1067)-40&lt;0,0,SUMIF($G1066:$T1066,"",$G1067:$T1067)+SUMIF($G1066:$T1066,"F",$G1067:$T1067)+SUMIF($G1066:$T1066,"V",$G1067:$T1067)-($U$9/2))+IF(SUMIF($W1066:$AJ1066,"",$W1067:$AJ1067)+SUMIF($W1066:$AJ1066,"F",$W1067:$AJ1067)+SUMIF($W1066:$AJ1066,"V",$W1067:$AJ1067)-40&lt;0,0,SUMIF($W1066:$AJ1066,"",$W1067:$AJ1067)+SUMIF($W1066:$AJ1066,"F",$W1067:$AJ1067)+SUMIF($W1066:$AJ1066,"V",$W1067:$AJ1067)-($U$9/2))</f>
        <v>0</v>
      </c>
      <c r="AO1067" s="73">
        <f>SUMIF($G1066:$T1066,"M",$G1067:$T1067)+SUMIF($W1066:$AJ1066,"M",$W1067:$AJ1067)</f>
        <v>0</v>
      </c>
      <c r="AP1067" s="73">
        <f>SUMIF($G1066:$T1066,"F",$G1067:$T1067)+SUMIF($W1066:$AJ1066,"F",$W1067:$AJ1067)</f>
        <v>0</v>
      </c>
      <c r="AQ1067" s="73">
        <f>SUMIF($G1066:$T1066,"V",$G1067:$T1067)+SUMIF($W1066:$AJ1066,"V",$W1067:$AJ1067)</f>
        <v>0</v>
      </c>
      <c r="AR1067" s="74">
        <f>SUMIF($G1066:$T1066,"O",$G1067:$T1067)+SUMIF($W1066:$AJ1066,"O",$W1067:$AJ1067)</f>
        <v>0</v>
      </c>
      <c r="AS1067" s="75">
        <f>SUM(AM1067:AR1067)</f>
        <v>80</v>
      </c>
      <c r="AT1067" s="72"/>
      <c r="AU1067" s="73">
        <f>SUMIF($G1066:$T1066,"A",$G1067:$T1067)+SUMIF($W1066:$AJ1066,"A",$W1067:$AJ1067)</f>
        <v>0</v>
      </c>
      <c r="AV1067" s="72"/>
      <c r="AW1067" s="76">
        <f>IF(B1067="",0,IF($U$9="",0,$U$9))</f>
        <v>80</v>
      </c>
      <c r="BA1067" s="2"/>
      <c r="BB1067" s="2"/>
      <c r="BC1067" s="101"/>
      <c r="BD1067" s="101"/>
    </row>
    <row r="1068" spans="2:56" s="84" customFormat="1" x14ac:dyDescent="0.35">
      <c r="B1068" s="26"/>
      <c r="C1068" s="27"/>
      <c r="D1068" s="28">
        <f>IF(D994="","",D994)</f>
        <v>23206</v>
      </c>
      <c r="E1068" s="29" t="str">
        <f t="shared" si="428"/>
        <v/>
      </c>
      <c r="F1068" s="50">
        <f>B1045</f>
        <v>24</v>
      </c>
      <c r="G1068" s="59"/>
      <c r="H1068" s="64"/>
      <c r="I1068" s="106"/>
      <c r="J1068" s="105"/>
      <c r="K1068" s="106"/>
      <c r="L1068" s="105"/>
      <c r="M1068" s="106"/>
      <c r="N1068" s="105"/>
      <c r="O1068" s="106"/>
      <c r="P1068" s="105"/>
      <c r="Q1068" s="106"/>
      <c r="R1068" s="105"/>
      <c r="S1068" s="59"/>
      <c r="T1068" s="64"/>
      <c r="U1068" s="44"/>
      <c r="W1068" s="59"/>
      <c r="X1068" s="64"/>
      <c r="Y1068" s="106"/>
      <c r="Z1068" s="105"/>
      <c r="AA1068" s="106"/>
      <c r="AB1068" s="105"/>
      <c r="AC1068" s="106"/>
      <c r="AD1068" s="105"/>
      <c r="AE1068" s="106"/>
      <c r="AF1068" s="105" t="s">
        <v>2</v>
      </c>
      <c r="AG1068" s="106"/>
      <c r="AH1068" s="105"/>
      <c r="AI1068" s="59"/>
      <c r="AJ1068" s="64"/>
      <c r="AK1068" s="44"/>
      <c r="AM1068" s="49"/>
      <c r="AN1068" s="49"/>
      <c r="AO1068" s="49"/>
      <c r="AP1068" s="49"/>
      <c r="AQ1068" s="49"/>
      <c r="AR1068" s="40"/>
      <c r="AS1068" s="51"/>
      <c r="AU1068" s="49"/>
      <c r="AW1068" s="52"/>
      <c r="BA1068" s="2"/>
      <c r="BB1068" s="2"/>
      <c r="BC1068" s="101"/>
      <c r="BD1068" s="101"/>
    </row>
    <row r="1069" spans="2:56" s="84" customFormat="1" x14ac:dyDescent="0.35">
      <c r="B1069" s="30" t="str">
        <f>IF(B995="","",B995)</f>
        <v>Gadbois, Dominic</v>
      </c>
      <c r="C1069" s="31"/>
      <c r="D1069" s="32"/>
      <c r="E1069" s="33">
        <f t="shared" si="428"/>
        <v>93545</v>
      </c>
      <c r="F1069" s="50">
        <f>B1045</f>
        <v>24</v>
      </c>
      <c r="G1069" s="69"/>
      <c r="H1069" s="70"/>
      <c r="I1069" s="104"/>
      <c r="J1069" s="103">
        <v>8.25</v>
      </c>
      <c r="K1069" s="104"/>
      <c r="L1069" s="103">
        <v>7.75</v>
      </c>
      <c r="M1069" s="104"/>
      <c r="N1069" s="103">
        <v>8.25</v>
      </c>
      <c r="O1069" s="104"/>
      <c r="P1069" s="103">
        <v>8</v>
      </c>
      <c r="Q1069" s="104"/>
      <c r="R1069" s="103">
        <v>7.5</v>
      </c>
      <c r="S1069" s="69"/>
      <c r="T1069" s="70"/>
      <c r="U1069" s="71">
        <f t="shared" ref="U1069" si="437">SUM(G1069:T1069)</f>
        <v>39.75</v>
      </c>
      <c r="V1069" s="72"/>
      <c r="W1069" s="69"/>
      <c r="X1069" s="70"/>
      <c r="Y1069" s="104"/>
      <c r="Z1069" s="103">
        <v>8</v>
      </c>
      <c r="AA1069" s="104"/>
      <c r="AB1069" s="103">
        <v>7.75</v>
      </c>
      <c r="AC1069" s="104"/>
      <c r="AD1069" s="103">
        <v>8</v>
      </c>
      <c r="AE1069" s="104"/>
      <c r="AF1069" s="103">
        <v>0</v>
      </c>
      <c r="AG1069" s="104"/>
      <c r="AH1069" s="103">
        <v>7.5</v>
      </c>
      <c r="AI1069" s="69"/>
      <c r="AJ1069" s="70"/>
      <c r="AK1069" s="71">
        <f>SUM(W1069:AJ1069)</f>
        <v>31.25</v>
      </c>
      <c r="AL1069" s="72"/>
      <c r="AM1069" s="73">
        <f>SUMIF($G1068:$T1068,"",$G1069:$T1069)+SUMIF($W1068:$AJ1068,"",$W1069:$AJ1069)-AN1069</f>
        <v>71</v>
      </c>
      <c r="AN1069" s="88">
        <f>IF(SUMIF($G1068:$T1068,"",$G1069:$T1069)+SUMIF($G1068:$T1068,"F",$G1069:$T1069)+SUMIF($G1068:$T1068,"V",$G1069:$T1069)-40&lt;0,0,SUMIF($G1068:$T1068,"",$G1069:$T1069)+SUMIF($G1068:$T1068,"F",$G1069:$T1069)+SUMIF($G1068:$T1068,"V",$G1069:$T1069)-($U$9/2))+IF(SUMIF($W1068:$AJ1068,"",$W1069:$AJ1069)+SUMIF($W1068:$AJ1068,"F",$W1069:$AJ1069)+SUMIF($W1068:$AJ1068,"V",$W1069:$AJ1069)-40&lt;0,0,SUMIF($W1068:$AJ1068,"",$W1069:$AJ1069)+SUMIF($W1068:$AJ1068,"F",$W1069:$AJ1069)+SUMIF($W1068:$AJ1068,"V",$W1069:$AJ1069)-($U$9/2))</f>
        <v>0</v>
      </c>
      <c r="AO1069" s="73">
        <f>SUMIF($G1068:$T1068,"M",$G1069:$T1069)+SUMIF($W1068:$AJ1068,"M",$W1069:$AJ1069)</f>
        <v>0</v>
      </c>
      <c r="AP1069" s="73">
        <f>SUMIF($G1068:$T1068,"F",$G1069:$T1069)+SUMIF($W1068:$AJ1068,"F",$W1069:$AJ1069)</f>
        <v>0</v>
      </c>
      <c r="AQ1069" s="73">
        <f>SUMIF($G1068:$T1068,"V",$G1069:$T1069)+SUMIF($W1068:$AJ1068,"V",$W1069:$AJ1069)</f>
        <v>0</v>
      </c>
      <c r="AR1069" s="74">
        <f>SUMIF($G1068:$T1068,"O",$G1069:$T1069)+SUMIF($W1068:$AJ1068,"O",$W1069:$AJ1069)</f>
        <v>0</v>
      </c>
      <c r="AS1069" s="75">
        <f>SUM(AM1069:AR1069)</f>
        <v>71</v>
      </c>
      <c r="AT1069" s="72"/>
      <c r="AU1069" s="73">
        <f>SUMIF($G1068:$T1068,"A",$G1069:$T1069)+SUMIF($W1068:$AJ1068,"A",$W1069:$AJ1069)</f>
        <v>0</v>
      </c>
      <c r="AV1069" s="72"/>
      <c r="AW1069" s="76">
        <f>IF(B1069="",0,IF($U$9="",0,$U$9))</f>
        <v>80</v>
      </c>
      <c r="BA1069" s="2"/>
      <c r="BB1069" s="2"/>
      <c r="BC1069" s="101"/>
      <c r="BD1069" s="101"/>
    </row>
    <row r="1070" spans="2:56" s="84" customFormat="1" x14ac:dyDescent="0.35">
      <c r="B1070" s="26"/>
      <c r="C1070" s="27"/>
      <c r="D1070" s="28">
        <f>IF(D996="","",D996)</f>
        <v>33664</v>
      </c>
      <c r="E1070" s="29" t="str">
        <f t="shared" si="428"/>
        <v/>
      </c>
      <c r="F1070" s="50">
        <f>B1045</f>
        <v>24</v>
      </c>
      <c r="G1070" s="59"/>
      <c r="H1070" s="64"/>
      <c r="I1070" s="106"/>
      <c r="J1070" s="105"/>
      <c r="K1070" s="106"/>
      <c r="L1070" s="105"/>
      <c r="M1070" s="106"/>
      <c r="N1070" s="105"/>
      <c r="O1070" s="106"/>
      <c r="P1070" s="105"/>
      <c r="Q1070" s="106"/>
      <c r="R1070" s="105"/>
      <c r="S1070" s="59"/>
      <c r="T1070" s="64"/>
      <c r="U1070" s="44"/>
      <c r="W1070" s="59"/>
      <c r="X1070" s="64"/>
      <c r="Y1070" s="106"/>
      <c r="Z1070" s="105"/>
      <c r="AA1070" s="106"/>
      <c r="AB1070" s="105"/>
      <c r="AC1070" s="106"/>
      <c r="AD1070" s="105"/>
      <c r="AE1070" s="106"/>
      <c r="AF1070" s="105"/>
      <c r="AG1070" s="106"/>
      <c r="AH1070" s="105"/>
      <c r="AI1070" s="59"/>
      <c r="AJ1070" s="64"/>
      <c r="AK1070" s="44"/>
      <c r="AM1070" s="49"/>
      <c r="AN1070" s="49"/>
      <c r="AO1070" s="49"/>
      <c r="AP1070" s="49"/>
      <c r="AQ1070" s="49"/>
      <c r="AR1070" s="40"/>
      <c r="AS1070" s="51"/>
      <c r="AU1070" s="49"/>
      <c r="AW1070" s="52"/>
      <c r="BA1070" s="2"/>
      <c r="BB1070" s="2"/>
      <c r="BC1070" s="101"/>
      <c r="BD1070" s="101"/>
    </row>
    <row r="1071" spans="2:56" s="84" customFormat="1" x14ac:dyDescent="0.35">
      <c r="B1071" s="30" t="str">
        <f>IF(B997="","",B997)</f>
        <v>Knox Michaud, Jessy</v>
      </c>
      <c r="C1071" s="31"/>
      <c r="D1071" s="32"/>
      <c r="E1071" s="33">
        <f t="shared" si="428"/>
        <v>93542</v>
      </c>
      <c r="F1071" s="50">
        <f>B1045</f>
        <v>24</v>
      </c>
      <c r="G1071" s="69"/>
      <c r="H1071" s="70"/>
      <c r="I1071" s="104"/>
      <c r="J1071" s="103">
        <v>8</v>
      </c>
      <c r="K1071" s="104"/>
      <c r="L1071" s="103">
        <v>8</v>
      </c>
      <c r="M1071" s="104"/>
      <c r="N1071" s="103">
        <v>8</v>
      </c>
      <c r="O1071" s="104"/>
      <c r="P1071" s="103">
        <v>8</v>
      </c>
      <c r="Q1071" s="104"/>
      <c r="R1071" s="103">
        <v>8</v>
      </c>
      <c r="S1071" s="69"/>
      <c r="T1071" s="70"/>
      <c r="U1071" s="71">
        <f t="shared" ref="U1071" si="438">SUM(G1071:T1071)</f>
        <v>40</v>
      </c>
      <c r="V1071" s="72"/>
      <c r="W1071" s="69"/>
      <c r="X1071" s="70"/>
      <c r="Y1071" s="104"/>
      <c r="Z1071" s="103">
        <v>8</v>
      </c>
      <c r="AA1071" s="104"/>
      <c r="AB1071" s="103">
        <v>8</v>
      </c>
      <c r="AC1071" s="104"/>
      <c r="AD1071" s="103">
        <v>8</v>
      </c>
      <c r="AE1071" s="104"/>
      <c r="AF1071" s="103">
        <v>8</v>
      </c>
      <c r="AG1071" s="104"/>
      <c r="AH1071" s="103">
        <v>8</v>
      </c>
      <c r="AI1071" s="69"/>
      <c r="AJ1071" s="70"/>
      <c r="AK1071" s="71">
        <f>SUM(W1071:AJ1071)</f>
        <v>40</v>
      </c>
      <c r="AL1071" s="72"/>
      <c r="AM1071" s="73">
        <f>SUMIF($G1070:$T1070,"",$G1071:$T1071)+SUMIF($W1070:$AJ1070,"",$W1071:$AJ1071)-AN1071</f>
        <v>80</v>
      </c>
      <c r="AN1071" s="88">
        <f>IF(SUMIF($G1070:$T1070,"",$G1071:$T1071)+SUMIF($G1070:$T1070,"F",$G1071:$T1071)+SUMIF($G1070:$T1070,"V",$G1071:$T1071)-40&lt;0,0,SUMIF($G1070:$T1070,"",$G1071:$T1071)+SUMIF($G1070:$T1070,"F",$G1071:$T1071)+SUMIF($G1070:$T1070,"V",$G1071:$T1071)-($U$9/2))+IF(SUMIF($W1070:$AJ1070,"",$W1071:$AJ1071)+SUMIF($W1070:$AJ1070,"F",$W1071:$AJ1071)+SUMIF($W1070:$AJ1070,"V",$W1071:$AJ1071)-40&lt;0,0,SUMIF($W1070:$AJ1070,"",$W1071:$AJ1071)+SUMIF($W1070:$AJ1070,"F",$W1071:$AJ1071)+SUMIF($W1070:$AJ1070,"V",$W1071:$AJ1071)-($U$9/2))</f>
        <v>0</v>
      </c>
      <c r="AO1071" s="73">
        <f>SUMIF($G1070:$T1070,"M",$G1071:$T1071)+SUMIF($W1070:$AJ1070,"M",$W1071:$AJ1071)</f>
        <v>0</v>
      </c>
      <c r="AP1071" s="73">
        <f>SUMIF($G1070:$T1070,"F",$G1071:$T1071)+SUMIF($W1070:$AJ1070,"F",$W1071:$AJ1071)</f>
        <v>0</v>
      </c>
      <c r="AQ1071" s="73">
        <f>SUMIF($G1070:$T1070,"V",$G1071:$T1071)+SUMIF($W1070:$AJ1070,"V",$W1071:$AJ1071)</f>
        <v>0</v>
      </c>
      <c r="AR1071" s="74">
        <f>SUMIF($G1070:$T1070,"O",$G1071:$T1071)+SUMIF($W1070:$AJ1070,"O",$W1071:$AJ1071)</f>
        <v>0</v>
      </c>
      <c r="AS1071" s="75">
        <f>SUM(AM1071:AR1071)</f>
        <v>80</v>
      </c>
      <c r="AT1071" s="72"/>
      <c r="AU1071" s="73">
        <f>SUMIF($G1070:$T1070,"A",$G1071:$T1071)+SUMIF($W1070:$AJ1070,"A",$W1071:$AJ1071)</f>
        <v>0</v>
      </c>
      <c r="AV1071" s="72"/>
      <c r="AW1071" s="76">
        <f>IF(B1071="",0,IF($U$9="",0,$U$9))</f>
        <v>80</v>
      </c>
      <c r="BA1071" s="2"/>
      <c r="BB1071" s="2"/>
      <c r="BC1071" s="101"/>
      <c r="BD1071" s="101"/>
    </row>
    <row r="1072" spans="2:56" s="84" customFormat="1" x14ac:dyDescent="0.35">
      <c r="B1072" s="26"/>
      <c r="C1072" s="27"/>
      <c r="D1072" s="28">
        <f>IF(D998="","",D998)</f>
        <v>14206</v>
      </c>
      <c r="E1072" s="29" t="str">
        <f t="shared" si="428"/>
        <v/>
      </c>
      <c r="F1072" s="50">
        <f>B1045</f>
        <v>24</v>
      </c>
      <c r="G1072" s="59"/>
      <c r="H1072" s="64"/>
      <c r="I1072" s="106"/>
      <c r="J1072" s="105" t="s">
        <v>1</v>
      </c>
      <c r="K1072" s="106"/>
      <c r="L1072" s="105" t="s">
        <v>1</v>
      </c>
      <c r="M1072" s="106"/>
      <c r="N1072" s="105" t="s">
        <v>1</v>
      </c>
      <c r="O1072" s="106"/>
      <c r="P1072" s="105" t="s">
        <v>1</v>
      </c>
      <c r="Q1072" s="106"/>
      <c r="R1072" s="105" t="s">
        <v>1</v>
      </c>
      <c r="S1072" s="59"/>
      <c r="T1072" s="64"/>
      <c r="U1072" s="44"/>
      <c r="W1072" s="59"/>
      <c r="X1072" s="64"/>
      <c r="Y1072" s="106"/>
      <c r="Z1072" s="105"/>
      <c r="AA1072" s="106"/>
      <c r="AB1072" s="105"/>
      <c r="AC1072" s="106"/>
      <c r="AD1072" s="105"/>
      <c r="AE1072" s="106"/>
      <c r="AF1072" s="105"/>
      <c r="AG1072" s="106"/>
      <c r="AH1072" s="105"/>
      <c r="AI1072" s="59"/>
      <c r="AJ1072" s="64"/>
      <c r="AK1072" s="44"/>
      <c r="AM1072" s="49"/>
      <c r="AN1072" s="49"/>
      <c r="AO1072" s="49"/>
      <c r="AP1072" s="49"/>
      <c r="AQ1072" s="49"/>
      <c r="AR1072" s="40"/>
      <c r="AS1072" s="51"/>
      <c r="AU1072" s="49"/>
      <c r="AW1072" s="52"/>
      <c r="BA1072" s="2"/>
      <c r="BB1072" s="2"/>
      <c r="BC1072" s="101"/>
      <c r="BD1072" s="101"/>
    </row>
    <row r="1073" spans="2:56" s="84" customFormat="1" x14ac:dyDescent="0.35">
      <c r="B1073" s="30" t="str">
        <f>IF(B999="","",B999)</f>
        <v>Landry, Bernard</v>
      </c>
      <c r="C1073" s="31"/>
      <c r="D1073" s="32"/>
      <c r="E1073" s="33">
        <f t="shared" si="428"/>
        <v>93545</v>
      </c>
      <c r="F1073" s="50">
        <f>B1045</f>
        <v>24</v>
      </c>
      <c r="G1073" s="69"/>
      <c r="H1073" s="70"/>
      <c r="I1073" s="104"/>
      <c r="J1073" s="103">
        <v>8</v>
      </c>
      <c r="K1073" s="104"/>
      <c r="L1073" s="103">
        <v>8</v>
      </c>
      <c r="M1073" s="104"/>
      <c r="N1073" s="103">
        <v>8</v>
      </c>
      <c r="O1073" s="104"/>
      <c r="P1073" s="103">
        <v>8</v>
      </c>
      <c r="Q1073" s="104"/>
      <c r="R1073" s="103">
        <v>8</v>
      </c>
      <c r="S1073" s="69"/>
      <c r="T1073" s="70"/>
      <c r="U1073" s="71">
        <f t="shared" ref="U1073" si="439">SUM(G1073:T1073)</f>
        <v>40</v>
      </c>
      <c r="V1073" s="72"/>
      <c r="W1073" s="69"/>
      <c r="X1073" s="70"/>
      <c r="Y1073" s="104"/>
      <c r="Z1073" s="103">
        <v>8</v>
      </c>
      <c r="AA1073" s="104"/>
      <c r="AB1073" s="103">
        <v>8</v>
      </c>
      <c r="AC1073" s="104"/>
      <c r="AD1073" s="103">
        <v>8</v>
      </c>
      <c r="AE1073" s="104"/>
      <c r="AF1073" s="103">
        <v>8</v>
      </c>
      <c r="AG1073" s="104"/>
      <c r="AH1073" s="103">
        <v>8</v>
      </c>
      <c r="AI1073" s="69"/>
      <c r="AJ1073" s="70"/>
      <c r="AK1073" s="71">
        <f>SUM(W1073:AJ1073)</f>
        <v>40</v>
      </c>
      <c r="AL1073" s="72"/>
      <c r="AM1073" s="73">
        <f>SUMIF($G1072:$T1072,"",$G1073:$T1073)+SUMIF($W1072:$AJ1072,"",$W1073:$AJ1073)-AN1073</f>
        <v>40</v>
      </c>
      <c r="AN1073" s="88">
        <f>IF(SUMIF($G1072:$T1072,"",$G1073:$T1073)+SUMIF($G1072:$T1072,"F",$G1073:$T1073)+SUMIF($G1072:$T1072,"V",$G1073:$T1073)-40&lt;0,0,SUMIF($G1072:$T1072,"",$G1073:$T1073)+SUMIF($G1072:$T1072,"F",$G1073:$T1073)+SUMIF($G1072:$T1072,"V",$G1073:$T1073)-($U$9/2))+IF(SUMIF($W1072:$AJ1072,"",$W1073:$AJ1073)+SUMIF($W1072:$AJ1072,"F",$W1073:$AJ1073)+SUMIF($W1072:$AJ1072,"V",$W1073:$AJ1073)-40&lt;0,0,SUMIF($W1072:$AJ1072,"",$W1073:$AJ1073)+SUMIF($W1072:$AJ1072,"F",$W1073:$AJ1073)+SUMIF($W1072:$AJ1072,"V",$W1073:$AJ1073)-($U$9/2))</f>
        <v>0</v>
      </c>
      <c r="AO1073" s="73">
        <f>SUMIF($G1072:$T1072,"M",$G1073:$T1073)+SUMIF($W1072:$AJ1072,"M",$W1073:$AJ1073)</f>
        <v>0</v>
      </c>
      <c r="AP1073" s="73">
        <f>SUMIF($G1072:$T1072,"F",$G1073:$T1073)+SUMIF($W1072:$AJ1072,"F",$W1073:$AJ1073)</f>
        <v>0</v>
      </c>
      <c r="AQ1073" s="73">
        <f>SUMIF($G1072:$T1072,"V",$G1073:$T1073)+SUMIF($W1072:$AJ1072,"V",$W1073:$AJ1073)</f>
        <v>40</v>
      </c>
      <c r="AR1073" s="74">
        <f>SUMIF($G1072:$T1072,"O",$G1073:$T1073)+SUMIF($W1072:$AJ1072,"O",$W1073:$AJ1073)</f>
        <v>0</v>
      </c>
      <c r="AS1073" s="75">
        <f>SUM(AM1073:AR1073)</f>
        <v>80</v>
      </c>
      <c r="AT1073" s="72"/>
      <c r="AU1073" s="73">
        <f>SUMIF($G1072:$T1072,"A",$G1073:$T1073)+SUMIF($W1072:$AJ1072,"A",$W1073:$AJ1073)</f>
        <v>0</v>
      </c>
      <c r="AV1073" s="72"/>
      <c r="AW1073" s="76">
        <f>IF(B1073="",0,IF($U$9="",0,$U$9))</f>
        <v>80</v>
      </c>
      <c r="BA1073" s="2"/>
      <c r="BB1073" s="2"/>
      <c r="BC1073" s="101"/>
      <c r="BD1073" s="101"/>
    </row>
    <row r="1074" spans="2:56" s="84" customFormat="1" x14ac:dyDescent="0.35">
      <c r="B1074" s="26"/>
      <c r="C1074" s="27"/>
      <c r="D1074" s="28">
        <f>IF(D1000="","",D1000)</f>
        <v>92257</v>
      </c>
      <c r="E1074" s="29" t="str">
        <f t="shared" si="428"/>
        <v/>
      </c>
      <c r="F1074" s="50">
        <f>B1045</f>
        <v>24</v>
      </c>
      <c r="G1074" s="59"/>
      <c r="H1074" s="64"/>
      <c r="I1074" s="106"/>
      <c r="J1074" s="105"/>
      <c r="K1074" s="106"/>
      <c r="L1074" s="105"/>
      <c r="M1074" s="106"/>
      <c r="N1074" s="105"/>
      <c r="O1074" s="106"/>
      <c r="P1074" s="105"/>
      <c r="Q1074" s="106"/>
      <c r="R1074" s="105"/>
      <c r="S1074" s="59"/>
      <c r="T1074" s="64"/>
      <c r="U1074" s="44"/>
      <c r="W1074" s="59"/>
      <c r="X1074" s="64"/>
      <c r="Y1074" s="106"/>
      <c r="Z1074" s="105"/>
      <c r="AA1074" s="106"/>
      <c r="AB1074" s="105"/>
      <c r="AC1074" s="106"/>
      <c r="AD1074" s="105"/>
      <c r="AE1074" s="106"/>
      <c r="AF1074" s="105"/>
      <c r="AG1074" s="106"/>
      <c r="AH1074" s="105"/>
      <c r="AI1074" s="59"/>
      <c r="AJ1074" s="64"/>
      <c r="AK1074" s="44"/>
      <c r="AM1074" s="49"/>
      <c r="AN1074" s="49"/>
      <c r="AO1074" s="49"/>
      <c r="AP1074" s="49"/>
      <c r="AQ1074" s="49"/>
      <c r="AR1074" s="40"/>
      <c r="AS1074" s="51"/>
      <c r="AU1074" s="49"/>
      <c r="AW1074" s="52"/>
      <c r="BA1074" s="2"/>
      <c r="BB1074" s="2"/>
      <c r="BC1074" s="101"/>
      <c r="BD1074" s="101"/>
    </row>
    <row r="1075" spans="2:56" s="84" customFormat="1" x14ac:dyDescent="0.35">
      <c r="B1075" s="30" t="str">
        <f>IF(B1001="","",B1001)</f>
        <v>Lelievre, Anik</v>
      </c>
      <c r="C1075" s="31"/>
      <c r="D1075" s="32"/>
      <c r="E1075" s="33">
        <f t="shared" si="428"/>
        <v>93513</v>
      </c>
      <c r="F1075" s="50">
        <f>B1045</f>
        <v>24</v>
      </c>
      <c r="G1075" s="69"/>
      <c r="H1075" s="70"/>
      <c r="I1075" s="104"/>
      <c r="J1075" s="103">
        <v>8</v>
      </c>
      <c r="K1075" s="104"/>
      <c r="L1075" s="103">
        <v>8</v>
      </c>
      <c r="M1075" s="104"/>
      <c r="N1075" s="103">
        <v>8</v>
      </c>
      <c r="O1075" s="104"/>
      <c r="P1075" s="103">
        <v>8</v>
      </c>
      <c r="Q1075" s="104"/>
      <c r="R1075" s="103">
        <v>8</v>
      </c>
      <c r="S1075" s="69"/>
      <c r="T1075" s="70"/>
      <c r="U1075" s="71">
        <f t="shared" ref="U1075" si="440">SUM(G1075:T1075)</f>
        <v>40</v>
      </c>
      <c r="V1075" s="72"/>
      <c r="W1075" s="69"/>
      <c r="X1075" s="70"/>
      <c r="Y1075" s="104"/>
      <c r="Z1075" s="103">
        <v>8</v>
      </c>
      <c r="AA1075" s="104"/>
      <c r="AB1075" s="103">
        <v>8</v>
      </c>
      <c r="AC1075" s="104"/>
      <c r="AD1075" s="103">
        <v>8</v>
      </c>
      <c r="AE1075" s="104"/>
      <c r="AF1075" s="103">
        <v>8</v>
      </c>
      <c r="AG1075" s="104"/>
      <c r="AH1075" s="103">
        <v>8</v>
      </c>
      <c r="AI1075" s="69"/>
      <c r="AJ1075" s="70"/>
      <c r="AK1075" s="71">
        <f>SUM(W1075:AJ1075)</f>
        <v>40</v>
      </c>
      <c r="AL1075" s="72"/>
      <c r="AM1075" s="73">
        <f>SUMIF($G1074:$T1074,"",$G1075:$T1075)+SUMIF($W1074:$AJ1074,"",$W1075:$AJ1075)-AN1075</f>
        <v>80</v>
      </c>
      <c r="AN1075" s="88">
        <f>IF(SUMIF($G1074:$T1074,"",$G1075:$T1075)+SUMIF($G1074:$T1074,"F",$G1075:$T1075)+SUMIF($G1074:$T1074,"V",$G1075:$T1075)-40&lt;0,0,SUMIF($G1074:$T1074,"",$G1075:$T1075)+SUMIF($G1074:$T1074,"F",$G1075:$T1075)+SUMIF($G1074:$T1074,"V",$G1075:$T1075)-($U$9/2))+IF(SUMIF($W1074:$AJ1074,"",$W1075:$AJ1075)+SUMIF($W1074:$AJ1074,"F",$W1075:$AJ1075)+SUMIF($W1074:$AJ1074,"V",$W1075:$AJ1075)-40&lt;0,0,SUMIF($W1074:$AJ1074,"",$W1075:$AJ1075)+SUMIF($W1074:$AJ1074,"F",$W1075:$AJ1075)+SUMIF($W1074:$AJ1074,"V",$W1075:$AJ1075)-($U$9/2))</f>
        <v>0</v>
      </c>
      <c r="AO1075" s="73">
        <f>SUMIF($G1074:$T1074,"M",$G1075:$T1075)+SUMIF($W1074:$AJ1074,"M",$W1075:$AJ1075)</f>
        <v>0</v>
      </c>
      <c r="AP1075" s="73">
        <f>SUMIF($G1074:$T1074,"F",$G1075:$T1075)+SUMIF($W1074:$AJ1074,"F",$W1075:$AJ1075)</f>
        <v>0</v>
      </c>
      <c r="AQ1075" s="73">
        <f>SUMIF($G1074:$T1074,"V",$G1075:$T1075)+SUMIF($W1074:$AJ1074,"V",$W1075:$AJ1075)</f>
        <v>0</v>
      </c>
      <c r="AR1075" s="74">
        <f>SUMIF($G1074:$T1074,"O",$G1075:$T1075)+SUMIF($W1074:$AJ1074,"O",$W1075:$AJ1075)</f>
        <v>0</v>
      </c>
      <c r="AS1075" s="75">
        <f>SUM(AM1075:AR1075)</f>
        <v>80</v>
      </c>
      <c r="AT1075" s="72"/>
      <c r="AU1075" s="73">
        <f>SUMIF($G1074:$T1074,"A",$G1075:$T1075)+SUMIF($W1074:$AJ1074,"A",$W1075:$AJ1075)</f>
        <v>0</v>
      </c>
      <c r="AV1075" s="72"/>
      <c r="AW1075" s="76">
        <f>IF(B1075="",0,IF($U$9="",0,$U$9))</f>
        <v>80</v>
      </c>
      <c r="BA1075" s="2"/>
      <c r="BB1075" s="2"/>
      <c r="BC1075" s="101"/>
      <c r="BD1075" s="101"/>
    </row>
    <row r="1076" spans="2:56" s="84" customFormat="1" x14ac:dyDescent="0.35">
      <c r="B1076" s="26"/>
      <c r="C1076" s="27"/>
      <c r="D1076" s="28">
        <f>IF(D1002="","",D1002)</f>
        <v>81042</v>
      </c>
      <c r="E1076" s="29" t="str">
        <f t="shared" si="428"/>
        <v/>
      </c>
      <c r="F1076" s="50">
        <f>B1045</f>
        <v>24</v>
      </c>
      <c r="G1076" s="59"/>
      <c r="H1076" s="64"/>
      <c r="I1076" s="106"/>
      <c r="J1076" s="105"/>
      <c r="K1076" s="106"/>
      <c r="L1076" s="105"/>
      <c r="M1076" s="106"/>
      <c r="N1076" s="105"/>
      <c r="O1076" s="106"/>
      <c r="P1076" s="105"/>
      <c r="Q1076" s="106"/>
      <c r="R1076" s="105"/>
      <c r="S1076" s="59"/>
      <c r="T1076" s="64"/>
      <c r="U1076" s="44"/>
      <c r="W1076" s="59"/>
      <c r="X1076" s="64"/>
      <c r="Y1076" s="106"/>
      <c r="Z1076" s="105"/>
      <c r="AA1076" s="106"/>
      <c r="AB1076" s="105"/>
      <c r="AC1076" s="106"/>
      <c r="AD1076" s="105"/>
      <c r="AE1076" s="106"/>
      <c r="AF1076" s="105"/>
      <c r="AG1076" s="106"/>
      <c r="AH1076" s="105"/>
      <c r="AI1076" s="59"/>
      <c r="AJ1076" s="64"/>
      <c r="AK1076" s="44"/>
      <c r="AM1076" s="49"/>
      <c r="AN1076" s="49"/>
      <c r="AO1076" s="49"/>
      <c r="AP1076" s="49"/>
      <c r="AQ1076" s="49"/>
      <c r="AR1076" s="40"/>
      <c r="AS1076" s="51"/>
      <c r="AU1076" s="49"/>
      <c r="AW1076" s="52"/>
      <c r="BA1076" s="2"/>
      <c r="BB1076" s="2"/>
      <c r="BC1076" s="101"/>
      <c r="BD1076" s="101"/>
    </row>
    <row r="1077" spans="2:56" s="84" customFormat="1" x14ac:dyDescent="0.35">
      <c r="B1077" s="30" t="str">
        <f>IF(B1003="","",B1003)</f>
        <v>Letarte, Martin</v>
      </c>
      <c r="C1077" s="31"/>
      <c r="D1077" s="32"/>
      <c r="E1077" s="33">
        <f t="shared" si="428"/>
        <v>93545</v>
      </c>
      <c r="F1077" s="50">
        <f>B1045</f>
        <v>24</v>
      </c>
      <c r="G1077" s="69"/>
      <c r="H1077" s="70"/>
      <c r="I1077" s="104"/>
      <c r="J1077" s="103">
        <v>8</v>
      </c>
      <c r="K1077" s="104"/>
      <c r="L1077" s="103">
        <v>8</v>
      </c>
      <c r="M1077" s="104"/>
      <c r="N1077" s="103">
        <v>8</v>
      </c>
      <c r="O1077" s="104"/>
      <c r="P1077" s="103">
        <v>8</v>
      </c>
      <c r="Q1077" s="104"/>
      <c r="R1077" s="103">
        <v>8</v>
      </c>
      <c r="S1077" s="69"/>
      <c r="T1077" s="70"/>
      <c r="U1077" s="71">
        <f t="shared" ref="U1077" si="441">SUM(G1077:T1077)</f>
        <v>40</v>
      </c>
      <c r="V1077" s="72"/>
      <c r="W1077" s="69"/>
      <c r="X1077" s="70"/>
      <c r="Y1077" s="104"/>
      <c r="Z1077" s="103">
        <v>8</v>
      </c>
      <c r="AA1077" s="104"/>
      <c r="AB1077" s="103">
        <v>8</v>
      </c>
      <c r="AC1077" s="104"/>
      <c r="AD1077" s="103">
        <v>8</v>
      </c>
      <c r="AE1077" s="104"/>
      <c r="AF1077" s="103">
        <v>8</v>
      </c>
      <c r="AG1077" s="104"/>
      <c r="AH1077" s="103">
        <v>8</v>
      </c>
      <c r="AI1077" s="69"/>
      <c r="AJ1077" s="70"/>
      <c r="AK1077" s="71">
        <f>SUM(W1077:AJ1077)</f>
        <v>40</v>
      </c>
      <c r="AL1077" s="72"/>
      <c r="AM1077" s="73">
        <f>SUMIF($G1076:$T1076,"",$G1077:$T1077)+SUMIF($W1076:$AJ1076,"",$W1077:$AJ1077)-AN1077</f>
        <v>80</v>
      </c>
      <c r="AN1077" s="88">
        <f>IF(SUMIF($G1076:$T1076,"",$G1077:$T1077)+SUMIF($G1076:$T1076,"F",$G1077:$T1077)+SUMIF($G1076:$T1076,"V",$G1077:$T1077)-40&lt;0,0,SUMIF($G1076:$T1076,"",$G1077:$T1077)+SUMIF($G1076:$T1076,"F",$G1077:$T1077)+SUMIF($G1076:$T1076,"V",$G1077:$T1077)-($U$9/2))+IF(SUMIF($W1076:$AJ1076,"",$W1077:$AJ1077)+SUMIF($W1076:$AJ1076,"F",$W1077:$AJ1077)+SUMIF($W1076:$AJ1076,"V",$W1077:$AJ1077)-40&lt;0,0,SUMIF($W1076:$AJ1076,"",$W1077:$AJ1077)+SUMIF($W1076:$AJ1076,"F",$W1077:$AJ1077)+SUMIF($W1076:$AJ1076,"V",$W1077:$AJ1077)-($U$9/2))</f>
        <v>0</v>
      </c>
      <c r="AO1077" s="73">
        <f>SUMIF($G1076:$T1076,"M",$G1077:$T1077)+SUMIF($W1076:$AJ1076,"M",$W1077:$AJ1077)</f>
        <v>0</v>
      </c>
      <c r="AP1077" s="73">
        <f>SUMIF($G1076:$T1076,"F",$G1077:$T1077)+SUMIF($W1076:$AJ1076,"F",$W1077:$AJ1077)</f>
        <v>0</v>
      </c>
      <c r="AQ1077" s="73">
        <f>SUMIF($G1076:$T1076,"V",$G1077:$T1077)+SUMIF($W1076:$AJ1076,"V",$W1077:$AJ1077)</f>
        <v>0</v>
      </c>
      <c r="AR1077" s="74">
        <f>SUMIF($G1076:$T1076,"O",$G1077:$T1077)+SUMIF($W1076:$AJ1076,"O",$W1077:$AJ1077)</f>
        <v>0</v>
      </c>
      <c r="AS1077" s="75">
        <f>SUM(AM1077:AR1077)</f>
        <v>80</v>
      </c>
      <c r="AT1077" s="72"/>
      <c r="AU1077" s="73">
        <f>SUMIF($G1076:$T1076,"A",$G1077:$T1077)+SUMIF($W1076:$AJ1076,"A",$W1077:$AJ1077)</f>
        <v>0</v>
      </c>
      <c r="AV1077" s="72"/>
      <c r="AW1077" s="76">
        <f>IF(B1077="",0,IF($U$9="",0,$U$9))</f>
        <v>80</v>
      </c>
      <c r="BA1077" s="2"/>
      <c r="BB1077" s="2"/>
      <c r="BC1077" s="101"/>
      <c r="BD1077" s="101"/>
    </row>
    <row r="1078" spans="2:56" s="84" customFormat="1" x14ac:dyDescent="0.35">
      <c r="B1078" s="26"/>
      <c r="C1078" s="27"/>
      <c r="D1078" s="28" t="str">
        <f>IF(D1004="","",D1004)</f>
        <v/>
      </c>
      <c r="E1078" s="29" t="str">
        <f t="shared" si="428"/>
        <v/>
      </c>
      <c r="F1078" s="50">
        <f>B1045</f>
        <v>24</v>
      </c>
      <c r="G1078" s="59"/>
      <c r="H1078" s="64"/>
      <c r="I1078" s="106"/>
      <c r="J1078" s="105" t="s">
        <v>3</v>
      </c>
      <c r="K1078" s="106"/>
      <c r="L1078" s="105"/>
      <c r="M1078" s="106"/>
      <c r="N1078" s="105"/>
      <c r="O1078" s="106"/>
      <c r="P1078" s="105"/>
      <c r="Q1078" s="106"/>
      <c r="R1078" s="105"/>
      <c r="S1078" s="59"/>
      <c r="T1078" s="64"/>
      <c r="U1078" s="44"/>
      <c r="W1078" s="59"/>
      <c r="X1078" s="64"/>
      <c r="Y1078" s="106"/>
      <c r="Z1078" s="105"/>
      <c r="AA1078" s="106"/>
      <c r="AB1078" s="105"/>
      <c r="AC1078" s="106"/>
      <c r="AD1078" s="105"/>
      <c r="AE1078" s="106"/>
      <c r="AF1078" s="105" t="s">
        <v>3</v>
      </c>
      <c r="AG1078" s="106"/>
      <c r="AH1078" s="105" t="s">
        <v>3</v>
      </c>
      <c r="AI1078" s="59"/>
      <c r="AJ1078" s="64"/>
      <c r="AK1078" s="44"/>
      <c r="AM1078" s="49"/>
      <c r="AN1078" s="49"/>
      <c r="AO1078" s="49"/>
      <c r="AP1078" s="49"/>
      <c r="AQ1078" s="49"/>
      <c r="AR1078" s="40"/>
      <c r="AS1078" s="51"/>
      <c r="AU1078" s="49"/>
      <c r="AW1078" s="52"/>
      <c r="BA1078" s="2"/>
      <c r="BB1078" s="2"/>
      <c r="BC1078" s="101"/>
      <c r="BD1078" s="101"/>
    </row>
    <row r="1079" spans="2:56" s="84" customFormat="1" x14ac:dyDescent="0.35">
      <c r="B1079" s="30" t="s">
        <v>99</v>
      </c>
      <c r="C1079" s="31"/>
      <c r="D1079" s="32"/>
      <c r="E1079" s="33">
        <v>93545</v>
      </c>
      <c r="F1079" s="50">
        <f>B1045</f>
        <v>24</v>
      </c>
      <c r="G1079" s="69"/>
      <c r="H1079" s="70"/>
      <c r="I1079" s="104"/>
      <c r="J1079" s="103">
        <v>0</v>
      </c>
      <c r="K1079" s="104"/>
      <c r="L1079" s="103">
        <v>8.5</v>
      </c>
      <c r="M1079" s="104"/>
      <c r="N1079" s="103">
        <v>8</v>
      </c>
      <c r="O1079" s="104"/>
      <c r="P1079" s="103">
        <v>8.5</v>
      </c>
      <c r="Q1079" s="104"/>
      <c r="R1079" s="103">
        <v>8</v>
      </c>
      <c r="S1079" s="69"/>
      <c r="T1079" s="70"/>
      <c r="U1079" s="71">
        <f t="shared" ref="U1079" si="442">SUM(G1079:T1079)</f>
        <v>33</v>
      </c>
      <c r="V1079" s="72"/>
      <c r="W1079" s="69"/>
      <c r="X1079" s="70"/>
      <c r="Y1079" s="104"/>
      <c r="Z1079" s="103">
        <v>8</v>
      </c>
      <c r="AA1079" s="104"/>
      <c r="AB1079" s="103">
        <v>8</v>
      </c>
      <c r="AC1079" s="104"/>
      <c r="AD1079" s="103">
        <v>8</v>
      </c>
      <c r="AE1079" s="104"/>
      <c r="AF1079" s="103">
        <v>0</v>
      </c>
      <c r="AG1079" s="104"/>
      <c r="AH1079" s="103">
        <v>0</v>
      </c>
      <c r="AI1079" s="69"/>
      <c r="AJ1079" s="70"/>
      <c r="AK1079" s="71">
        <f>SUM(W1079:AJ1079)</f>
        <v>24</v>
      </c>
      <c r="AL1079" s="72"/>
      <c r="AM1079" s="73">
        <f>SUMIF($G1078:$T1078,"",$G1079:$T1079)+SUMIF($W1078:$AJ1078,"",$W1079:$AJ1079)-AN1079</f>
        <v>57</v>
      </c>
      <c r="AN1079" s="88">
        <f>IF(SUMIF($G1078:$T1078,"",$G1079:$T1079)+SUMIF($G1078:$T1078,"F",$G1079:$T1079)+SUMIF($G1078:$T1078,"V",$G1079:$T1079)-40&lt;0,0,SUMIF($G1078:$T1078,"",$G1079:$T1079)+SUMIF($G1078:$T1078,"F",$G1079:$T1079)+SUMIF($G1078:$T1078,"V",$G1079:$T1079)-($U$9/2))+IF(SUMIF($W1078:$AJ1078,"",$W1079:$AJ1079)+SUMIF($W1078:$AJ1078,"F",$W1079:$AJ1079)+SUMIF($W1078:$AJ1078,"V",$W1079:$AJ1079)-40&lt;0,0,SUMIF($W1078:$AJ1078,"",$W1079:$AJ1079)+SUMIF($W1078:$AJ1078,"F",$W1079:$AJ1079)+SUMIF($W1078:$AJ1078,"V",$W1079:$AJ1079)-($U$9/2))</f>
        <v>0</v>
      </c>
      <c r="AO1079" s="73">
        <f>SUMIF($G1078:$T1078,"M",$G1079:$T1079)+SUMIF($W1078:$AJ1078,"M",$W1079:$AJ1079)</f>
        <v>0</v>
      </c>
      <c r="AP1079" s="73">
        <f>SUMIF($G1078:$T1078,"F",$G1079:$T1079)+SUMIF($W1078:$AJ1078,"F",$W1079:$AJ1079)</f>
        <v>0</v>
      </c>
      <c r="AQ1079" s="73">
        <f>SUMIF($G1078:$T1078,"V",$G1079:$T1079)+SUMIF($W1078:$AJ1078,"V",$W1079:$AJ1079)</f>
        <v>0</v>
      </c>
      <c r="AR1079" s="74">
        <f>SUMIF($G1078:$T1078,"O",$G1079:$T1079)+SUMIF($W1078:$AJ1078,"O",$W1079:$AJ1079)</f>
        <v>0</v>
      </c>
      <c r="AS1079" s="75">
        <f>SUM(AM1079:AR1079)</f>
        <v>57</v>
      </c>
      <c r="AT1079" s="72"/>
      <c r="AU1079" s="73">
        <f>SUMIF($G1078:$T1078,"A",$G1079:$T1079)+SUMIF($W1078:$AJ1078,"A",$W1079:$AJ1079)</f>
        <v>0</v>
      </c>
      <c r="AV1079" s="72"/>
      <c r="AW1079" s="76">
        <f>IF(B1079="",0,IF($U$9="",0,$U$9))</f>
        <v>80</v>
      </c>
      <c r="BA1079" s="2"/>
      <c r="BB1079" s="2"/>
      <c r="BC1079" s="101"/>
      <c r="BD1079" s="101"/>
    </row>
    <row r="1080" spans="2:56" s="84" customFormat="1" x14ac:dyDescent="0.35">
      <c r="B1080" s="26"/>
      <c r="C1080" s="27"/>
      <c r="D1080" s="28">
        <f>IF(D1006="","",D1006)</f>
        <v>11792</v>
      </c>
      <c r="E1080" s="29" t="str">
        <f t="shared" si="428"/>
        <v/>
      </c>
      <c r="F1080" s="50">
        <f>B1045</f>
        <v>24</v>
      </c>
      <c r="G1080" s="59"/>
      <c r="H1080" s="64"/>
      <c r="I1080" s="106"/>
      <c r="J1080" s="105"/>
      <c r="K1080" s="106"/>
      <c r="L1080" s="105"/>
      <c r="M1080" s="106"/>
      <c r="N1080" s="105"/>
      <c r="O1080" s="106"/>
      <c r="P1080" s="105"/>
      <c r="Q1080" s="106"/>
      <c r="R1080" s="105"/>
      <c r="S1080" s="59"/>
      <c r="T1080" s="64"/>
      <c r="U1080" s="44"/>
      <c r="W1080" s="59"/>
      <c r="X1080" s="64"/>
      <c r="Y1080" s="106"/>
      <c r="Z1080" s="105"/>
      <c r="AA1080" s="106"/>
      <c r="AB1080" s="105"/>
      <c r="AC1080" s="106"/>
      <c r="AD1080" s="105"/>
      <c r="AE1080" s="106"/>
      <c r="AF1080" s="105"/>
      <c r="AG1080" s="106"/>
      <c r="AH1080" s="105"/>
      <c r="AI1080" s="59"/>
      <c r="AJ1080" s="64"/>
      <c r="AK1080" s="44"/>
      <c r="AM1080" s="49"/>
      <c r="AN1080" s="49"/>
      <c r="AO1080" s="49"/>
      <c r="AP1080" s="49"/>
      <c r="AQ1080" s="49"/>
      <c r="AR1080" s="40"/>
      <c r="AS1080" s="51"/>
      <c r="AU1080" s="49"/>
      <c r="AW1080" s="52"/>
      <c r="BA1080" s="2"/>
      <c r="BB1080" s="2"/>
      <c r="BC1080" s="101"/>
      <c r="BD1080" s="101"/>
    </row>
    <row r="1081" spans="2:56" s="84" customFormat="1" x14ac:dyDescent="0.35">
      <c r="B1081" s="30" t="str">
        <f>IF(B1007="","",B1007)</f>
        <v>Pellerin, Pierre</v>
      </c>
      <c r="C1081" s="31"/>
      <c r="D1081" s="32"/>
      <c r="E1081" s="33">
        <f t="shared" si="428"/>
        <v>93595935</v>
      </c>
      <c r="F1081" s="50">
        <f>B1045</f>
        <v>24</v>
      </c>
      <c r="G1081" s="69"/>
      <c r="H1081" s="70"/>
      <c r="I1081" s="104"/>
      <c r="J1081" s="103">
        <v>8</v>
      </c>
      <c r="K1081" s="104"/>
      <c r="L1081" s="103">
        <v>8</v>
      </c>
      <c r="M1081" s="104"/>
      <c r="N1081" s="103">
        <v>8</v>
      </c>
      <c r="O1081" s="104"/>
      <c r="P1081" s="103">
        <v>8</v>
      </c>
      <c r="Q1081" s="104"/>
      <c r="R1081" s="103">
        <v>8</v>
      </c>
      <c r="S1081" s="69"/>
      <c r="T1081" s="70"/>
      <c r="U1081" s="71">
        <f t="shared" ref="U1081" si="443">SUM(G1081:T1081)</f>
        <v>40</v>
      </c>
      <c r="V1081" s="72"/>
      <c r="W1081" s="69"/>
      <c r="X1081" s="70"/>
      <c r="Y1081" s="104"/>
      <c r="Z1081" s="103">
        <v>8</v>
      </c>
      <c r="AA1081" s="104"/>
      <c r="AB1081" s="103">
        <v>8</v>
      </c>
      <c r="AC1081" s="104"/>
      <c r="AD1081" s="103">
        <v>8</v>
      </c>
      <c r="AE1081" s="104"/>
      <c r="AF1081" s="103">
        <v>8</v>
      </c>
      <c r="AG1081" s="104"/>
      <c r="AH1081" s="103">
        <v>8</v>
      </c>
      <c r="AI1081" s="69"/>
      <c r="AJ1081" s="70"/>
      <c r="AK1081" s="71">
        <f>SUM(Z1081:AH1081)</f>
        <v>40</v>
      </c>
      <c r="AL1081" s="72"/>
      <c r="AM1081" s="73">
        <f>SUMIF($G1080:$T1080,"",$G1081:$T1081)+SUMIF($W1080:$AJ1080,"",$W1081:$AJ1081)-AN1081</f>
        <v>80</v>
      </c>
      <c r="AN1081" s="88">
        <f>IF(SUMIF($G1080:$T1080,"",$G1081:$T1081)+SUMIF($G1080:$T1080,"F",$G1081:$T1081)+SUMIF($G1080:$T1080,"V",$G1081:$T1081)-40&lt;0,0,SUMIF($G1080:$T1080,"",$G1081:$T1081)+SUMIF($G1080:$T1080,"F",$G1081:$T1081)+SUMIF($G1080:$T1080,"V",$G1081:$T1081)-($U$9/2))+IF(SUMIF($W1080:$AJ1080,"",$W1081:$AJ1081)+SUMIF($W1080:$AJ1080,"F",$W1081:$AJ1081)+SUMIF($W1080:$AJ1080,"V",$W1081:$AJ1081)-40&lt;0,0,SUMIF($W1080:$AJ1080,"",$W1081:$AJ1081)+SUMIF($W1080:$AJ1080,"F",$W1081:$AJ1081)+SUMIF($W1080:$AJ1080,"V",$W1081:$AJ1081)-($U$9/2))</f>
        <v>0</v>
      </c>
      <c r="AO1081" s="73">
        <f>SUMIF($G1080:$T1080,"M",$G1081:$T1081)+SUMIF($W1080:$AJ1080,"M",$W1081:$AJ1081)</f>
        <v>0</v>
      </c>
      <c r="AP1081" s="73">
        <f>SUMIF($G1080:$T1080,"F",$G1081:$T1081)+SUMIF($W1080:$AJ1080,"F",$W1081:$AJ1081)</f>
        <v>0</v>
      </c>
      <c r="AQ1081" s="73">
        <f>SUMIF($G1080:$T1080,"V",$G1081:$T1081)+SUMIF($W1080:$AJ1080,"V",$W1081:$AJ1081)</f>
        <v>0</v>
      </c>
      <c r="AR1081" s="74">
        <f>SUMIF($G1080:$T1080,"O",$G1081:$T1081)+SUMIF($W1080:$AJ1080,"O",$W1081:$AJ1081)</f>
        <v>0</v>
      </c>
      <c r="AS1081" s="75">
        <f>SUM(AM1081:AR1081)</f>
        <v>80</v>
      </c>
      <c r="AT1081" s="72"/>
      <c r="AU1081" s="73">
        <f>SUMIF($G1080:$T1080,"A",$G1081:$T1081)+SUMIF($W1080:$AJ1080,"A",$W1081:$AJ1081)</f>
        <v>0</v>
      </c>
      <c r="AV1081" s="72"/>
      <c r="AW1081" s="76">
        <f>IF(B1081="",0,IF($U$9="",0,$U$9))</f>
        <v>80</v>
      </c>
      <c r="BA1081" s="2"/>
      <c r="BB1081" s="2"/>
      <c r="BC1081" s="101"/>
      <c r="BD1081" s="101"/>
    </row>
    <row r="1082" spans="2:56" s="84" customFormat="1" x14ac:dyDescent="0.35">
      <c r="B1082" s="26"/>
      <c r="C1082" s="27"/>
      <c r="D1082" s="28">
        <f>IF(D1008="","",D1008)</f>
        <v>81043</v>
      </c>
      <c r="E1082" s="29" t="str">
        <f t="shared" si="428"/>
        <v/>
      </c>
      <c r="F1082" s="50">
        <f>B1045</f>
        <v>24</v>
      </c>
      <c r="G1082" s="59"/>
      <c r="H1082" s="64"/>
      <c r="I1082" s="106"/>
      <c r="J1082" s="105"/>
      <c r="K1082" s="106"/>
      <c r="L1082" s="105"/>
      <c r="M1082" s="106"/>
      <c r="N1082" s="105"/>
      <c r="O1082" s="106"/>
      <c r="P1082" s="105"/>
      <c r="Q1082" s="106"/>
      <c r="R1082" s="105"/>
      <c r="S1082" s="59"/>
      <c r="T1082" s="64"/>
      <c r="U1082" s="44"/>
      <c r="W1082" s="59"/>
      <c r="X1082" s="64"/>
      <c r="Y1082" s="106"/>
      <c r="Z1082" s="105"/>
      <c r="AA1082" s="106"/>
      <c r="AB1082" s="105"/>
      <c r="AC1082" s="106"/>
      <c r="AD1082" s="105"/>
      <c r="AE1082" s="106"/>
      <c r="AF1082" s="105"/>
      <c r="AG1082" s="106"/>
      <c r="AH1082" s="105"/>
      <c r="AI1082" s="59"/>
      <c r="AJ1082" s="64"/>
      <c r="AK1082" s="44"/>
      <c r="AM1082" s="49"/>
      <c r="AN1082" s="49"/>
      <c r="AO1082" s="49"/>
      <c r="AP1082" s="49"/>
      <c r="AQ1082" s="49"/>
      <c r="AR1082" s="40"/>
      <c r="AS1082" s="51"/>
      <c r="AU1082" s="49"/>
      <c r="AW1082" s="52"/>
      <c r="BA1082" s="2"/>
      <c r="BB1082" s="2"/>
      <c r="BC1082" s="101"/>
      <c r="BD1082" s="101"/>
    </row>
    <row r="1083" spans="2:56" s="84" customFormat="1" x14ac:dyDescent="0.35">
      <c r="B1083" s="30" t="str">
        <f>IF(B1009="","",B1009)</f>
        <v>Rodrigue, Frank</v>
      </c>
      <c r="C1083" s="31"/>
      <c r="D1083" s="32"/>
      <c r="E1083" s="33">
        <f t="shared" ref="E1083:E1099" si="444">IF(E1009="","",E1009)</f>
        <v>93545</v>
      </c>
      <c r="F1083" s="50">
        <f>B1045</f>
        <v>24</v>
      </c>
      <c r="G1083" s="69"/>
      <c r="H1083" s="70"/>
      <c r="I1083" s="104"/>
      <c r="J1083" s="103">
        <v>8</v>
      </c>
      <c r="K1083" s="104"/>
      <c r="L1083" s="103">
        <v>8</v>
      </c>
      <c r="M1083" s="104"/>
      <c r="N1083" s="103">
        <v>8</v>
      </c>
      <c r="O1083" s="104"/>
      <c r="P1083" s="103">
        <v>8</v>
      </c>
      <c r="Q1083" s="104"/>
      <c r="R1083" s="103">
        <v>8</v>
      </c>
      <c r="S1083" s="69"/>
      <c r="T1083" s="70"/>
      <c r="U1083" s="71">
        <f t="shared" ref="U1083" si="445">SUM(G1083:T1083)</f>
        <v>40</v>
      </c>
      <c r="V1083" s="72"/>
      <c r="W1083" s="69"/>
      <c r="X1083" s="70"/>
      <c r="Y1083" s="104"/>
      <c r="Z1083" s="103">
        <v>8</v>
      </c>
      <c r="AA1083" s="104"/>
      <c r="AB1083" s="103">
        <v>8</v>
      </c>
      <c r="AC1083" s="104"/>
      <c r="AD1083" s="103">
        <v>8</v>
      </c>
      <c r="AE1083" s="104"/>
      <c r="AF1083" s="103">
        <v>8</v>
      </c>
      <c r="AG1083" s="104"/>
      <c r="AH1083" s="103">
        <v>8</v>
      </c>
      <c r="AI1083" s="69"/>
      <c r="AJ1083" s="70"/>
      <c r="AK1083" s="71">
        <f>SUM(W1083:AJ1083)</f>
        <v>40</v>
      </c>
      <c r="AL1083" s="72"/>
      <c r="AM1083" s="73">
        <f>SUMIF($G1082:$T1082,"",$G1083:$T1083)+SUMIF($W1082:$AJ1082,"",$W1083:$AJ1083)-AN1083</f>
        <v>80</v>
      </c>
      <c r="AN1083" s="88">
        <f>IF(SUMIF($G1082:$T1082,"",$G1083:$T1083)+SUMIF($G1082:$T1082,"F",$G1083:$T1083)+SUMIF($G1082:$T1082,"V",$G1083:$T1083)-40&lt;0,0,SUMIF($G1082:$T1082,"",$G1083:$T1083)+SUMIF($G1082:$T1082,"F",$G1083:$T1083)+SUMIF($G1082:$T1082,"V",$G1083:$T1083)-($U$9/2))+IF(SUMIF($W1082:$AJ1082,"",$W1083:$AJ1083)+SUMIF($W1082:$AJ1082,"F",$W1083:$AJ1083)+SUMIF($W1082:$AJ1082,"V",$W1083:$AJ1083)-40&lt;0,0,SUMIF($W1082:$AJ1082,"",$W1083:$AJ1083)+SUMIF($W1082:$AJ1082,"F",$W1083:$AJ1083)+SUMIF($W1082:$AJ1082,"V",$W1083:$AJ1083)-($U$9/2))</f>
        <v>0</v>
      </c>
      <c r="AO1083" s="73">
        <f>SUMIF($G1082:$T1082,"M",$G1083:$T1083)+SUMIF($W1082:$AJ1082,"M",$W1083:$AJ1083)</f>
        <v>0</v>
      </c>
      <c r="AP1083" s="73">
        <f>SUMIF($G1082:$T1082,"F",$G1083:$T1083)+SUMIF($W1082:$AJ1082,"F",$W1083:$AJ1083)</f>
        <v>0</v>
      </c>
      <c r="AQ1083" s="73">
        <f>SUMIF($G1082:$T1082,"V",$G1083:$T1083)+SUMIF($W1082:$AJ1082,"V",$W1083:$AJ1083)</f>
        <v>0</v>
      </c>
      <c r="AR1083" s="74">
        <f>SUMIF($G1082:$T1082,"O",$G1083:$T1083)+SUMIF($W1082:$AJ1082,"O",$W1083:$AJ1083)</f>
        <v>0</v>
      </c>
      <c r="AS1083" s="75">
        <f>SUM(AM1083:AR1083)</f>
        <v>80</v>
      </c>
      <c r="AT1083" s="72"/>
      <c r="AU1083" s="73">
        <f>SUMIF($G1082:$T1082,"A",$G1083:$T1083)+SUMIF($W1082:$AJ1082,"A",$W1083:$AJ1083)</f>
        <v>0</v>
      </c>
      <c r="AV1083" s="72"/>
      <c r="AW1083" s="76">
        <f>IF(B1083="",0,IF($U$9="",0,$U$9))</f>
        <v>80</v>
      </c>
      <c r="BA1083" s="2"/>
      <c r="BB1083" s="2"/>
      <c r="BC1083" s="101"/>
      <c r="BD1083" s="101"/>
    </row>
    <row r="1084" spans="2:56" s="84" customFormat="1" x14ac:dyDescent="0.35">
      <c r="B1084" s="26"/>
      <c r="C1084" s="27"/>
      <c r="D1084" s="28">
        <f>IF(D1010="","",D1010)</f>
        <v>72673</v>
      </c>
      <c r="E1084" s="29" t="str">
        <f t="shared" si="444"/>
        <v/>
      </c>
      <c r="F1084" s="50">
        <f>B1045</f>
        <v>24</v>
      </c>
      <c r="G1084" s="59"/>
      <c r="H1084" s="64"/>
      <c r="I1084" s="106"/>
      <c r="J1084" s="105"/>
      <c r="K1084" s="106"/>
      <c r="L1084" s="105"/>
      <c r="M1084" s="106"/>
      <c r="N1084" s="105"/>
      <c r="O1084" s="106"/>
      <c r="P1084" s="105"/>
      <c r="Q1084" s="106"/>
      <c r="R1084" s="105"/>
      <c r="S1084" s="59"/>
      <c r="T1084" s="64"/>
      <c r="U1084" s="44"/>
      <c r="W1084" s="59"/>
      <c r="X1084" s="64"/>
      <c r="Y1084" s="106"/>
      <c r="Z1084" s="105"/>
      <c r="AA1084" s="106"/>
      <c r="AB1084" s="105"/>
      <c r="AC1084" s="106"/>
      <c r="AD1084" s="105"/>
      <c r="AE1084" s="106"/>
      <c r="AF1084" s="105"/>
      <c r="AG1084" s="106"/>
      <c r="AH1084" s="105"/>
      <c r="AI1084" s="59"/>
      <c r="AJ1084" s="64"/>
      <c r="AK1084" s="44"/>
      <c r="AM1084" s="49"/>
      <c r="AN1084" s="49"/>
      <c r="AO1084" s="49"/>
      <c r="AP1084" s="49"/>
      <c r="AQ1084" s="49"/>
      <c r="AR1084" s="40"/>
      <c r="AS1084" s="51"/>
      <c r="AU1084" s="49"/>
      <c r="AW1084" s="52"/>
      <c r="BA1084" s="2"/>
      <c r="BB1084" s="2"/>
      <c r="BC1084" s="101"/>
      <c r="BD1084" s="101"/>
    </row>
    <row r="1085" spans="2:56" s="84" customFormat="1" x14ac:dyDescent="0.35">
      <c r="B1085" s="30" t="str">
        <f>IF(B1011="","",B1011)</f>
        <v>St-Georges, Manuel (avance $2,000)</v>
      </c>
      <c r="C1085" s="31"/>
      <c r="D1085" s="32"/>
      <c r="E1085" s="33">
        <f t="shared" si="444"/>
        <v>93595935</v>
      </c>
      <c r="F1085" s="50">
        <f>B1045</f>
        <v>24</v>
      </c>
      <c r="G1085" s="69"/>
      <c r="H1085" s="70"/>
      <c r="I1085" s="104"/>
      <c r="J1085" s="103" t="s">
        <v>69</v>
      </c>
      <c r="K1085" s="104"/>
      <c r="L1085" s="103" t="s">
        <v>69</v>
      </c>
      <c r="M1085" s="104"/>
      <c r="N1085" s="103" t="s">
        <v>69</v>
      </c>
      <c r="O1085" s="104"/>
      <c r="P1085" s="103" t="s">
        <v>69</v>
      </c>
      <c r="Q1085" s="104"/>
      <c r="R1085" s="103" t="s">
        <v>69</v>
      </c>
      <c r="S1085" s="69"/>
      <c r="T1085" s="70"/>
      <c r="U1085" s="71">
        <f t="shared" ref="U1085" si="446">SUM(G1085:T1085)</f>
        <v>0</v>
      </c>
      <c r="V1085" s="72"/>
      <c r="W1085" s="69"/>
      <c r="X1085" s="70"/>
      <c r="Y1085" s="104"/>
      <c r="Z1085" s="103" t="s">
        <v>69</v>
      </c>
      <c r="AA1085" s="104"/>
      <c r="AB1085" s="103" t="s">
        <v>69</v>
      </c>
      <c r="AC1085" s="104"/>
      <c r="AD1085" s="103" t="s">
        <v>69</v>
      </c>
      <c r="AE1085" s="104"/>
      <c r="AF1085" s="103" t="s">
        <v>69</v>
      </c>
      <c r="AG1085" s="104"/>
      <c r="AH1085" s="103" t="s">
        <v>69</v>
      </c>
      <c r="AI1085" s="69"/>
      <c r="AJ1085" s="70"/>
      <c r="AK1085" s="71">
        <f>SUM(W1085:AJ1085)</f>
        <v>0</v>
      </c>
      <c r="AL1085" s="72"/>
      <c r="AM1085" s="73">
        <f>SUMIF($G1084:$T1084,"",$G1085:$T1085)+SUMIF($W1084:$AJ1084,"",$W1085:$AJ1085)-AN1085</f>
        <v>0</v>
      </c>
      <c r="AN1085" s="88">
        <f>IF(SUMIF($G1084:$T1084,"",$G1085:$T1085)+SUMIF($G1084:$T1084,"F",$G1085:$T1085)+SUMIF($G1084:$T1084,"V",$G1085:$T1085)-40&lt;0,0,SUMIF($G1084:$T1084,"",$G1085:$T1085)+SUMIF($G1084:$T1084,"F",$G1085:$T1085)+SUMIF($G1084:$T1084,"V",$G1085:$T1085)-($U$9/2))+IF(SUMIF($W1084:$AJ1084,"",$W1085:$AJ1085)+SUMIF($W1084:$AJ1084,"F",$W1085:$AJ1085)+SUMIF($W1084:$AJ1084,"V",$W1085:$AJ1085)-40&lt;0,0,SUMIF($W1084:$AJ1084,"",$W1085:$AJ1085)+SUMIF($W1084:$AJ1084,"F",$W1085:$AJ1085)+SUMIF($W1084:$AJ1084,"V",$W1085:$AJ1085)-($U$9/2))</f>
        <v>0</v>
      </c>
      <c r="AO1085" s="73">
        <f>SUMIF($G1084:$T1084,"M",$G1085:$T1085)+SUMIF($W1084:$AJ1084,"M",$W1085:$AJ1085)</f>
        <v>0</v>
      </c>
      <c r="AP1085" s="73">
        <f>SUMIF($G1084:$T1084,"F",$G1085:$T1085)+SUMIF($W1084:$AJ1084,"F",$W1085:$AJ1085)</f>
        <v>0</v>
      </c>
      <c r="AQ1085" s="73">
        <f>SUMIF($G1084:$T1084,"V",$G1085:$T1085)+SUMIF($W1084:$AJ1084,"V",$W1085:$AJ1085)</f>
        <v>0</v>
      </c>
      <c r="AR1085" s="74">
        <f>SUMIF($G1084:$T1084,"O",$G1085:$T1085)+SUMIF($W1084:$AJ1084,"O",$W1085:$AJ1085)</f>
        <v>0</v>
      </c>
      <c r="AS1085" s="75">
        <f>SUM(AM1085:AR1085)</f>
        <v>0</v>
      </c>
      <c r="AT1085" s="72"/>
      <c r="AU1085" s="73">
        <f>SUMIF($G1084:$T1084,"A",$G1085:$T1085)+SUMIF($W1084:$AJ1084,"A",$W1085:$AJ1085)</f>
        <v>0</v>
      </c>
      <c r="AV1085" s="72"/>
      <c r="AW1085" s="76">
        <f>IF(B1085="",0,IF($U$9="",0,$U$9))</f>
        <v>80</v>
      </c>
      <c r="BA1085" s="2"/>
      <c r="BB1085" s="2"/>
      <c r="BC1085" s="101"/>
      <c r="BD1085" s="101"/>
    </row>
    <row r="1086" spans="2:56" s="84" customFormat="1" x14ac:dyDescent="0.35">
      <c r="B1086" s="26"/>
      <c r="C1086" s="27"/>
      <c r="D1086" s="28" t="str">
        <f>IF(D1012="","",D1012)</f>
        <v/>
      </c>
      <c r="E1086" s="29" t="str">
        <f t="shared" si="444"/>
        <v/>
      </c>
      <c r="F1086" s="50">
        <f>B1045</f>
        <v>24</v>
      </c>
      <c r="G1086" s="59"/>
      <c r="H1086" s="64"/>
      <c r="I1086" s="106"/>
      <c r="J1086" s="105"/>
      <c r="K1086" s="106"/>
      <c r="L1086" s="105"/>
      <c r="M1086" s="106"/>
      <c r="N1086" s="105"/>
      <c r="O1086" s="106"/>
      <c r="P1086" s="105"/>
      <c r="Q1086" s="106"/>
      <c r="R1086" s="105"/>
      <c r="S1086" s="59"/>
      <c r="T1086" s="64"/>
      <c r="U1086" s="44"/>
      <c r="W1086" s="59"/>
      <c r="X1086" s="64"/>
      <c r="Y1086" s="106"/>
      <c r="Z1086" s="105"/>
      <c r="AA1086" s="106"/>
      <c r="AB1086" s="105"/>
      <c r="AC1086" s="106"/>
      <c r="AD1086" s="105"/>
      <c r="AE1086" s="106"/>
      <c r="AF1086" s="105"/>
      <c r="AG1086" s="106"/>
      <c r="AH1086" s="105"/>
      <c r="AI1086" s="59"/>
      <c r="AJ1086" s="64"/>
      <c r="AK1086" s="44"/>
      <c r="AM1086" s="49"/>
      <c r="AN1086" s="49"/>
      <c r="AO1086" s="49"/>
      <c r="AP1086" s="49"/>
      <c r="AQ1086" s="49"/>
      <c r="AR1086" s="40"/>
      <c r="AS1086" s="51"/>
      <c r="AU1086" s="49"/>
      <c r="AW1086" s="52"/>
      <c r="BA1086" s="2"/>
      <c r="BB1086" s="2"/>
      <c r="BC1086" s="101"/>
      <c r="BD1086" s="101"/>
    </row>
    <row r="1087" spans="2:56" s="84" customFormat="1" x14ac:dyDescent="0.35">
      <c r="B1087" s="30"/>
      <c r="C1087" s="31"/>
      <c r="D1087" s="32"/>
      <c r="E1087" s="33"/>
      <c r="F1087" s="50">
        <f>B1045</f>
        <v>24</v>
      </c>
      <c r="G1087" s="69"/>
      <c r="H1087" s="70"/>
      <c r="I1087" s="104"/>
      <c r="J1087" s="103"/>
      <c r="K1087" s="104"/>
      <c r="L1087" s="103"/>
      <c r="M1087" s="104"/>
      <c r="N1087" s="103"/>
      <c r="O1087" s="104"/>
      <c r="P1087" s="103"/>
      <c r="Q1087" s="104"/>
      <c r="R1087" s="103"/>
      <c r="S1087" s="69"/>
      <c r="T1087" s="70"/>
      <c r="U1087" s="71">
        <f t="shared" ref="U1087" si="447">SUM(G1087:T1087)</f>
        <v>0</v>
      </c>
      <c r="V1087" s="72"/>
      <c r="W1087" s="69"/>
      <c r="X1087" s="70"/>
      <c r="Y1087" s="104"/>
      <c r="Z1087" s="103"/>
      <c r="AA1087" s="104"/>
      <c r="AB1087" s="103"/>
      <c r="AC1087" s="104"/>
      <c r="AD1087" s="103"/>
      <c r="AE1087" s="104"/>
      <c r="AF1087" s="103"/>
      <c r="AG1087" s="104"/>
      <c r="AH1087" s="103"/>
      <c r="AI1087" s="69"/>
      <c r="AJ1087" s="70"/>
      <c r="AK1087" s="71">
        <f>SUM(W1087:AJ1087)</f>
        <v>0</v>
      </c>
      <c r="AL1087" s="72"/>
      <c r="AM1087" s="73">
        <f>SUMIF($G1086:$T1086,"",$G1087:$T1087)+SUMIF($W1086:$AJ1086,"",$W1087:$AJ1087)-AN1087</f>
        <v>0</v>
      </c>
      <c r="AN1087" s="88">
        <f>IF(SUMIF($G1086:$T1086,"",$G1087:$T1087)+SUMIF($G1086:$T1086,"F",$G1087:$T1087)+SUMIF($G1086:$T1086,"V",$G1087:$T1087)-40&lt;0,0,SUMIF($G1086:$T1086,"",$G1087:$T1087)+SUMIF($G1086:$T1086,"F",$G1087:$T1087)+SUMIF($G1086:$T1086,"V",$G1087:$T1087)-($U$9/2))+IF(SUMIF($W1086:$AJ1086,"",$W1087:$AJ1087)+SUMIF($W1086:$AJ1086,"F",$W1087:$AJ1087)+SUMIF($W1086:$AJ1086,"V",$W1087:$AJ1087)-40&lt;0,0,SUMIF($W1086:$AJ1086,"",$W1087:$AJ1087)+SUMIF($W1086:$AJ1086,"F",$W1087:$AJ1087)+SUMIF($W1086:$AJ1086,"V",$W1087:$AJ1087)-($U$9/2))</f>
        <v>0</v>
      </c>
      <c r="AO1087" s="73">
        <f>SUMIF($G1086:$T1086,"M",$G1087:$T1087)+SUMIF($W1086:$AJ1086,"M",$W1087:$AJ1087)</f>
        <v>0</v>
      </c>
      <c r="AP1087" s="73">
        <f>SUMIF($G1086:$T1086,"F",$G1087:$T1087)+SUMIF($W1086:$AJ1086,"F",$W1087:$AJ1087)</f>
        <v>0</v>
      </c>
      <c r="AQ1087" s="73">
        <f>SUMIF($G1086:$T1086,"V",$G1087:$T1087)+SUMIF($W1086:$AJ1086,"V",$W1087:$AJ1087)</f>
        <v>0</v>
      </c>
      <c r="AR1087" s="74">
        <f>SUMIF($G1086:$T1086,"O",$G1087:$T1087)+SUMIF($W1086:$AJ1086,"O",$W1087:$AJ1087)</f>
        <v>0</v>
      </c>
      <c r="AS1087" s="75">
        <f>SUM(AM1087:AR1087)</f>
        <v>0</v>
      </c>
      <c r="AT1087" s="72"/>
      <c r="AU1087" s="73">
        <f>SUMIF($G1086:$T1086,"A",$G1087:$T1087)+SUMIF($W1086:$AJ1086,"A",$W1087:$AJ1087)</f>
        <v>0</v>
      </c>
      <c r="AV1087" s="72"/>
      <c r="AW1087" s="76">
        <f>IF(B1087="",0,IF($U$9="",0,$U$9))</f>
        <v>0</v>
      </c>
      <c r="BA1087" s="2"/>
      <c r="BB1087" s="2"/>
      <c r="BC1087" s="101"/>
      <c r="BD1087" s="101"/>
    </row>
    <row r="1088" spans="2:56" s="84" customFormat="1" x14ac:dyDescent="0.35">
      <c r="B1088" s="26"/>
      <c r="C1088" s="27"/>
      <c r="D1088" s="28">
        <f>IF(D1014="","",D1014)</f>
        <v>23736</v>
      </c>
      <c r="E1088" s="29" t="str">
        <f t="shared" si="444"/>
        <v/>
      </c>
      <c r="F1088" s="50">
        <f>B1045</f>
        <v>24</v>
      </c>
      <c r="G1088" s="59"/>
      <c r="H1088" s="64"/>
      <c r="I1088" s="106"/>
      <c r="J1088" s="105" t="s">
        <v>1</v>
      </c>
      <c r="K1088" s="106"/>
      <c r="L1088" s="105"/>
      <c r="M1088" s="106"/>
      <c r="N1088" s="105"/>
      <c r="O1088" s="106"/>
      <c r="P1088" s="105"/>
      <c r="Q1088" s="106"/>
      <c r="R1088" s="105" t="s">
        <v>1</v>
      </c>
      <c r="S1088" s="59"/>
      <c r="T1088" s="64"/>
      <c r="U1088" s="44"/>
      <c r="W1088" s="59"/>
      <c r="X1088" s="64"/>
      <c r="Y1088" s="106"/>
      <c r="Z1088" s="105"/>
      <c r="AA1088" s="106"/>
      <c r="AB1088" s="105"/>
      <c r="AC1088" s="106"/>
      <c r="AD1088" s="105"/>
      <c r="AE1088" s="106"/>
      <c r="AF1088" s="105"/>
      <c r="AG1088" s="106"/>
      <c r="AH1088" s="105"/>
      <c r="AI1088" s="59"/>
      <c r="AJ1088" s="64"/>
      <c r="AK1088" s="44"/>
      <c r="AM1088" s="49"/>
      <c r="AN1088" s="49"/>
      <c r="AO1088" s="49"/>
      <c r="AP1088" s="49"/>
      <c r="AQ1088" s="49"/>
      <c r="AR1088" s="40"/>
      <c r="AS1088" s="51"/>
      <c r="AU1088" s="49"/>
      <c r="AW1088" s="52"/>
      <c r="BA1088" s="2"/>
      <c r="BB1088" s="2"/>
      <c r="BC1088" s="101"/>
      <c r="BD1088" s="101"/>
    </row>
    <row r="1089" spans="1:56" s="84" customFormat="1" x14ac:dyDescent="0.35">
      <c r="B1089" s="30" t="str">
        <f>IF(B1015="","",B1015)</f>
        <v>Voster, Jean-Michel</v>
      </c>
      <c r="C1089" s="31"/>
      <c r="D1089" s="32"/>
      <c r="E1089" s="33">
        <f t="shared" si="444"/>
        <v>93545</v>
      </c>
      <c r="F1089" s="50">
        <f>B1045</f>
        <v>24</v>
      </c>
      <c r="G1089" s="69"/>
      <c r="H1089" s="70"/>
      <c r="I1089" s="104"/>
      <c r="J1089" s="103">
        <v>8</v>
      </c>
      <c r="K1089" s="104"/>
      <c r="L1089" s="103">
        <v>8.5</v>
      </c>
      <c r="M1089" s="104"/>
      <c r="N1089" s="103">
        <v>8.25</v>
      </c>
      <c r="O1089" s="104"/>
      <c r="P1089" s="103">
        <v>9</v>
      </c>
      <c r="Q1089" s="104"/>
      <c r="R1089" s="103">
        <v>8</v>
      </c>
      <c r="S1089" s="69"/>
      <c r="T1089" s="70"/>
      <c r="U1089" s="71">
        <f t="shared" ref="U1089" si="448">SUM(G1089:T1089)</f>
        <v>41.75</v>
      </c>
      <c r="V1089" s="72"/>
      <c r="W1089" s="69"/>
      <c r="X1089" s="70"/>
      <c r="Y1089" s="104"/>
      <c r="Z1089" s="103">
        <v>8.25</v>
      </c>
      <c r="AA1089" s="104"/>
      <c r="AB1089" s="103">
        <v>8</v>
      </c>
      <c r="AC1089" s="104"/>
      <c r="AD1089" s="103">
        <v>8</v>
      </c>
      <c r="AE1089" s="104"/>
      <c r="AF1089" s="103">
        <v>8.5</v>
      </c>
      <c r="AG1089" s="104"/>
      <c r="AH1089" s="103">
        <v>8.25</v>
      </c>
      <c r="AI1089" s="69"/>
      <c r="AJ1089" s="70"/>
      <c r="AK1089" s="71">
        <f>SUM(W1089:AJ1089)</f>
        <v>41</v>
      </c>
      <c r="AL1089" s="72"/>
      <c r="AM1089" s="73">
        <f>SUMIF($G1088:$T1088,"",$G1089:$T1089)+SUMIF($W1088:$AJ1088,"",$W1089:$AJ1089)-AN1089</f>
        <v>64</v>
      </c>
      <c r="AN1089" s="88">
        <f>IF(SUMIF($G1088:$T1088,"",$G1089:$T1089)+SUMIF($G1088:$T1088,"F",$G1089:$T1089)+SUMIF($G1088:$T1088,"V",$G1089:$T1089)-40&lt;0,0,SUMIF($G1088:$T1088,"",$G1089:$T1089)+SUMIF($G1088:$T1088,"F",$G1089:$T1089)+SUMIF($G1088:$T1088,"V",$G1089:$T1089)-($U$9/2))+IF(SUMIF($W1088:$AJ1088,"",$W1089:$AJ1089)+SUMIF($W1088:$AJ1088,"F",$W1089:$AJ1089)+SUMIF($W1088:$AJ1088,"V",$W1089:$AJ1089)-40&lt;0,0,SUMIF($W1088:$AJ1088,"",$W1089:$AJ1089)+SUMIF($W1088:$AJ1088,"F",$W1089:$AJ1089)+SUMIF($W1088:$AJ1088,"V",$W1089:$AJ1089)-($U$9/2))</f>
        <v>2.75</v>
      </c>
      <c r="AO1089" s="73">
        <f>SUMIF($G1088:$T1088,"M",$G1089:$T1089)+SUMIF($W1088:$AJ1088,"M",$W1089:$AJ1089)</f>
        <v>0</v>
      </c>
      <c r="AP1089" s="73">
        <f>SUMIF($G1088:$T1088,"F",$G1089:$T1089)+SUMIF($W1088:$AJ1088,"F",$W1089:$AJ1089)</f>
        <v>0</v>
      </c>
      <c r="AQ1089" s="73">
        <f>SUMIF($G1088:$T1088,"V",$G1089:$T1089)+SUMIF($W1088:$AJ1088,"V",$W1089:$AJ1089)</f>
        <v>16</v>
      </c>
      <c r="AR1089" s="74">
        <f>SUMIF($G1088:$T1088,"O",$G1089:$T1089)+SUMIF($W1088:$AJ1088,"O",$W1089:$AJ1089)</f>
        <v>0</v>
      </c>
      <c r="AS1089" s="75">
        <f>SUM(AM1089:AR1089)</f>
        <v>82.75</v>
      </c>
      <c r="AT1089" s="72"/>
      <c r="AU1089" s="73">
        <f>SUMIF($G1088:$T1088,"A",$G1089:$T1089)+SUMIF($W1088:$AJ1088,"A",$W1089:$AJ1089)</f>
        <v>0</v>
      </c>
      <c r="AV1089" s="72"/>
      <c r="AW1089" s="76">
        <f>IF(B1089="",0,IF($U$9="",0,$U$9))</f>
        <v>80</v>
      </c>
      <c r="BA1089" s="2"/>
      <c r="BB1089" s="2"/>
      <c r="BC1089" s="101"/>
      <c r="BD1089" s="101"/>
    </row>
    <row r="1090" spans="1:56" s="53" customFormat="1" ht="15" customHeight="1" x14ac:dyDescent="0.35">
      <c r="A1090" s="84"/>
      <c r="B1090" s="26"/>
      <c r="C1090" s="27"/>
      <c r="D1090" s="28" t="str">
        <f>IF(D1016="","",D1016)</f>
        <v/>
      </c>
      <c r="E1090" s="29" t="str">
        <f t="shared" si="444"/>
        <v/>
      </c>
      <c r="F1090" s="50">
        <f>B1045</f>
        <v>24</v>
      </c>
      <c r="G1090" s="59"/>
      <c r="H1090" s="64"/>
      <c r="I1090" s="106"/>
      <c r="J1090" s="105"/>
      <c r="K1090" s="106"/>
      <c r="L1090" s="105"/>
      <c r="M1090" s="106"/>
      <c r="N1090" s="105"/>
      <c r="O1090" s="106"/>
      <c r="P1090" s="105"/>
      <c r="Q1090" s="106"/>
      <c r="R1090" s="105"/>
      <c r="S1090" s="59"/>
      <c r="T1090" s="64"/>
      <c r="U1090" s="44"/>
      <c r="V1090" s="84"/>
      <c r="W1090" s="59"/>
      <c r="X1090" s="64"/>
      <c r="Y1090" s="106"/>
      <c r="Z1090" s="105"/>
      <c r="AA1090" s="106"/>
      <c r="AB1090" s="105"/>
      <c r="AC1090" s="106"/>
      <c r="AD1090" s="105"/>
      <c r="AE1090" s="106"/>
      <c r="AF1090" s="105"/>
      <c r="AG1090" s="106"/>
      <c r="AH1090" s="105"/>
      <c r="AI1090" s="59"/>
      <c r="AJ1090" s="64"/>
      <c r="AK1090" s="44"/>
      <c r="AL1090" s="84"/>
      <c r="AM1090" s="49"/>
      <c r="AN1090" s="49"/>
      <c r="AO1090" s="49"/>
      <c r="AP1090" s="49"/>
      <c r="AQ1090" s="49"/>
      <c r="AR1090" s="40"/>
      <c r="AS1090" s="51"/>
      <c r="AT1090" s="84"/>
      <c r="AU1090" s="49"/>
      <c r="AV1090" s="84"/>
      <c r="AW1090" s="52"/>
      <c r="AX1090" s="84"/>
      <c r="BA1090" s="2"/>
      <c r="BB1090" s="2"/>
      <c r="BC1090" s="101"/>
      <c r="BD1090" s="101"/>
    </row>
    <row r="1091" spans="1:56" s="57" customFormat="1" ht="15" customHeight="1" x14ac:dyDescent="0.35">
      <c r="A1091" s="84"/>
      <c r="B1091" s="30"/>
      <c r="C1091" s="31"/>
      <c r="D1091" s="32"/>
      <c r="E1091" s="33" t="str">
        <f t="shared" si="444"/>
        <v/>
      </c>
      <c r="F1091" s="50">
        <f>B1045</f>
        <v>24</v>
      </c>
      <c r="G1091" s="69"/>
      <c r="H1091" s="70"/>
      <c r="I1091" s="104"/>
      <c r="J1091" s="103"/>
      <c r="K1091" s="104"/>
      <c r="L1091" s="103"/>
      <c r="M1091" s="104"/>
      <c r="N1091" s="103"/>
      <c r="O1091" s="104"/>
      <c r="P1091" s="103"/>
      <c r="Q1091" s="104"/>
      <c r="R1091" s="103"/>
      <c r="S1091" s="69"/>
      <c r="T1091" s="70"/>
      <c r="U1091" s="71">
        <f t="shared" ref="U1091" si="449">SUM(G1091:T1091)</f>
        <v>0</v>
      </c>
      <c r="V1091" s="72"/>
      <c r="W1091" s="69"/>
      <c r="X1091" s="70"/>
      <c r="Y1091" s="104"/>
      <c r="Z1091" s="103"/>
      <c r="AA1091" s="104"/>
      <c r="AB1091" s="103"/>
      <c r="AC1091" s="104"/>
      <c r="AD1091" s="103"/>
      <c r="AE1091" s="104"/>
      <c r="AF1091" s="103"/>
      <c r="AG1091" s="104"/>
      <c r="AH1091" s="103"/>
      <c r="AI1091" s="69"/>
      <c r="AJ1091" s="70"/>
      <c r="AK1091" s="71">
        <f>SUM(W1091:AJ1091)</f>
        <v>0</v>
      </c>
      <c r="AL1091" s="72"/>
      <c r="AM1091" s="73">
        <f>SUMIF($G1090:$T1090,"",$G1091:$T1091)+SUMIF($W1090:$AJ1090,"",$W1091:$AJ1091)-AN1091</f>
        <v>0</v>
      </c>
      <c r="AN1091" s="88">
        <f>IF(SUMIF($G1090:$T1090,"",$G1091:$T1091)+SUMIF($G1090:$T1090,"F",$G1091:$T1091)+SUMIF($G1090:$T1090,"V",$G1091:$T1091)-40&lt;0,0,SUMIF($G1090:$T1090,"",$G1091:$T1091)+SUMIF($G1090:$T1090,"F",$G1091:$T1091)+SUMIF($G1090:$T1090,"V",$G1091:$T1091)-($U$9/2))+IF(SUMIF($W1090:$AJ1090,"",$W1091:$AJ1091)+SUMIF($W1090:$AJ1090,"F",$W1091:$AJ1091)+SUMIF($W1090:$AJ1090,"V",$W1091:$AJ1091)-40&lt;0,0,SUMIF($W1090:$AJ1090,"",$W1091:$AJ1091)+SUMIF($W1090:$AJ1090,"F",$W1091:$AJ1091)+SUMIF($W1090:$AJ1090,"V",$W1091:$AJ1091)-($U$9/2))</f>
        <v>0</v>
      </c>
      <c r="AO1091" s="73">
        <f>SUMIF($G1090:$T1090,"M",$G1091:$T1091)+SUMIF($W1090:$AJ1090,"M",$W1091:$AJ1091)</f>
        <v>0</v>
      </c>
      <c r="AP1091" s="73">
        <f>SUMIF($G1090:$T1090,"F",$G1091:$T1091)+SUMIF($W1090:$AJ1090,"F",$W1091:$AJ1091)</f>
        <v>0</v>
      </c>
      <c r="AQ1091" s="73">
        <f>SUMIF($G1090:$T1090,"V",$G1091:$T1091)+SUMIF($W1090:$AJ1090,"V",$W1091:$AJ1091)</f>
        <v>0</v>
      </c>
      <c r="AR1091" s="74">
        <f>SUMIF($G1090:$T1090,"O",$G1091:$T1091)+SUMIF($W1090:$AJ1090,"O",$W1091:$AJ1091)</f>
        <v>0</v>
      </c>
      <c r="AS1091" s="75">
        <f>SUM(AM1091:AR1091)</f>
        <v>0</v>
      </c>
      <c r="AT1091" s="72"/>
      <c r="AU1091" s="73">
        <f>SUMIF($G1090:$T1090,"A",$G1091:$T1091)+SUMIF($W1090:$AJ1090,"A",$W1091:$AJ1091)</f>
        <v>0</v>
      </c>
      <c r="AV1091" s="72"/>
      <c r="AW1091" s="76">
        <f>IF(B1091="",0,IF($U$9="",0,$U$9))</f>
        <v>0</v>
      </c>
      <c r="AX1091" s="84"/>
      <c r="BA1091" s="2"/>
      <c r="BB1091" s="2"/>
      <c r="BC1091" s="101"/>
      <c r="BD1091" s="101"/>
    </row>
    <row r="1092" spans="1:56" s="53" customFormat="1" ht="15" customHeight="1" x14ac:dyDescent="0.35">
      <c r="A1092" s="84"/>
      <c r="B1092" s="26"/>
      <c r="C1092" s="27"/>
      <c r="D1092" s="28" t="str">
        <f>IF(D1018="","",D1018)</f>
        <v/>
      </c>
      <c r="E1092" s="29" t="str">
        <f t="shared" si="444"/>
        <v/>
      </c>
      <c r="F1092" s="50">
        <f>B1045</f>
        <v>24</v>
      </c>
      <c r="G1092" s="59"/>
      <c r="H1092" s="64"/>
      <c r="I1092" s="106"/>
      <c r="J1092" s="105"/>
      <c r="K1092" s="106"/>
      <c r="L1092" s="105"/>
      <c r="M1092" s="106"/>
      <c r="N1092" s="105"/>
      <c r="O1092" s="106"/>
      <c r="P1092" s="105"/>
      <c r="Q1092" s="106"/>
      <c r="R1092" s="105"/>
      <c r="S1092" s="59"/>
      <c r="T1092" s="64"/>
      <c r="U1092" s="44"/>
      <c r="V1092" s="84"/>
      <c r="W1092" s="59"/>
      <c r="X1092" s="64"/>
      <c r="Y1092" s="106"/>
      <c r="Z1092" s="105"/>
      <c r="AA1092" s="106"/>
      <c r="AB1092" s="105"/>
      <c r="AC1092" s="106"/>
      <c r="AD1092" s="105"/>
      <c r="AE1092" s="106"/>
      <c r="AF1092" s="105"/>
      <c r="AG1092" s="106"/>
      <c r="AH1092" s="105"/>
      <c r="AI1092" s="59"/>
      <c r="AJ1092" s="64"/>
      <c r="AK1092" s="44"/>
      <c r="AL1092" s="84"/>
      <c r="AM1092" s="49"/>
      <c r="AN1092" s="49"/>
      <c r="AO1092" s="49"/>
      <c r="AP1092" s="49"/>
      <c r="AQ1092" s="49"/>
      <c r="AR1092" s="40"/>
      <c r="AS1092" s="51"/>
      <c r="AT1092" s="84"/>
      <c r="AU1092" s="49"/>
      <c r="AV1092" s="84"/>
      <c r="AW1092" s="52"/>
      <c r="AX1092" s="84"/>
      <c r="BA1092" s="2"/>
      <c r="BB1092" s="2"/>
      <c r="BC1092" s="101"/>
      <c r="BD1092" s="101"/>
    </row>
    <row r="1093" spans="1:56" s="53" customFormat="1" x14ac:dyDescent="0.35">
      <c r="A1093" s="84"/>
      <c r="B1093" s="30" t="str">
        <f>IF(B1019="","",B1019)</f>
        <v/>
      </c>
      <c r="C1093" s="31"/>
      <c r="D1093" s="32"/>
      <c r="E1093" s="33" t="str">
        <f t="shared" si="444"/>
        <v/>
      </c>
      <c r="F1093" s="50">
        <f>B1045</f>
        <v>24</v>
      </c>
      <c r="G1093" s="69"/>
      <c r="H1093" s="70"/>
      <c r="I1093" s="104"/>
      <c r="J1093" s="103"/>
      <c r="K1093" s="104"/>
      <c r="L1093" s="103"/>
      <c r="M1093" s="104"/>
      <c r="N1093" s="103"/>
      <c r="O1093" s="104"/>
      <c r="P1093" s="103"/>
      <c r="Q1093" s="104"/>
      <c r="R1093" s="103"/>
      <c r="S1093" s="69"/>
      <c r="T1093" s="70"/>
      <c r="U1093" s="71">
        <f t="shared" ref="U1093" si="450">SUM(G1093:T1093)</f>
        <v>0</v>
      </c>
      <c r="V1093" s="72"/>
      <c r="W1093" s="69"/>
      <c r="X1093" s="70"/>
      <c r="Y1093" s="104"/>
      <c r="Z1093" s="103"/>
      <c r="AA1093" s="104"/>
      <c r="AB1093" s="103"/>
      <c r="AC1093" s="104"/>
      <c r="AD1093" s="103"/>
      <c r="AE1093" s="104"/>
      <c r="AF1093" s="103"/>
      <c r="AG1093" s="104"/>
      <c r="AH1093" s="103"/>
      <c r="AI1093" s="69"/>
      <c r="AJ1093" s="70"/>
      <c r="AK1093" s="71">
        <f>SUM(W1093:AJ1093)</f>
        <v>0</v>
      </c>
      <c r="AL1093" s="72"/>
      <c r="AM1093" s="73">
        <f>SUMIF($G1092:$T1092,"",$G1093:$T1093)+SUMIF($W1092:$AJ1092,"",$W1093:$AJ1093)-AN1093</f>
        <v>0</v>
      </c>
      <c r="AN1093" s="88">
        <f>IF(SUMIF($G1092:$T1092,"",$G1093:$T1093)+SUMIF($G1092:$T1092,"F",$G1093:$T1093)+SUMIF($G1092:$T1092,"V",$G1093:$T1093)-40&lt;0,0,SUMIF($G1092:$T1092,"",$G1093:$T1093)+SUMIF($G1092:$T1092,"F",$G1093:$T1093)+SUMIF($G1092:$T1092,"V",$G1093:$T1093)-($U$9/2))+IF(SUMIF($W1092:$AJ1092,"",$W1093:$AJ1093)+SUMIF($W1092:$AJ1092,"F",$W1093:$AJ1093)+SUMIF($W1092:$AJ1092,"V",$W1093:$AJ1093)-40&lt;0,0,SUMIF($W1092:$AJ1092,"",$W1093:$AJ1093)+SUMIF($W1092:$AJ1092,"F",$W1093:$AJ1093)+SUMIF($W1092:$AJ1092,"V",$W1093:$AJ1093)-($U$9/2))</f>
        <v>0</v>
      </c>
      <c r="AO1093" s="73">
        <f>SUMIF($G1092:$T1092,"M",$G1093:$T1093)+SUMIF($W1092:$AJ1092,"M",$W1093:$AJ1093)</f>
        <v>0</v>
      </c>
      <c r="AP1093" s="73">
        <f>SUMIF($G1092:$T1092,"F",$G1093:$T1093)+SUMIF($W1092:$AJ1092,"F",$W1093:$AJ1093)</f>
        <v>0</v>
      </c>
      <c r="AQ1093" s="73">
        <f>SUMIF($G1092:$T1092,"V",$G1093:$T1093)+SUMIF($W1092:$AJ1092,"V",$W1093:$AJ1093)</f>
        <v>0</v>
      </c>
      <c r="AR1093" s="74">
        <f>SUMIF($G1092:$T1092,"O",$G1093:$T1093)+SUMIF($W1092:$AJ1092,"O",$W1093:$AJ1093)</f>
        <v>0</v>
      </c>
      <c r="AS1093" s="75">
        <f>SUM(AM1093:AR1093)</f>
        <v>0</v>
      </c>
      <c r="AT1093" s="72"/>
      <c r="AU1093" s="73">
        <f>SUMIF($G1092:$T1092,"A",$G1093:$T1093)+SUMIF($W1092:$AJ1092,"A",$W1093:$AJ1093)</f>
        <v>0</v>
      </c>
      <c r="AV1093" s="72"/>
      <c r="AW1093" s="76">
        <f>IF(B1093="",0,IF($U$9="",0,$U$9))</f>
        <v>0</v>
      </c>
      <c r="AX1093" s="84"/>
      <c r="BA1093" s="2"/>
      <c r="BB1093" s="2"/>
      <c r="BC1093" s="101"/>
      <c r="BD1093" s="101"/>
    </row>
    <row r="1094" spans="1:56" s="53" customFormat="1" x14ac:dyDescent="0.35">
      <c r="A1094" s="84"/>
      <c r="B1094" s="26"/>
      <c r="C1094" s="27"/>
      <c r="D1094" s="28" t="str">
        <f>IF(D1020="","",D1020)</f>
        <v/>
      </c>
      <c r="E1094" s="29" t="str">
        <f t="shared" si="444"/>
        <v/>
      </c>
      <c r="F1094" s="50">
        <f>B1045</f>
        <v>24</v>
      </c>
      <c r="G1094" s="59"/>
      <c r="H1094" s="64"/>
      <c r="I1094" s="58"/>
      <c r="J1094" s="65"/>
      <c r="K1094" s="58"/>
      <c r="L1094" s="65"/>
      <c r="M1094" s="58"/>
      <c r="N1094" s="65"/>
      <c r="O1094" s="58"/>
      <c r="P1094" s="65"/>
      <c r="Q1094" s="58"/>
      <c r="R1094" s="65"/>
      <c r="S1094" s="59"/>
      <c r="T1094" s="64"/>
      <c r="U1094" s="44"/>
      <c r="V1094" s="84"/>
      <c r="W1094" s="59"/>
      <c r="X1094" s="64"/>
      <c r="Y1094" s="58"/>
      <c r="Z1094" s="65"/>
      <c r="AA1094" s="58"/>
      <c r="AB1094" s="65"/>
      <c r="AC1094" s="58"/>
      <c r="AD1094" s="65"/>
      <c r="AE1094" s="58"/>
      <c r="AF1094" s="65"/>
      <c r="AG1094" s="58"/>
      <c r="AH1094" s="65"/>
      <c r="AI1094" s="59"/>
      <c r="AJ1094" s="64"/>
      <c r="AK1094" s="44"/>
      <c r="AL1094" s="84"/>
      <c r="AM1094" s="49"/>
      <c r="AN1094" s="49"/>
      <c r="AO1094" s="49"/>
      <c r="AP1094" s="49"/>
      <c r="AQ1094" s="49"/>
      <c r="AR1094" s="40"/>
      <c r="AS1094" s="51"/>
      <c r="AT1094" s="84"/>
      <c r="AU1094" s="49"/>
      <c r="AV1094" s="84"/>
      <c r="AW1094" s="52"/>
      <c r="AX1094" s="84"/>
      <c r="BA1094" s="2"/>
      <c r="BB1094" s="2"/>
      <c r="BC1094" s="101"/>
      <c r="BD1094" s="101"/>
    </row>
    <row r="1095" spans="1:56" s="53" customFormat="1" x14ac:dyDescent="0.35">
      <c r="A1095" s="84"/>
      <c r="B1095" s="30" t="str">
        <f>IF(B1021="","",B1021)</f>
        <v/>
      </c>
      <c r="C1095" s="31"/>
      <c r="D1095" s="32"/>
      <c r="E1095" s="33" t="str">
        <f t="shared" si="444"/>
        <v/>
      </c>
      <c r="F1095" s="50">
        <f>B1045</f>
        <v>24</v>
      </c>
      <c r="G1095" s="69"/>
      <c r="H1095" s="70"/>
      <c r="I1095" s="67"/>
      <c r="J1095" s="68"/>
      <c r="K1095" s="67"/>
      <c r="L1095" s="68"/>
      <c r="M1095" s="67"/>
      <c r="N1095" s="68"/>
      <c r="O1095" s="67"/>
      <c r="P1095" s="68"/>
      <c r="Q1095" s="67"/>
      <c r="R1095" s="68"/>
      <c r="S1095" s="69"/>
      <c r="T1095" s="70"/>
      <c r="U1095" s="71">
        <f t="shared" ref="U1095" si="451">SUM(G1095:T1095)</f>
        <v>0</v>
      </c>
      <c r="V1095" s="72"/>
      <c r="W1095" s="69"/>
      <c r="X1095" s="70"/>
      <c r="Y1095" s="67"/>
      <c r="Z1095" s="68"/>
      <c r="AA1095" s="67"/>
      <c r="AB1095" s="68"/>
      <c r="AC1095" s="67"/>
      <c r="AD1095" s="68"/>
      <c r="AE1095" s="67"/>
      <c r="AF1095" s="68"/>
      <c r="AG1095" s="67"/>
      <c r="AH1095" s="68"/>
      <c r="AI1095" s="69"/>
      <c r="AJ1095" s="70"/>
      <c r="AK1095" s="71">
        <v>0</v>
      </c>
      <c r="AL1095" s="72"/>
      <c r="AM1095" s="73">
        <f>SUMIF($G1094:$T1094,"",$G1095:$T1095)+SUMIF($W1094:$AJ1094,"",$W1095:$AJ1095)-AN1095</f>
        <v>0</v>
      </c>
      <c r="AN1095" s="88">
        <f>IF(SUMIF($G1094:$T1094,"",$G1095:$T1095)+SUMIF($G1094:$T1094,"F",$G1095:$T1095)+SUMIF($G1094:$T1094,"V",$G1095:$T1095)-40&lt;0,0,SUMIF($G1094:$T1094,"",$G1095:$T1095)+SUMIF($G1094:$T1094,"F",$G1095:$T1095)+SUMIF($G1094:$T1094,"V",$G1095:$T1095)-($U$9/2))+IF(SUMIF($W1094:$AJ1094,"",$W1095:$AJ1095)+SUMIF($W1094:$AJ1094,"F",$W1095:$AJ1095)+SUMIF($W1094:$AJ1094,"V",$W1095:$AJ1095)-40&lt;0,0,SUMIF($W1094:$AJ1094,"",$W1095:$AJ1095)+SUMIF($W1094:$AJ1094,"F",$W1095:$AJ1095)+SUMIF($W1094:$AJ1094,"V",$W1095:$AJ1095)-($U$9/2))</f>
        <v>0</v>
      </c>
      <c r="AO1095" s="73">
        <f>SUMIF($G1094:$T1094,"M",$G1095:$T1095)+SUMIF($W1094:$AJ1094,"M",$W1095:$AJ1095)</f>
        <v>0</v>
      </c>
      <c r="AP1095" s="73">
        <f>SUMIF($G1094:$T1094,"F",$G1095:$T1095)+SUMIF($W1094:$AJ1094,"F",$W1095:$AJ1095)</f>
        <v>0</v>
      </c>
      <c r="AQ1095" s="73">
        <f>SUMIF($G1094:$T1094,"V",$G1095:$T1095)+SUMIF($W1094:$AJ1094,"V",$W1095:$AJ1095)</f>
        <v>0</v>
      </c>
      <c r="AR1095" s="74">
        <f>SUMIF($G1094:$T1094,"O",$G1095:$T1095)+SUMIF($W1094:$AJ1094,"O",$W1095:$AJ1095)</f>
        <v>0</v>
      </c>
      <c r="AS1095" s="75">
        <f>SUM(AM1095:AR1095)</f>
        <v>0</v>
      </c>
      <c r="AT1095" s="72"/>
      <c r="AU1095" s="73">
        <f>SUMIF($G1094:$T1094,"A",$G1095:$T1095)+SUMIF($W1094:$AJ1094,"A",$W1095:$AJ1095)</f>
        <v>0</v>
      </c>
      <c r="AV1095" s="72"/>
      <c r="AW1095" s="76">
        <f>IF(B1095="",0,IF($U$9="",0,$U$9))</f>
        <v>0</v>
      </c>
      <c r="AX1095" s="84"/>
      <c r="BA1095" s="2"/>
      <c r="BB1095" s="2"/>
      <c r="BC1095" s="101"/>
      <c r="BD1095" s="101"/>
    </row>
    <row r="1096" spans="1:56" s="53" customFormat="1" x14ac:dyDescent="0.35">
      <c r="A1096" s="84"/>
      <c r="B1096" s="26"/>
      <c r="C1096" s="27"/>
      <c r="D1096" s="28" t="str">
        <f>IF(D1022="","",D1022)</f>
        <v/>
      </c>
      <c r="E1096" s="29" t="str">
        <f t="shared" si="444"/>
        <v/>
      </c>
      <c r="F1096" s="50">
        <f>B1045</f>
        <v>24</v>
      </c>
      <c r="G1096" s="59"/>
      <c r="H1096" s="64"/>
      <c r="I1096" s="58"/>
      <c r="J1096" s="65"/>
      <c r="K1096" s="58"/>
      <c r="L1096" s="65"/>
      <c r="M1096" s="58"/>
      <c r="N1096" s="65"/>
      <c r="O1096" s="58"/>
      <c r="P1096" s="65"/>
      <c r="Q1096" s="58"/>
      <c r="R1096" s="65"/>
      <c r="S1096" s="59"/>
      <c r="T1096" s="64"/>
      <c r="U1096" s="44"/>
      <c r="V1096" s="84"/>
      <c r="W1096" s="59"/>
      <c r="X1096" s="64"/>
      <c r="Y1096" s="58"/>
      <c r="Z1096" s="65"/>
      <c r="AA1096" s="58"/>
      <c r="AB1096" s="65"/>
      <c r="AC1096" s="58"/>
      <c r="AD1096" s="65"/>
      <c r="AE1096" s="58"/>
      <c r="AF1096" s="65"/>
      <c r="AG1096" s="58"/>
      <c r="AH1096" s="65"/>
      <c r="AI1096" s="59"/>
      <c r="AJ1096" s="64"/>
      <c r="AK1096" s="44"/>
      <c r="AL1096" s="84"/>
      <c r="AM1096" s="49"/>
      <c r="AN1096" s="49"/>
      <c r="AO1096" s="49"/>
      <c r="AP1096" s="49"/>
      <c r="AQ1096" s="49"/>
      <c r="AR1096" s="40"/>
      <c r="AS1096" s="51"/>
      <c r="AT1096" s="84"/>
      <c r="AU1096" s="49"/>
      <c r="AV1096" s="84"/>
      <c r="AW1096" s="52"/>
      <c r="AX1096" s="84"/>
      <c r="BA1096" s="2"/>
      <c r="BB1096" s="2"/>
      <c r="BC1096" s="101"/>
      <c r="BD1096" s="101"/>
    </row>
    <row r="1097" spans="1:56" s="53" customFormat="1" x14ac:dyDescent="0.35">
      <c r="A1097" s="84"/>
      <c r="B1097" s="30" t="str">
        <f>IF(B1023="","",B1023)</f>
        <v/>
      </c>
      <c r="C1097" s="31"/>
      <c r="D1097" s="32"/>
      <c r="E1097" s="33" t="str">
        <f t="shared" si="444"/>
        <v/>
      </c>
      <c r="F1097" s="50">
        <f>B1045</f>
        <v>24</v>
      </c>
      <c r="G1097" s="69"/>
      <c r="H1097" s="70"/>
      <c r="I1097" s="67"/>
      <c r="J1097" s="68"/>
      <c r="K1097" s="67"/>
      <c r="L1097" s="68"/>
      <c r="M1097" s="67"/>
      <c r="N1097" s="68"/>
      <c r="O1097" s="67"/>
      <c r="P1097" s="68"/>
      <c r="Q1097" s="67"/>
      <c r="R1097" s="68"/>
      <c r="S1097" s="69"/>
      <c r="T1097" s="70"/>
      <c r="U1097" s="71">
        <f t="shared" ref="U1097" si="452">SUM(G1097:T1097)</f>
        <v>0</v>
      </c>
      <c r="V1097" s="72"/>
      <c r="W1097" s="69"/>
      <c r="X1097" s="70"/>
      <c r="Y1097" s="67"/>
      <c r="Z1097" s="68"/>
      <c r="AA1097" s="67"/>
      <c r="AB1097" s="68"/>
      <c r="AC1097" s="67"/>
      <c r="AD1097" s="68"/>
      <c r="AE1097" s="67"/>
      <c r="AF1097" s="68"/>
      <c r="AG1097" s="67"/>
      <c r="AH1097" s="68"/>
      <c r="AI1097" s="69"/>
      <c r="AJ1097" s="70"/>
      <c r="AK1097" s="71">
        <v>0</v>
      </c>
      <c r="AL1097" s="72"/>
      <c r="AM1097" s="73">
        <v>0</v>
      </c>
      <c r="AN1097" s="88">
        <v>0</v>
      </c>
      <c r="AO1097" s="73">
        <v>0</v>
      </c>
      <c r="AP1097" s="73">
        <v>0</v>
      </c>
      <c r="AQ1097" s="73">
        <v>0</v>
      </c>
      <c r="AR1097" s="74">
        <v>0</v>
      </c>
      <c r="AS1097" s="75">
        <v>0</v>
      </c>
      <c r="AT1097" s="72"/>
      <c r="AU1097" s="73">
        <f>SUMIF($G1096:$T1096,"A",$G1097:$T1097)+SUMIF($W1096:$AJ1096,"A",$W1097:$AJ1097)</f>
        <v>0</v>
      </c>
      <c r="AV1097" s="72"/>
      <c r="AW1097" s="76">
        <f>IF(B1097="",0,IF($U$9="",0,$U$9))</f>
        <v>0</v>
      </c>
      <c r="AX1097" s="84"/>
      <c r="BA1097" s="2"/>
      <c r="BB1097" s="2"/>
      <c r="BC1097" s="101"/>
      <c r="BD1097" s="101"/>
    </row>
    <row r="1098" spans="1:56" s="53" customFormat="1" x14ac:dyDescent="0.35">
      <c r="A1098" s="84"/>
      <c r="B1098" s="26"/>
      <c r="C1098" s="27"/>
      <c r="D1098" s="28" t="str">
        <f>IF(D1024="","",D1024)</f>
        <v/>
      </c>
      <c r="E1098" s="29" t="str">
        <f t="shared" si="444"/>
        <v/>
      </c>
      <c r="F1098" s="50">
        <f>B1045</f>
        <v>24</v>
      </c>
      <c r="G1098" s="59"/>
      <c r="H1098" s="64"/>
      <c r="I1098" s="58"/>
      <c r="J1098" s="65"/>
      <c r="K1098" s="58"/>
      <c r="L1098" s="65"/>
      <c r="M1098" s="58"/>
      <c r="N1098" s="65"/>
      <c r="O1098" s="58"/>
      <c r="P1098" s="65"/>
      <c r="Q1098" s="58"/>
      <c r="R1098" s="65"/>
      <c r="S1098" s="59"/>
      <c r="T1098" s="64"/>
      <c r="U1098" s="44"/>
      <c r="V1098" s="84"/>
      <c r="W1098" s="59"/>
      <c r="X1098" s="64"/>
      <c r="Y1098" s="58"/>
      <c r="Z1098" s="65"/>
      <c r="AA1098" s="58"/>
      <c r="AB1098" s="65"/>
      <c r="AC1098" s="58"/>
      <c r="AD1098" s="65"/>
      <c r="AE1098" s="58"/>
      <c r="AF1098" s="65"/>
      <c r="AG1098" s="58"/>
      <c r="AH1098" s="65"/>
      <c r="AI1098" s="59"/>
      <c r="AJ1098" s="64"/>
      <c r="AK1098" s="44"/>
      <c r="AL1098" s="84"/>
      <c r="AM1098" s="49"/>
      <c r="AN1098" s="49"/>
      <c r="AO1098" s="49"/>
      <c r="AP1098" s="49"/>
      <c r="AQ1098" s="49"/>
      <c r="AR1098" s="40"/>
      <c r="AS1098" s="51"/>
      <c r="AT1098" s="84"/>
      <c r="AU1098" s="49"/>
      <c r="AV1098" s="84"/>
      <c r="AW1098" s="52"/>
      <c r="AX1098" s="84"/>
      <c r="BA1098" s="2"/>
      <c r="BB1098" s="2"/>
      <c r="BC1098" s="101"/>
      <c r="BD1098" s="101"/>
    </row>
    <row r="1099" spans="1:56" s="53" customFormat="1" ht="15" thickBot="1" x14ac:dyDescent="0.4">
      <c r="A1099" s="84"/>
      <c r="B1099" s="30" t="str">
        <f>IF(B1025="","",B1025)</f>
        <v/>
      </c>
      <c r="C1099" s="31"/>
      <c r="D1099" s="32"/>
      <c r="E1099" s="33" t="str">
        <f t="shared" si="444"/>
        <v/>
      </c>
      <c r="F1099" s="50">
        <f>B1045</f>
        <v>24</v>
      </c>
      <c r="G1099" s="69"/>
      <c r="H1099" s="70"/>
      <c r="I1099" s="67"/>
      <c r="J1099" s="68"/>
      <c r="K1099" s="67"/>
      <c r="L1099" s="68"/>
      <c r="M1099" s="67"/>
      <c r="N1099" s="68"/>
      <c r="O1099" s="67"/>
      <c r="P1099" s="68"/>
      <c r="Q1099" s="67"/>
      <c r="R1099" s="68"/>
      <c r="S1099" s="69"/>
      <c r="T1099" s="70"/>
      <c r="U1099" s="71">
        <f t="shared" ref="U1099" si="453">SUM(G1099:T1099)</f>
        <v>0</v>
      </c>
      <c r="V1099" s="72"/>
      <c r="W1099" s="69"/>
      <c r="X1099" s="70"/>
      <c r="Y1099" s="67"/>
      <c r="Z1099" s="68"/>
      <c r="AA1099" s="67"/>
      <c r="AB1099" s="68"/>
      <c r="AC1099" s="67"/>
      <c r="AD1099" s="68"/>
      <c r="AE1099" s="67"/>
      <c r="AF1099" s="68"/>
      <c r="AG1099" s="67"/>
      <c r="AH1099" s="68"/>
      <c r="AI1099" s="69"/>
      <c r="AJ1099" s="70"/>
      <c r="AK1099" s="71">
        <v>0</v>
      </c>
      <c r="AL1099" s="72"/>
      <c r="AM1099" s="73">
        <v>0</v>
      </c>
      <c r="AN1099" s="88">
        <v>0</v>
      </c>
      <c r="AO1099" s="73">
        <v>0</v>
      </c>
      <c r="AP1099" s="73">
        <v>0</v>
      </c>
      <c r="AQ1099" s="73">
        <v>0</v>
      </c>
      <c r="AR1099" s="74">
        <v>0</v>
      </c>
      <c r="AS1099" s="75">
        <v>0</v>
      </c>
      <c r="AT1099" s="72"/>
      <c r="AU1099" s="73">
        <f>SUMIF($G1098:$T1098,"A",$G1099:$T1099)+SUMIF($W1098:$AJ1098,"A",$W1099:$AJ1099)</f>
        <v>0</v>
      </c>
      <c r="AV1099" s="72"/>
      <c r="AW1099" s="76">
        <f>IF(B1099="",0,IF($U$9="",0,$U$9))</f>
        <v>0</v>
      </c>
      <c r="AX1099" s="84"/>
      <c r="BA1099" s="2"/>
      <c r="BB1099" s="2"/>
      <c r="BC1099" s="101"/>
      <c r="BD1099" s="101"/>
    </row>
    <row r="1100" spans="1:56" s="53" customFormat="1" ht="27.75" customHeight="1" thickBot="1" x14ac:dyDescent="0.4">
      <c r="A1100" s="84"/>
      <c r="B1100" s="149" t="s">
        <v>7</v>
      </c>
      <c r="C1100" s="150"/>
      <c r="D1100" s="150"/>
      <c r="E1100" s="151"/>
      <c r="F1100" s="97"/>
      <c r="G1100" s="152">
        <f>SUM(G1050:H1099)</f>
        <v>0</v>
      </c>
      <c r="H1100" s="152"/>
      <c r="I1100" s="152">
        <f>SUM(I1050:J1099)</f>
        <v>112.75</v>
      </c>
      <c r="J1100" s="152"/>
      <c r="K1100" s="152">
        <f>SUM(K1050:L1099)</f>
        <v>121.5</v>
      </c>
      <c r="L1100" s="152"/>
      <c r="M1100" s="152">
        <f>SUM(M1050:N1099)</f>
        <v>121</v>
      </c>
      <c r="N1100" s="152"/>
      <c r="O1100" s="152">
        <f>SUM(O1050:P1099)</f>
        <v>122</v>
      </c>
      <c r="P1100" s="152"/>
      <c r="Q1100" s="152">
        <f>SUM(Q1050:R1099)</f>
        <v>119</v>
      </c>
      <c r="R1100" s="152"/>
      <c r="S1100" s="152">
        <f>SUM(S1050:T1099)</f>
        <v>0</v>
      </c>
      <c r="T1100" s="153"/>
      <c r="U1100" s="77">
        <f>SUM(U1050:U1099)</f>
        <v>596.25</v>
      </c>
      <c r="V1100" s="78"/>
      <c r="W1100" s="152">
        <f>SUM(W1050:X1099)</f>
        <v>0</v>
      </c>
      <c r="X1100" s="152"/>
      <c r="Y1100" s="152">
        <f>SUM(Y1050:Z1099)</f>
        <v>120.75</v>
      </c>
      <c r="Z1100" s="152"/>
      <c r="AA1100" s="152">
        <f>SUM(AA1050:AB1099)</f>
        <v>120.25</v>
      </c>
      <c r="AB1100" s="152"/>
      <c r="AC1100" s="152">
        <f>SUM(AC1050:AD1099)</f>
        <v>123.5</v>
      </c>
      <c r="AD1100" s="152"/>
      <c r="AE1100" s="152">
        <f>SUM(AE1050:AF1099)</f>
        <v>105</v>
      </c>
      <c r="AF1100" s="152"/>
      <c r="AG1100" s="152">
        <f>SUM(AG1050:AH1099)</f>
        <v>111.75</v>
      </c>
      <c r="AH1100" s="152"/>
      <c r="AI1100" s="152">
        <f>SUM(AI1050:AJ1099)</f>
        <v>12</v>
      </c>
      <c r="AJ1100" s="152"/>
      <c r="AK1100" s="77">
        <f>SUM(AK1050:AK1099)</f>
        <v>593.25</v>
      </c>
      <c r="AL1100" s="78"/>
      <c r="AM1100" s="79">
        <f t="shared" ref="AM1100:AS1100" si="454">SUM(AM1050:AM1099)</f>
        <v>1097</v>
      </c>
      <c r="AN1100" s="79">
        <f t="shared" si="454"/>
        <v>20.5</v>
      </c>
      <c r="AO1100" s="79">
        <f t="shared" si="454"/>
        <v>8</v>
      </c>
      <c r="AP1100" s="79">
        <f t="shared" si="454"/>
        <v>0</v>
      </c>
      <c r="AQ1100" s="79">
        <f t="shared" si="454"/>
        <v>64</v>
      </c>
      <c r="AR1100" s="80">
        <f t="shared" si="454"/>
        <v>0</v>
      </c>
      <c r="AS1100" s="81">
        <f t="shared" si="454"/>
        <v>1189.5</v>
      </c>
      <c r="AT1100" s="78"/>
      <c r="AU1100" s="82">
        <f>SUM(AU1050:AU1099)</f>
        <v>0</v>
      </c>
      <c r="AV1100" s="78"/>
      <c r="AW1100" s="83">
        <f>SUM(AW1050:AW1099)</f>
        <v>1440</v>
      </c>
      <c r="AX1100" s="84"/>
      <c r="BA1100" s="2"/>
      <c r="BB1100" s="2"/>
      <c r="BC1100" s="101"/>
      <c r="BD1100" s="101"/>
    </row>
    <row r="1101" spans="1:56" s="53" customFormat="1" ht="15" thickTop="1" x14ac:dyDescent="0.35">
      <c r="B1101" s="54"/>
      <c r="F1101" s="98"/>
      <c r="G1101" s="55"/>
      <c r="H1101" s="55"/>
      <c r="I1101" s="55"/>
      <c r="J1101" s="55"/>
      <c r="K1101" s="55"/>
      <c r="L1101" s="55"/>
      <c r="M1101" s="55"/>
      <c r="N1101" s="55"/>
      <c r="O1101" s="55"/>
      <c r="P1101" s="55"/>
      <c r="Q1101" s="55"/>
      <c r="R1101" s="55"/>
      <c r="S1101" s="55"/>
      <c r="T1101" s="55"/>
      <c r="U1101" s="56"/>
      <c r="V1101" s="55"/>
      <c r="W1101" s="55"/>
      <c r="X1101" s="55"/>
      <c r="Y1101" s="55"/>
      <c r="Z1101" s="55"/>
      <c r="AA1101" s="55"/>
      <c r="AB1101" s="55"/>
      <c r="AC1101" s="55"/>
      <c r="AD1101" s="55"/>
      <c r="AE1101" s="55"/>
      <c r="AF1101" s="55"/>
      <c r="AG1101" s="55"/>
      <c r="AH1101" s="55"/>
      <c r="AI1101" s="55"/>
      <c r="AJ1101" s="55"/>
      <c r="AK1101" s="56"/>
      <c r="AL1101" s="55"/>
      <c r="AM1101" s="55"/>
      <c r="AN1101" s="55"/>
      <c r="AO1101" s="55"/>
      <c r="AP1101" s="55"/>
      <c r="AQ1101" s="55"/>
      <c r="AR1101" s="55"/>
      <c r="AS1101" s="55"/>
      <c r="AT1101" s="55"/>
      <c r="AU1101" s="55"/>
      <c r="AV1101" s="55"/>
      <c r="AW1101" s="55"/>
      <c r="BA1101" s="2"/>
      <c r="BB1101" s="2"/>
      <c r="BC1101" s="101"/>
      <c r="BD1101" s="101"/>
    </row>
    <row r="1102" spans="1:56" s="53" customFormat="1" x14ac:dyDescent="0.35">
      <c r="B1102" s="54" t="s">
        <v>52</v>
      </c>
      <c r="D1102" s="141" t="s">
        <v>100</v>
      </c>
      <c r="E1102" s="141"/>
      <c r="F1102" s="141"/>
      <c r="G1102" s="141"/>
      <c r="H1102" s="141"/>
      <c r="I1102" s="141"/>
      <c r="J1102" s="141"/>
      <c r="K1102" s="141"/>
      <c r="L1102" s="141"/>
      <c r="M1102" s="141"/>
      <c r="N1102" s="141"/>
      <c r="O1102" s="141"/>
      <c r="P1102" s="141"/>
      <c r="Q1102" s="141"/>
      <c r="R1102" s="141"/>
      <c r="S1102" s="141"/>
      <c r="T1102" s="141"/>
      <c r="U1102" s="141"/>
      <c r="V1102" s="141"/>
      <c r="W1102" s="141"/>
      <c r="X1102" s="141"/>
      <c r="Y1102" s="141"/>
      <c r="Z1102" s="141"/>
      <c r="AA1102" s="141"/>
      <c r="AB1102" s="141"/>
      <c r="AC1102" s="141"/>
      <c r="AD1102" s="141"/>
      <c r="AE1102" s="141"/>
      <c r="AF1102" s="141"/>
      <c r="AG1102" s="141"/>
      <c r="AH1102" s="141"/>
      <c r="AI1102" s="141"/>
      <c r="AJ1102" s="141"/>
      <c r="AK1102" s="56"/>
      <c r="AL1102" s="55"/>
      <c r="AM1102" s="55"/>
      <c r="AN1102" s="55"/>
      <c r="AO1102" s="55"/>
      <c r="AP1102" s="55"/>
      <c r="AQ1102" s="55"/>
      <c r="AR1102" s="55"/>
      <c r="AS1102" s="55"/>
      <c r="AT1102" s="55"/>
      <c r="AU1102" s="55"/>
      <c r="AV1102" s="55"/>
      <c r="AW1102" s="55"/>
      <c r="BA1102" s="2"/>
      <c r="BB1102" s="2"/>
      <c r="BC1102" s="101"/>
      <c r="BD1102" s="101"/>
    </row>
    <row r="1103" spans="1:56" s="84" customFormat="1" x14ac:dyDescent="0.35">
      <c r="A1103" s="53"/>
      <c r="B1103" s="54"/>
      <c r="C1103" s="53"/>
      <c r="D1103" s="141"/>
      <c r="E1103" s="141"/>
      <c r="F1103" s="141"/>
      <c r="G1103" s="141"/>
      <c r="H1103" s="141"/>
      <c r="I1103" s="141"/>
      <c r="J1103" s="141"/>
      <c r="K1103" s="141"/>
      <c r="L1103" s="141"/>
      <c r="M1103" s="141"/>
      <c r="N1103" s="141"/>
      <c r="O1103" s="141"/>
      <c r="P1103" s="141"/>
      <c r="Q1103" s="141"/>
      <c r="R1103" s="141"/>
      <c r="S1103" s="141"/>
      <c r="T1103" s="141"/>
      <c r="U1103" s="141"/>
      <c r="V1103" s="141"/>
      <c r="W1103" s="141"/>
      <c r="X1103" s="141"/>
      <c r="Y1103" s="141"/>
      <c r="Z1103" s="141"/>
      <c r="AA1103" s="141"/>
      <c r="AB1103" s="141"/>
      <c r="AC1103" s="141"/>
      <c r="AD1103" s="141"/>
      <c r="AE1103" s="141"/>
      <c r="AF1103" s="141"/>
      <c r="AG1103" s="141"/>
      <c r="AH1103" s="141"/>
      <c r="AI1103" s="141"/>
      <c r="AJ1103" s="141"/>
      <c r="AK1103" s="56"/>
      <c r="AL1103" s="55"/>
      <c r="AM1103" s="55"/>
      <c r="AN1103" s="55"/>
      <c r="AO1103" s="55"/>
      <c r="AP1103" s="55"/>
      <c r="AQ1103" s="55"/>
      <c r="AR1103" s="55"/>
      <c r="AS1103" s="55"/>
      <c r="AT1103" s="55"/>
      <c r="AU1103" s="55"/>
      <c r="AV1103" s="55"/>
      <c r="AW1103" s="55"/>
      <c r="AX1103" s="53"/>
      <c r="BA1103" s="2"/>
      <c r="BB1103" s="2"/>
      <c r="BC1103" s="101"/>
      <c r="BD1103" s="101"/>
    </row>
    <row r="1104" spans="1:56" s="84" customFormat="1" x14ac:dyDescent="0.35">
      <c r="A1104" s="53"/>
      <c r="B1104" s="54"/>
      <c r="C1104" s="53"/>
      <c r="D1104" s="141"/>
      <c r="E1104" s="141"/>
      <c r="F1104" s="141"/>
      <c r="G1104" s="141"/>
      <c r="H1104" s="141"/>
      <c r="I1104" s="141"/>
      <c r="J1104" s="141"/>
      <c r="K1104" s="141"/>
      <c r="L1104" s="141"/>
      <c r="M1104" s="141"/>
      <c r="N1104" s="141"/>
      <c r="O1104" s="141"/>
      <c r="P1104" s="141"/>
      <c r="Q1104" s="141"/>
      <c r="R1104" s="141"/>
      <c r="S1104" s="141"/>
      <c r="T1104" s="141"/>
      <c r="U1104" s="141"/>
      <c r="V1104" s="141"/>
      <c r="W1104" s="141"/>
      <c r="X1104" s="141"/>
      <c r="Y1104" s="141"/>
      <c r="Z1104" s="141"/>
      <c r="AA1104" s="141"/>
      <c r="AB1104" s="141"/>
      <c r="AC1104" s="141"/>
      <c r="AD1104" s="141"/>
      <c r="AE1104" s="141"/>
      <c r="AF1104" s="141"/>
      <c r="AG1104" s="141"/>
      <c r="AH1104" s="141"/>
      <c r="AI1104" s="141"/>
      <c r="AJ1104" s="141"/>
      <c r="AK1104" s="56"/>
      <c r="AL1104" s="55"/>
      <c r="AM1104" s="55"/>
      <c r="AN1104" s="55"/>
      <c r="AO1104" s="55"/>
      <c r="AP1104" s="55"/>
      <c r="AQ1104" s="55"/>
      <c r="AR1104" s="55"/>
      <c r="AS1104" s="55"/>
      <c r="AT1104" s="55"/>
      <c r="AU1104" s="55"/>
      <c r="AV1104" s="55"/>
      <c r="AW1104" s="55"/>
      <c r="AX1104" s="53"/>
      <c r="BA1104" s="2"/>
      <c r="BB1104" s="2"/>
      <c r="BC1104" s="101"/>
      <c r="BD1104" s="101"/>
    </row>
    <row r="1105" spans="1:56" s="84" customFormat="1" ht="15" customHeight="1" x14ac:dyDescent="0.35">
      <c r="A1105" s="53"/>
      <c r="B1105" s="54"/>
      <c r="C1105" s="53"/>
      <c r="D1105" s="53"/>
      <c r="E1105" s="53"/>
      <c r="F1105" s="98"/>
      <c r="G1105" s="55"/>
      <c r="H1105" s="55"/>
      <c r="I1105" s="55"/>
      <c r="J1105" s="55"/>
      <c r="K1105" s="55"/>
      <c r="L1105" s="55"/>
      <c r="M1105" s="55"/>
      <c r="N1105" s="55"/>
      <c r="O1105" s="55"/>
      <c r="P1105" s="55"/>
      <c r="Q1105" s="55"/>
      <c r="R1105" s="55"/>
      <c r="S1105" s="55"/>
      <c r="T1105" s="55"/>
      <c r="U1105" s="56"/>
      <c r="V1105" s="55"/>
      <c r="W1105" s="55"/>
      <c r="X1105" s="55"/>
      <c r="Y1105" s="55"/>
      <c r="Z1105" s="55"/>
      <c r="AA1105" s="55"/>
      <c r="AB1105" s="55"/>
      <c r="AC1105" s="55"/>
      <c r="AD1105" s="55"/>
      <c r="AE1105" s="55"/>
      <c r="AF1105" s="55"/>
      <c r="AG1105" s="55"/>
      <c r="AH1105" s="55"/>
      <c r="AI1105" s="55"/>
      <c r="AJ1105" s="55"/>
      <c r="AK1105" s="56"/>
      <c r="AL1105" s="55"/>
      <c r="AM1105" s="55"/>
      <c r="AN1105" s="55"/>
      <c r="AO1105" s="55"/>
      <c r="AP1105" s="55"/>
      <c r="AQ1105" s="55"/>
      <c r="AR1105" s="55"/>
      <c r="AS1105" s="55"/>
      <c r="AT1105" s="55"/>
      <c r="AU1105" s="55"/>
      <c r="AV1105" s="55"/>
      <c r="AW1105" s="55"/>
      <c r="AX1105" s="53"/>
      <c r="BA1105" s="2"/>
      <c r="BB1105" s="2"/>
      <c r="BC1105" s="101"/>
      <c r="BD1105" s="101"/>
    </row>
    <row r="1106" spans="1:56" s="84" customFormat="1" ht="15" customHeight="1" x14ac:dyDescent="0.35">
      <c r="A1106" s="53"/>
      <c r="B1106" s="54" t="s">
        <v>53</v>
      </c>
      <c r="C1106" s="53"/>
      <c r="D1106" s="31" t="s">
        <v>74</v>
      </c>
      <c r="E1106" s="34"/>
      <c r="F1106" s="99"/>
      <c r="G1106" s="34"/>
      <c r="H1106" s="34"/>
      <c r="I1106" s="34"/>
      <c r="J1106" s="34"/>
      <c r="K1106" s="53"/>
      <c r="L1106" s="55" t="s">
        <v>8</v>
      </c>
      <c r="M1106" s="53"/>
      <c r="N1106" s="142">
        <f ca="1">NOW()</f>
        <v>44720.650928935182</v>
      </c>
      <c r="O1106" s="142"/>
      <c r="P1106" s="142"/>
      <c r="Q1106" s="53"/>
      <c r="R1106" s="53"/>
      <c r="S1106" s="53"/>
      <c r="T1106" s="53"/>
      <c r="U1106" s="53"/>
      <c r="V1106" s="55"/>
      <c r="W1106" s="55"/>
      <c r="X1106" s="55"/>
      <c r="Y1106" s="55"/>
      <c r="Z1106" s="55"/>
      <c r="AA1106" s="55"/>
      <c r="AB1106" s="55"/>
      <c r="AC1106" s="55"/>
      <c r="AD1106" s="55"/>
      <c r="AE1106" s="55"/>
      <c r="AF1106" s="55"/>
      <c r="AG1106" s="55"/>
      <c r="AH1106" s="55"/>
      <c r="AI1106" s="55"/>
      <c r="AJ1106" s="55"/>
      <c r="AK1106" s="56"/>
      <c r="AL1106" s="55"/>
      <c r="AM1106" s="55"/>
      <c r="AN1106" s="55"/>
      <c r="AO1106" s="55"/>
      <c r="AP1106" s="55"/>
      <c r="AQ1106" s="55"/>
      <c r="AR1106" s="55"/>
      <c r="AS1106" s="55"/>
      <c r="AT1106" s="55"/>
      <c r="AU1106" s="55"/>
      <c r="AV1106" s="55"/>
      <c r="AW1106" s="55"/>
      <c r="AX1106" s="53"/>
      <c r="BA1106" s="2"/>
      <c r="BB1106" s="2"/>
      <c r="BC1106" s="101"/>
      <c r="BD1106" s="101"/>
    </row>
    <row r="1107" spans="1:56" s="84" customFormat="1" x14ac:dyDescent="0.35">
      <c r="A1107" s="53"/>
      <c r="B1107" s="54"/>
      <c r="C1107" s="53"/>
      <c r="D1107" s="53"/>
      <c r="E1107" s="53"/>
      <c r="F1107" s="98"/>
      <c r="G1107" s="55"/>
      <c r="H1107" s="55"/>
      <c r="I1107" s="55"/>
      <c r="J1107" s="55"/>
      <c r="K1107" s="53"/>
      <c r="L1107" s="55"/>
      <c r="M1107" s="53"/>
      <c r="N1107" s="55"/>
      <c r="O1107" s="56"/>
      <c r="P1107" s="53"/>
      <c r="Q1107" s="53"/>
      <c r="R1107" s="53"/>
      <c r="S1107" s="53"/>
      <c r="T1107" s="53"/>
      <c r="U1107" s="53"/>
      <c r="V1107" s="55"/>
      <c r="W1107" s="55"/>
      <c r="X1107" s="55"/>
      <c r="Y1107" s="55"/>
      <c r="Z1107" s="55"/>
      <c r="AA1107" s="55"/>
      <c r="AB1107" s="55"/>
      <c r="AC1107" s="55"/>
      <c r="AD1107" s="55"/>
      <c r="AE1107" s="55"/>
      <c r="AF1107" s="55"/>
      <c r="AG1107" s="55"/>
      <c r="AH1107" s="55"/>
      <c r="AI1107" s="55"/>
      <c r="AJ1107" s="55"/>
      <c r="AK1107" s="56"/>
      <c r="AL1107" s="55"/>
      <c r="AM1107" s="55"/>
      <c r="AN1107" s="55"/>
      <c r="AO1107" s="55"/>
      <c r="AP1107" s="55"/>
      <c r="AQ1107" s="55"/>
      <c r="AR1107" s="55"/>
      <c r="AS1107" s="55"/>
      <c r="AT1107" s="55"/>
      <c r="AU1107" s="55"/>
      <c r="AV1107" s="55"/>
      <c r="AW1107" s="55"/>
      <c r="AX1107" s="53"/>
      <c r="BA1107" s="2"/>
      <c r="BB1107" s="2"/>
      <c r="BC1107" s="101"/>
      <c r="BD1107" s="101"/>
    </row>
    <row r="1108" spans="1:56" s="84" customFormat="1" x14ac:dyDescent="0.35">
      <c r="A1108" s="53"/>
      <c r="B1108" s="54" t="s">
        <v>54</v>
      </c>
      <c r="C1108" s="53"/>
      <c r="D1108" s="31"/>
      <c r="E1108" s="34"/>
      <c r="F1108" s="99"/>
      <c r="G1108" s="34"/>
      <c r="H1108" s="34"/>
      <c r="I1108" s="34"/>
      <c r="J1108" s="34"/>
      <c r="K1108" s="53"/>
      <c r="L1108" s="55" t="s">
        <v>8</v>
      </c>
      <c r="M1108" s="53"/>
      <c r="N1108" s="142">
        <f ca="1">NOW()</f>
        <v>44720.650928935182</v>
      </c>
      <c r="O1108" s="142"/>
      <c r="P1108" s="142"/>
      <c r="Q1108" s="53"/>
      <c r="R1108" s="53"/>
      <c r="S1108" s="53"/>
      <c r="T1108" s="53"/>
      <c r="U1108" s="53"/>
      <c r="V1108" s="55"/>
      <c r="W1108" s="55"/>
      <c r="X1108" s="55"/>
      <c r="Y1108" s="55"/>
      <c r="Z1108" s="55"/>
      <c r="AA1108" s="55"/>
      <c r="AB1108" s="55"/>
      <c r="AC1108" s="55"/>
      <c r="AD1108" s="55"/>
      <c r="AE1108" s="55"/>
      <c r="AF1108" s="55"/>
      <c r="AG1108" s="55"/>
      <c r="AH1108" s="55"/>
      <c r="AI1108" s="55"/>
      <c r="AJ1108" s="55"/>
      <c r="AK1108" s="56"/>
      <c r="AL1108" s="55"/>
      <c r="AM1108" s="55"/>
      <c r="AN1108" s="55"/>
      <c r="AO1108" s="55"/>
      <c r="AP1108" s="55"/>
      <c r="AQ1108" s="55"/>
      <c r="AR1108" s="55"/>
      <c r="AS1108" s="55"/>
      <c r="AT1108" s="55"/>
      <c r="AU1108" s="55"/>
      <c r="AV1108" s="55"/>
      <c r="AW1108" s="55"/>
      <c r="AX1108" s="53"/>
      <c r="BA1108" s="2"/>
      <c r="BB1108" s="2"/>
      <c r="BC1108" s="101"/>
      <c r="BD1108" s="101"/>
    </row>
    <row r="1109" spans="1:56" s="84" customFormat="1" x14ac:dyDescent="0.35">
      <c r="A1109" s="53"/>
      <c r="B1109" s="54"/>
      <c r="C1109" s="53"/>
      <c r="D1109" s="53"/>
      <c r="E1109" s="53"/>
      <c r="F1109" s="98"/>
      <c r="G1109" s="55"/>
      <c r="H1109" s="55"/>
      <c r="I1109" s="55"/>
      <c r="J1109" s="55"/>
      <c r="K1109" s="55"/>
      <c r="L1109" s="55"/>
      <c r="M1109" s="55"/>
      <c r="N1109" s="55"/>
      <c r="O1109" s="55"/>
      <c r="P1109" s="55"/>
      <c r="Q1109" s="55"/>
      <c r="R1109" s="55"/>
      <c r="S1109" s="55"/>
      <c r="T1109" s="55"/>
      <c r="U1109" s="56"/>
      <c r="V1109" s="55"/>
      <c r="W1109" s="55"/>
      <c r="X1109" s="55"/>
      <c r="Y1109" s="55"/>
      <c r="Z1109" s="55"/>
      <c r="AA1109" s="55"/>
      <c r="AB1109" s="55"/>
      <c r="AC1109" s="55"/>
      <c r="AD1109" s="55"/>
      <c r="AE1109" s="55"/>
      <c r="AF1109" s="55"/>
      <c r="AG1109" s="55"/>
      <c r="AH1109" s="55"/>
      <c r="AI1109" s="55"/>
      <c r="AJ1109" s="55"/>
      <c r="AK1109" s="56"/>
      <c r="AL1109" s="55"/>
      <c r="AM1109" s="55"/>
      <c r="AN1109" s="55"/>
      <c r="AO1109" s="55"/>
      <c r="AP1109" s="55"/>
      <c r="AQ1109" s="55"/>
      <c r="AR1109" s="55"/>
      <c r="AS1109" s="55"/>
      <c r="AT1109" s="55"/>
      <c r="AU1109" s="55"/>
      <c r="AV1109" s="55"/>
      <c r="AW1109" s="55"/>
      <c r="AX1109" s="53"/>
      <c r="BA1109" s="2"/>
      <c r="BB1109" s="2"/>
      <c r="BC1109" s="101"/>
      <c r="BD1109" s="101"/>
    </row>
    <row r="1110" spans="1:56" s="84" customFormat="1" x14ac:dyDescent="0.35">
      <c r="A1110" s="53"/>
      <c r="B1110" s="54" t="s">
        <v>9</v>
      </c>
      <c r="C1110" s="53"/>
      <c r="D1110" s="53"/>
      <c r="E1110" s="53"/>
      <c r="F1110" s="98"/>
      <c r="G1110" s="55"/>
      <c r="H1110" s="55"/>
      <c r="I1110" s="55"/>
      <c r="J1110" s="55"/>
      <c r="K1110" s="55"/>
      <c r="L1110" s="55"/>
      <c r="M1110" s="55"/>
      <c r="N1110" s="55"/>
      <c r="O1110" s="55"/>
      <c r="P1110" s="55"/>
      <c r="Q1110" s="55"/>
      <c r="R1110" s="55"/>
      <c r="S1110" s="55"/>
      <c r="T1110" s="55"/>
      <c r="U1110" s="56"/>
      <c r="V1110" s="55"/>
      <c r="W1110" s="55"/>
      <c r="X1110" s="55"/>
      <c r="Y1110" s="55"/>
      <c r="Z1110" s="55"/>
      <c r="AA1110" s="55"/>
      <c r="AB1110" s="55"/>
      <c r="AC1110" s="55"/>
      <c r="AD1110" s="55"/>
      <c r="AE1110" s="55"/>
      <c r="AF1110" s="55"/>
      <c r="AG1110" s="55"/>
      <c r="AH1110" s="55"/>
      <c r="AI1110" s="55"/>
      <c r="AJ1110" s="55"/>
      <c r="AK1110" s="56"/>
      <c r="AL1110" s="55"/>
      <c r="AM1110" s="55"/>
      <c r="AN1110" s="55"/>
      <c r="AO1110" s="55"/>
      <c r="AP1110" s="55"/>
      <c r="AQ1110" s="55"/>
      <c r="AR1110" s="55"/>
      <c r="AS1110" s="55"/>
      <c r="AT1110" s="55"/>
      <c r="AU1110" s="55"/>
      <c r="AV1110" s="55"/>
      <c r="AW1110" s="55"/>
      <c r="AX1110" s="53"/>
      <c r="BA1110" s="2"/>
      <c r="BB1110" s="2"/>
      <c r="BC1110" s="101"/>
      <c r="BD1110" s="101"/>
    </row>
    <row r="1111" spans="1:56" x14ac:dyDescent="0.35">
      <c r="BA1111" s="2"/>
      <c r="BB1111" s="2"/>
      <c r="BC1111" s="101"/>
      <c r="BD1111" s="101"/>
    </row>
    <row r="1112" spans="1:56" x14ac:dyDescent="0.35">
      <c r="BA1112" s="2"/>
      <c r="BB1112" s="2"/>
      <c r="BC1112" s="101"/>
      <c r="BD1112" s="101"/>
    </row>
    <row r="1113" spans="1:56" s="84" customFormat="1" ht="28.5" x14ac:dyDescent="0.65">
      <c r="F1113" s="50"/>
      <c r="G1113" s="143" t="s">
        <v>10</v>
      </c>
      <c r="H1113" s="143"/>
      <c r="I1113" s="143"/>
      <c r="J1113" s="143"/>
      <c r="K1113" s="143"/>
      <c r="L1113" s="143"/>
      <c r="M1113" s="143"/>
      <c r="N1113" s="143"/>
      <c r="O1113" s="143"/>
      <c r="P1113" s="143"/>
      <c r="Q1113" s="143"/>
      <c r="R1113" s="143"/>
      <c r="S1113" s="143"/>
      <c r="T1113" s="143"/>
      <c r="U1113" s="143"/>
      <c r="W1113" s="37" t="s">
        <v>12</v>
      </c>
      <c r="X1113" s="86" t="s">
        <v>11</v>
      </c>
      <c r="BA1113" s="2"/>
      <c r="BB1113" s="2"/>
      <c r="BC1113" s="101"/>
      <c r="BD1113" s="101"/>
    </row>
    <row r="1114" spans="1:56" s="84" customFormat="1" x14ac:dyDescent="0.35">
      <c r="F1114" s="50"/>
      <c r="G1114" s="84" t="s">
        <v>0</v>
      </c>
      <c r="W1114" s="37" t="s">
        <v>13</v>
      </c>
      <c r="X1114" s="86" t="s">
        <v>14</v>
      </c>
      <c r="BA1114" s="2"/>
      <c r="BB1114" s="2"/>
      <c r="BC1114" s="101"/>
      <c r="BD1114" s="101"/>
    </row>
    <row r="1115" spans="1:56" s="84" customFormat="1" x14ac:dyDescent="0.35">
      <c r="F1115" s="50"/>
      <c r="W1115" s="37" t="s">
        <v>1</v>
      </c>
      <c r="X1115" s="86" t="s">
        <v>15</v>
      </c>
      <c r="BA1115" s="2"/>
      <c r="BB1115" s="2"/>
      <c r="BC1115" s="101"/>
      <c r="BD1115" s="101"/>
    </row>
    <row r="1116" spans="1:56" s="84" customFormat="1" x14ac:dyDescent="0.35">
      <c r="F1116" s="50"/>
      <c r="W1116" s="37" t="s">
        <v>2</v>
      </c>
      <c r="X1116" s="86" t="s">
        <v>16</v>
      </c>
      <c r="BA1116" s="2"/>
      <c r="BB1116" s="2"/>
      <c r="BC1116" s="101"/>
      <c r="BD1116" s="101"/>
    </row>
    <row r="1117" spans="1:56" s="84" customFormat="1" ht="15" customHeight="1" x14ac:dyDescent="0.35">
      <c r="B1117" s="154" t="s">
        <v>35</v>
      </c>
      <c r="F1117" s="50"/>
      <c r="G1117" s="154" t="s">
        <v>36</v>
      </c>
      <c r="H1117" s="154"/>
      <c r="I1117" s="154"/>
      <c r="K1117" s="154" t="s">
        <v>36</v>
      </c>
      <c r="L1117" s="154"/>
      <c r="M1117" s="154"/>
      <c r="W1117" s="37" t="s">
        <v>3</v>
      </c>
      <c r="X1117" s="86" t="s">
        <v>17</v>
      </c>
      <c r="BA1117" s="2"/>
      <c r="BB1117" s="2"/>
      <c r="BC1117" s="101"/>
      <c r="BD1117" s="101"/>
    </row>
    <row r="1118" spans="1:56" s="84" customFormat="1" x14ac:dyDescent="0.35">
      <c r="B1118" s="155"/>
      <c r="D1118" s="37" t="s">
        <v>34</v>
      </c>
      <c r="F1118" s="50"/>
      <c r="G1118" s="154"/>
      <c r="H1118" s="154"/>
      <c r="I1118" s="154"/>
      <c r="K1118" s="154"/>
      <c r="L1118" s="154"/>
      <c r="M1118" s="154"/>
      <c r="W1118" s="38"/>
      <c r="BA1118" s="2"/>
      <c r="BB1118" s="2"/>
      <c r="BC1118" s="101"/>
      <c r="BD1118" s="101"/>
    </row>
    <row r="1119" spans="1:56" s="84" customFormat="1" x14ac:dyDescent="0.35">
      <c r="B1119" s="100">
        <f>B1045+1</f>
        <v>25</v>
      </c>
      <c r="D1119" s="100">
        <f>D1045</f>
        <v>2021</v>
      </c>
      <c r="E1119" s="87" t="s">
        <v>38</v>
      </c>
      <c r="F1119" s="50"/>
      <c r="G1119" s="156">
        <f>K1045+1</f>
        <v>44521</v>
      </c>
      <c r="H1119" s="157"/>
      <c r="I1119" s="158"/>
      <c r="J1119" s="37" t="s">
        <v>37</v>
      </c>
      <c r="K1119" s="156">
        <f>IF(G1119="","",G1119+13)</f>
        <v>44534</v>
      </c>
      <c r="L1119" s="157"/>
      <c r="M1119" s="158"/>
      <c r="P1119" s="159" t="s">
        <v>39</v>
      </c>
      <c r="Q1119" s="160"/>
      <c r="R1119" s="160"/>
      <c r="S1119" s="160"/>
      <c r="T1119" s="161"/>
      <c r="U1119" s="24">
        <v>80</v>
      </c>
      <c r="BA1119" s="2"/>
      <c r="BB1119" s="2"/>
      <c r="BC1119" s="101"/>
      <c r="BD1119" s="101"/>
    </row>
    <row r="1120" spans="1:56" s="84" customFormat="1" x14ac:dyDescent="0.35">
      <c r="F1120" s="50"/>
      <c r="AM1120" s="144" t="s">
        <v>4</v>
      </c>
      <c r="AN1120" s="144"/>
      <c r="AO1120" s="144"/>
      <c r="AP1120" s="144"/>
      <c r="AQ1120" s="144"/>
      <c r="AR1120" s="144"/>
      <c r="AS1120" s="144"/>
      <c r="AU1120" s="100" t="s">
        <v>4</v>
      </c>
      <c r="BA1120" s="2"/>
      <c r="BB1120" s="2"/>
      <c r="BC1120" s="101"/>
      <c r="BD1120" s="101"/>
    </row>
    <row r="1121" spans="2:56" s="84" customFormat="1" ht="15" customHeight="1" x14ac:dyDescent="0.35">
      <c r="B1121" s="40"/>
      <c r="C1121" s="41"/>
      <c r="D1121" s="42" t="s">
        <v>32</v>
      </c>
      <c r="E1121" s="43" t="s">
        <v>5</v>
      </c>
      <c r="F1121" s="50"/>
      <c r="G1121" s="162">
        <f>G1119</f>
        <v>44521</v>
      </c>
      <c r="H1121" s="163"/>
      <c r="I1121" s="162">
        <f>IF(G1121="","",G1121+1)</f>
        <v>44522</v>
      </c>
      <c r="J1121" s="163"/>
      <c r="K1121" s="162">
        <f>IF(I1121="","",I1121+1)</f>
        <v>44523</v>
      </c>
      <c r="L1121" s="163"/>
      <c r="M1121" s="162">
        <f>IF(K1121="","",K1121+1)</f>
        <v>44524</v>
      </c>
      <c r="N1121" s="163"/>
      <c r="O1121" s="162">
        <f>IF(M1121="","",M1121+1)</f>
        <v>44525</v>
      </c>
      <c r="P1121" s="163"/>
      <c r="Q1121" s="162">
        <f>IF(O1121="","",O1121+1)</f>
        <v>44526</v>
      </c>
      <c r="R1121" s="163"/>
      <c r="S1121" s="162">
        <f>IF(Q1121="","",Q1121+1)</f>
        <v>44527</v>
      </c>
      <c r="T1121" s="164"/>
      <c r="U1121" s="44"/>
      <c r="W1121" s="162">
        <f>IF(S1121="","",S1121+1)</f>
        <v>44528</v>
      </c>
      <c r="X1121" s="163"/>
      <c r="Y1121" s="162">
        <f>IF(W1121="","",W1121+1)</f>
        <v>44529</v>
      </c>
      <c r="Z1121" s="163"/>
      <c r="AA1121" s="162">
        <f>IF(Y1121="","",Y1121+1)</f>
        <v>44530</v>
      </c>
      <c r="AB1121" s="163"/>
      <c r="AC1121" s="162">
        <f>IF(AA1121="","",AA1121+1)</f>
        <v>44531</v>
      </c>
      <c r="AD1121" s="163"/>
      <c r="AE1121" s="162">
        <f>IF(AC1121="","",AC1121+1)</f>
        <v>44532</v>
      </c>
      <c r="AF1121" s="163"/>
      <c r="AG1121" s="162">
        <f>IF(AE1121="","",AE1121+1)</f>
        <v>44533</v>
      </c>
      <c r="AH1121" s="163"/>
      <c r="AI1121" s="162">
        <f>IF(AG1121="","",AG1121+1)</f>
        <v>44534</v>
      </c>
      <c r="AJ1121" s="164"/>
      <c r="AK1121" s="44"/>
      <c r="AM1121" s="145" t="s">
        <v>18</v>
      </c>
      <c r="AN1121" s="165" t="s">
        <v>55</v>
      </c>
      <c r="AO1121" s="145" t="s">
        <v>19</v>
      </c>
      <c r="AP1121" s="145" t="s">
        <v>20</v>
      </c>
      <c r="AQ1121" s="145" t="s">
        <v>21</v>
      </c>
      <c r="AR1121" s="166" t="s">
        <v>22</v>
      </c>
      <c r="AS1121" s="167" t="s">
        <v>23</v>
      </c>
      <c r="AU1121" s="144" t="s">
        <v>6</v>
      </c>
      <c r="AW1121" s="145" t="s">
        <v>24</v>
      </c>
      <c r="BA1121" s="2"/>
      <c r="BB1121" s="2"/>
      <c r="BC1121" s="101"/>
      <c r="BD1121" s="101"/>
    </row>
    <row r="1122" spans="2:56" s="84" customFormat="1" x14ac:dyDescent="0.35">
      <c r="B1122" s="45" t="s">
        <v>33</v>
      </c>
      <c r="C1122" s="46"/>
      <c r="D1122" s="47"/>
      <c r="E1122" s="47"/>
      <c r="F1122" s="50"/>
      <c r="G1122" s="146" t="s">
        <v>25</v>
      </c>
      <c r="H1122" s="147"/>
      <c r="I1122" s="146" t="s">
        <v>26</v>
      </c>
      <c r="J1122" s="147"/>
      <c r="K1122" s="146" t="s">
        <v>27</v>
      </c>
      <c r="L1122" s="147"/>
      <c r="M1122" s="146" t="s">
        <v>28</v>
      </c>
      <c r="N1122" s="147"/>
      <c r="O1122" s="146" t="s">
        <v>29</v>
      </c>
      <c r="P1122" s="147"/>
      <c r="Q1122" s="146" t="s">
        <v>30</v>
      </c>
      <c r="R1122" s="147"/>
      <c r="S1122" s="146" t="s">
        <v>31</v>
      </c>
      <c r="T1122" s="148"/>
      <c r="U1122" s="48" t="s">
        <v>7</v>
      </c>
      <c r="W1122" s="146" t="s">
        <v>25</v>
      </c>
      <c r="X1122" s="147"/>
      <c r="Y1122" s="146" t="s">
        <v>26</v>
      </c>
      <c r="Z1122" s="147"/>
      <c r="AA1122" s="146" t="s">
        <v>27</v>
      </c>
      <c r="AB1122" s="147"/>
      <c r="AC1122" s="146" t="s">
        <v>28</v>
      </c>
      <c r="AD1122" s="147"/>
      <c r="AE1122" s="146" t="s">
        <v>29</v>
      </c>
      <c r="AF1122" s="147"/>
      <c r="AG1122" s="146" t="s">
        <v>30</v>
      </c>
      <c r="AH1122" s="147"/>
      <c r="AI1122" s="146" t="s">
        <v>31</v>
      </c>
      <c r="AJ1122" s="148"/>
      <c r="AK1122" s="48" t="s">
        <v>7</v>
      </c>
      <c r="AM1122" s="145"/>
      <c r="AN1122" s="165"/>
      <c r="AO1122" s="145"/>
      <c r="AP1122" s="145"/>
      <c r="AQ1122" s="145"/>
      <c r="AR1122" s="166"/>
      <c r="AS1122" s="167"/>
      <c r="AU1122" s="144"/>
      <c r="AW1122" s="145"/>
      <c r="BA1122" s="2"/>
      <c r="BB1122" s="2"/>
      <c r="BC1122" s="101"/>
      <c r="BD1122" s="101"/>
    </row>
    <row r="1123" spans="2:56" s="84" customFormat="1" x14ac:dyDescent="0.35">
      <c r="B1123" s="63"/>
      <c r="C1123" s="25"/>
      <c r="D1123" s="25"/>
      <c r="E1123" s="25"/>
      <c r="F1123" s="50"/>
      <c r="BA1123" s="2"/>
      <c r="BB1123" s="2"/>
      <c r="BC1123" s="101"/>
      <c r="BD1123" s="101"/>
    </row>
    <row r="1124" spans="2:56" s="84" customFormat="1" x14ac:dyDescent="0.35">
      <c r="B1124" s="26"/>
      <c r="C1124" s="27"/>
      <c r="D1124" s="28">
        <f>IF(D1050="","",D1050)</f>
        <v>31428</v>
      </c>
      <c r="E1124" s="29" t="str">
        <f>IF(E1050="","",E1050)</f>
        <v/>
      </c>
      <c r="F1124" s="50">
        <f>B1119</f>
        <v>25</v>
      </c>
      <c r="G1124" s="59"/>
      <c r="H1124" s="64"/>
      <c r="I1124" s="106"/>
      <c r="J1124" s="105"/>
      <c r="K1124" s="106"/>
      <c r="L1124" s="105"/>
      <c r="M1124" s="106"/>
      <c r="N1124" s="105"/>
      <c r="O1124" s="106"/>
      <c r="P1124" s="105"/>
      <c r="Q1124" s="106"/>
      <c r="R1124" s="105"/>
      <c r="S1124" s="59"/>
      <c r="T1124" s="64"/>
      <c r="U1124" s="44"/>
      <c r="W1124" s="59"/>
      <c r="X1124" s="64"/>
      <c r="Y1124" s="106"/>
      <c r="Z1124" s="105"/>
      <c r="AA1124" s="106"/>
      <c r="AB1124" s="105"/>
      <c r="AC1124" s="106"/>
      <c r="AD1124" s="105"/>
      <c r="AE1124" s="106"/>
      <c r="AF1124" s="105"/>
      <c r="AG1124" s="106"/>
      <c r="AH1124" s="105"/>
      <c r="AI1124" s="59"/>
      <c r="AJ1124" s="64"/>
      <c r="AK1124" s="44"/>
      <c r="AM1124" s="49"/>
      <c r="AN1124" s="49"/>
      <c r="AO1124" s="49"/>
      <c r="AP1124" s="49"/>
      <c r="AQ1124" s="49"/>
      <c r="AR1124" s="40"/>
      <c r="AS1124" s="51"/>
      <c r="AU1124" s="49"/>
      <c r="AW1124" s="52"/>
      <c r="BA1124" s="2"/>
      <c r="BB1124" s="2"/>
      <c r="BC1124" s="101"/>
      <c r="BD1124" s="101"/>
    </row>
    <row r="1125" spans="2:56" s="84" customFormat="1" x14ac:dyDescent="0.35">
      <c r="B1125" s="30" t="str">
        <f>IF(B1051="","",B1051)</f>
        <v>Gaulin, Francis</v>
      </c>
      <c r="C1125" s="31"/>
      <c r="D1125" s="32"/>
      <c r="E1125" s="33">
        <f t="shared" ref="E1125:E1156" si="455">IF(E1051="","",E1051)</f>
        <v>93542</v>
      </c>
      <c r="F1125" s="50">
        <f>B1119</f>
        <v>25</v>
      </c>
      <c r="G1125" s="95"/>
      <c r="H1125" s="70"/>
      <c r="I1125" s="104"/>
      <c r="J1125" s="103">
        <v>8</v>
      </c>
      <c r="K1125" s="104"/>
      <c r="L1125" s="103">
        <v>8</v>
      </c>
      <c r="M1125" s="104"/>
      <c r="N1125" s="103">
        <v>8</v>
      </c>
      <c r="O1125" s="104"/>
      <c r="P1125" s="103">
        <v>8</v>
      </c>
      <c r="Q1125" s="104"/>
      <c r="R1125" s="103">
        <v>8</v>
      </c>
      <c r="S1125" s="69"/>
      <c r="T1125" s="70"/>
      <c r="U1125" s="71">
        <f>SUM(G1125:T1125)</f>
        <v>40</v>
      </c>
      <c r="V1125" s="72"/>
      <c r="W1125" s="69"/>
      <c r="X1125" s="70"/>
      <c r="Y1125" s="104"/>
      <c r="Z1125" s="103">
        <v>8</v>
      </c>
      <c r="AA1125" s="104"/>
      <c r="AB1125" s="103">
        <v>8</v>
      </c>
      <c r="AC1125" s="104"/>
      <c r="AD1125" s="103">
        <v>8.5</v>
      </c>
      <c r="AE1125" s="104"/>
      <c r="AF1125" s="103">
        <v>8.5</v>
      </c>
      <c r="AG1125" s="104"/>
      <c r="AH1125" s="103">
        <v>8</v>
      </c>
      <c r="AI1125" s="69"/>
      <c r="AJ1125" s="70"/>
      <c r="AK1125" s="71">
        <f>SUM(W1125:AJ1125)</f>
        <v>41</v>
      </c>
      <c r="AL1125" s="72"/>
      <c r="AM1125" s="73">
        <f>SUMIF($G1124:$T1124,"",$G1125:$T1125)+SUMIF($W1124:$AJ1124,"",$W1125:$AJ1125)-AN1125</f>
        <v>80</v>
      </c>
      <c r="AN1125" s="88">
        <f>IF(SUMIF($G1124:$T1124,"",$G1125:$T1125)+SUMIF($G1124:$T1124,"F",$G1125:$T1125)+SUMIF($G1124:$T1124,"V",$G1125:$T1125)-40&lt;0,0,SUMIF($G1124:$T1124,"",$G1125:$T1125)+SUMIF($G1124:$T1124,"F",$G1125:$T1125)+SUMIF($G1124:$T1124,"V",$G1125:$T1125)-($U$9/2))+IF(SUMIF($W1124:$AJ1124,"",$W1125:$AJ1125)+SUMIF($W1124:$AJ1124,"F",$W1125:$AJ1125)+SUMIF($W1124:$AJ1124,"V",$W1125:$AJ1125)-40&lt;0,0,SUMIF($W1124:$AJ1124,"",$W1125:$AJ1125)+SUMIF($W1124:$AJ1124,"F",$W1125:$AJ1125)+SUMIF($W1124:$AJ1124,"V",$W1125:$AJ1125)-($U$9/2))</f>
        <v>1</v>
      </c>
      <c r="AO1125" s="73">
        <f>SUMIF($G1124:$T1124,"M",$G1125:$T1125)+SUMIF($W1124:$AJ1124,"M",$W1125:$AJ1125)</f>
        <v>0</v>
      </c>
      <c r="AP1125" s="73">
        <f>SUMIF($G1124:$T1124,"F",$G1125:$T1125)+SUMIF($W1124:$AJ1124,"F",$W1125:$AJ1125)</f>
        <v>0</v>
      </c>
      <c r="AQ1125" s="73">
        <f>SUMIF($G1124:$T1124,"V",$G1125:$T1125)+SUMIF($W1124:$AJ1124,"V",$W1125:$AJ1125)</f>
        <v>0</v>
      </c>
      <c r="AR1125" s="74">
        <f>SUMIF($G1124:$T1124,"O",$G1125:$T1125)+SUMIF($W1124:$AJ1124,"O",$W1125:$AJ1125)</f>
        <v>0</v>
      </c>
      <c r="AS1125" s="75">
        <f>SUM(AM1125:AR1125)</f>
        <v>81</v>
      </c>
      <c r="AT1125" s="72"/>
      <c r="AU1125" s="73">
        <f>SUMIF($G1124:$T1124,"A",$G1125:$T1125)+SUMIF($W1124:$AJ1124,"A",$W1125:$AJ1125)</f>
        <v>0</v>
      </c>
      <c r="AV1125" s="72"/>
      <c r="AW1125" s="76">
        <f>IF(B1125="",0,IF($U$9="",0,$U$9))</f>
        <v>80</v>
      </c>
      <c r="BA1125" s="2"/>
      <c r="BB1125" s="2"/>
      <c r="BC1125" s="101"/>
      <c r="BD1125" s="101"/>
    </row>
    <row r="1126" spans="2:56" s="84" customFormat="1" x14ac:dyDescent="0.35">
      <c r="B1126" s="26"/>
      <c r="C1126" s="27"/>
      <c r="D1126" s="28">
        <f>IF(D1052="","",D1052)</f>
        <v>24287</v>
      </c>
      <c r="E1126" s="29" t="str">
        <f t="shared" si="455"/>
        <v/>
      </c>
      <c r="F1126" s="50">
        <f>B1119</f>
        <v>25</v>
      </c>
      <c r="G1126" s="59"/>
      <c r="H1126" s="64"/>
      <c r="I1126" s="106"/>
      <c r="J1126" s="105"/>
      <c r="K1126" s="106"/>
      <c r="L1126" s="105"/>
      <c r="M1126" s="106"/>
      <c r="N1126" s="105"/>
      <c r="O1126" s="106"/>
      <c r="P1126" s="105"/>
      <c r="Q1126" s="106"/>
      <c r="R1126" s="105"/>
      <c r="S1126" s="59"/>
      <c r="T1126" s="64"/>
      <c r="U1126" s="44"/>
      <c r="W1126" s="59"/>
      <c r="X1126" s="64"/>
      <c r="Y1126" s="106"/>
      <c r="Z1126" s="105"/>
      <c r="AA1126" s="106"/>
      <c r="AB1126" s="105"/>
      <c r="AC1126" s="106"/>
      <c r="AD1126" s="105"/>
      <c r="AE1126" s="106"/>
      <c r="AF1126" s="105"/>
      <c r="AG1126" s="106"/>
      <c r="AH1126" s="105"/>
      <c r="AI1126" s="59"/>
      <c r="AJ1126" s="64"/>
      <c r="AK1126" s="44"/>
      <c r="AM1126" s="49"/>
      <c r="AN1126" s="49"/>
      <c r="AO1126" s="49"/>
      <c r="AP1126" s="49"/>
      <c r="AQ1126" s="49"/>
      <c r="AR1126" s="40"/>
      <c r="AS1126" s="51"/>
      <c r="AU1126" s="49"/>
      <c r="AW1126" s="52"/>
      <c r="BA1126" s="2"/>
      <c r="BB1126" s="2"/>
      <c r="BC1126" s="101"/>
      <c r="BD1126" s="101"/>
    </row>
    <row r="1127" spans="2:56" s="84" customFormat="1" x14ac:dyDescent="0.35">
      <c r="B1127" s="30" t="str">
        <f>IF(B1053="","",B1053)</f>
        <v>Barrata, Dominic(Avance $500.00)</v>
      </c>
      <c r="C1127" s="31"/>
      <c r="D1127" s="32"/>
      <c r="E1127" s="33">
        <f t="shared" si="455"/>
        <v>93595935</v>
      </c>
      <c r="F1127" s="50">
        <f>B1119</f>
        <v>25</v>
      </c>
      <c r="G1127" s="69"/>
      <c r="H1127" s="70"/>
      <c r="I1127" s="104"/>
      <c r="J1127" s="103" t="s">
        <v>69</v>
      </c>
      <c r="K1127" s="104"/>
      <c r="L1127" s="103" t="s">
        <v>69</v>
      </c>
      <c r="M1127" s="104"/>
      <c r="N1127" s="103" t="s">
        <v>69</v>
      </c>
      <c r="O1127" s="104"/>
      <c r="P1127" s="103" t="s">
        <v>69</v>
      </c>
      <c r="Q1127" s="104"/>
      <c r="R1127" s="103" t="s">
        <v>69</v>
      </c>
      <c r="S1127" s="69"/>
      <c r="T1127" s="70"/>
      <c r="U1127" s="71">
        <f t="shared" ref="U1127" si="456">SUM(G1127:T1127)</f>
        <v>0</v>
      </c>
      <c r="V1127" s="72"/>
      <c r="W1127" s="69"/>
      <c r="X1127" s="70"/>
      <c r="Y1127" s="104"/>
      <c r="Z1127" s="103" t="s">
        <v>69</v>
      </c>
      <c r="AA1127" s="104"/>
      <c r="AB1127" s="103" t="s">
        <v>69</v>
      </c>
      <c r="AC1127" s="104"/>
      <c r="AD1127" s="103" t="s">
        <v>69</v>
      </c>
      <c r="AE1127" s="104"/>
      <c r="AF1127" s="103" t="s">
        <v>69</v>
      </c>
      <c r="AG1127" s="104"/>
      <c r="AH1127" s="103" t="s">
        <v>69</v>
      </c>
      <c r="AI1127" s="69"/>
      <c r="AJ1127" s="70"/>
      <c r="AK1127" s="71">
        <f>SUM(W1127:AJ1127)</f>
        <v>0</v>
      </c>
      <c r="AL1127" s="72"/>
      <c r="AM1127" s="73">
        <f>SUMIF($G1126:$T1126,"",$G1127:$T1127)+SUMIF($W1126:$AJ1126,"",$W1127:$AJ1127)-AN1127</f>
        <v>0</v>
      </c>
      <c r="AN1127" s="88">
        <f>IF(SUMIF($G1126:$T1126,"",$G1127:$T1127)+SUMIF($G1126:$T1126,"F",$G1127:$T1127)+SUMIF($G1126:$T1126,"V",$G1127:$T1127)-40&lt;0,0,SUMIF($G1126:$T1126,"",$G1127:$T1127)+SUMIF($G1126:$T1126,"F",$G1127:$T1127)+SUMIF($G1126:$T1126,"V",$G1127:$T1127)-($U$9/2))+IF(SUMIF($W1126:$AJ1126,"",$W1127:$AJ1127)+SUMIF($W1126:$AJ1126,"F",$W1127:$AJ1127)+SUMIF($W1126:$AJ1126,"V",$W1127:$AJ1127)-40&lt;0,0,SUMIF($W1126:$AJ1126,"",$W1127:$AJ1127)+SUMIF($W1126:$AJ1126,"F",$W1127:$AJ1127)+SUMIF($W1126:$AJ1126,"V",$W1127:$AJ1127)-($U$9/2))</f>
        <v>0</v>
      </c>
      <c r="AO1127" s="73">
        <f>SUMIF($G1126:$T1126,"M",$G1127:$T1127)+SUMIF($W1126:$AJ1126,"M",$W1127:$AJ1127)</f>
        <v>0</v>
      </c>
      <c r="AP1127" s="73">
        <f>SUMIF($G1126:$T1126,"F",$G1127:$T1127)+SUMIF($W1126:$AJ1126,"F",$W1127:$AJ1127)</f>
        <v>0</v>
      </c>
      <c r="AQ1127" s="73">
        <f>SUMIF($G1126:$T1126,"V",$G1127:$T1127)+SUMIF($W1126:$AJ1126,"V",$W1127:$AJ1127)</f>
        <v>0</v>
      </c>
      <c r="AR1127" s="74">
        <f>SUMIF($G1126:$T1126,"O",$G1127:$T1127)+SUMIF($W1126:$AJ1126,"O",$W1127:$AJ1127)</f>
        <v>0</v>
      </c>
      <c r="AS1127" s="75">
        <f>SUM(AM1127:AR1127)</f>
        <v>0</v>
      </c>
      <c r="AT1127" s="72"/>
      <c r="AU1127" s="73">
        <f>SUMIF($G1126:$T1126,"A",$G1127:$T1127)+SUMIF($W1126:$AJ1126,"A",$W1127:$AJ1127)</f>
        <v>0</v>
      </c>
      <c r="AV1127" s="72"/>
      <c r="AW1127" s="76">
        <f>IF(B1127="",0,IF($U$9="",0,$U$9))</f>
        <v>80</v>
      </c>
      <c r="BA1127" s="2"/>
      <c r="BB1127" s="2"/>
      <c r="BC1127" s="101"/>
      <c r="BD1127" s="101"/>
    </row>
    <row r="1128" spans="2:56" s="84" customFormat="1" x14ac:dyDescent="0.35">
      <c r="B1128" s="26"/>
      <c r="C1128" s="27"/>
      <c r="D1128" s="28">
        <f>IF(D1054="","",D1054)</f>
        <v>92032</v>
      </c>
      <c r="E1128" s="29" t="str">
        <f t="shared" si="455"/>
        <v/>
      </c>
      <c r="F1128" s="50">
        <f>B1119</f>
        <v>25</v>
      </c>
      <c r="G1128" s="59"/>
      <c r="H1128" s="64"/>
      <c r="I1128" s="106"/>
      <c r="J1128" s="105"/>
      <c r="K1128" s="106"/>
      <c r="L1128" s="105"/>
      <c r="M1128" s="106"/>
      <c r="N1128" s="105"/>
      <c r="O1128" s="106"/>
      <c r="P1128" s="105"/>
      <c r="Q1128" s="106"/>
      <c r="R1128" s="105"/>
      <c r="S1128" s="59"/>
      <c r="T1128" s="64"/>
      <c r="U1128" s="44"/>
      <c r="W1128" s="59"/>
      <c r="X1128" s="64"/>
      <c r="Y1128" s="106"/>
      <c r="Z1128" s="105"/>
      <c r="AA1128" s="106"/>
      <c r="AB1128" s="105"/>
      <c r="AC1128" s="106"/>
      <c r="AD1128" s="105"/>
      <c r="AE1128" s="106"/>
      <c r="AF1128" s="105"/>
      <c r="AG1128" s="106"/>
      <c r="AH1128" s="105"/>
      <c r="AI1128" s="59"/>
      <c r="AJ1128" s="64"/>
      <c r="AK1128" s="44"/>
      <c r="AM1128" s="49"/>
      <c r="AN1128" s="49"/>
      <c r="AO1128" s="49"/>
      <c r="AP1128" s="49"/>
      <c r="AQ1128" s="49"/>
      <c r="AR1128" s="40"/>
      <c r="AS1128" s="51"/>
      <c r="AU1128" s="49"/>
      <c r="AW1128" s="52"/>
      <c r="BA1128" s="2"/>
      <c r="BB1128" s="2"/>
      <c r="BC1128" s="101"/>
      <c r="BD1128" s="101"/>
    </row>
    <row r="1129" spans="2:56" s="84" customFormat="1" x14ac:dyDescent="0.35">
      <c r="B1129" s="30" t="str">
        <f>IF(B1055="","",B1055)</f>
        <v>Benoit, Jean-Paul(Avance $1,600.00)</v>
      </c>
      <c r="C1129" s="31"/>
      <c r="D1129" s="32"/>
      <c r="E1129" s="33">
        <f t="shared" si="455"/>
        <v>93595935</v>
      </c>
      <c r="F1129" s="50">
        <f>B1119</f>
        <v>25</v>
      </c>
      <c r="G1129" s="69"/>
      <c r="H1129" s="70"/>
      <c r="I1129" s="104"/>
      <c r="J1129" s="103" t="s">
        <v>69</v>
      </c>
      <c r="K1129" s="104"/>
      <c r="L1129" s="103" t="s">
        <v>69</v>
      </c>
      <c r="M1129" s="104"/>
      <c r="N1129" s="103" t="s">
        <v>69</v>
      </c>
      <c r="O1129" s="104"/>
      <c r="P1129" s="103" t="s">
        <v>69</v>
      </c>
      <c r="Q1129" s="104"/>
      <c r="R1129" s="103" t="s">
        <v>69</v>
      </c>
      <c r="S1129" s="69"/>
      <c r="T1129" s="70"/>
      <c r="U1129" s="71">
        <f t="shared" ref="U1129" si="457">SUM(G1129:T1129)</f>
        <v>0</v>
      </c>
      <c r="V1129" s="72"/>
      <c r="W1129" s="69"/>
      <c r="X1129" s="70"/>
      <c r="Y1129" s="104"/>
      <c r="Z1129" s="103" t="s">
        <v>69</v>
      </c>
      <c r="AA1129" s="104"/>
      <c r="AB1129" s="103" t="s">
        <v>69</v>
      </c>
      <c r="AC1129" s="104"/>
      <c r="AD1129" s="103" t="s">
        <v>69</v>
      </c>
      <c r="AE1129" s="104"/>
      <c r="AF1129" s="103" t="s">
        <v>69</v>
      </c>
      <c r="AG1129" s="104"/>
      <c r="AH1129" s="103" t="s">
        <v>69</v>
      </c>
      <c r="AI1129" s="69"/>
      <c r="AJ1129" s="70"/>
      <c r="AK1129" s="71">
        <f>SUM(W1129:AJ1129)</f>
        <v>0</v>
      </c>
      <c r="AL1129" s="72"/>
      <c r="AM1129" s="73">
        <f>SUMIF($G1128:$T1128,"",$G1129:$T1129)+SUMIF($W1128:$AJ1128,"",$W1129:$AJ1129)-AN1129</f>
        <v>0</v>
      </c>
      <c r="AN1129" s="88">
        <f>IF(SUMIF($G1128:$T1128,"",$G1129:$T1129)+SUMIF($G1128:$T1128,"F",$G1129:$T1129)+SUMIF($G1128:$T1128,"V",$G1129:$T1129)-40&lt;0,0,SUMIF($G1128:$T1128,"",$G1129:$T1129)+SUMIF($G1128:$T1128,"F",$G1129:$T1129)+SUMIF($G1128:$T1128,"V",$G1129:$T1129)-($U$9/2))+IF(SUMIF($W1128:$AJ1128,"",$W1129:$AJ1129)+SUMIF($W1128:$AJ1128,"F",$W1129:$AJ1129)+SUMIF($W1128:$AJ1128,"V",$W1129:$AJ1129)-40&lt;0,0,SUMIF($W1128:$AJ1128,"",$W1129:$AJ1129)+SUMIF($W1128:$AJ1128,"F",$W1129:$AJ1129)+SUMIF($W1128:$AJ1128,"V",$W1129:$AJ1129)-($U$9/2))</f>
        <v>0</v>
      </c>
      <c r="AO1129" s="73">
        <f>SUMIF($G1128:$T1128,"M",$G1129:$T1129)+SUMIF($W1128:$AJ1128,"M",$W1129:$AJ1129)</f>
        <v>0</v>
      </c>
      <c r="AP1129" s="73">
        <f>SUMIF($G1128:$T1128,"F",$G1129:$T1129)+SUMIF($W1128:$AJ1128,"F",$W1129:$AJ1129)</f>
        <v>0</v>
      </c>
      <c r="AQ1129" s="73">
        <f>SUMIF($G1128:$T1128,"V",$G1129:$T1129)+SUMIF($W1128:$AJ1128,"V",$W1129:$AJ1129)</f>
        <v>0</v>
      </c>
      <c r="AR1129" s="74">
        <f>SUMIF($G1128:$T1128,"O",$G1129:$T1129)+SUMIF($W1128:$AJ1128,"O",$W1129:$AJ1129)</f>
        <v>0</v>
      </c>
      <c r="AS1129" s="75">
        <f>SUM(AM1129:AR1129)</f>
        <v>0</v>
      </c>
      <c r="AT1129" s="72"/>
      <c r="AU1129" s="73">
        <f>SUMIF($G1128:$T1128,"A",$G1129:$T1129)+SUMIF($W1128:$AJ1128,"A",$W1129:$AJ1129)</f>
        <v>0</v>
      </c>
      <c r="AV1129" s="72"/>
      <c r="AW1129" s="76">
        <f>IF(B1129="",0,IF($U$9="",0,$U$9))</f>
        <v>80</v>
      </c>
      <c r="BA1129" s="2"/>
      <c r="BB1129" s="2"/>
      <c r="BC1129" s="101"/>
      <c r="BD1129" s="101"/>
    </row>
    <row r="1130" spans="2:56" s="84" customFormat="1" x14ac:dyDescent="0.35">
      <c r="B1130" s="26"/>
      <c r="C1130" s="27"/>
      <c r="D1130" s="28">
        <f>IF(D1056="","",D1056)</f>
        <v>81077</v>
      </c>
      <c r="E1130" s="29" t="str">
        <f t="shared" si="455"/>
        <v/>
      </c>
      <c r="F1130" s="50">
        <f>B1119</f>
        <v>25</v>
      </c>
      <c r="G1130" s="93"/>
      <c r="H1130" s="94"/>
      <c r="I1130" s="106"/>
      <c r="J1130" s="105"/>
      <c r="K1130" s="106"/>
      <c r="L1130" s="105"/>
      <c r="M1130" s="106"/>
      <c r="N1130" s="105"/>
      <c r="O1130" s="106"/>
      <c r="P1130" s="105"/>
      <c r="Q1130" s="106"/>
      <c r="R1130" s="105"/>
      <c r="S1130" s="59"/>
      <c r="T1130" s="64"/>
      <c r="U1130" s="44"/>
      <c r="W1130" s="59"/>
      <c r="X1130" s="64"/>
      <c r="Y1130" s="106"/>
      <c r="Z1130" s="105"/>
      <c r="AA1130" s="106"/>
      <c r="AB1130" s="105"/>
      <c r="AC1130" s="106"/>
      <c r="AD1130" s="105"/>
      <c r="AE1130" s="106"/>
      <c r="AF1130" s="105"/>
      <c r="AG1130" s="106"/>
      <c r="AH1130" s="105"/>
      <c r="AI1130" s="59"/>
      <c r="AJ1130" s="64"/>
      <c r="AK1130" s="44"/>
      <c r="AM1130" s="49"/>
      <c r="AN1130" s="49"/>
      <c r="AO1130" s="49"/>
      <c r="AP1130" s="49"/>
      <c r="AQ1130" s="49"/>
      <c r="AR1130" s="40"/>
      <c r="AS1130" s="51"/>
      <c r="AU1130" s="49"/>
      <c r="AW1130" s="52"/>
      <c r="BA1130" s="2"/>
      <c r="BB1130" s="2"/>
      <c r="BC1130" s="101"/>
      <c r="BD1130" s="101"/>
    </row>
    <row r="1131" spans="2:56" s="84" customFormat="1" x14ac:dyDescent="0.35">
      <c r="B1131" s="30" t="str">
        <f>IF(B1057="","",B1057)</f>
        <v>Bourassa, Julie</v>
      </c>
      <c r="C1131" s="31"/>
      <c r="D1131" s="32"/>
      <c r="E1131" s="33">
        <f t="shared" si="455"/>
        <v>93540</v>
      </c>
      <c r="F1131" s="50">
        <f>B1119</f>
        <v>25</v>
      </c>
      <c r="G1131" s="93"/>
      <c r="H1131" s="94"/>
      <c r="I1131" s="104"/>
      <c r="J1131" s="103">
        <v>8</v>
      </c>
      <c r="K1131" s="104"/>
      <c r="L1131" s="103">
        <v>8.5</v>
      </c>
      <c r="M1131" s="104"/>
      <c r="N1131" s="103">
        <v>8</v>
      </c>
      <c r="O1131" s="104"/>
      <c r="P1131" s="103">
        <v>8.5</v>
      </c>
      <c r="Q1131" s="104"/>
      <c r="R1131" s="103">
        <v>8</v>
      </c>
      <c r="S1131" s="69"/>
      <c r="T1131" s="70"/>
      <c r="U1131" s="71">
        <f t="shared" ref="U1131" si="458">SUM(G1131:T1131)</f>
        <v>41</v>
      </c>
      <c r="V1131" s="72"/>
      <c r="W1131" s="69"/>
      <c r="X1131" s="70"/>
      <c r="Y1131" s="104"/>
      <c r="Z1131" s="103">
        <v>8.5</v>
      </c>
      <c r="AA1131" s="104"/>
      <c r="AB1131" s="103">
        <v>8.5</v>
      </c>
      <c r="AC1131" s="104"/>
      <c r="AD1131" s="103">
        <v>8.5</v>
      </c>
      <c r="AE1131" s="104"/>
      <c r="AF1131" s="103">
        <v>8.5</v>
      </c>
      <c r="AG1131" s="104"/>
      <c r="AH1131" s="103">
        <v>7.5</v>
      </c>
      <c r="AI1131" s="69"/>
      <c r="AJ1131" s="70"/>
      <c r="AK1131" s="71">
        <f>SUM(W1131:AJ1131)</f>
        <v>41.5</v>
      </c>
      <c r="AL1131" s="72"/>
      <c r="AM1131" s="73">
        <f>SUMIF($G1130:$T1130,"",$G1131:$T1131)+SUMIF($W1130:$AJ1130,"",$W1131:$AJ1131)-AN1131</f>
        <v>80</v>
      </c>
      <c r="AN1131" s="88">
        <f>IF(SUMIF($G1130:$T1130,"",$G1131:$T1131)+SUMIF($G1130:$T1130,"F",$G1131:$T1131)+SUMIF($G1130:$T1130,"V",$G1131:$T1131)-40&lt;0,0,SUMIF($G1130:$T1130,"",$G1131:$T1131)+SUMIF($G1130:$T1130,"F",$G1131:$T1131)+SUMIF($G1130:$T1130,"V",$G1131:$T1131)-($U$9/2))+IF(SUMIF($W1130:$AJ1130,"",$W1131:$AJ1131)+SUMIF($W1130:$AJ1130,"F",$W1131:$AJ1131)+SUMIF($W1130:$AJ1130,"V",$W1131:$AJ1131)-40&lt;0,0,SUMIF($W1130:$AJ1130,"",$W1131:$AJ1131)+SUMIF($W1130:$AJ1130,"F",$W1131:$AJ1131)+SUMIF($W1130:$AJ1130,"V",$W1131:$AJ1131)-($U$9/2))</f>
        <v>2.5</v>
      </c>
      <c r="AO1131" s="73">
        <f>SUMIF($G1130:$T1130,"M",$G1131:$T1131)+SUMIF($W1130:$AJ1130,"M",$W1131:$AJ1131)</f>
        <v>0</v>
      </c>
      <c r="AP1131" s="73">
        <f>SUMIF($G1130:$T1130,"F",$G1131:$T1131)+SUMIF($W1130:$AJ1130,"F",$W1131:$AJ1131)</f>
        <v>0</v>
      </c>
      <c r="AQ1131" s="73">
        <f>SUMIF($G1130:$T1130,"V",$G1131:$T1131)+SUMIF($W1130:$AJ1130,"V",$W1131:$AJ1131)</f>
        <v>0</v>
      </c>
      <c r="AR1131" s="74">
        <f>SUMIF($G1130:$T1130,"O",$G1131:$T1131)+SUMIF($W1130:$AJ1130,"O",$W1131:$AJ1131)</f>
        <v>0</v>
      </c>
      <c r="AS1131" s="75">
        <f>SUM(AM1131:AR1131)</f>
        <v>82.5</v>
      </c>
      <c r="AT1131" s="72"/>
      <c r="AU1131" s="73">
        <f>SUMIF($G1130:$T1130,"A",$G1131:$T1131)+SUMIF($W1130:$AJ1130,"A",$W1131:$AJ1131)</f>
        <v>0</v>
      </c>
      <c r="AV1131" s="72"/>
      <c r="AW1131" s="76">
        <f>IF(B1131="",0,IF($U$9="",0,$U$9))</f>
        <v>80</v>
      </c>
      <c r="BA1131" s="2"/>
      <c r="BB1131" s="2"/>
      <c r="BC1131" s="101"/>
      <c r="BD1131" s="101"/>
    </row>
    <row r="1132" spans="2:56" s="84" customFormat="1" x14ac:dyDescent="0.35">
      <c r="B1132" s="26"/>
      <c r="C1132" s="27"/>
      <c r="D1132" s="28">
        <f>IF(D1058="","",D1058)</f>
        <v>78475</v>
      </c>
      <c r="E1132" s="29" t="str">
        <f t="shared" si="455"/>
        <v/>
      </c>
      <c r="F1132" s="50">
        <f>B1119</f>
        <v>25</v>
      </c>
      <c r="G1132" s="59"/>
      <c r="H1132" s="64"/>
      <c r="I1132" s="106"/>
      <c r="J1132" s="105"/>
      <c r="K1132" s="106"/>
      <c r="L1132" s="105"/>
      <c r="M1132" s="106"/>
      <c r="N1132" s="105"/>
      <c r="O1132" s="106"/>
      <c r="P1132" s="105"/>
      <c r="Q1132" s="106"/>
      <c r="R1132" s="105"/>
      <c r="S1132" s="59"/>
      <c r="T1132" s="64"/>
      <c r="U1132" s="44"/>
      <c r="W1132" s="59"/>
      <c r="X1132" s="64"/>
      <c r="Y1132" s="106"/>
      <c r="Z1132" s="105"/>
      <c r="AA1132" s="106"/>
      <c r="AB1132" s="105"/>
      <c r="AC1132" s="106"/>
      <c r="AD1132" s="105"/>
      <c r="AE1132" s="106"/>
      <c r="AF1132" s="105"/>
      <c r="AG1132" s="106"/>
      <c r="AH1132" s="105"/>
      <c r="AI1132" s="59"/>
      <c r="AJ1132" s="64"/>
      <c r="AK1132" s="44"/>
      <c r="AM1132" s="49"/>
      <c r="AN1132" s="49"/>
      <c r="AO1132" s="49"/>
      <c r="AP1132" s="49"/>
      <c r="AQ1132" s="49"/>
      <c r="AR1132" s="40"/>
      <c r="AS1132" s="51"/>
      <c r="AU1132" s="49"/>
      <c r="AW1132" s="52"/>
      <c r="BA1132" s="2"/>
      <c r="BB1132" s="2"/>
      <c r="BC1132" s="101"/>
      <c r="BD1132" s="101"/>
    </row>
    <row r="1133" spans="2:56" s="84" customFormat="1" x14ac:dyDescent="0.35">
      <c r="B1133" s="30" t="str">
        <f>IF(B1059="","",B1059)</f>
        <v>Charbonneau, Samuel</v>
      </c>
      <c r="C1133" s="31"/>
      <c r="D1133" s="32"/>
      <c r="E1133" s="33">
        <f t="shared" si="455"/>
        <v>93540</v>
      </c>
      <c r="F1133" s="50">
        <f>B1119</f>
        <v>25</v>
      </c>
      <c r="G1133" s="69"/>
      <c r="H1133" s="70"/>
      <c r="I1133" s="104"/>
      <c r="J1133" s="103">
        <v>8.5</v>
      </c>
      <c r="K1133" s="104"/>
      <c r="L1133" s="103">
        <v>10.5</v>
      </c>
      <c r="M1133" s="104"/>
      <c r="N1133" s="103">
        <v>13.5</v>
      </c>
      <c r="O1133" s="104"/>
      <c r="P1133" s="103">
        <v>8</v>
      </c>
      <c r="Q1133" s="104"/>
      <c r="R1133" s="103">
        <v>7.5</v>
      </c>
      <c r="S1133" s="69"/>
      <c r="T1133" s="70"/>
      <c r="U1133" s="71">
        <f t="shared" ref="U1133" si="459">SUM(G1133:T1133)</f>
        <v>48</v>
      </c>
      <c r="V1133" s="72"/>
      <c r="W1133" s="69"/>
      <c r="X1133" s="70"/>
      <c r="Y1133" s="104"/>
      <c r="Z1133" s="103">
        <v>3.25</v>
      </c>
      <c r="AA1133" s="104"/>
      <c r="AB1133" s="103">
        <v>6</v>
      </c>
      <c r="AC1133" s="104"/>
      <c r="AD1133" s="103">
        <v>6</v>
      </c>
      <c r="AE1133" s="104"/>
      <c r="AF1133" s="103">
        <v>6.25</v>
      </c>
      <c r="AG1133" s="104"/>
      <c r="AH1133" s="103">
        <v>8.5</v>
      </c>
      <c r="AI1133" s="69"/>
      <c r="AJ1133" s="70"/>
      <c r="AK1133" s="71">
        <f>SUM(W1133:AJ1133)</f>
        <v>30</v>
      </c>
      <c r="AL1133" s="72"/>
      <c r="AM1133" s="73">
        <f>SUMIF($G1132:$T1132,"",$G1133:$T1133)+SUMIF($W1132:$AJ1132,"",$W1133:$AJ1133)-AN1133</f>
        <v>70</v>
      </c>
      <c r="AN1133" s="88">
        <f>IF(SUMIF($G1132:$T1132,"",$G1133:$T1133)+SUMIF($G1132:$T1132,"F",$G1133:$T1133)+SUMIF($G1132:$T1132,"V",$G1133:$T1133)-40&lt;0,0,SUMIF($G1132:$T1132,"",$G1133:$T1133)+SUMIF($G1132:$T1132,"F",$G1133:$T1133)+SUMIF($G1132:$T1132,"V",$G1133:$T1133)-($U$9/2))+IF(SUMIF($W1132:$AJ1132,"",$W1133:$AJ1133)+SUMIF($W1132:$AJ1132,"F",$W1133:$AJ1133)+SUMIF($W1132:$AJ1132,"V",$W1133:$AJ1133)-40&lt;0,0,SUMIF($W1132:$AJ1132,"",$W1133:$AJ1133)+SUMIF($W1132:$AJ1132,"F",$W1133:$AJ1133)+SUMIF($W1132:$AJ1132,"V",$W1133:$AJ1133)-($U$9/2))</f>
        <v>8</v>
      </c>
      <c r="AO1133" s="73">
        <f>SUMIF($G1132:$T1132,"M",$G1133:$T1133)+SUMIF($W1132:$AJ1132,"M",$W1133:$AJ1133)</f>
        <v>0</v>
      </c>
      <c r="AP1133" s="73">
        <f>SUMIF($G1132:$T1132,"F",$G1133:$T1133)+SUMIF($W1132:$AJ1132,"F",$W1133:$AJ1133)</f>
        <v>0</v>
      </c>
      <c r="AQ1133" s="73">
        <f>SUMIF($G1132:$T1132,"V",$G1133:$T1133)+SUMIF($W1132:$AJ1132,"V",$W1133:$AJ1133)</f>
        <v>0</v>
      </c>
      <c r="AR1133" s="74">
        <f>SUMIF($G1132:$T1132,"O",$G1133:$T1133)+SUMIF($W1132:$AJ1132,"O",$W1133:$AJ1133)</f>
        <v>0</v>
      </c>
      <c r="AS1133" s="75">
        <f>SUM(AM1133:AR1133)</f>
        <v>78</v>
      </c>
      <c r="AT1133" s="72"/>
      <c r="AU1133" s="73">
        <f>SUMIF($G1132:$T1132,"A",$G1133:$T1133)+SUMIF($W1132:$AJ1132,"A",$W1133:$AJ1133)</f>
        <v>0</v>
      </c>
      <c r="AV1133" s="72"/>
      <c r="AW1133" s="76">
        <f>IF(B1133="",0,IF($U$9="",0,$U$9))</f>
        <v>80</v>
      </c>
      <c r="BA1133" s="2"/>
      <c r="BB1133" s="2"/>
      <c r="BC1133" s="101"/>
      <c r="BD1133" s="101"/>
    </row>
    <row r="1134" spans="2:56" s="84" customFormat="1" x14ac:dyDescent="0.35">
      <c r="B1134" s="26"/>
      <c r="C1134" s="27"/>
      <c r="D1134" s="28" t="str">
        <f>IF(D1060="","",D1060)</f>
        <v/>
      </c>
      <c r="E1134" s="29" t="str">
        <f t="shared" si="455"/>
        <v/>
      </c>
      <c r="F1134" s="50">
        <f>B1119</f>
        <v>25</v>
      </c>
      <c r="G1134" s="59"/>
      <c r="H1134" s="64"/>
      <c r="I1134" s="106"/>
      <c r="J1134" s="105"/>
      <c r="K1134" s="106"/>
      <c r="L1134" s="105"/>
      <c r="M1134" s="106"/>
      <c r="N1134" s="105"/>
      <c r="O1134" s="106"/>
      <c r="P1134" s="105"/>
      <c r="Q1134" s="106"/>
      <c r="R1134" s="105"/>
      <c r="S1134" s="59"/>
      <c r="T1134" s="64"/>
      <c r="U1134" s="44"/>
      <c r="W1134" s="59"/>
      <c r="X1134" s="64"/>
      <c r="Y1134" s="106"/>
      <c r="Z1134" s="105"/>
      <c r="AA1134" s="106"/>
      <c r="AB1134" s="105"/>
      <c r="AC1134" s="106"/>
      <c r="AD1134" s="105"/>
      <c r="AE1134" s="106"/>
      <c r="AF1134" s="105"/>
      <c r="AG1134" s="106"/>
      <c r="AH1134" s="105"/>
      <c r="AI1134" s="59"/>
      <c r="AJ1134" s="64"/>
      <c r="AK1134" s="44"/>
      <c r="AM1134" s="49"/>
      <c r="AN1134" s="49"/>
      <c r="AO1134" s="49"/>
      <c r="AP1134" s="49"/>
      <c r="AQ1134" s="49"/>
      <c r="AR1134" s="40"/>
      <c r="AS1134" s="51"/>
      <c r="AU1134" s="49"/>
      <c r="AW1134" s="52"/>
      <c r="BA1134" s="2"/>
      <c r="BB1134" s="2"/>
      <c r="BC1134" s="101"/>
      <c r="BD1134" s="101"/>
    </row>
    <row r="1135" spans="2:56" s="84" customFormat="1" x14ac:dyDescent="0.35">
      <c r="B1135" s="30" t="str">
        <f>IF(B1061="","",B1061)</f>
        <v/>
      </c>
      <c r="C1135" s="31"/>
      <c r="D1135" s="32"/>
      <c r="E1135" s="33" t="str">
        <f t="shared" si="455"/>
        <v/>
      </c>
      <c r="F1135" s="50">
        <f>B1119</f>
        <v>25</v>
      </c>
      <c r="G1135" s="69"/>
      <c r="H1135" s="70"/>
      <c r="I1135" s="104"/>
      <c r="J1135" s="103"/>
      <c r="K1135" s="104"/>
      <c r="L1135" s="103"/>
      <c r="M1135" s="104"/>
      <c r="N1135" s="103"/>
      <c r="O1135" s="104"/>
      <c r="P1135" s="103"/>
      <c r="Q1135" s="104"/>
      <c r="R1135" s="103"/>
      <c r="S1135" s="69"/>
      <c r="T1135" s="70"/>
      <c r="U1135" s="71">
        <f t="shared" ref="U1135" si="460">SUM(G1135:T1135)</f>
        <v>0</v>
      </c>
      <c r="V1135" s="72"/>
      <c r="W1135" s="69"/>
      <c r="X1135" s="70"/>
      <c r="Y1135" s="104"/>
      <c r="Z1135" s="103"/>
      <c r="AA1135" s="104"/>
      <c r="AB1135" s="103"/>
      <c r="AC1135" s="104"/>
      <c r="AD1135" s="103"/>
      <c r="AE1135" s="104"/>
      <c r="AF1135" s="103"/>
      <c r="AG1135" s="104"/>
      <c r="AH1135" s="103"/>
      <c r="AI1135" s="69"/>
      <c r="AJ1135" s="70"/>
      <c r="AK1135" s="71">
        <f>SUM(W1135:AJ1135)</f>
        <v>0</v>
      </c>
      <c r="AL1135" s="72"/>
      <c r="AM1135" s="73">
        <f>SUMIF($G1134:$T1134,"",$G1135:$T1135)+SUMIF($W1134:$AJ1134,"",$W1135:$AJ1135)-AN1135</f>
        <v>0</v>
      </c>
      <c r="AN1135" s="88">
        <f>IF(SUMIF($G1134:$T1134,"",$G1135:$T1135)+SUMIF($G1134:$T1134,"F",$G1135:$T1135)+SUMIF($G1134:$T1134,"V",$G1135:$T1135)-40&lt;0,0,SUMIF($G1134:$T1134,"",$G1135:$T1135)+SUMIF($G1134:$T1134,"F",$G1135:$T1135)+SUMIF($G1134:$T1134,"V",$G1135:$T1135)-($U$9/2))+IF(SUMIF($W1134:$AJ1134,"",$W1135:$AJ1135)+SUMIF($W1134:$AJ1134,"F",$W1135:$AJ1135)+SUMIF($W1134:$AJ1134,"V",$W1135:$AJ1135)-40&lt;0,0,SUMIF($W1134:$AJ1134,"",$W1135:$AJ1135)+SUMIF($W1134:$AJ1134,"F",$W1135:$AJ1135)+SUMIF($W1134:$AJ1134,"V",$W1135:$AJ1135)-($U$9/2))</f>
        <v>0</v>
      </c>
      <c r="AO1135" s="73">
        <f>SUMIF($G1134:$T1134,"M",$G1135:$T1135)+SUMIF($W1134:$AJ1134,"M",$W1135:$AJ1135)</f>
        <v>0</v>
      </c>
      <c r="AP1135" s="73">
        <f>SUMIF($G1134:$T1134,"F",$G1135:$T1135)+SUMIF($W1134:$AJ1134,"F",$W1135:$AJ1135)</f>
        <v>0</v>
      </c>
      <c r="AQ1135" s="73">
        <f>SUMIF($G1134:$T1134,"V",$G1135:$T1135)+SUMIF($W1134:$AJ1134,"V",$W1135:$AJ1135)</f>
        <v>0</v>
      </c>
      <c r="AR1135" s="74">
        <f>SUMIF($G1134:$T1134,"O",$G1135:$T1135)+SUMIF($W1134:$AJ1134,"O",$W1135:$AJ1135)</f>
        <v>0</v>
      </c>
      <c r="AS1135" s="75">
        <f>SUM(AM1135:AR1135)</f>
        <v>0</v>
      </c>
      <c r="AT1135" s="72"/>
      <c r="AU1135" s="73">
        <f>SUMIF($G1134:$T1134,"A",$G1135:$T1135)+SUMIF($W1134:$AJ1134,"A",$W1135:$AJ1135)</f>
        <v>0</v>
      </c>
      <c r="AV1135" s="72"/>
      <c r="AW1135" s="76">
        <f>IF(B1135="",0,IF($U$9="",0,$U$9))</f>
        <v>0</v>
      </c>
      <c r="BA1135" s="2"/>
      <c r="BB1135" s="2"/>
      <c r="BC1135" s="101"/>
      <c r="BD1135" s="101"/>
    </row>
    <row r="1136" spans="2:56" s="84" customFormat="1" x14ac:dyDescent="0.35">
      <c r="B1136" s="26"/>
      <c r="C1136" s="27"/>
      <c r="D1136" s="28">
        <f>IF(D1062="","",D1062)</f>
        <v>79709</v>
      </c>
      <c r="E1136" s="29" t="str">
        <f t="shared" si="455"/>
        <v/>
      </c>
      <c r="F1136" s="50">
        <f>B1119</f>
        <v>25</v>
      </c>
      <c r="G1136" s="59"/>
      <c r="H1136" s="64"/>
      <c r="I1136" s="106"/>
      <c r="J1136" s="105"/>
      <c r="K1136" s="106"/>
      <c r="L1136" s="105"/>
      <c r="M1136" s="106"/>
      <c r="N1136" s="105"/>
      <c r="O1136" s="106"/>
      <c r="P1136" s="105"/>
      <c r="Q1136" s="106"/>
      <c r="R1136" s="105"/>
      <c r="S1136" s="59"/>
      <c r="T1136" s="64"/>
      <c r="U1136" s="44"/>
      <c r="W1136" s="59"/>
      <c r="X1136" s="64"/>
      <c r="Y1136" s="106"/>
      <c r="Z1136" s="105"/>
      <c r="AA1136" s="106"/>
      <c r="AB1136" s="105"/>
      <c r="AC1136" s="106"/>
      <c r="AD1136" s="105"/>
      <c r="AE1136" s="106"/>
      <c r="AF1136" s="105"/>
      <c r="AG1136" s="106"/>
      <c r="AH1136" s="105"/>
      <c r="AI1136" s="59"/>
      <c r="AJ1136" s="64"/>
      <c r="AK1136" s="44"/>
      <c r="AM1136" s="49"/>
      <c r="AN1136" s="49"/>
      <c r="AO1136" s="49"/>
      <c r="AP1136" s="49"/>
      <c r="AQ1136" s="49"/>
      <c r="AR1136" s="40"/>
      <c r="AS1136" s="51"/>
      <c r="AU1136" s="49"/>
      <c r="AW1136" s="52"/>
      <c r="BA1136" s="2"/>
      <c r="BB1136" s="2"/>
      <c r="BC1136" s="101"/>
      <c r="BD1136" s="101"/>
    </row>
    <row r="1137" spans="2:56" s="84" customFormat="1" x14ac:dyDescent="0.35">
      <c r="B1137" s="30" t="str">
        <f>IF(B1063="","",B1063)</f>
        <v>De Rose, Natale</v>
      </c>
      <c r="C1137" s="31"/>
      <c r="D1137" s="32"/>
      <c r="E1137" s="33">
        <f t="shared" si="455"/>
        <v>93595935</v>
      </c>
      <c r="F1137" s="50">
        <f>B1119</f>
        <v>25</v>
      </c>
      <c r="G1137" s="69"/>
      <c r="H1137" s="70"/>
      <c r="I1137" s="104"/>
      <c r="J1137" s="103">
        <v>8</v>
      </c>
      <c r="K1137" s="104"/>
      <c r="L1137" s="103">
        <v>8</v>
      </c>
      <c r="M1137" s="104"/>
      <c r="N1137" s="103">
        <v>8</v>
      </c>
      <c r="O1137" s="104"/>
      <c r="P1137" s="103">
        <v>8</v>
      </c>
      <c r="Q1137" s="104"/>
      <c r="R1137" s="103">
        <v>8</v>
      </c>
      <c r="S1137" s="69"/>
      <c r="T1137" s="70"/>
      <c r="U1137" s="71">
        <f t="shared" ref="U1137" si="461">SUM(G1137:T1137)</f>
        <v>40</v>
      </c>
      <c r="V1137" s="72"/>
      <c r="W1137" s="69"/>
      <c r="X1137" s="70"/>
      <c r="Y1137" s="104"/>
      <c r="Z1137" s="103">
        <v>8</v>
      </c>
      <c r="AA1137" s="104"/>
      <c r="AB1137" s="103">
        <v>8</v>
      </c>
      <c r="AC1137" s="104"/>
      <c r="AD1137" s="103">
        <v>8</v>
      </c>
      <c r="AE1137" s="104"/>
      <c r="AF1137" s="103">
        <v>8</v>
      </c>
      <c r="AG1137" s="104"/>
      <c r="AH1137" s="103">
        <v>8</v>
      </c>
      <c r="AI1137" s="69"/>
      <c r="AJ1137" s="70"/>
      <c r="AK1137" s="71">
        <f>SUM(W1137:AJ1137)</f>
        <v>40</v>
      </c>
      <c r="AL1137" s="72"/>
      <c r="AM1137" s="73">
        <f>SUMIF($G1136:$T1136,"",$G1137:$T1137)+SUMIF($W1136:$AJ1136,"",$W1137:$AJ1137)-AN1137</f>
        <v>80</v>
      </c>
      <c r="AN1137" s="88">
        <f>IF(SUMIF($G1136:$T1136,"",$G1137:$T1137)+SUMIF($G1136:$T1136,"F",$G1137:$T1137)+SUMIF($G1136:$T1136,"V",$G1137:$T1137)-40&lt;0,0,SUMIF($G1136:$T1136,"",$G1137:$T1137)+SUMIF($G1136:$T1136,"F",$G1137:$T1137)+SUMIF($G1136:$T1136,"V",$G1137:$T1137)-($U$9/2))+IF(SUMIF($W1136:$AJ1136,"",$W1137:$AJ1137)+SUMIF($W1136:$AJ1136,"F",$W1137:$AJ1137)+SUMIF($W1136:$AJ1136,"V",$W1137:$AJ1137)-40&lt;0,0,SUMIF($W1136:$AJ1136,"",$W1137:$AJ1137)+SUMIF($W1136:$AJ1136,"F",$W1137:$AJ1137)+SUMIF($W1136:$AJ1136,"V",$W1137:$AJ1137)-($U$9/2))</f>
        <v>0</v>
      </c>
      <c r="AO1137" s="73">
        <f>SUMIF($G1136:$T1136,"M",$G1137:$T1137)+SUMIF($W1136:$AJ1136,"M",$W1137:$AJ1137)</f>
        <v>0</v>
      </c>
      <c r="AP1137" s="73">
        <f>SUMIF($G1136:$T1136,"F",$G1137:$T1137)+SUMIF($W1136:$AJ1136,"F",$W1137:$AJ1137)</f>
        <v>0</v>
      </c>
      <c r="AQ1137" s="73">
        <f>SUMIF($G1136:$T1136,"V",$G1137:$T1137)+SUMIF($W1136:$AJ1136,"V",$W1137:$AJ1137)</f>
        <v>0</v>
      </c>
      <c r="AR1137" s="74">
        <f>SUMIF($G1136:$T1136,"O",$G1137:$T1137)+SUMIF($W1136:$AJ1136,"O",$W1137:$AJ1137)</f>
        <v>0</v>
      </c>
      <c r="AS1137" s="75">
        <f>SUM(AM1137:AR1137)</f>
        <v>80</v>
      </c>
      <c r="AT1137" s="72"/>
      <c r="AU1137" s="73">
        <f>SUMIF($G1136:$T1136,"A",$G1137:$T1137)+SUMIF($W1136:$AJ1136,"A",$W1137:$AJ1137)</f>
        <v>0</v>
      </c>
      <c r="AV1137" s="72"/>
      <c r="AW1137" s="76">
        <f>IF(B1137="",0,IF($U$9="",0,$U$9))</f>
        <v>80</v>
      </c>
      <c r="BA1137" s="2"/>
      <c r="BB1137" s="2"/>
      <c r="BC1137" s="101"/>
      <c r="BD1137" s="101"/>
    </row>
    <row r="1138" spans="2:56" s="84" customFormat="1" x14ac:dyDescent="0.35">
      <c r="B1138" s="26"/>
      <c r="C1138" s="27"/>
      <c r="D1138" s="28">
        <f>IF(D1064="","",D1064)</f>
        <v>92027</v>
      </c>
      <c r="E1138" s="29" t="str">
        <f t="shared" si="455"/>
        <v/>
      </c>
      <c r="F1138" s="50">
        <f>B1119</f>
        <v>25</v>
      </c>
      <c r="G1138" s="59"/>
      <c r="H1138" s="64"/>
      <c r="I1138" s="106"/>
      <c r="J1138" s="105"/>
      <c r="K1138" s="106"/>
      <c r="L1138" s="105"/>
      <c r="M1138" s="106"/>
      <c r="N1138" s="105"/>
      <c r="O1138" s="106"/>
      <c r="P1138" s="105"/>
      <c r="Q1138" s="106"/>
      <c r="R1138" s="105"/>
      <c r="S1138" s="59"/>
      <c r="T1138" s="64"/>
      <c r="U1138" s="44"/>
      <c r="W1138" s="59"/>
      <c r="X1138" s="64"/>
      <c r="Y1138" s="106"/>
      <c r="Z1138" s="105"/>
      <c r="AA1138" s="106"/>
      <c r="AB1138" s="105"/>
      <c r="AC1138" s="106"/>
      <c r="AD1138" s="105"/>
      <c r="AE1138" s="106"/>
      <c r="AF1138" s="105"/>
      <c r="AG1138" s="106"/>
      <c r="AH1138" s="105"/>
      <c r="AI1138" s="59"/>
      <c r="AJ1138" s="64"/>
      <c r="AK1138" s="44"/>
      <c r="AM1138" s="49"/>
      <c r="AN1138" s="49"/>
      <c r="AO1138" s="49"/>
      <c r="AP1138" s="49"/>
      <c r="AQ1138" s="49"/>
      <c r="AR1138" s="40"/>
      <c r="AS1138" s="51"/>
      <c r="AU1138" s="49"/>
      <c r="AW1138" s="52"/>
      <c r="BA1138" s="2"/>
      <c r="BB1138" s="2"/>
      <c r="BC1138" s="101"/>
      <c r="BD1138" s="101"/>
    </row>
    <row r="1139" spans="2:56" s="84" customFormat="1" x14ac:dyDescent="0.35">
      <c r="B1139" s="30" t="str">
        <f>IF(B1065="","",B1065)</f>
        <v>Descoteaux, Gerald</v>
      </c>
      <c r="C1139" s="31"/>
      <c r="D1139" s="32"/>
      <c r="E1139" s="33">
        <f t="shared" si="455"/>
        <v>93595935</v>
      </c>
      <c r="F1139" s="50">
        <f>B1119</f>
        <v>25</v>
      </c>
      <c r="G1139" s="69"/>
      <c r="H1139" s="70"/>
      <c r="I1139" s="104"/>
      <c r="J1139" s="103">
        <v>8</v>
      </c>
      <c r="K1139" s="104"/>
      <c r="L1139" s="103">
        <v>8</v>
      </c>
      <c r="M1139" s="104"/>
      <c r="N1139" s="103">
        <v>8</v>
      </c>
      <c r="O1139" s="104"/>
      <c r="P1139" s="103">
        <v>8</v>
      </c>
      <c r="Q1139" s="104"/>
      <c r="R1139" s="103">
        <v>8</v>
      </c>
      <c r="S1139" s="69"/>
      <c r="T1139" s="70"/>
      <c r="U1139" s="71">
        <f t="shared" ref="U1139" si="462">SUM(G1139:T1139)</f>
        <v>40</v>
      </c>
      <c r="V1139" s="72"/>
      <c r="W1139" s="69"/>
      <c r="X1139" s="70"/>
      <c r="Y1139" s="104"/>
      <c r="Z1139" s="103">
        <v>8</v>
      </c>
      <c r="AA1139" s="104"/>
      <c r="AB1139" s="103">
        <v>8</v>
      </c>
      <c r="AC1139" s="104"/>
      <c r="AD1139" s="103">
        <v>8</v>
      </c>
      <c r="AE1139" s="104"/>
      <c r="AF1139" s="103">
        <v>8</v>
      </c>
      <c r="AG1139" s="104"/>
      <c r="AH1139" s="103">
        <v>8</v>
      </c>
      <c r="AI1139" s="69"/>
      <c r="AJ1139" s="70"/>
      <c r="AK1139" s="71">
        <f>SUM(W1139:AJ1139)</f>
        <v>40</v>
      </c>
      <c r="AL1139" s="72"/>
      <c r="AM1139" s="73">
        <f>SUMIF($G1138:$T1138,"",$G1139:$T1139)+SUMIF($W1138:$AJ1138,"",$W1139:$AJ1139)-AN1139</f>
        <v>80</v>
      </c>
      <c r="AN1139" s="88">
        <f>IF(SUMIF($G1138:$T1138,"",$G1139:$T1139)+SUMIF($G1138:$T1138,"F",$G1139:$T1139)+SUMIF($G1138:$T1138,"V",$G1139:$T1139)-40&lt;0,0,SUMIF($G1138:$T1138,"",$G1139:$T1139)+SUMIF($G1138:$T1138,"F",$G1139:$T1139)+SUMIF($G1138:$T1138,"V",$G1139:$T1139)-($U$9/2))+IF(SUMIF($W1138:$AJ1138,"",$W1139:$AJ1139)+SUMIF($W1138:$AJ1138,"F",$W1139:$AJ1139)+SUMIF($W1138:$AJ1138,"V",$W1139:$AJ1139)-40&lt;0,0,SUMIF($W1138:$AJ1138,"",$W1139:$AJ1139)+SUMIF($W1138:$AJ1138,"F",$W1139:$AJ1139)+SUMIF($W1138:$AJ1138,"V",$W1139:$AJ1139)-($U$9/2))</f>
        <v>0</v>
      </c>
      <c r="AO1139" s="73">
        <f>SUMIF($G1138:$T1138,"M",$G1139:$T1139)+SUMIF($W1138:$AJ1138,"M",$W1139:$AJ1139)</f>
        <v>0</v>
      </c>
      <c r="AP1139" s="73">
        <f>SUMIF($G1138:$T1138,"F",$G1139:$T1139)+SUMIF($W1138:$AJ1138,"F",$W1139:$AJ1139)</f>
        <v>0</v>
      </c>
      <c r="AQ1139" s="73">
        <f>SUMIF($G1138:$T1138,"V",$G1139:$T1139)+SUMIF($W1138:$AJ1138,"V",$W1139:$AJ1139)</f>
        <v>0</v>
      </c>
      <c r="AR1139" s="74">
        <f>SUMIF($G1138:$T1138,"O",$G1139:$T1139)+SUMIF($W1138:$AJ1138,"O",$W1139:$AJ1139)</f>
        <v>0</v>
      </c>
      <c r="AS1139" s="75">
        <f>SUM(AM1139:AR1139)</f>
        <v>80</v>
      </c>
      <c r="AT1139" s="72"/>
      <c r="AU1139" s="73">
        <f>SUMIF($G1138:$T1138,"A",$G1139:$T1139)+SUMIF($W1138:$AJ1138,"A",$W1139:$AJ1139)</f>
        <v>0</v>
      </c>
      <c r="AV1139" s="72"/>
      <c r="AW1139" s="76">
        <f>IF(B1139="",0,IF($U$9="",0,$U$9))</f>
        <v>80</v>
      </c>
      <c r="BA1139" s="2"/>
      <c r="BB1139" s="2"/>
      <c r="BC1139" s="101"/>
      <c r="BD1139" s="101"/>
    </row>
    <row r="1140" spans="2:56" s="84" customFormat="1" x14ac:dyDescent="0.35">
      <c r="B1140" s="26"/>
      <c r="C1140" s="27"/>
      <c r="D1140" s="28">
        <f>IF(D1066="","",D1066)</f>
        <v>73795</v>
      </c>
      <c r="E1140" s="29" t="str">
        <f t="shared" si="455"/>
        <v/>
      </c>
      <c r="F1140" s="50">
        <f>B1119</f>
        <v>25</v>
      </c>
      <c r="G1140" s="59"/>
      <c r="H1140" s="64"/>
      <c r="I1140" s="106"/>
      <c r="J1140" s="105"/>
      <c r="K1140" s="106"/>
      <c r="L1140" s="105"/>
      <c r="M1140" s="106"/>
      <c r="N1140" s="105"/>
      <c r="O1140" s="106"/>
      <c r="P1140" s="105"/>
      <c r="Q1140" s="106"/>
      <c r="R1140" s="105"/>
      <c r="S1140" s="59"/>
      <c r="T1140" s="64"/>
      <c r="U1140" s="44"/>
      <c r="W1140" s="59"/>
      <c r="X1140" s="64"/>
      <c r="Y1140" s="106"/>
      <c r="Z1140" s="105"/>
      <c r="AA1140" s="106"/>
      <c r="AB1140" s="105"/>
      <c r="AC1140" s="106"/>
      <c r="AD1140" s="105"/>
      <c r="AE1140" s="106"/>
      <c r="AF1140" s="105"/>
      <c r="AG1140" s="106"/>
      <c r="AH1140" s="105"/>
      <c r="AI1140" s="59"/>
      <c r="AJ1140" s="64"/>
      <c r="AK1140" s="44"/>
      <c r="AM1140" s="49"/>
      <c r="AN1140" s="49"/>
      <c r="AO1140" s="49"/>
      <c r="AP1140" s="49"/>
      <c r="AQ1140" s="49"/>
      <c r="AR1140" s="40"/>
      <c r="AS1140" s="51"/>
      <c r="AU1140" s="49"/>
      <c r="AW1140" s="52"/>
      <c r="BA1140" s="2"/>
      <c r="BB1140" s="2"/>
      <c r="BC1140" s="101"/>
      <c r="BD1140" s="101"/>
    </row>
    <row r="1141" spans="2:56" s="84" customFormat="1" x14ac:dyDescent="0.35">
      <c r="B1141" s="30" t="str">
        <f>IF(B1067="","",B1067)</f>
        <v>Fortin, Veronique</v>
      </c>
      <c r="C1141" s="31"/>
      <c r="D1141" s="32"/>
      <c r="E1141" s="33">
        <f t="shared" si="455"/>
        <v>93540</v>
      </c>
      <c r="F1141" s="50">
        <f>B1119</f>
        <v>25</v>
      </c>
      <c r="G1141" s="69"/>
      <c r="H1141" s="70"/>
      <c r="I1141" s="104"/>
      <c r="J1141" s="103">
        <v>8</v>
      </c>
      <c r="K1141" s="104"/>
      <c r="L1141" s="103">
        <v>8</v>
      </c>
      <c r="M1141" s="104"/>
      <c r="N1141" s="103">
        <v>8</v>
      </c>
      <c r="O1141" s="104"/>
      <c r="P1141" s="103">
        <v>8</v>
      </c>
      <c r="Q1141" s="104"/>
      <c r="R1141" s="103">
        <v>8</v>
      </c>
      <c r="S1141" s="69"/>
      <c r="T1141" s="70"/>
      <c r="U1141" s="71">
        <f t="shared" ref="U1141" si="463">SUM(G1141:T1141)</f>
        <v>40</v>
      </c>
      <c r="V1141" s="72"/>
      <c r="W1141" s="69"/>
      <c r="X1141" s="70"/>
      <c r="Y1141" s="104"/>
      <c r="Z1141" s="103">
        <v>8</v>
      </c>
      <c r="AA1141" s="104"/>
      <c r="AB1141" s="103">
        <v>8</v>
      </c>
      <c r="AC1141" s="104"/>
      <c r="AD1141" s="103">
        <v>8</v>
      </c>
      <c r="AE1141" s="104"/>
      <c r="AF1141" s="103">
        <v>8</v>
      </c>
      <c r="AG1141" s="104"/>
      <c r="AH1141" s="103">
        <v>8</v>
      </c>
      <c r="AI1141" s="69"/>
      <c r="AJ1141" s="70"/>
      <c r="AK1141" s="71">
        <f>SUM(W1141:AJ1141)</f>
        <v>40</v>
      </c>
      <c r="AL1141" s="72"/>
      <c r="AM1141" s="73">
        <f>SUMIF($G1140:$T1140,"",$G1141:$T1141)+SUMIF($W1140:$AJ1140,"",$W1141:$AJ1141)-AN1141</f>
        <v>80</v>
      </c>
      <c r="AN1141" s="88">
        <f>IF(SUMIF($G1140:$T1140,"",$G1141:$T1141)+SUMIF($G1140:$T1140,"F",$G1141:$T1141)+SUMIF($G1140:$T1140,"V",$G1141:$T1141)-40&lt;0,0,SUMIF($G1140:$T1140,"",$G1141:$T1141)+SUMIF($G1140:$T1140,"F",$G1141:$T1141)+SUMIF($G1140:$T1140,"V",$G1141:$T1141)-($U$9/2))+IF(SUMIF($W1140:$AJ1140,"",$W1141:$AJ1141)+SUMIF($W1140:$AJ1140,"F",$W1141:$AJ1141)+SUMIF($W1140:$AJ1140,"V",$W1141:$AJ1141)-40&lt;0,0,SUMIF($W1140:$AJ1140,"",$W1141:$AJ1141)+SUMIF($W1140:$AJ1140,"F",$W1141:$AJ1141)+SUMIF($W1140:$AJ1140,"V",$W1141:$AJ1141)-($U$9/2))</f>
        <v>0</v>
      </c>
      <c r="AO1141" s="73">
        <f>SUMIF($G1140:$T1140,"M",$G1141:$T1141)+SUMIF($W1140:$AJ1140,"M",$W1141:$AJ1141)</f>
        <v>0</v>
      </c>
      <c r="AP1141" s="73">
        <f>SUMIF($G1140:$T1140,"F",$G1141:$T1141)+SUMIF($W1140:$AJ1140,"F",$W1141:$AJ1141)</f>
        <v>0</v>
      </c>
      <c r="AQ1141" s="73">
        <f>SUMIF($G1140:$T1140,"V",$G1141:$T1141)+SUMIF($W1140:$AJ1140,"V",$W1141:$AJ1141)</f>
        <v>0</v>
      </c>
      <c r="AR1141" s="74">
        <f>SUMIF($G1140:$T1140,"O",$G1141:$T1141)+SUMIF($W1140:$AJ1140,"O",$W1141:$AJ1141)</f>
        <v>0</v>
      </c>
      <c r="AS1141" s="75">
        <f>SUM(AM1141:AR1141)</f>
        <v>80</v>
      </c>
      <c r="AT1141" s="72"/>
      <c r="AU1141" s="73">
        <f>SUMIF($G1140:$T1140,"A",$G1141:$T1141)+SUMIF($W1140:$AJ1140,"A",$W1141:$AJ1141)</f>
        <v>0</v>
      </c>
      <c r="AV1141" s="72"/>
      <c r="AW1141" s="76">
        <f>IF(B1141="",0,IF($U$9="",0,$U$9))</f>
        <v>80</v>
      </c>
      <c r="BA1141" s="2"/>
      <c r="BB1141" s="2"/>
      <c r="BC1141" s="101"/>
      <c r="BD1141" s="101"/>
    </row>
    <row r="1142" spans="2:56" s="84" customFormat="1" x14ac:dyDescent="0.35">
      <c r="B1142" s="26"/>
      <c r="C1142" s="27"/>
      <c r="D1142" s="28">
        <f>IF(D1068="","",D1068)</f>
        <v>23206</v>
      </c>
      <c r="E1142" s="29" t="str">
        <f t="shared" si="455"/>
        <v/>
      </c>
      <c r="F1142" s="50">
        <f>B1119</f>
        <v>25</v>
      </c>
      <c r="G1142" s="59"/>
      <c r="H1142" s="64"/>
      <c r="I1142" s="106"/>
      <c r="J1142" s="105"/>
      <c r="K1142" s="106"/>
      <c r="L1142" s="105"/>
      <c r="M1142" s="106"/>
      <c r="N1142" s="105"/>
      <c r="O1142" s="106"/>
      <c r="P1142" s="105" t="s">
        <v>2</v>
      </c>
      <c r="Q1142" s="106"/>
      <c r="R1142" s="105"/>
      <c r="S1142" s="59"/>
      <c r="T1142" s="64"/>
      <c r="U1142" s="44"/>
      <c r="W1142" s="59"/>
      <c r="X1142" s="64"/>
      <c r="Y1142" s="106"/>
      <c r="Z1142" s="105"/>
      <c r="AA1142" s="106"/>
      <c r="AB1142" s="105"/>
      <c r="AC1142" s="106"/>
      <c r="AD1142" s="105"/>
      <c r="AE1142" s="106"/>
      <c r="AF1142" s="105"/>
      <c r="AG1142" s="106"/>
      <c r="AH1142" s="105"/>
      <c r="AI1142" s="59"/>
      <c r="AJ1142" s="64"/>
      <c r="AK1142" s="44"/>
      <c r="AM1142" s="49"/>
      <c r="AN1142" s="49"/>
      <c r="AO1142" s="49"/>
      <c r="AP1142" s="49"/>
      <c r="AQ1142" s="49"/>
      <c r="AR1142" s="40"/>
      <c r="AS1142" s="51"/>
      <c r="AU1142" s="49"/>
      <c r="AW1142" s="52"/>
      <c r="BA1142" s="2"/>
      <c r="BB1142" s="2"/>
      <c r="BC1142" s="101"/>
      <c r="BD1142" s="101"/>
    </row>
    <row r="1143" spans="2:56" s="84" customFormat="1" x14ac:dyDescent="0.35">
      <c r="B1143" s="30" t="str">
        <f>IF(B1069="","",B1069)</f>
        <v>Gadbois, Dominic</v>
      </c>
      <c r="C1143" s="31"/>
      <c r="D1143" s="32"/>
      <c r="E1143" s="33">
        <f t="shared" si="455"/>
        <v>93545</v>
      </c>
      <c r="F1143" s="50">
        <f>B1119</f>
        <v>25</v>
      </c>
      <c r="G1143" s="69"/>
      <c r="H1143" s="70"/>
      <c r="I1143" s="104"/>
      <c r="J1143" s="103">
        <v>8.25</v>
      </c>
      <c r="K1143" s="104"/>
      <c r="L1143" s="103">
        <v>7.75</v>
      </c>
      <c r="M1143" s="104"/>
      <c r="N1143" s="103">
        <v>7.5</v>
      </c>
      <c r="O1143" s="104"/>
      <c r="P1143" s="103">
        <v>0</v>
      </c>
      <c r="Q1143" s="104"/>
      <c r="R1143" s="103">
        <v>7.5</v>
      </c>
      <c r="S1143" s="69"/>
      <c r="T1143" s="70"/>
      <c r="U1143" s="71">
        <f t="shared" ref="U1143" si="464">SUM(G1143:T1143)</f>
        <v>31</v>
      </c>
      <c r="V1143" s="72"/>
      <c r="W1143" s="69"/>
      <c r="X1143" s="70"/>
      <c r="Y1143" s="104"/>
      <c r="Z1143" s="103">
        <v>7.75</v>
      </c>
      <c r="AA1143" s="104"/>
      <c r="AB1143" s="103">
        <v>8</v>
      </c>
      <c r="AC1143" s="104"/>
      <c r="AD1143" s="103">
        <v>7.75</v>
      </c>
      <c r="AE1143" s="104"/>
      <c r="AF1143" s="103">
        <v>7.75</v>
      </c>
      <c r="AG1143" s="104"/>
      <c r="AH1143" s="103">
        <v>7.5</v>
      </c>
      <c r="AI1143" s="69"/>
      <c r="AJ1143" s="70"/>
      <c r="AK1143" s="71">
        <f>SUM(W1143:AJ1143)</f>
        <v>38.75</v>
      </c>
      <c r="AL1143" s="72"/>
      <c r="AM1143" s="73">
        <f>SUMIF($G1142:$T1142,"",$G1143:$T1143)+SUMIF($W1142:$AJ1142,"",$W1143:$AJ1143)-AN1143</f>
        <v>69.75</v>
      </c>
      <c r="AN1143" s="88">
        <f>IF(SUMIF($G1142:$T1142,"",$G1143:$T1143)+SUMIF($G1142:$T1142,"F",$G1143:$T1143)+SUMIF($G1142:$T1142,"V",$G1143:$T1143)-40&lt;0,0,SUMIF($G1142:$T1142,"",$G1143:$T1143)+SUMIF($G1142:$T1142,"F",$G1143:$T1143)+SUMIF($G1142:$T1142,"V",$G1143:$T1143)-($U$9/2))+IF(SUMIF($W1142:$AJ1142,"",$W1143:$AJ1143)+SUMIF($W1142:$AJ1142,"F",$W1143:$AJ1143)+SUMIF($W1142:$AJ1142,"V",$W1143:$AJ1143)-40&lt;0,0,SUMIF($W1142:$AJ1142,"",$W1143:$AJ1143)+SUMIF($W1142:$AJ1142,"F",$W1143:$AJ1143)+SUMIF($W1142:$AJ1142,"V",$W1143:$AJ1143)-($U$9/2))</f>
        <v>0</v>
      </c>
      <c r="AO1143" s="73">
        <f>SUMIF($G1142:$T1142,"M",$G1143:$T1143)+SUMIF($W1142:$AJ1142,"M",$W1143:$AJ1143)</f>
        <v>0</v>
      </c>
      <c r="AP1143" s="73">
        <f>SUMIF($G1142:$T1142,"F",$G1143:$T1143)+SUMIF($W1142:$AJ1142,"F",$W1143:$AJ1143)</f>
        <v>0</v>
      </c>
      <c r="AQ1143" s="73">
        <f>SUMIF($G1142:$T1142,"V",$G1143:$T1143)+SUMIF($W1142:$AJ1142,"V",$W1143:$AJ1143)</f>
        <v>0</v>
      </c>
      <c r="AR1143" s="74">
        <f>SUMIF($G1142:$T1142,"O",$G1143:$T1143)+SUMIF($W1142:$AJ1142,"O",$W1143:$AJ1143)</f>
        <v>0</v>
      </c>
      <c r="AS1143" s="75">
        <f>SUM(AM1143:AR1143)</f>
        <v>69.75</v>
      </c>
      <c r="AT1143" s="72"/>
      <c r="AU1143" s="73">
        <f>SUMIF($G1142:$T1142,"A",$G1143:$T1143)+SUMIF($W1142:$AJ1142,"A",$W1143:$AJ1143)</f>
        <v>0</v>
      </c>
      <c r="AV1143" s="72"/>
      <c r="AW1143" s="76">
        <f>IF(B1143="",0,IF($U$9="",0,$U$9))</f>
        <v>80</v>
      </c>
      <c r="BA1143" s="2"/>
      <c r="BB1143" s="2"/>
      <c r="BC1143" s="101"/>
      <c r="BD1143" s="101"/>
    </row>
    <row r="1144" spans="2:56" s="84" customFormat="1" x14ac:dyDescent="0.35">
      <c r="B1144" s="26"/>
      <c r="C1144" s="27"/>
      <c r="D1144" s="28">
        <f>IF(D1070="","",D1070)</f>
        <v>33664</v>
      </c>
      <c r="E1144" s="29" t="str">
        <f t="shared" si="455"/>
        <v/>
      </c>
      <c r="F1144" s="50">
        <f>B1119</f>
        <v>25</v>
      </c>
      <c r="G1144" s="59"/>
      <c r="H1144" s="64"/>
      <c r="I1144" s="106"/>
      <c r="J1144" s="105"/>
      <c r="K1144" s="106"/>
      <c r="L1144" s="105"/>
      <c r="M1144" s="106"/>
      <c r="N1144" s="105"/>
      <c r="O1144" s="106"/>
      <c r="P1144" s="105"/>
      <c r="Q1144" s="106"/>
      <c r="R1144" s="105"/>
      <c r="S1144" s="59"/>
      <c r="T1144" s="64"/>
      <c r="U1144" s="44"/>
      <c r="W1144" s="59"/>
      <c r="X1144" s="64"/>
      <c r="Y1144" s="106"/>
      <c r="Z1144" s="105"/>
      <c r="AA1144" s="106"/>
      <c r="AB1144" s="105"/>
      <c r="AC1144" s="106"/>
      <c r="AD1144" s="105"/>
      <c r="AE1144" s="106"/>
      <c r="AF1144" s="105"/>
      <c r="AG1144" s="106"/>
      <c r="AH1144" s="105"/>
      <c r="AI1144" s="59"/>
      <c r="AJ1144" s="64"/>
      <c r="AK1144" s="44"/>
      <c r="AM1144" s="49"/>
      <c r="AN1144" s="49"/>
      <c r="AO1144" s="49"/>
      <c r="AP1144" s="49"/>
      <c r="AQ1144" s="49"/>
      <c r="AR1144" s="40"/>
      <c r="AS1144" s="51"/>
      <c r="AU1144" s="49"/>
      <c r="AW1144" s="52"/>
      <c r="BA1144" s="2"/>
      <c r="BB1144" s="2"/>
      <c r="BC1144" s="101"/>
      <c r="BD1144" s="101"/>
    </row>
    <row r="1145" spans="2:56" s="84" customFormat="1" x14ac:dyDescent="0.35">
      <c r="B1145" s="30" t="str">
        <f>IF(B1071="","",B1071)</f>
        <v>Knox Michaud, Jessy</v>
      </c>
      <c r="C1145" s="31"/>
      <c r="D1145" s="32"/>
      <c r="E1145" s="33">
        <f t="shared" si="455"/>
        <v>93542</v>
      </c>
      <c r="F1145" s="50">
        <f>B1119</f>
        <v>25</v>
      </c>
      <c r="G1145" s="69"/>
      <c r="H1145" s="70"/>
      <c r="I1145" s="104"/>
      <c r="J1145" s="103">
        <v>8</v>
      </c>
      <c r="K1145" s="104"/>
      <c r="L1145" s="103">
        <v>9</v>
      </c>
      <c r="M1145" s="104"/>
      <c r="N1145" s="103">
        <v>9</v>
      </c>
      <c r="O1145" s="104"/>
      <c r="P1145" s="103">
        <v>9</v>
      </c>
      <c r="Q1145" s="104"/>
      <c r="R1145" s="103">
        <v>9</v>
      </c>
      <c r="S1145" s="69"/>
      <c r="T1145" s="70"/>
      <c r="U1145" s="71">
        <f t="shared" ref="U1145" si="465">SUM(G1145:T1145)</f>
        <v>44</v>
      </c>
      <c r="V1145" s="72"/>
      <c r="W1145" s="69"/>
      <c r="X1145" s="70"/>
      <c r="Y1145" s="104"/>
      <c r="Z1145" s="103">
        <v>8</v>
      </c>
      <c r="AA1145" s="104"/>
      <c r="AB1145" s="103">
        <v>9</v>
      </c>
      <c r="AC1145" s="104"/>
      <c r="AD1145" s="103">
        <v>8.5</v>
      </c>
      <c r="AE1145" s="104"/>
      <c r="AF1145" s="103">
        <v>8</v>
      </c>
      <c r="AG1145" s="104"/>
      <c r="AH1145" s="103">
        <v>8</v>
      </c>
      <c r="AI1145" s="69"/>
      <c r="AJ1145" s="70"/>
      <c r="AK1145" s="71">
        <f>SUM(W1145:AJ1145)</f>
        <v>41.5</v>
      </c>
      <c r="AL1145" s="72"/>
      <c r="AM1145" s="73">
        <f>SUMIF($G1144:$T1144,"",$G1145:$T1145)+SUMIF($W1144:$AJ1144,"",$W1145:$AJ1145)-AN1145</f>
        <v>80</v>
      </c>
      <c r="AN1145" s="88">
        <f>IF(SUMIF($G1144:$T1144,"",$G1145:$T1145)+SUMIF($G1144:$T1144,"F",$G1145:$T1145)+SUMIF($G1144:$T1144,"V",$G1145:$T1145)-40&lt;0,0,SUMIF($G1144:$T1144,"",$G1145:$T1145)+SUMIF($G1144:$T1144,"F",$G1145:$T1145)+SUMIF($G1144:$T1144,"V",$G1145:$T1145)-($U$9/2))+IF(SUMIF($W1144:$AJ1144,"",$W1145:$AJ1145)+SUMIF($W1144:$AJ1144,"F",$W1145:$AJ1145)+SUMIF($W1144:$AJ1144,"V",$W1145:$AJ1145)-40&lt;0,0,SUMIF($W1144:$AJ1144,"",$W1145:$AJ1145)+SUMIF($W1144:$AJ1144,"F",$W1145:$AJ1145)+SUMIF($W1144:$AJ1144,"V",$W1145:$AJ1145)-($U$9/2))</f>
        <v>5.5</v>
      </c>
      <c r="AO1145" s="73">
        <f>SUMIF($G1144:$T1144,"M",$G1145:$T1145)+SUMIF($W1144:$AJ1144,"M",$W1145:$AJ1145)</f>
        <v>0</v>
      </c>
      <c r="AP1145" s="73">
        <f>SUMIF($G1144:$T1144,"F",$G1145:$T1145)+SUMIF($W1144:$AJ1144,"F",$W1145:$AJ1145)</f>
        <v>0</v>
      </c>
      <c r="AQ1145" s="73">
        <f>SUMIF($G1144:$T1144,"V",$G1145:$T1145)+SUMIF($W1144:$AJ1144,"V",$W1145:$AJ1145)</f>
        <v>0</v>
      </c>
      <c r="AR1145" s="74">
        <f>SUMIF($G1144:$T1144,"O",$G1145:$T1145)+SUMIF($W1144:$AJ1144,"O",$W1145:$AJ1145)</f>
        <v>0</v>
      </c>
      <c r="AS1145" s="75">
        <f>SUM(AM1145:AR1145)</f>
        <v>85.5</v>
      </c>
      <c r="AT1145" s="72"/>
      <c r="AU1145" s="73">
        <f>SUMIF($G1144:$T1144,"A",$G1145:$T1145)+SUMIF($W1144:$AJ1144,"A",$W1145:$AJ1145)</f>
        <v>0</v>
      </c>
      <c r="AV1145" s="72"/>
      <c r="AW1145" s="76">
        <f>IF(B1145="",0,IF($U$9="",0,$U$9))</f>
        <v>80</v>
      </c>
      <c r="BA1145" s="2"/>
      <c r="BB1145" s="2"/>
      <c r="BC1145" s="101"/>
      <c r="BD1145" s="101"/>
    </row>
    <row r="1146" spans="2:56" s="84" customFormat="1" x14ac:dyDescent="0.35">
      <c r="B1146" s="26"/>
      <c r="C1146" s="27"/>
      <c r="D1146" s="28">
        <f>IF(D1072="","",D1072)</f>
        <v>14206</v>
      </c>
      <c r="E1146" s="29" t="str">
        <f t="shared" si="455"/>
        <v/>
      </c>
      <c r="F1146" s="50">
        <f>B1119</f>
        <v>25</v>
      </c>
      <c r="G1146" s="59"/>
      <c r="H1146" s="64"/>
      <c r="I1146" s="106"/>
      <c r="J1146" s="105"/>
      <c r="K1146" s="106"/>
      <c r="L1146" s="105"/>
      <c r="M1146" s="106"/>
      <c r="N1146" s="105"/>
      <c r="O1146" s="106"/>
      <c r="P1146" s="105"/>
      <c r="Q1146" s="106"/>
      <c r="R1146" s="105"/>
      <c r="S1146" s="59"/>
      <c r="T1146" s="64"/>
      <c r="U1146" s="44"/>
      <c r="W1146" s="59"/>
      <c r="X1146" s="64"/>
      <c r="Y1146" s="106"/>
      <c r="Z1146" s="105"/>
      <c r="AA1146" s="106"/>
      <c r="AB1146" s="105"/>
      <c r="AC1146" s="106"/>
      <c r="AD1146" s="105"/>
      <c r="AE1146" s="106"/>
      <c r="AF1146" s="105"/>
      <c r="AG1146" s="106"/>
      <c r="AH1146" s="105"/>
      <c r="AI1146" s="59"/>
      <c r="AJ1146" s="64"/>
      <c r="AK1146" s="44"/>
      <c r="AM1146" s="49"/>
      <c r="AN1146" s="49"/>
      <c r="AO1146" s="49"/>
      <c r="AP1146" s="49"/>
      <c r="AQ1146" s="49"/>
      <c r="AR1146" s="40"/>
      <c r="AS1146" s="51"/>
      <c r="AU1146" s="49"/>
      <c r="AW1146" s="52"/>
      <c r="BA1146" s="2"/>
      <c r="BB1146" s="2"/>
      <c r="BC1146" s="101"/>
      <c r="BD1146" s="101"/>
    </row>
    <row r="1147" spans="2:56" s="84" customFormat="1" x14ac:dyDescent="0.35">
      <c r="B1147" s="30" t="str">
        <f>IF(B1073="","",B1073)</f>
        <v>Landry, Bernard</v>
      </c>
      <c r="C1147" s="31"/>
      <c r="D1147" s="32"/>
      <c r="E1147" s="33">
        <f t="shared" si="455"/>
        <v>93545</v>
      </c>
      <c r="F1147" s="50">
        <f>B1119</f>
        <v>25</v>
      </c>
      <c r="G1147" s="69"/>
      <c r="H1147" s="70"/>
      <c r="I1147" s="104"/>
      <c r="J1147" s="103">
        <v>8</v>
      </c>
      <c r="K1147" s="104"/>
      <c r="L1147" s="103">
        <v>8</v>
      </c>
      <c r="M1147" s="104"/>
      <c r="N1147" s="103">
        <v>8</v>
      </c>
      <c r="O1147" s="104"/>
      <c r="P1147" s="103">
        <v>8</v>
      </c>
      <c r="Q1147" s="104"/>
      <c r="R1147" s="103">
        <v>8</v>
      </c>
      <c r="S1147" s="69"/>
      <c r="T1147" s="70"/>
      <c r="U1147" s="71">
        <f t="shared" ref="U1147" si="466">SUM(G1147:T1147)</f>
        <v>40</v>
      </c>
      <c r="V1147" s="72"/>
      <c r="W1147" s="69"/>
      <c r="X1147" s="70"/>
      <c r="Y1147" s="104"/>
      <c r="Z1147" s="103">
        <v>8</v>
      </c>
      <c r="AA1147" s="104"/>
      <c r="AB1147" s="103">
        <v>8</v>
      </c>
      <c r="AC1147" s="104"/>
      <c r="AD1147" s="103">
        <v>8</v>
      </c>
      <c r="AE1147" s="104"/>
      <c r="AF1147" s="103">
        <v>8</v>
      </c>
      <c r="AG1147" s="104"/>
      <c r="AH1147" s="103">
        <v>8</v>
      </c>
      <c r="AI1147" s="69"/>
      <c r="AJ1147" s="70"/>
      <c r="AK1147" s="71">
        <f>SUM(W1147:AJ1147)</f>
        <v>40</v>
      </c>
      <c r="AL1147" s="72"/>
      <c r="AM1147" s="73">
        <f>SUMIF($G1146:$T1146,"",$G1147:$T1147)+SUMIF($W1146:$AJ1146,"",$W1147:$AJ1147)-AN1147</f>
        <v>80</v>
      </c>
      <c r="AN1147" s="88">
        <f>IF(SUMIF($G1146:$T1146,"",$G1147:$T1147)+SUMIF($G1146:$T1146,"F",$G1147:$T1147)+SUMIF($G1146:$T1146,"V",$G1147:$T1147)-40&lt;0,0,SUMIF($G1146:$T1146,"",$G1147:$T1147)+SUMIF($G1146:$T1146,"F",$G1147:$T1147)+SUMIF($G1146:$T1146,"V",$G1147:$T1147)-($U$9/2))+IF(SUMIF($W1146:$AJ1146,"",$W1147:$AJ1147)+SUMIF($W1146:$AJ1146,"F",$W1147:$AJ1147)+SUMIF($W1146:$AJ1146,"V",$W1147:$AJ1147)-40&lt;0,0,SUMIF($W1146:$AJ1146,"",$W1147:$AJ1147)+SUMIF($W1146:$AJ1146,"F",$W1147:$AJ1147)+SUMIF($W1146:$AJ1146,"V",$W1147:$AJ1147)-($U$9/2))</f>
        <v>0</v>
      </c>
      <c r="AO1147" s="73">
        <f>SUMIF($G1146:$T1146,"M",$G1147:$T1147)+SUMIF($W1146:$AJ1146,"M",$W1147:$AJ1147)</f>
        <v>0</v>
      </c>
      <c r="AP1147" s="73">
        <f>SUMIF($G1146:$T1146,"F",$G1147:$T1147)+SUMIF($W1146:$AJ1146,"F",$W1147:$AJ1147)</f>
        <v>0</v>
      </c>
      <c r="AQ1147" s="73">
        <f>SUMIF($G1146:$T1146,"V",$G1147:$T1147)+SUMIF($W1146:$AJ1146,"V",$W1147:$AJ1147)</f>
        <v>0</v>
      </c>
      <c r="AR1147" s="74">
        <f>SUMIF($G1146:$T1146,"O",$G1147:$T1147)+SUMIF($W1146:$AJ1146,"O",$W1147:$AJ1147)</f>
        <v>0</v>
      </c>
      <c r="AS1147" s="75">
        <f>SUM(AM1147:AR1147)</f>
        <v>80</v>
      </c>
      <c r="AT1147" s="72"/>
      <c r="AU1147" s="73">
        <f>SUMIF($G1146:$T1146,"A",$G1147:$T1147)+SUMIF($W1146:$AJ1146,"A",$W1147:$AJ1147)</f>
        <v>0</v>
      </c>
      <c r="AV1147" s="72"/>
      <c r="AW1147" s="76">
        <f>IF(B1147="",0,IF($U$9="",0,$U$9))</f>
        <v>80</v>
      </c>
      <c r="BA1147" s="2"/>
      <c r="BB1147" s="2"/>
      <c r="BC1147" s="101"/>
      <c r="BD1147" s="101"/>
    </row>
    <row r="1148" spans="2:56" s="84" customFormat="1" x14ac:dyDescent="0.35">
      <c r="B1148" s="26"/>
      <c r="C1148" s="27"/>
      <c r="D1148" s="28">
        <f>IF(D1074="","",D1074)</f>
        <v>92257</v>
      </c>
      <c r="E1148" s="29" t="str">
        <f t="shared" si="455"/>
        <v/>
      </c>
      <c r="F1148" s="50">
        <f>B1119</f>
        <v>25</v>
      </c>
      <c r="G1148" s="59"/>
      <c r="H1148" s="64"/>
      <c r="I1148" s="106"/>
      <c r="J1148" s="105"/>
      <c r="K1148" s="106"/>
      <c r="L1148" s="105"/>
      <c r="M1148" s="106"/>
      <c r="N1148" s="105"/>
      <c r="O1148" s="106"/>
      <c r="P1148" s="105"/>
      <c r="Q1148" s="106"/>
      <c r="R1148" s="105"/>
      <c r="S1148" s="59"/>
      <c r="T1148" s="64"/>
      <c r="U1148" s="44"/>
      <c r="W1148" s="59"/>
      <c r="X1148" s="64"/>
      <c r="Y1148" s="106"/>
      <c r="Z1148" s="105"/>
      <c r="AA1148" s="106"/>
      <c r="AB1148" s="105"/>
      <c r="AC1148" s="106"/>
      <c r="AD1148" s="105" t="s">
        <v>1</v>
      </c>
      <c r="AE1148" s="106"/>
      <c r="AF1148" s="105"/>
      <c r="AG1148" s="106"/>
      <c r="AH1148" s="105"/>
      <c r="AI1148" s="59"/>
      <c r="AJ1148" s="64"/>
      <c r="AK1148" s="44"/>
      <c r="AM1148" s="49"/>
      <c r="AN1148" s="49"/>
      <c r="AO1148" s="49"/>
      <c r="AP1148" s="49"/>
      <c r="AQ1148" s="49"/>
      <c r="AR1148" s="40"/>
      <c r="AS1148" s="51"/>
      <c r="AU1148" s="49"/>
      <c r="AW1148" s="52"/>
      <c r="BA1148" s="2"/>
      <c r="BB1148" s="2"/>
      <c r="BC1148" s="101"/>
      <c r="BD1148" s="101"/>
    </row>
    <row r="1149" spans="2:56" s="84" customFormat="1" x14ac:dyDescent="0.35">
      <c r="B1149" s="30" t="str">
        <f>IF(B1075="","",B1075)</f>
        <v>Lelievre, Anik</v>
      </c>
      <c r="C1149" s="31"/>
      <c r="D1149" s="32"/>
      <c r="E1149" s="33">
        <f t="shared" si="455"/>
        <v>93513</v>
      </c>
      <c r="F1149" s="50">
        <f>B1119</f>
        <v>25</v>
      </c>
      <c r="G1149" s="69"/>
      <c r="H1149" s="70"/>
      <c r="I1149" s="104"/>
      <c r="J1149" s="103">
        <v>8</v>
      </c>
      <c r="K1149" s="104"/>
      <c r="L1149" s="103">
        <v>8</v>
      </c>
      <c r="M1149" s="104"/>
      <c r="N1149" s="103">
        <v>8</v>
      </c>
      <c r="O1149" s="104"/>
      <c r="P1149" s="103">
        <v>8</v>
      </c>
      <c r="Q1149" s="104"/>
      <c r="R1149" s="103">
        <v>8</v>
      </c>
      <c r="S1149" s="69"/>
      <c r="T1149" s="70"/>
      <c r="U1149" s="71">
        <f t="shared" ref="U1149" si="467">SUM(G1149:T1149)</f>
        <v>40</v>
      </c>
      <c r="V1149" s="72"/>
      <c r="W1149" s="69"/>
      <c r="X1149" s="70"/>
      <c r="Y1149" s="104"/>
      <c r="Z1149" s="103">
        <v>8</v>
      </c>
      <c r="AA1149" s="104"/>
      <c r="AB1149" s="103">
        <v>8</v>
      </c>
      <c r="AC1149" s="104"/>
      <c r="AD1149" s="103">
        <v>8</v>
      </c>
      <c r="AE1149" s="104"/>
      <c r="AF1149" s="103">
        <v>8</v>
      </c>
      <c r="AG1149" s="104"/>
      <c r="AH1149" s="103">
        <v>8</v>
      </c>
      <c r="AI1149" s="69"/>
      <c r="AJ1149" s="70"/>
      <c r="AK1149" s="71">
        <f>SUM(W1149:AJ1149)</f>
        <v>40</v>
      </c>
      <c r="AL1149" s="72"/>
      <c r="AM1149" s="73">
        <f>SUMIF($G1148:$T1148,"",$G1149:$T1149)+SUMIF($W1148:$AJ1148,"",$W1149:$AJ1149)-AN1149</f>
        <v>72</v>
      </c>
      <c r="AN1149" s="88">
        <f>IF(SUMIF($G1148:$T1148,"",$G1149:$T1149)+SUMIF($G1148:$T1148,"F",$G1149:$T1149)+SUMIF($G1148:$T1148,"V",$G1149:$T1149)-40&lt;0,0,SUMIF($G1148:$T1148,"",$G1149:$T1149)+SUMIF($G1148:$T1148,"F",$G1149:$T1149)+SUMIF($G1148:$T1148,"V",$G1149:$T1149)-($U$9/2))+IF(SUMIF($W1148:$AJ1148,"",$W1149:$AJ1149)+SUMIF($W1148:$AJ1148,"F",$W1149:$AJ1149)+SUMIF($W1148:$AJ1148,"V",$W1149:$AJ1149)-40&lt;0,0,SUMIF($W1148:$AJ1148,"",$W1149:$AJ1149)+SUMIF($W1148:$AJ1148,"F",$W1149:$AJ1149)+SUMIF($W1148:$AJ1148,"V",$W1149:$AJ1149)-($U$9/2))</f>
        <v>0</v>
      </c>
      <c r="AO1149" s="73">
        <f>SUMIF($G1148:$T1148,"M",$G1149:$T1149)+SUMIF($W1148:$AJ1148,"M",$W1149:$AJ1149)</f>
        <v>0</v>
      </c>
      <c r="AP1149" s="73">
        <f>SUMIF($G1148:$T1148,"F",$G1149:$T1149)+SUMIF($W1148:$AJ1148,"F",$W1149:$AJ1149)</f>
        <v>0</v>
      </c>
      <c r="AQ1149" s="73">
        <f>SUMIF($G1148:$T1148,"V",$G1149:$T1149)+SUMIF($W1148:$AJ1148,"V",$W1149:$AJ1149)</f>
        <v>8</v>
      </c>
      <c r="AR1149" s="74">
        <f>SUMIF($G1148:$T1148,"O",$G1149:$T1149)+SUMIF($W1148:$AJ1148,"O",$W1149:$AJ1149)</f>
        <v>0</v>
      </c>
      <c r="AS1149" s="75">
        <f>SUM(AM1149:AR1149)</f>
        <v>80</v>
      </c>
      <c r="AT1149" s="72"/>
      <c r="AU1149" s="73">
        <f>SUMIF($G1148:$T1148,"A",$G1149:$T1149)+SUMIF($W1148:$AJ1148,"A",$W1149:$AJ1149)</f>
        <v>0</v>
      </c>
      <c r="AV1149" s="72"/>
      <c r="AW1149" s="76">
        <f>IF(B1149="",0,IF($U$9="",0,$U$9))</f>
        <v>80</v>
      </c>
      <c r="BA1149" s="2"/>
      <c r="BB1149" s="2"/>
      <c r="BC1149" s="101"/>
      <c r="BD1149" s="101"/>
    </row>
    <row r="1150" spans="2:56" s="84" customFormat="1" x14ac:dyDescent="0.35">
      <c r="B1150" s="26"/>
      <c r="C1150" s="27"/>
      <c r="D1150" s="28">
        <f>IF(D1076="","",D1076)</f>
        <v>81042</v>
      </c>
      <c r="E1150" s="29" t="str">
        <f t="shared" si="455"/>
        <v/>
      </c>
      <c r="F1150" s="50">
        <f>B1119</f>
        <v>25</v>
      </c>
      <c r="G1150" s="59"/>
      <c r="H1150" s="64"/>
      <c r="I1150" s="106"/>
      <c r="J1150" s="105"/>
      <c r="K1150" s="106"/>
      <c r="L1150" s="105"/>
      <c r="M1150" s="106"/>
      <c r="N1150" s="105"/>
      <c r="O1150" s="106"/>
      <c r="P1150" s="105"/>
      <c r="Q1150" s="106"/>
      <c r="R1150" s="105"/>
      <c r="S1150" s="59"/>
      <c r="T1150" s="64"/>
      <c r="U1150" s="44"/>
      <c r="W1150" s="59"/>
      <c r="X1150" s="64"/>
      <c r="Y1150" s="106"/>
      <c r="Z1150" s="105"/>
      <c r="AA1150" s="106"/>
      <c r="AB1150" s="105"/>
      <c r="AC1150" s="106"/>
      <c r="AD1150" s="105"/>
      <c r="AE1150" s="106"/>
      <c r="AF1150" s="105"/>
      <c r="AG1150" s="106"/>
      <c r="AH1150" s="105" t="s">
        <v>1</v>
      </c>
      <c r="AI1150" s="59"/>
      <c r="AJ1150" s="64"/>
      <c r="AK1150" s="44"/>
      <c r="AM1150" s="49"/>
      <c r="AN1150" s="49"/>
      <c r="AO1150" s="49"/>
      <c r="AP1150" s="49"/>
      <c r="AQ1150" s="49"/>
      <c r="AR1150" s="40"/>
      <c r="AS1150" s="51"/>
      <c r="AU1150" s="49"/>
      <c r="AW1150" s="52"/>
      <c r="BA1150" s="2"/>
      <c r="BB1150" s="2"/>
      <c r="BC1150" s="101"/>
      <c r="BD1150" s="101"/>
    </row>
    <row r="1151" spans="2:56" s="84" customFormat="1" x14ac:dyDescent="0.35">
      <c r="B1151" s="30" t="str">
        <f>IF(B1077="","",B1077)</f>
        <v>Letarte, Martin</v>
      </c>
      <c r="C1151" s="31"/>
      <c r="D1151" s="32"/>
      <c r="E1151" s="33">
        <f t="shared" si="455"/>
        <v>93545</v>
      </c>
      <c r="F1151" s="50">
        <f>B1119</f>
        <v>25</v>
      </c>
      <c r="G1151" s="69"/>
      <c r="H1151" s="70"/>
      <c r="I1151" s="104"/>
      <c r="J1151" s="103">
        <v>8</v>
      </c>
      <c r="K1151" s="104"/>
      <c r="L1151" s="103">
        <v>8</v>
      </c>
      <c r="M1151" s="104"/>
      <c r="N1151" s="103">
        <v>8</v>
      </c>
      <c r="O1151" s="104"/>
      <c r="P1151" s="103">
        <v>8</v>
      </c>
      <c r="Q1151" s="104"/>
      <c r="R1151" s="103">
        <v>8</v>
      </c>
      <c r="S1151" s="69"/>
      <c r="T1151" s="70"/>
      <c r="U1151" s="71">
        <f t="shared" ref="U1151" si="468">SUM(G1151:T1151)</f>
        <v>40</v>
      </c>
      <c r="V1151" s="72"/>
      <c r="W1151" s="69"/>
      <c r="X1151" s="70"/>
      <c r="Y1151" s="104"/>
      <c r="Z1151" s="103">
        <v>8</v>
      </c>
      <c r="AA1151" s="104"/>
      <c r="AB1151" s="103">
        <v>8</v>
      </c>
      <c r="AC1151" s="104"/>
      <c r="AD1151" s="103">
        <v>8</v>
      </c>
      <c r="AE1151" s="104"/>
      <c r="AF1151" s="103">
        <v>8</v>
      </c>
      <c r="AG1151" s="104"/>
      <c r="AH1151" s="103">
        <v>8</v>
      </c>
      <c r="AI1151" s="69"/>
      <c r="AJ1151" s="70"/>
      <c r="AK1151" s="71">
        <f>SUM(W1151:AJ1151)</f>
        <v>40</v>
      </c>
      <c r="AL1151" s="72"/>
      <c r="AM1151" s="73">
        <f>SUMIF($G1150:$T1150,"",$G1151:$T1151)+SUMIF($W1150:$AJ1150,"",$W1151:$AJ1151)-AN1151</f>
        <v>72</v>
      </c>
      <c r="AN1151" s="88">
        <f>IF(SUMIF($G1150:$T1150,"",$G1151:$T1151)+SUMIF($G1150:$T1150,"F",$G1151:$T1151)+SUMIF($G1150:$T1150,"V",$G1151:$T1151)-40&lt;0,0,SUMIF($G1150:$T1150,"",$G1151:$T1151)+SUMIF($G1150:$T1150,"F",$G1151:$T1151)+SUMIF($G1150:$T1150,"V",$G1151:$T1151)-($U$9/2))+IF(SUMIF($W1150:$AJ1150,"",$W1151:$AJ1151)+SUMIF($W1150:$AJ1150,"F",$W1151:$AJ1151)+SUMIF($W1150:$AJ1150,"V",$W1151:$AJ1151)-40&lt;0,0,SUMIF($W1150:$AJ1150,"",$W1151:$AJ1151)+SUMIF($W1150:$AJ1150,"F",$W1151:$AJ1151)+SUMIF($W1150:$AJ1150,"V",$W1151:$AJ1151)-($U$9/2))</f>
        <v>0</v>
      </c>
      <c r="AO1151" s="73">
        <f>SUMIF($G1150:$T1150,"M",$G1151:$T1151)+SUMIF($W1150:$AJ1150,"M",$W1151:$AJ1151)</f>
        <v>0</v>
      </c>
      <c r="AP1151" s="73">
        <f>SUMIF($G1150:$T1150,"F",$G1151:$T1151)+SUMIF($W1150:$AJ1150,"F",$W1151:$AJ1151)</f>
        <v>0</v>
      </c>
      <c r="AQ1151" s="73">
        <f>SUMIF($G1150:$T1150,"V",$G1151:$T1151)+SUMIF($W1150:$AJ1150,"V",$W1151:$AJ1151)</f>
        <v>8</v>
      </c>
      <c r="AR1151" s="74">
        <f>SUMIF($G1150:$T1150,"O",$G1151:$T1151)+SUMIF($W1150:$AJ1150,"O",$W1151:$AJ1151)</f>
        <v>0</v>
      </c>
      <c r="AS1151" s="75">
        <f>SUM(AM1151:AR1151)</f>
        <v>80</v>
      </c>
      <c r="AT1151" s="72"/>
      <c r="AU1151" s="73">
        <f>SUMIF($G1150:$T1150,"A",$G1151:$T1151)+SUMIF($W1150:$AJ1150,"A",$W1151:$AJ1151)</f>
        <v>0</v>
      </c>
      <c r="AV1151" s="72"/>
      <c r="AW1151" s="76">
        <f>IF(B1151="",0,IF($U$9="",0,$U$9))</f>
        <v>80</v>
      </c>
      <c r="BA1151" s="2"/>
      <c r="BB1151" s="2"/>
      <c r="BC1151" s="101"/>
      <c r="BD1151" s="101"/>
    </row>
    <row r="1152" spans="2:56" s="84" customFormat="1" x14ac:dyDescent="0.35">
      <c r="B1152" s="26"/>
      <c r="C1152" s="27"/>
      <c r="D1152" s="28"/>
      <c r="E1152" s="29" t="str">
        <f t="shared" si="455"/>
        <v/>
      </c>
      <c r="F1152" s="50">
        <f>B1119</f>
        <v>25</v>
      </c>
      <c r="G1152" s="59"/>
      <c r="H1152" s="64"/>
      <c r="I1152" s="106"/>
      <c r="J1152" s="105"/>
      <c r="K1152" s="106"/>
      <c r="L1152" s="105"/>
      <c r="M1152" s="106"/>
      <c r="N1152" s="105"/>
      <c r="O1152" s="106"/>
      <c r="P1152" s="105"/>
      <c r="Q1152" s="106"/>
      <c r="R1152" s="105"/>
      <c r="S1152" s="59"/>
      <c r="T1152" s="64"/>
      <c r="U1152" s="44"/>
      <c r="W1152" s="59"/>
      <c r="X1152" s="64"/>
      <c r="Y1152" s="106"/>
      <c r="Z1152" s="105"/>
      <c r="AA1152" s="106"/>
      <c r="AB1152" s="105"/>
      <c r="AC1152" s="106"/>
      <c r="AD1152" s="105"/>
      <c r="AE1152" s="106"/>
      <c r="AF1152" s="105"/>
      <c r="AG1152" s="106"/>
      <c r="AH1152" s="105"/>
      <c r="AI1152" s="59"/>
      <c r="AJ1152" s="64"/>
      <c r="AK1152" s="44"/>
      <c r="AM1152" s="49"/>
      <c r="AN1152" s="49"/>
      <c r="AO1152" s="49"/>
      <c r="AP1152" s="49"/>
      <c r="AQ1152" s="49"/>
      <c r="AR1152" s="40"/>
      <c r="AS1152" s="51"/>
      <c r="AU1152" s="49"/>
      <c r="AW1152" s="52"/>
      <c r="BA1152" s="2"/>
      <c r="BB1152" s="2"/>
      <c r="BC1152" s="101"/>
      <c r="BD1152" s="101"/>
    </row>
    <row r="1153" spans="1:56" s="84" customFormat="1" x14ac:dyDescent="0.35">
      <c r="B1153" s="30"/>
      <c r="C1153" s="31"/>
      <c r="D1153" s="32"/>
      <c r="E1153" s="33"/>
      <c r="F1153" s="50">
        <f>B1119</f>
        <v>25</v>
      </c>
      <c r="G1153" s="69"/>
      <c r="H1153" s="70"/>
      <c r="I1153" s="104"/>
      <c r="J1153" s="103"/>
      <c r="K1153" s="104"/>
      <c r="L1153" s="103"/>
      <c r="M1153" s="104"/>
      <c r="N1153" s="103"/>
      <c r="O1153" s="104"/>
      <c r="P1153" s="103"/>
      <c r="Q1153" s="104"/>
      <c r="R1153" s="103"/>
      <c r="S1153" s="69"/>
      <c r="T1153" s="70"/>
      <c r="U1153" s="71">
        <f t="shared" ref="U1153" si="469">SUM(G1153:T1153)</f>
        <v>0</v>
      </c>
      <c r="V1153" s="72"/>
      <c r="W1153" s="69"/>
      <c r="X1153" s="70"/>
      <c r="Y1153" s="104"/>
      <c r="Z1153" s="103"/>
      <c r="AA1153" s="104"/>
      <c r="AB1153" s="103"/>
      <c r="AC1153" s="104"/>
      <c r="AD1153" s="103"/>
      <c r="AE1153" s="104"/>
      <c r="AF1153" s="103"/>
      <c r="AG1153" s="104"/>
      <c r="AH1153" s="103"/>
      <c r="AI1153" s="69"/>
      <c r="AJ1153" s="70"/>
      <c r="AK1153" s="71">
        <f>SUM(W1153:AJ1153)</f>
        <v>0</v>
      </c>
      <c r="AL1153" s="72"/>
      <c r="AM1153" s="73">
        <f>SUMIF($G1152:$T1152,"",$G1153:$T1153)+SUMIF($W1152:$AJ1152,"",$W1153:$AJ1153)-AN1153</f>
        <v>0</v>
      </c>
      <c r="AN1153" s="88">
        <f>IF(SUMIF($G1152:$T1152,"",$G1153:$T1153)+SUMIF($G1152:$T1152,"F",$G1153:$T1153)+SUMIF($G1152:$T1152,"V",$G1153:$T1153)-40&lt;0,0,SUMIF($G1152:$T1152,"",$G1153:$T1153)+SUMIF($G1152:$T1152,"F",$G1153:$T1153)+SUMIF($G1152:$T1152,"V",$G1153:$T1153)-($U$9/2))+IF(SUMIF($W1152:$AJ1152,"",$W1153:$AJ1153)+SUMIF($W1152:$AJ1152,"F",$W1153:$AJ1153)+SUMIF($W1152:$AJ1152,"V",$W1153:$AJ1153)-40&lt;0,0,SUMIF($W1152:$AJ1152,"",$W1153:$AJ1153)+SUMIF($W1152:$AJ1152,"F",$W1153:$AJ1153)+SUMIF($W1152:$AJ1152,"V",$W1153:$AJ1153)-($U$9/2))</f>
        <v>0</v>
      </c>
      <c r="AO1153" s="73">
        <f>SUMIF($G1152:$T1152,"M",$G1153:$T1153)+SUMIF($W1152:$AJ1152,"M",$W1153:$AJ1153)</f>
        <v>0</v>
      </c>
      <c r="AP1153" s="73">
        <f>SUMIF($G1152:$T1152,"F",$G1153:$T1153)+SUMIF($W1152:$AJ1152,"F",$W1153:$AJ1153)</f>
        <v>0</v>
      </c>
      <c r="AQ1153" s="73">
        <f>SUMIF($G1152:$T1152,"V",$G1153:$T1153)+SUMIF($W1152:$AJ1152,"V",$W1153:$AJ1153)</f>
        <v>0</v>
      </c>
      <c r="AR1153" s="74">
        <f>SUMIF($G1152:$T1152,"O",$G1153:$T1153)+SUMIF($W1152:$AJ1152,"O",$W1153:$AJ1153)</f>
        <v>0</v>
      </c>
      <c r="AS1153" s="75">
        <f>SUM(AM1153:AR1153)</f>
        <v>0</v>
      </c>
      <c r="AT1153" s="72"/>
      <c r="AU1153" s="73">
        <f>SUMIF($G1152:$T1152,"A",$G1153:$T1153)+SUMIF($W1152:$AJ1152,"A",$W1153:$AJ1153)</f>
        <v>0</v>
      </c>
      <c r="AV1153" s="72"/>
      <c r="AW1153" s="76">
        <f>IF(B1153="",0,IF($U$9="",0,$U$9))</f>
        <v>0</v>
      </c>
      <c r="BA1153" s="2"/>
      <c r="BB1153" s="2"/>
      <c r="BC1153" s="101"/>
      <c r="BD1153" s="101"/>
    </row>
    <row r="1154" spans="1:56" s="84" customFormat="1" x14ac:dyDescent="0.35">
      <c r="B1154" s="26"/>
      <c r="C1154" s="27"/>
      <c r="D1154" s="28">
        <f>IF(D1080="","",D1080)</f>
        <v>11792</v>
      </c>
      <c r="E1154" s="29" t="str">
        <f t="shared" si="455"/>
        <v/>
      </c>
      <c r="F1154" s="50">
        <f>B1119</f>
        <v>25</v>
      </c>
      <c r="G1154" s="59"/>
      <c r="H1154" s="64"/>
      <c r="I1154" s="106"/>
      <c r="J1154" s="105"/>
      <c r="K1154" s="106"/>
      <c r="L1154" s="105"/>
      <c r="M1154" s="106"/>
      <c r="N1154" s="105"/>
      <c r="O1154" s="106"/>
      <c r="P1154" s="105"/>
      <c r="Q1154" s="106"/>
      <c r="R1154" s="105"/>
      <c r="S1154" s="59"/>
      <c r="T1154" s="64"/>
      <c r="U1154" s="44"/>
      <c r="W1154" s="59"/>
      <c r="X1154" s="64"/>
      <c r="Y1154" s="106"/>
      <c r="Z1154" s="105"/>
      <c r="AA1154" s="106"/>
      <c r="AB1154" s="105"/>
      <c r="AC1154" s="106"/>
      <c r="AD1154" s="105"/>
      <c r="AE1154" s="106"/>
      <c r="AF1154" s="105"/>
      <c r="AG1154" s="106"/>
      <c r="AH1154" s="105"/>
      <c r="AI1154" s="59"/>
      <c r="AJ1154" s="64"/>
      <c r="AK1154" s="44"/>
      <c r="AM1154" s="49"/>
      <c r="AN1154" s="49"/>
      <c r="AO1154" s="49"/>
      <c r="AP1154" s="49"/>
      <c r="AQ1154" s="49"/>
      <c r="AR1154" s="40"/>
      <c r="AS1154" s="51"/>
      <c r="AU1154" s="49"/>
      <c r="AW1154" s="52"/>
      <c r="BA1154" s="2"/>
      <c r="BB1154" s="2"/>
      <c r="BC1154" s="101"/>
      <c r="BD1154" s="101"/>
    </row>
    <row r="1155" spans="1:56" s="84" customFormat="1" x14ac:dyDescent="0.35">
      <c r="B1155" s="30" t="str">
        <f>IF(B1081="","",B1081)</f>
        <v>Pellerin, Pierre</v>
      </c>
      <c r="C1155" s="31"/>
      <c r="D1155" s="32"/>
      <c r="E1155" s="33">
        <f t="shared" si="455"/>
        <v>93595935</v>
      </c>
      <c r="F1155" s="50">
        <f>B1119</f>
        <v>25</v>
      </c>
      <c r="G1155" s="69"/>
      <c r="H1155" s="70"/>
      <c r="I1155" s="104"/>
      <c r="J1155" s="103">
        <v>8</v>
      </c>
      <c r="K1155" s="104"/>
      <c r="L1155" s="103">
        <v>8</v>
      </c>
      <c r="M1155" s="104"/>
      <c r="N1155" s="103">
        <v>8</v>
      </c>
      <c r="O1155" s="104"/>
      <c r="P1155" s="103">
        <v>8</v>
      </c>
      <c r="Q1155" s="104"/>
      <c r="R1155" s="103">
        <v>8</v>
      </c>
      <c r="S1155" s="69"/>
      <c r="T1155" s="70"/>
      <c r="U1155" s="71">
        <f t="shared" ref="U1155" si="470">SUM(G1155:T1155)</f>
        <v>40</v>
      </c>
      <c r="V1155" s="72"/>
      <c r="W1155" s="69"/>
      <c r="X1155" s="70"/>
      <c r="Y1155" s="104"/>
      <c r="Z1155" s="103">
        <v>8</v>
      </c>
      <c r="AA1155" s="104"/>
      <c r="AB1155" s="103">
        <v>8</v>
      </c>
      <c r="AC1155" s="104"/>
      <c r="AD1155" s="103">
        <v>8</v>
      </c>
      <c r="AE1155" s="104"/>
      <c r="AF1155" s="103">
        <v>8</v>
      </c>
      <c r="AG1155" s="104"/>
      <c r="AH1155" s="103">
        <v>8</v>
      </c>
      <c r="AI1155" s="69"/>
      <c r="AJ1155" s="70"/>
      <c r="AK1155" s="71">
        <f>SUM(Z1155:AH1155)</f>
        <v>40</v>
      </c>
      <c r="AL1155" s="72"/>
      <c r="AM1155" s="73">
        <f>SUMIF($G1154:$T1154,"",$G1155:$T1155)+SUMIF($W1154:$AJ1154,"",$W1155:$AJ1155)-AN1155</f>
        <v>80</v>
      </c>
      <c r="AN1155" s="88">
        <f>IF(SUMIF($G1154:$T1154,"",$G1155:$T1155)+SUMIF($G1154:$T1154,"F",$G1155:$T1155)+SUMIF($G1154:$T1154,"V",$G1155:$T1155)-40&lt;0,0,SUMIF($G1154:$T1154,"",$G1155:$T1155)+SUMIF($G1154:$T1154,"F",$G1155:$T1155)+SUMIF($G1154:$T1154,"V",$G1155:$T1155)-($U$9/2))+IF(SUMIF($W1154:$AJ1154,"",$W1155:$AJ1155)+SUMIF($W1154:$AJ1154,"F",$W1155:$AJ1155)+SUMIF($W1154:$AJ1154,"V",$W1155:$AJ1155)-40&lt;0,0,SUMIF($W1154:$AJ1154,"",$W1155:$AJ1155)+SUMIF($W1154:$AJ1154,"F",$W1155:$AJ1155)+SUMIF($W1154:$AJ1154,"V",$W1155:$AJ1155)-($U$9/2))</f>
        <v>0</v>
      </c>
      <c r="AO1155" s="73">
        <f>SUMIF($G1154:$T1154,"M",$G1155:$T1155)+SUMIF($W1154:$AJ1154,"M",$W1155:$AJ1155)</f>
        <v>0</v>
      </c>
      <c r="AP1155" s="73">
        <f>SUMIF($G1154:$T1154,"F",$G1155:$T1155)+SUMIF($W1154:$AJ1154,"F",$W1155:$AJ1155)</f>
        <v>0</v>
      </c>
      <c r="AQ1155" s="73">
        <f>SUMIF($G1154:$T1154,"V",$G1155:$T1155)+SUMIF($W1154:$AJ1154,"V",$W1155:$AJ1155)</f>
        <v>0</v>
      </c>
      <c r="AR1155" s="74">
        <f>SUMIF($G1154:$T1154,"O",$G1155:$T1155)+SUMIF($W1154:$AJ1154,"O",$W1155:$AJ1155)</f>
        <v>0</v>
      </c>
      <c r="AS1155" s="75">
        <f>SUM(AM1155:AR1155)</f>
        <v>80</v>
      </c>
      <c r="AT1155" s="72"/>
      <c r="AU1155" s="73">
        <f>SUMIF($G1154:$T1154,"A",$G1155:$T1155)+SUMIF($W1154:$AJ1154,"A",$W1155:$AJ1155)</f>
        <v>0</v>
      </c>
      <c r="AV1155" s="72"/>
      <c r="AW1155" s="76">
        <f>IF(B1155="",0,IF($U$9="",0,$U$9))</f>
        <v>80</v>
      </c>
      <c r="BA1155" s="2"/>
      <c r="BB1155" s="2"/>
      <c r="BC1155" s="101"/>
      <c r="BD1155" s="101"/>
    </row>
    <row r="1156" spans="1:56" s="84" customFormat="1" x14ac:dyDescent="0.35">
      <c r="B1156" s="26"/>
      <c r="C1156" s="27"/>
      <c r="D1156" s="28">
        <f>IF(D1082="","",D1082)</f>
        <v>81043</v>
      </c>
      <c r="E1156" s="29" t="str">
        <f t="shared" si="455"/>
        <v/>
      </c>
      <c r="F1156" s="50">
        <f>B1119</f>
        <v>25</v>
      </c>
      <c r="G1156" s="59"/>
      <c r="H1156" s="64"/>
      <c r="I1156" s="106"/>
      <c r="J1156" s="105"/>
      <c r="K1156" s="106"/>
      <c r="L1156" s="105"/>
      <c r="M1156" s="106"/>
      <c r="N1156" s="105"/>
      <c r="O1156" s="106"/>
      <c r="P1156" s="105"/>
      <c r="Q1156" s="106"/>
      <c r="R1156" s="105"/>
      <c r="S1156" s="59"/>
      <c r="T1156" s="64"/>
      <c r="U1156" s="44"/>
      <c r="W1156" s="59"/>
      <c r="X1156" s="64"/>
      <c r="Y1156" s="106"/>
      <c r="Z1156" s="105"/>
      <c r="AA1156" s="106"/>
      <c r="AB1156" s="105"/>
      <c r="AC1156" s="106"/>
      <c r="AD1156" s="105"/>
      <c r="AE1156" s="106"/>
      <c r="AF1156" s="105"/>
      <c r="AG1156" s="106"/>
      <c r="AH1156" s="105"/>
      <c r="AI1156" s="59"/>
      <c r="AJ1156" s="64"/>
      <c r="AK1156" s="44"/>
      <c r="AM1156" s="49"/>
      <c r="AN1156" s="49"/>
      <c r="AO1156" s="49"/>
      <c r="AP1156" s="49"/>
      <c r="AQ1156" s="49"/>
      <c r="AR1156" s="40"/>
      <c r="AS1156" s="51"/>
      <c r="AU1156" s="49"/>
      <c r="AW1156" s="52"/>
      <c r="BA1156" s="2"/>
      <c r="BB1156" s="2"/>
      <c r="BC1156" s="101"/>
      <c r="BD1156" s="101"/>
    </row>
    <row r="1157" spans="1:56" s="84" customFormat="1" x14ac:dyDescent="0.35">
      <c r="B1157" s="30" t="str">
        <f>IF(B1083="","",B1083)</f>
        <v>Rodrigue, Frank</v>
      </c>
      <c r="C1157" s="31"/>
      <c r="D1157" s="32"/>
      <c r="E1157" s="33">
        <f t="shared" ref="E1157:E1173" si="471">IF(E1083="","",E1083)</f>
        <v>93545</v>
      </c>
      <c r="F1157" s="50">
        <f>B1119</f>
        <v>25</v>
      </c>
      <c r="G1157" s="69"/>
      <c r="H1157" s="70"/>
      <c r="I1157" s="104"/>
      <c r="J1157" s="103">
        <v>8</v>
      </c>
      <c r="K1157" s="104"/>
      <c r="L1157" s="103">
        <v>8</v>
      </c>
      <c r="M1157" s="104"/>
      <c r="N1157" s="103">
        <v>8</v>
      </c>
      <c r="O1157" s="104"/>
      <c r="P1157" s="103">
        <v>8</v>
      </c>
      <c r="Q1157" s="104"/>
      <c r="R1157" s="103">
        <v>8</v>
      </c>
      <c r="S1157" s="69"/>
      <c r="T1157" s="70"/>
      <c r="U1157" s="71">
        <f t="shared" ref="U1157" si="472">SUM(G1157:T1157)</f>
        <v>40</v>
      </c>
      <c r="V1157" s="72"/>
      <c r="W1157" s="69"/>
      <c r="X1157" s="70"/>
      <c r="Y1157" s="104"/>
      <c r="Z1157" s="103">
        <v>8</v>
      </c>
      <c r="AA1157" s="104"/>
      <c r="AB1157" s="103">
        <v>8</v>
      </c>
      <c r="AC1157" s="104"/>
      <c r="AD1157" s="103">
        <v>8</v>
      </c>
      <c r="AE1157" s="104"/>
      <c r="AF1157" s="103">
        <v>8</v>
      </c>
      <c r="AG1157" s="104"/>
      <c r="AH1157" s="103">
        <v>8</v>
      </c>
      <c r="AI1157" s="69"/>
      <c r="AJ1157" s="70"/>
      <c r="AK1157" s="71">
        <f>SUM(W1157:AJ1157)</f>
        <v>40</v>
      </c>
      <c r="AL1157" s="72"/>
      <c r="AM1157" s="73">
        <f>SUMIF($G1156:$T1156,"",$G1157:$T1157)+SUMIF($W1156:$AJ1156,"",$W1157:$AJ1157)-AN1157</f>
        <v>80</v>
      </c>
      <c r="AN1157" s="88">
        <f>IF(SUMIF($G1156:$T1156,"",$G1157:$T1157)+SUMIF($G1156:$T1156,"F",$G1157:$T1157)+SUMIF($G1156:$T1156,"V",$G1157:$T1157)-40&lt;0,0,SUMIF($G1156:$T1156,"",$G1157:$T1157)+SUMIF($G1156:$T1156,"F",$G1157:$T1157)+SUMIF($G1156:$T1156,"V",$G1157:$T1157)-($U$9/2))+IF(SUMIF($W1156:$AJ1156,"",$W1157:$AJ1157)+SUMIF($W1156:$AJ1156,"F",$W1157:$AJ1157)+SUMIF($W1156:$AJ1156,"V",$W1157:$AJ1157)-40&lt;0,0,SUMIF($W1156:$AJ1156,"",$W1157:$AJ1157)+SUMIF($W1156:$AJ1156,"F",$W1157:$AJ1157)+SUMIF($W1156:$AJ1156,"V",$W1157:$AJ1157)-($U$9/2))</f>
        <v>0</v>
      </c>
      <c r="AO1157" s="73">
        <f>SUMIF($G1156:$T1156,"M",$G1157:$T1157)+SUMIF($W1156:$AJ1156,"M",$W1157:$AJ1157)</f>
        <v>0</v>
      </c>
      <c r="AP1157" s="73">
        <f>SUMIF($G1156:$T1156,"F",$G1157:$T1157)+SUMIF($W1156:$AJ1156,"F",$W1157:$AJ1157)</f>
        <v>0</v>
      </c>
      <c r="AQ1157" s="73">
        <f>SUMIF($G1156:$T1156,"V",$G1157:$T1157)+SUMIF($W1156:$AJ1156,"V",$W1157:$AJ1157)</f>
        <v>0</v>
      </c>
      <c r="AR1157" s="74">
        <f>SUMIF($G1156:$T1156,"O",$G1157:$T1157)+SUMIF($W1156:$AJ1156,"O",$W1157:$AJ1157)</f>
        <v>0</v>
      </c>
      <c r="AS1157" s="75">
        <f>SUM(AM1157:AR1157)</f>
        <v>80</v>
      </c>
      <c r="AT1157" s="72"/>
      <c r="AU1157" s="73">
        <f>SUMIF($G1156:$T1156,"A",$G1157:$T1157)+SUMIF($W1156:$AJ1156,"A",$W1157:$AJ1157)</f>
        <v>0</v>
      </c>
      <c r="AV1157" s="72"/>
      <c r="AW1157" s="76">
        <f>IF(B1157="",0,IF($U$9="",0,$U$9))</f>
        <v>80</v>
      </c>
      <c r="BA1157" s="2"/>
      <c r="BB1157" s="2"/>
      <c r="BC1157" s="101"/>
      <c r="BD1157" s="101"/>
    </row>
    <row r="1158" spans="1:56" s="84" customFormat="1" x14ac:dyDescent="0.35">
      <c r="B1158" s="26"/>
      <c r="C1158" s="27"/>
      <c r="D1158" s="28">
        <f>IF(D1084="","",D1084)</f>
        <v>72673</v>
      </c>
      <c r="E1158" s="29" t="str">
        <f t="shared" si="471"/>
        <v/>
      </c>
      <c r="F1158" s="50">
        <f>B1119</f>
        <v>25</v>
      </c>
      <c r="G1158" s="59"/>
      <c r="H1158" s="64"/>
      <c r="I1158" s="106"/>
      <c r="J1158" s="105"/>
      <c r="K1158" s="106"/>
      <c r="L1158" s="105"/>
      <c r="M1158" s="106"/>
      <c r="N1158" s="105"/>
      <c r="O1158" s="106"/>
      <c r="P1158" s="105"/>
      <c r="Q1158" s="106"/>
      <c r="R1158" s="105"/>
      <c r="S1158" s="59"/>
      <c r="T1158" s="64"/>
      <c r="U1158" s="44"/>
      <c r="W1158" s="59"/>
      <c r="X1158" s="64"/>
      <c r="Y1158" s="106"/>
      <c r="Z1158" s="105"/>
      <c r="AA1158" s="106"/>
      <c r="AB1158" s="105"/>
      <c r="AC1158" s="106"/>
      <c r="AD1158" s="105"/>
      <c r="AE1158" s="106"/>
      <c r="AF1158" s="105"/>
      <c r="AG1158" s="106"/>
      <c r="AH1158" s="105"/>
      <c r="AI1158" s="59"/>
      <c r="AJ1158" s="64"/>
      <c r="AK1158" s="44"/>
      <c r="AM1158" s="49"/>
      <c r="AN1158" s="49"/>
      <c r="AO1158" s="49"/>
      <c r="AP1158" s="49"/>
      <c r="AQ1158" s="49"/>
      <c r="AR1158" s="40"/>
      <c r="AS1158" s="51"/>
      <c r="AU1158" s="49"/>
      <c r="AW1158" s="52"/>
      <c r="BA1158" s="2"/>
      <c r="BB1158" s="2"/>
      <c r="BC1158" s="101"/>
      <c r="BD1158" s="101"/>
    </row>
    <row r="1159" spans="1:56" s="84" customFormat="1" x14ac:dyDescent="0.35">
      <c r="B1159" s="30" t="str">
        <f>IF(B1085="","",B1085)</f>
        <v>St-Georges, Manuel (avance $2,000)</v>
      </c>
      <c r="C1159" s="31"/>
      <c r="D1159" s="32"/>
      <c r="E1159" s="33">
        <f t="shared" si="471"/>
        <v>93595935</v>
      </c>
      <c r="F1159" s="50">
        <f>B1119</f>
        <v>25</v>
      </c>
      <c r="G1159" s="69"/>
      <c r="H1159" s="70"/>
      <c r="I1159" s="104"/>
      <c r="J1159" s="103" t="s">
        <v>69</v>
      </c>
      <c r="K1159" s="104"/>
      <c r="L1159" s="103" t="s">
        <v>69</v>
      </c>
      <c r="M1159" s="104"/>
      <c r="N1159" s="103" t="s">
        <v>69</v>
      </c>
      <c r="O1159" s="104"/>
      <c r="P1159" s="103" t="s">
        <v>69</v>
      </c>
      <c r="Q1159" s="104"/>
      <c r="R1159" s="103" t="s">
        <v>69</v>
      </c>
      <c r="S1159" s="69"/>
      <c r="T1159" s="70"/>
      <c r="U1159" s="71">
        <f t="shared" ref="U1159" si="473">SUM(G1159:T1159)</f>
        <v>0</v>
      </c>
      <c r="V1159" s="72"/>
      <c r="W1159" s="69"/>
      <c r="X1159" s="70"/>
      <c r="Y1159" s="104"/>
      <c r="Z1159" s="103" t="s">
        <v>69</v>
      </c>
      <c r="AA1159" s="104"/>
      <c r="AB1159" s="103" t="s">
        <v>69</v>
      </c>
      <c r="AC1159" s="104"/>
      <c r="AD1159" s="103" t="s">
        <v>69</v>
      </c>
      <c r="AE1159" s="104"/>
      <c r="AF1159" s="103" t="s">
        <v>69</v>
      </c>
      <c r="AG1159" s="104"/>
      <c r="AH1159" s="103" t="s">
        <v>69</v>
      </c>
      <c r="AI1159" s="69"/>
      <c r="AJ1159" s="70"/>
      <c r="AK1159" s="71">
        <f>SUM(W1159:AJ1159)</f>
        <v>0</v>
      </c>
      <c r="AL1159" s="72"/>
      <c r="AM1159" s="73">
        <f>SUMIF($G1158:$T1158,"",$G1159:$T1159)+SUMIF($W1158:$AJ1158,"",$W1159:$AJ1159)-AN1159</f>
        <v>0</v>
      </c>
      <c r="AN1159" s="88">
        <f>IF(SUMIF($G1158:$T1158,"",$G1159:$T1159)+SUMIF($G1158:$T1158,"F",$G1159:$T1159)+SUMIF($G1158:$T1158,"V",$G1159:$T1159)-40&lt;0,0,SUMIF($G1158:$T1158,"",$G1159:$T1159)+SUMIF($G1158:$T1158,"F",$G1159:$T1159)+SUMIF($G1158:$T1158,"V",$G1159:$T1159)-($U$9/2))+IF(SUMIF($W1158:$AJ1158,"",$W1159:$AJ1159)+SUMIF($W1158:$AJ1158,"F",$W1159:$AJ1159)+SUMIF($W1158:$AJ1158,"V",$W1159:$AJ1159)-40&lt;0,0,SUMIF($W1158:$AJ1158,"",$W1159:$AJ1159)+SUMIF($W1158:$AJ1158,"F",$W1159:$AJ1159)+SUMIF($W1158:$AJ1158,"V",$W1159:$AJ1159)-($U$9/2))</f>
        <v>0</v>
      </c>
      <c r="AO1159" s="73">
        <f>SUMIF($G1158:$T1158,"M",$G1159:$T1159)+SUMIF($W1158:$AJ1158,"M",$W1159:$AJ1159)</f>
        <v>0</v>
      </c>
      <c r="AP1159" s="73">
        <f>SUMIF($G1158:$T1158,"F",$G1159:$T1159)+SUMIF($W1158:$AJ1158,"F",$W1159:$AJ1159)</f>
        <v>0</v>
      </c>
      <c r="AQ1159" s="73">
        <f>SUMIF($G1158:$T1158,"V",$G1159:$T1159)+SUMIF($W1158:$AJ1158,"V",$W1159:$AJ1159)</f>
        <v>0</v>
      </c>
      <c r="AR1159" s="74">
        <f>SUMIF($G1158:$T1158,"O",$G1159:$T1159)+SUMIF($W1158:$AJ1158,"O",$W1159:$AJ1159)</f>
        <v>0</v>
      </c>
      <c r="AS1159" s="75">
        <f>SUM(AM1159:AR1159)</f>
        <v>0</v>
      </c>
      <c r="AT1159" s="72"/>
      <c r="AU1159" s="73">
        <f>SUMIF($G1158:$T1158,"A",$G1159:$T1159)+SUMIF($W1158:$AJ1158,"A",$W1159:$AJ1159)</f>
        <v>0</v>
      </c>
      <c r="AV1159" s="72"/>
      <c r="AW1159" s="76">
        <f>IF(B1159="",0,IF($U$9="",0,$U$9))</f>
        <v>80</v>
      </c>
      <c r="BA1159" s="2"/>
      <c r="BB1159" s="2"/>
      <c r="BC1159" s="101"/>
      <c r="BD1159" s="101"/>
    </row>
    <row r="1160" spans="1:56" s="84" customFormat="1" x14ac:dyDescent="0.35">
      <c r="B1160" s="26"/>
      <c r="C1160" s="27"/>
      <c r="D1160" s="28" t="str">
        <f>IF(D1086="","",D1086)</f>
        <v/>
      </c>
      <c r="E1160" s="29" t="str">
        <f t="shared" si="471"/>
        <v/>
      </c>
      <c r="F1160" s="50">
        <f>B1119</f>
        <v>25</v>
      </c>
      <c r="G1160" s="59"/>
      <c r="H1160" s="64"/>
      <c r="I1160" s="106"/>
      <c r="J1160" s="105"/>
      <c r="K1160" s="106"/>
      <c r="L1160" s="105"/>
      <c r="M1160" s="106"/>
      <c r="N1160" s="105"/>
      <c r="O1160" s="106"/>
      <c r="P1160" s="105"/>
      <c r="Q1160" s="106"/>
      <c r="R1160" s="105"/>
      <c r="S1160" s="59"/>
      <c r="T1160" s="64"/>
      <c r="U1160" s="44"/>
      <c r="W1160" s="59"/>
      <c r="X1160" s="64"/>
      <c r="Y1160" s="106"/>
      <c r="Z1160" s="105"/>
      <c r="AA1160" s="106"/>
      <c r="AB1160" s="105"/>
      <c r="AC1160" s="106"/>
      <c r="AD1160" s="105"/>
      <c r="AE1160" s="106"/>
      <c r="AF1160" s="105"/>
      <c r="AG1160" s="106"/>
      <c r="AH1160" s="105"/>
      <c r="AI1160" s="59"/>
      <c r="AJ1160" s="64"/>
      <c r="AK1160" s="44"/>
      <c r="AM1160" s="49"/>
      <c r="AN1160" s="49"/>
      <c r="AO1160" s="49"/>
      <c r="AP1160" s="49"/>
      <c r="AQ1160" s="49"/>
      <c r="AR1160" s="40"/>
      <c r="AS1160" s="51"/>
      <c r="AU1160" s="49"/>
      <c r="AW1160" s="52"/>
      <c r="BA1160" s="2"/>
      <c r="BB1160" s="2"/>
      <c r="BC1160" s="101"/>
      <c r="BD1160" s="101"/>
    </row>
    <row r="1161" spans="1:56" s="84" customFormat="1" x14ac:dyDescent="0.35">
      <c r="B1161" s="30" t="str">
        <f>IF(B1087="","",B1087)</f>
        <v/>
      </c>
      <c r="C1161" s="31"/>
      <c r="D1161" s="32"/>
      <c r="E1161" s="33" t="str">
        <f t="shared" si="471"/>
        <v/>
      </c>
      <c r="F1161" s="50">
        <f>B1119</f>
        <v>25</v>
      </c>
      <c r="G1161" s="69"/>
      <c r="H1161" s="70"/>
      <c r="I1161" s="104"/>
      <c r="J1161" s="103"/>
      <c r="K1161" s="104"/>
      <c r="L1161" s="103"/>
      <c r="M1161" s="104"/>
      <c r="N1161" s="103"/>
      <c r="O1161" s="104"/>
      <c r="P1161" s="103"/>
      <c r="Q1161" s="104"/>
      <c r="R1161" s="103"/>
      <c r="S1161" s="69"/>
      <c r="T1161" s="70"/>
      <c r="U1161" s="71">
        <f t="shared" ref="U1161" si="474">SUM(G1161:T1161)</f>
        <v>0</v>
      </c>
      <c r="V1161" s="72"/>
      <c r="W1161" s="69"/>
      <c r="X1161" s="70"/>
      <c r="Y1161" s="104"/>
      <c r="Z1161" s="103"/>
      <c r="AA1161" s="104"/>
      <c r="AB1161" s="103"/>
      <c r="AC1161" s="104"/>
      <c r="AD1161" s="103"/>
      <c r="AE1161" s="104"/>
      <c r="AF1161" s="103"/>
      <c r="AG1161" s="104"/>
      <c r="AH1161" s="103"/>
      <c r="AI1161" s="69"/>
      <c r="AJ1161" s="70"/>
      <c r="AK1161" s="71">
        <f>SUM(W1161:AJ1161)</f>
        <v>0</v>
      </c>
      <c r="AL1161" s="72"/>
      <c r="AM1161" s="73">
        <f>SUMIF($G1160:$T1160,"",$G1161:$T1161)+SUMIF($W1160:$AJ1160,"",$W1161:$AJ1161)-AN1161</f>
        <v>0</v>
      </c>
      <c r="AN1161" s="88">
        <f>IF(SUMIF($G1160:$T1160,"",$G1161:$T1161)+SUMIF($G1160:$T1160,"F",$G1161:$T1161)+SUMIF($G1160:$T1160,"V",$G1161:$T1161)-40&lt;0,0,SUMIF($G1160:$T1160,"",$G1161:$T1161)+SUMIF($G1160:$T1160,"F",$G1161:$T1161)+SUMIF($G1160:$T1160,"V",$G1161:$T1161)-($U$9/2))+IF(SUMIF($W1160:$AJ1160,"",$W1161:$AJ1161)+SUMIF($W1160:$AJ1160,"F",$W1161:$AJ1161)+SUMIF($W1160:$AJ1160,"V",$W1161:$AJ1161)-40&lt;0,0,SUMIF($W1160:$AJ1160,"",$W1161:$AJ1161)+SUMIF($W1160:$AJ1160,"F",$W1161:$AJ1161)+SUMIF($W1160:$AJ1160,"V",$W1161:$AJ1161)-($U$9/2))</f>
        <v>0</v>
      </c>
      <c r="AO1161" s="73">
        <f>SUMIF($G1160:$T1160,"M",$G1161:$T1161)+SUMIF($W1160:$AJ1160,"M",$W1161:$AJ1161)</f>
        <v>0</v>
      </c>
      <c r="AP1161" s="73">
        <f>SUMIF($G1160:$T1160,"F",$G1161:$T1161)+SUMIF($W1160:$AJ1160,"F",$W1161:$AJ1161)</f>
        <v>0</v>
      </c>
      <c r="AQ1161" s="73">
        <f>SUMIF($G1160:$T1160,"V",$G1161:$T1161)+SUMIF($W1160:$AJ1160,"V",$W1161:$AJ1161)</f>
        <v>0</v>
      </c>
      <c r="AR1161" s="74">
        <f>SUMIF($G1160:$T1160,"O",$G1161:$T1161)+SUMIF($W1160:$AJ1160,"O",$W1161:$AJ1161)</f>
        <v>0</v>
      </c>
      <c r="AS1161" s="75">
        <f>SUM(AM1161:AR1161)</f>
        <v>0</v>
      </c>
      <c r="AT1161" s="72"/>
      <c r="AU1161" s="73">
        <f>SUMIF($G1160:$T1160,"A",$G1161:$T1161)+SUMIF($W1160:$AJ1160,"A",$W1161:$AJ1161)</f>
        <v>0</v>
      </c>
      <c r="AV1161" s="72"/>
      <c r="AW1161" s="76">
        <f>IF(B1161="",0,IF($U$9="",0,$U$9))</f>
        <v>0</v>
      </c>
      <c r="BA1161" s="2"/>
      <c r="BB1161" s="2"/>
      <c r="BC1161" s="101"/>
      <c r="BD1161" s="101"/>
    </row>
    <row r="1162" spans="1:56" s="84" customFormat="1" x14ac:dyDescent="0.35">
      <c r="B1162" s="26"/>
      <c r="C1162" s="27"/>
      <c r="D1162" s="28">
        <f>IF(D1088="","",D1088)</f>
        <v>23736</v>
      </c>
      <c r="E1162" s="29" t="str">
        <f t="shared" si="471"/>
        <v/>
      </c>
      <c r="F1162" s="50">
        <f>B1119</f>
        <v>25</v>
      </c>
      <c r="G1162" s="59"/>
      <c r="H1162" s="64"/>
      <c r="I1162" s="106"/>
      <c r="J1162" s="105"/>
      <c r="K1162" s="106"/>
      <c r="L1162" s="105"/>
      <c r="M1162" s="106"/>
      <c r="N1162" s="105"/>
      <c r="O1162" s="106"/>
      <c r="P1162" s="105"/>
      <c r="Q1162" s="106"/>
      <c r="R1162" s="105"/>
      <c r="S1162" s="59"/>
      <c r="T1162" s="64"/>
      <c r="U1162" s="44"/>
      <c r="W1162" s="59"/>
      <c r="X1162" s="64"/>
      <c r="Y1162" s="106"/>
      <c r="Z1162" s="105"/>
      <c r="AA1162" s="106"/>
      <c r="AB1162" s="105"/>
      <c r="AC1162" s="106"/>
      <c r="AD1162" s="105"/>
      <c r="AE1162" s="106"/>
      <c r="AF1162" s="105"/>
      <c r="AG1162" s="106"/>
      <c r="AH1162" s="105"/>
      <c r="AI1162" s="59"/>
      <c r="AJ1162" s="64"/>
      <c r="AK1162" s="44"/>
      <c r="AM1162" s="49"/>
      <c r="AN1162" s="49"/>
      <c r="AO1162" s="49"/>
      <c r="AP1162" s="49"/>
      <c r="AQ1162" s="49"/>
      <c r="AR1162" s="40"/>
      <c r="AS1162" s="51"/>
      <c r="AU1162" s="49"/>
      <c r="AW1162" s="52"/>
      <c r="BA1162" s="2"/>
      <c r="BB1162" s="2"/>
      <c r="BC1162" s="101"/>
      <c r="BD1162" s="101"/>
    </row>
    <row r="1163" spans="1:56" s="84" customFormat="1" x14ac:dyDescent="0.35">
      <c r="B1163" s="30" t="str">
        <f>IF(B1089="","",B1089)</f>
        <v>Voster, Jean-Michel</v>
      </c>
      <c r="C1163" s="31"/>
      <c r="D1163" s="32"/>
      <c r="E1163" s="33">
        <f t="shared" si="471"/>
        <v>93545</v>
      </c>
      <c r="F1163" s="50">
        <f>B1119</f>
        <v>25</v>
      </c>
      <c r="G1163" s="69"/>
      <c r="H1163" s="70"/>
      <c r="I1163" s="104"/>
      <c r="J1163" s="103">
        <v>8.75</v>
      </c>
      <c r="K1163" s="104"/>
      <c r="L1163" s="103">
        <v>11.5</v>
      </c>
      <c r="M1163" s="104"/>
      <c r="N1163" s="103">
        <v>12.75</v>
      </c>
      <c r="O1163" s="104"/>
      <c r="P1163" s="103">
        <v>7.5</v>
      </c>
      <c r="Q1163" s="104"/>
      <c r="R1163" s="103">
        <v>5.5</v>
      </c>
      <c r="S1163" s="69"/>
      <c r="T1163" s="70"/>
      <c r="U1163" s="71">
        <f t="shared" ref="U1163" si="475">SUM(G1163:T1163)</f>
        <v>46</v>
      </c>
      <c r="V1163" s="72"/>
      <c r="W1163" s="69"/>
      <c r="X1163" s="70"/>
      <c r="Y1163" s="104"/>
      <c r="Z1163" s="103">
        <v>8.25</v>
      </c>
      <c r="AA1163" s="104"/>
      <c r="AB1163" s="103">
        <v>3</v>
      </c>
      <c r="AC1163" s="104"/>
      <c r="AD1163" s="103" t="s">
        <v>103</v>
      </c>
      <c r="AE1163" s="104"/>
      <c r="AF1163" s="103">
        <v>8.25</v>
      </c>
      <c r="AG1163" s="104"/>
      <c r="AH1163" s="103">
        <v>8.5</v>
      </c>
      <c r="AI1163" s="69"/>
      <c r="AJ1163" s="70"/>
      <c r="AK1163" s="71">
        <f>SUM(W1163:AJ1163)</f>
        <v>28</v>
      </c>
      <c r="AL1163" s="72"/>
      <c r="AM1163" s="73">
        <f>SUMIF($G1162:$T1162,"",$G1163:$T1163)+SUMIF($W1162:$AJ1162,"",$W1163:$AJ1163)-AN1163</f>
        <v>68</v>
      </c>
      <c r="AN1163" s="88">
        <f>IF(SUMIF($G1162:$T1162,"",$G1163:$T1163)+SUMIF($G1162:$T1162,"F",$G1163:$T1163)+SUMIF($G1162:$T1162,"V",$G1163:$T1163)-40&lt;0,0,SUMIF($G1162:$T1162,"",$G1163:$T1163)+SUMIF($G1162:$T1162,"F",$G1163:$T1163)+SUMIF($G1162:$T1162,"V",$G1163:$T1163)-($U$9/2))+IF(SUMIF($W1162:$AJ1162,"",$W1163:$AJ1163)+SUMIF($W1162:$AJ1162,"F",$W1163:$AJ1163)+SUMIF($W1162:$AJ1162,"V",$W1163:$AJ1163)-40&lt;0,0,SUMIF($W1162:$AJ1162,"",$W1163:$AJ1163)+SUMIF($W1162:$AJ1162,"F",$W1163:$AJ1163)+SUMIF($W1162:$AJ1162,"V",$W1163:$AJ1163)-($U$9/2))</f>
        <v>6</v>
      </c>
      <c r="AO1163" s="73">
        <f>SUMIF($G1162:$T1162,"M",$G1163:$T1163)+SUMIF($W1162:$AJ1162,"M",$W1163:$AJ1163)</f>
        <v>0</v>
      </c>
      <c r="AP1163" s="73">
        <f>SUMIF($G1162:$T1162,"F",$G1163:$T1163)+SUMIF($W1162:$AJ1162,"F",$W1163:$AJ1163)</f>
        <v>0</v>
      </c>
      <c r="AQ1163" s="73">
        <f>SUMIF($G1162:$T1162,"V",$G1163:$T1163)+SUMIF($W1162:$AJ1162,"V",$W1163:$AJ1163)</f>
        <v>0</v>
      </c>
      <c r="AR1163" s="74">
        <f>SUMIF($G1162:$T1162,"O",$G1163:$T1163)+SUMIF($W1162:$AJ1162,"O",$W1163:$AJ1163)</f>
        <v>0</v>
      </c>
      <c r="AS1163" s="75">
        <f>SUM(AM1163:AR1163)</f>
        <v>74</v>
      </c>
      <c r="AT1163" s="72"/>
      <c r="AU1163" s="73">
        <f>SUMIF($G1162:$T1162,"A",$G1163:$T1163)+SUMIF($W1162:$AJ1162,"A",$W1163:$AJ1163)</f>
        <v>0</v>
      </c>
      <c r="AV1163" s="72"/>
      <c r="AW1163" s="76">
        <f>IF(B1163="",0,IF($U$9="",0,$U$9))</f>
        <v>80</v>
      </c>
      <c r="BA1163" s="2"/>
      <c r="BB1163" s="2"/>
      <c r="BC1163" s="101"/>
      <c r="BD1163" s="101"/>
    </row>
    <row r="1164" spans="1:56" s="53" customFormat="1" ht="15" customHeight="1" x14ac:dyDescent="0.35">
      <c r="A1164" s="84"/>
      <c r="B1164" s="26"/>
      <c r="C1164" s="27"/>
      <c r="D1164" s="28" t="str">
        <f>IF(D1090="","",D1090)</f>
        <v/>
      </c>
      <c r="E1164" s="29" t="str">
        <f t="shared" si="471"/>
        <v/>
      </c>
      <c r="F1164" s="50">
        <f>B1119</f>
        <v>25</v>
      </c>
      <c r="G1164" s="59"/>
      <c r="H1164" s="64"/>
      <c r="I1164" s="106"/>
      <c r="J1164" s="105"/>
      <c r="K1164" s="106"/>
      <c r="L1164" s="105"/>
      <c r="M1164" s="106"/>
      <c r="N1164" s="105"/>
      <c r="O1164" s="106"/>
      <c r="P1164" s="105"/>
      <c r="Q1164" s="106"/>
      <c r="R1164" s="105"/>
      <c r="S1164" s="59"/>
      <c r="T1164" s="64"/>
      <c r="U1164" s="44"/>
      <c r="V1164" s="84"/>
      <c r="W1164" s="59"/>
      <c r="X1164" s="64"/>
      <c r="Y1164" s="106"/>
      <c r="Z1164" s="105"/>
      <c r="AA1164" s="106"/>
      <c r="AB1164" s="105"/>
      <c r="AC1164" s="106"/>
      <c r="AD1164" s="105"/>
      <c r="AE1164" s="106"/>
      <c r="AF1164" s="105"/>
      <c r="AG1164" s="106"/>
      <c r="AH1164" s="105"/>
      <c r="AI1164" s="59"/>
      <c r="AJ1164" s="64"/>
      <c r="AK1164" s="44"/>
      <c r="AL1164" s="84"/>
      <c r="AM1164" s="49"/>
      <c r="AN1164" s="49"/>
      <c r="AO1164" s="49"/>
      <c r="AP1164" s="49"/>
      <c r="AQ1164" s="49"/>
      <c r="AR1164" s="40"/>
      <c r="AS1164" s="51"/>
      <c r="AT1164" s="84"/>
      <c r="AU1164" s="49"/>
      <c r="AV1164" s="84"/>
      <c r="AW1164" s="52"/>
      <c r="AX1164" s="84"/>
      <c r="BA1164" s="2"/>
      <c r="BB1164" s="2"/>
      <c r="BC1164" s="101"/>
      <c r="BD1164" s="101"/>
    </row>
    <row r="1165" spans="1:56" s="57" customFormat="1" ht="15" customHeight="1" x14ac:dyDescent="0.35">
      <c r="A1165" s="84"/>
      <c r="B1165" s="30" t="str">
        <f>IF(B1091="","",B1091)</f>
        <v/>
      </c>
      <c r="C1165" s="31"/>
      <c r="D1165" s="32"/>
      <c r="E1165" s="33" t="str">
        <f t="shared" si="471"/>
        <v/>
      </c>
      <c r="F1165" s="50">
        <f>B1119</f>
        <v>25</v>
      </c>
      <c r="G1165" s="69"/>
      <c r="H1165" s="70"/>
      <c r="I1165" s="104"/>
      <c r="J1165" s="103"/>
      <c r="K1165" s="104"/>
      <c r="L1165" s="103"/>
      <c r="M1165" s="104"/>
      <c r="N1165" s="103"/>
      <c r="O1165" s="104"/>
      <c r="P1165" s="103"/>
      <c r="Q1165" s="104"/>
      <c r="R1165" s="103"/>
      <c r="S1165" s="69"/>
      <c r="T1165" s="70"/>
      <c r="U1165" s="71">
        <f t="shared" ref="U1165" si="476">SUM(G1165:T1165)</f>
        <v>0</v>
      </c>
      <c r="V1165" s="72"/>
      <c r="W1165" s="69"/>
      <c r="X1165" s="70"/>
      <c r="Y1165" s="104"/>
      <c r="Z1165" s="103"/>
      <c r="AA1165" s="104"/>
      <c r="AB1165" s="103"/>
      <c r="AC1165" s="104"/>
      <c r="AD1165" s="103"/>
      <c r="AE1165" s="104"/>
      <c r="AF1165" s="103"/>
      <c r="AG1165" s="104"/>
      <c r="AH1165" s="103"/>
      <c r="AI1165" s="69"/>
      <c r="AJ1165" s="70"/>
      <c r="AK1165" s="71">
        <f>SUM(W1165:AJ1165)</f>
        <v>0</v>
      </c>
      <c r="AL1165" s="72"/>
      <c r="AM1165" s="73">
        <f>SUMIF($G1164:$T1164,"",$G1165:$T1165)+SUMIF($W1164:$AJ1164,"",$W1165:$AJ1165)-AN1165</f>
        <v>0</v>
      </c>
      <c r="AN1165" s="88">
        <f>IF(SUMIF($G1164:$T1164,"",$G1165:$T1165)+SUMIF($G1164:$T1164,"F",$G1165:$T1165)+SUMIF($G1164:$T1164,"V",$G1165:$T1165)-40&lt;0,0,SUMIF($G1164:$T1164,"",$G1165:$T1165)+SUMIF($G1164:$T1164,"F",$G1165:$T1165)+SUMIF($G1164:$T1164,"V",$G1165:$T1165)-($U$9/2))+IF(SUMIF($W1164:$AJ1164,"",$W1165:$AJ1165)+SUMIF($W1164:$AJ1164,"F",$W1165:$AJ1165)+SUMIF($W1164:$AJ1164,"V",$W1165:$AJ1165)-40&lt;0,0,SUMIF($W1164:$AJ1164,"",$W1165:$AJ1165)+SUMIF($W1164:$AJ1164,"F",$W1165:$AJ1165)+SUMIF($W1164:$AJ1164,"V",$W1165:$AJ1165)-($U$9/2))</f>
        <v>0</v>
      </c>
      <c r="AO1165" s="73">
        <f>SUMIF($G1164:$T1164,"M",$G1165:$T1165)+SUMIF($W1164:$AJ1164,"M",$W1165:$AJ1165)</f>
        <v>0</v>
      </c>
      <c r="AP1165" s="73">
        <f>SUMIF($G1164:$T1164,"F",$G1165:$T1165)+SUMIF($W1164:$AJ1164,"F",$W1165:$AJ1165)</f>
        <v>0</v>
      </c>
      <c r="AQ1165" s="73">
        <f>SUMIF($G1164:$T1164,"V",$G1165:$T1165)+SUMIF($W1164:$AJ1164,"V",$W1165:$AJ1165)</f>
        <v>0</v>
      </c>
      <c r="AR1165" s="74">
        <f>SUMIF($G1164:$T1164,"O",$G1165:$T1165)+SUMIF($W1164:$AJ1164,"O",$W1165:$AJ1165)</f>
        <v>0</v>
      </c>
      <c r="AS1165" s="75">
        <f>SUM(AM1165:AR1165)</f>
        <v>0</v>
      </c>
      <c r="AT1165" s="72"/>
      <c r="AU1165" s="73">
        <f>SUMIF($G1164:$T1164,"A",$G1165:$T1165)+SUMIF($W1164:$AJ1164,"A",$W1165:$AJ1165)</f>
        <v>0</v>
      </c>
      <c r="AV1165" s="72"/>
      <c r="AW1165" s="76">
        <f>IF(B1165="",0,IF($U$9="",0,$U$9))</f>
        <v>0</v>
      </c>
      <c r="AX1165" s="84"/>
      <c r="BA1165" s="2"/>
      <c r="BB1165" s="2"/>
      <c r="BC1165" s="101"/>
      <c r="BD1165" s="101"/>
    </row>
    <row r="1166" spans="1:56" s="53" customFormat="1" ht="15" customHeight="1" x14ac:dyDescent="0.35">
      <c r="A1166" s="84"/>
      <c r="B1166" s="26"/>
      <c r="C1166" s="27"/>
      <c r="D1166" s="28" t="str">
        <f>IF(D1092="","",D1092)</f>
        <v/>
      </c>
      <c r="E1166" s="29" t="str">
        <f t="shared" si="471"/>
        <v/>
      </c>
      <c r="F1166" s="50">
        <f>B1119</f>
        <v>25</v>
      </c>
      <c r="G1166" s="59"/>
      <c r="H1166" s="64"/>
      <c r="I1166" s="106"/>
      <c r="J1166" s="105"/>
      <c r="K1166" s="106"/>
      <c r="L1166" s="105"/>
      <c r="M1166" s="106"/>
      <c r="N1166" s="105"/>
      <c r="O1166" s="106"/>
      <c r="P1166" s="105"/>
      <c r="Q1166" s="106"/>
      <c r="R1166" s="105"/>
      <c r="S1166" s="59"/>
      <c r="T1166" s="64"/>
      <c r="U1166" s="44"/>
      <c r="V1166" s="84"/>
      <c r="W1166" s="59"/>
      <c r="X1166" s="64"/>
      <c r="Y1166" s="106"/>
      <c r="Z1166" s="105"/>
      <c r="AA1166" s="106"/>
      <c r="AB1166" s="105"/>
      <c r="AC1166" s="106"/>
      <c r="AD1166" s="105"/>
      <c r="AE1166" s="106"/>
      <c r="AF1166" s="105"/>
      <c r="AG1166" s="106"/>
      <c r="AH1166" s="105"/>
      <c r="AI1166" s="59"/>
      <c r="AJ1166" s="64"/>
      <c r="AK1166" s="44"/>
      <c r="AL1166" s="84"/>
      <c r="AM1166" s="49"/>
      <c r="AN1166" s="49"/>
      <c r="AO1166" s="49"/>
      <c r="AP1166" s="49"/>
      <c r="AQ1166" s="49"/>
      <c r="AR1166" s="40"/>
      <c r="AS1166" s="51"/>
      <c r="AT1166" s="84"/>
      <c r="AU1166" s="49"/>
      <c r="AV1166" s="84"/>
      <c r="AW1166" s="52"/>
      <c r="AX1166" s="84"/>
      <c r="BA1166" s="2"/>
      <c r="BB1166" s="2"/>
      <c r="BC1166" s="101"/>
      <c r="BD1166" s="101"/>
    </row>
    <row r="1167" spans="1:56" s="53" customFormat="1" x14ac:dyDescent="0.35">
      <c r="A1167" s="84"/>
      <c r="B1167" s="30"/>
      <c r="C1167" s="31"/>
      <c r="D1167" s="32"/>
      <c r="E1167" s="33" t="str">
        <f t="shared" si="471"/>
        <v/>
      </c>
      <c r="F1167" s="50">
        <f>B1119</f>
        <v>25</v>
      </c>
      <c r="G1167" s="69"/>
      <c r="H1167" s="70"/>
      <c r="I1167" s="104"/>
      <c r="J1167" s="103"/>
      <c r="K1167" s="104"/>
      <c r="L1167" s="103"/>
      <c r="M1167" s="104"/>
      <c r="N1167" s="103"/>
      <c r="O1167" s="104"/>
      <c r="P1167" s="103"/>
      <c r="Q1167" s="104"/>
      <c r="R1167" s="103"/>
      <c r="S1167" s="69"/>
      <c r="T1167" s="70"/>
      <c r="U1167" s="71">
        <f t="shared" ref="U1167" si="477">SUM(G1167:T1167)</f>
        <v>0</v>
      </c>
      <c r="V1167" s="72"/>
      <c r="W1167" s="69"/>
      <c r="X1167" s="70"/>
      <c r="Y1167" s="104"/>
      <c r="Z1167" s="103"/>
      <c r="AA1167" s="104"/>
      <c r="AB1167" s="103"/>
      <c r="AC1167" s="104"/>
      <c r="AD1167" s="103"/>
      <c r="AE1167" s="104"/>
      <c r="AF1167" s="103"/>
      <c r="AG1167" s="104"/>
      <c r="AH1167" s="103"/>
      <c r="AI1167" s="69"/>
      <c r="AJ1167" s="70"/>
      <c r="AK1167" s="71">
        <f>SUM(W1167:AJ1167)</f>
        <v>0</v>
      </c>
      <c r="AL1167" s="72"/>
      <c r="AM1167" s="73">
        <f>SUMIF($G1166:$T1166,"",$G1167:$T1167)+SUMIF($W1166:$AJ1166,"",$W1167:$AJ1167)-AN1167</f>
        <v>0</v>
      </c>
      <c r="AN1167" s="88">
        <f>IF(SUMIF($G1166:$T1166,"",$G1167:$T1167)+SUMIF($G1166:$T1166,"F",$G1167:$T1167)+SUMIF($G1166:$T1166,"V",$G1167:$T1167)-40&lt;0,0,SUMIF($G1166:$T1166,"",$G1167:$T1167)+SUMIF($G1166:$T1166,"F",$G1167:$T1167)+SUMIF($G1166:$T1166,"V",$G1167:$T1167)-($U$9/2))+IF(SUMIF($W1166:$AJ1166,"",$W1167:$AJ1167)+SUMIF($W1166:$AJ1166,"F",$W1167:$AJ1167)+SUMIF($W1166:$AJ1166,"V",$W1167:$AJ1167)-40&lt;0,0,SUMIF($W1166:$AJ1166,"",$W1167:$AJ1167)+SUMIF($W1166:$AJ1166,"F",$W1167:$AJ1167)+SUMIF($W1166:$AJ1166,"V",$W1167:$AJ1167)-($U$9/2))</f>
        <v>0</v>
      </c>
      <c r="AO1167" s="73">
        <f>SUMIF($G1166:$T1166,"M",$G1167:$T1167)+SUMIF($W1166:$AJ1166,"M",$W1167:$AJ1167)</f>
        <v>0</v>
      </c>
      <c r="AP1167" s="73">
        <f>SUMIF($G1166:$T1166,"F",$G1167:$T1167)+SUMIF($W1166:$AJ1166,"F",$W1167:$AJ1167)</f>
        <v>0</v>
      </c>
      <c r="AQ1167" s="73">
        <f>SUMIF($G1166:$T1166,"V",$G1167:$T1167)+SUMIF($W1166:$AJ1166,"V",$W1167:$AJ1167)</f>
        <v>0</v>
      </c>
      <c r="AR1167" s="74">
        <f>SUMIF($G1166:$T1166,"O",$G1167:$T1167)+SUMIF($W1166:$AJ1166,"O",$W1167:$AJ1167)</f>
        <v>0</v>
      </c>
      <c r="AS1167" s="75">
        <f>SUM(AM1167:AR1167)</f>
        <v>0</v>
      </c>
      <c r="AT1167" s="72"/>
      <c r="AU1167" s="73">
        <f>SUMIF($G1166:$T1166,"A",$G1167:$T1167)+SUMIF($W1166:$AJ1166,"A",$W1167:$AJ1167)</f>
        <v>0</v>
      </c>
      <c r="AV1167" s="72"/>
      <c r="AW1167" s="76">
        <f>IF(B1167="",0,IF($U$9="",0,$U$9))</f>
        <v>0</v>
      </c>
      <c r="AX1167" s="84"/>
      <c r="BA1167" s="2"/>
      <c r="BB1167" s="2"/>
      <c r="BC1167" s="101"/>
      <c r="BD1167" s="101"/>
    </row>
    <row r="1168" spans="1:56" s="53" customFormat="1" x14ac:dyDescent="0.35">
      <c r="A1168" s="84"/>
      <c r="B1168" s="26"/>
      <c r="C1168" s="27"/>
      <c r="D1168" s="28" t="str">
        <f>IF(D1094="","",D1094)</f>
        <v/>
      </c>
      <c r="E1168" s="29" t="str">
        <f t="shared" si="471"/>
        <v/>
      </c>
      <c r="F1168" s="50">
        <f>B1119</f>
        <v>25</v>
      </c>
      <c r="G1168" s="59"/>
      <c r="H1168" s="64"/>
      <c r="I1168" s="58"/>
      <c r="J1168" s="65"/>
      <c r="K1168" s="58"/>
      <c r="L1168" s="65"/>
      <c r="M1168" s="58"/>
      <c r="N1168" s="65"/>
      <c r="O1168" s="58"/>
      <c r="P1168" s="65"/>
      <c r="Q1168" s="58"/>
      <c r="R1168" s="65"/>
      <c r="S1168" s="59"/>
      <c r="T1168" s="64"/>
      <c r="U1168" s="44"/>
      <c r="V1168" s="84"/>
      <c r="W1168" s="59"/>
      <c r="X1168" s="64"/>
      <c r="Y1168" s="58"/>
      <c r="Z1168" s="65"/>
      <c r="AA1168" s="58"/>
      <c r="AB1168" s="65"/>
      <c r="AC1168" s="58"/>
      <c r="AD1168" s="65"/>
      <c r="AE1168" s="58"/>
      <c r="AF1168" s="65"/>
      <c r="AG1168" s="58"/>
      <c r="AH1168" s="65"/>
      <c r="AI1168" s="59"/>
      <c r="AJ1168" s="64"/>
      <c r="AK1168" s="44"/>
      <c r="AL1168" s="84"/>
      <c r="AM1168" s="49"/>
      <c r="AN1168" s="49"/>
      <c r="AO1168" s="49"/>
      <c r="AP1168" s="49"/>
      <c r="AQ1168" s="49"/>
      <c r="AR1168" s="40"/>
      <c r="AS1168" s="51"/>
      <c r="AT1168" s="84"/>
      <c r="AU1168" s="49"/>
      <c r="AV1168" s="84"/>
      <c r="AW1168" s="52"/>
      <c r="AX1168" s="84"/>
      <c r="BA1168" s="2"/>
      <c r="BB1168" s="2"/>
      <c r="BC1168" s="101"/>
      <c r="BD1168" s="101"/>
    </row>
    <row r="1169" spans="1:56" s="53" customFormat="1" x14ac:dyDescent="0.35">
      <c r="A1169" s="84"/>
      <c r="B1169" s="30" t="str">
        <f>IF(B1095="","",B1095)</f>
        <v/>
      </c>
      <c r="C1169" s="31"/>
      <c r="D1169" s="32"/>
      <c r="E1169" s="33" t="str">
        <f t="shared" si="471"/>
        <v/>
      </c>
      <c r="F1169" s="50">
        <f>B1119</f>
        <v>25</v>
      </c>
      <c r="G1169" s="69"/>
      <c r="H1169" s="70"/>
      <c r="I1169" s="67"/>
      <c r="J1169" s="68"/>
      <c r="K1169" s="67"/>
      <c r="L1169" s="68"/>
      <c r="M1169" s="67"/>
      <c r="N1169" s="68"/>
      <c r="O1169" s="67"/>
      <c r="P1169" s="68"/>
      <c r="Q1169" s="67"/>
      <c r="R1169" s="68"/>
      <c r="S1169" s="69"/>
      <c r="T1169" s="70"/>
      <c r="U1169" s="71">
        <f t="shared" ref="U1169" si="478">SUM(G1169:T1169)</f>
        <v>0</v>
      </c>
      <c r="V1169" s="72"/>
      <c r="W1169" s="69"/>
      <c r="X1169" s="70"/>
      <c r="Y1169" s="67"/>
      <c r="Z1169" s="68"/>
      <c r="AA1169" s="67"/>
      <c r="AB1169" s="68"/>
      <c r="AC1169" s="67"/>
      <c r="AD1169" s="68"/>
      <c r="AE1169" s="67"/>
      <c r="AF1169" s="68"/>
      <c r="AG1169" s="67"/>
      <c r="AH1169" s="68"/>
      <c r="AI1169" s="69"/>
      <c r="AJ1169" s="70"/>
      <c r="AK1169" s="71">
        <v>0</v>
      </c>
      <c r="AL1169" s="72"/>
      <c r="AM1169" s="73">
        <f>SUMIF($G1168:$T1168,"",$G1169:$T1169)+SUMIF($W1168:$AJ1168,"",$W1169:$AJ1169)-AN1169</f>
        <v>0</v>
      </c>
      <c r="AN1169" s="88">
        <f>IF(SUMIF($G1168:$T1168,"",$G1169:$T1169)+SUMIF($G1168:$T1168,"F",$G1169:$T1169)+SUMIF($G1168:$T1168,"V",$G1169:$T1169)-40&lt;0,0,SUMIF($G1168:$T1168,"",$G1169:$T1169)+SUMIF($G1168:$T1168,"F",$G1169:$T1169)+SUMIF($G1168:$T1168,"V",$G1169:$T1169)-($U$9/2))+IF(SUMIF($W1168:$AJ1168,"",$W1169:$AJ1169)+SUMIF($W1168:$AJ1168,"F",$W1169:$AJ1169)+SUMIF($W1168:$AJ1168,"V",$W1169:$AJ1169)-40&lt;0,0,SUMIF($W1168:$AJ1168,"",$W1169:$AJ1169)+SUMIF($W1168:$AJ1168,"F",$W1169:$AJ1169)+SUMIF($W1168:$AJ1168,"V",$W1169:$AJ1169)-($U$9/2))</f>
        <v>0</v>
      </c>
      <c r="AO1169" s="73">
        <f>SUMIF($G1168:$T1168,"M",$G1169:$T1169)+SUMIF($W1168:$AJ1168,"M",$W1169:$AJ1169)</f>
        <v>0</v>
      </c>
      <c r="AP1169" s="73">
        <f>SUMIF($G1168:$T1168,"F",$G1169:$T1169)+SUMIF($W1168:$AJ1168,"F",$W1169:$AJ1169)</f>
        <v>0</v>
      </c>
      <c r="AQ1169" s="73">
        <f>SUMIF($G1168:$T1168,"V",$G1169:$T1169)+SUMIF($W1168:$AJ1168,"V",$W1169:$AJ1169)</f>
        <v>0</v>
      </c>
      <c r="AR1169" s="74">
        <f>SUMIF($G1168:$T1168,"O",$G1169:$T1169)+SUMIF($W1168:$AJ1168,"O",$W1169:$AJ1169)</f>
        <v>0</v>
      </c>
      <c r="AS1169" s="75">
        <f>SUM(AM1169:AR1169)</f>
        <v>0</v>
      </c>
      <c r="AT1169" s="72"/>
      <c r="AU1169" s="73">
        <f>SUMIF($G1168:$T1168,"A",$G1169:$T1169)+SUMIF($W1168:$AJ1168,"A",$W1169:$AJ1169)</f>
        <v>0</v>
      </c>
      <c r="AV1169" s="72"/>
      <c r="AW1169" s="76">
        <f>IF(B1169="",0,IF($U$9="",0,$U$9))</f>
        <v>0</v>
      </c>
      <c r="AX1169" s="84"/>
      <c r="BA1169" s="2"/>
      <c r="BB1169" s="2"/>
      <c r="BC1169" s="101"/>
      <c r="BD1169" s="101"/>
    </row>
    <row r="1170" spans="1:56" s="53" customFormat="1" x14ac:dyDescent="0.35">
      <c r="A1170" s="84"/>
      <c r="B1170" s="26"/>
      <c r="C1170" s="27"/>
      <c r="D1170" s="28" t="str">
        <f>IF(D1096="","",D1096)</f>
        <v/>
      </c>
      <c r="E1170" s="29" t="str">
        <f t="shared" si="471"/>
        <v/>
      </c>
      <c r="F1170" s="50">
        <f>B1119</f>
        <v>25</v>
      </c>
      <c r="G1170" s="59"/>
      <c r="H1170" s="64"/>
      <c r="I1170" s="58"/>
      <c r="J1170" s="65"/>
      <c r="K1170" s="58"/>
      <c r="L1170" s="65"/>
      <c r="M1170" s="58"/>
      <c r="N1170" s="65"/>
      <c r="O1170" s="58"/>
      <c r="P1170" s="65"/>
      <c r="Q1170" s="58"/>
      <c r="R1170" s="65"/>
      <c r="S1170" s="59"/>
      <c r="T1170" s="64"/>
      <c r="U1170" s="44"/>
      <c r="V1170" s="84"/>
      <c r="W1170" s="59"/>
      <c r="X1170" s="64"/>
      <c r="Y1170" s="58"/>
      <c r="Z1170" s="65"/>
      <c r="AA1170" s="58"/>
      <c r="AB1170" s="65"/>
      <c r="AC1170" s="58"/>
      <c r="AD1170" s="65"/>
      <c r="AE1170" s="58"/>
      <c r="AF1170" s="65"/>
      <c r="AG1170" s="58"/>
      <c r="AH1170" s="65"/>
      <c r="AI1170" s="59"/>
      <c r="AJ1170" s="64"/>
      <c r="AK1170" s="44"/>
      <c r="AL1170" s="84"/>
      <c r="AM1170" s="49"/>
      <c r="AN1170" s="49"/>
      <c r="AO1170" s="49"/>
      <c r="AP1170" s="49"/>
      <c r="AQ1170" s="49"/>
      <c r="AR1170" s="40"/>
      <c r="AS1170" s="51"/>
      <c r="AT1170" s="84"/>
      <c r="AU1170" s="49"/>
      <c r="AV1170" s="84"/>
      <c r="AW1170" s="52"/>
      <c r="AX1170" s="84"/>
      <c r="BA1170" s="2"/>
      <c r="BB1170" s="2"/>
      <c r="BC1170" s="101"/>
      <c r="BD1170" s="101"/>
    </row>
    <row r="1171" spans="1:56" s="53" customFormat="1" x14ac:dyDescent="0.35">
      <c r="A1171" s="84"/>
      <c r="B1171" s="30" t="str">
        <f>IF(B1097="","",B1097)</f>
        <v/>
      </c>
      <c r="C1171" s="31"/>
      <c r="D1171" s="32"/>
      <c r="E1171" s="33" t="str">
        <f t="shared" si="471"/>
        <v/>
      </c>
      <c r="F1171" s="50">
        <f>B1119</f>
        <v>25</v>
      </c>
      <c r="G1171" s="69"/>
      <c r="H1171" s="70"/>
      <c r="I1171" s="67"/>
      <c r="J1171" s="68"/>
      <c r="K1171" s="67"/>
      <c r="L1171" s="68"/>
      <c r="M1171" s="67"/>
      <c r="N1171" s="68"/>
      <c r="O1171" s="67"/>
      <c r="P1171" s="68"/>
      <c r="Q1171" s="67"/>
      <c r="R1171" s="68"/>
      <c r="S1171" s="69"/>
      <c r="T1171" s="70"/>
      <c r="U1171" s="71">
        <f t="shared" ref="U1171" si="479">SUM(G1171:T1171)</f>
        <v>0</v>
      </c>
      <c r="V1171" s="72"/>
      <c r="W1171" s="69"/>
      <c r="X1171" s="70"/>
      <c r="Y1171" s="67"/>
      <c r="Z1171" s="68"/>
      <c r="AA1171" s="67"/>
      <c r="AB1171" s="68"/>
      <c r="AC1171" s="67"/>
      <c r="AD1171" s="68"/>
      <c r="AE1171" s="67"/>
      <c r="AF1171" s="68"/>
      <c r="AG1171" s="67"/>
      <c r="AH1171" s="68"/>
      <c r="AI1171" s="69"/>
      <c r="AJ1171" s="70"/>
      <c r="AK1171" s="71">
        <v>0</v>
      </c>
      <c r="AL1171" s="72"/>
      <c r="AM1171" s="73">
        <v>0</v>
      </c>
      <c r="AN1171" s="88">
        <v>0</v>
      </c>
      <c r="AO1171" s="73">
        <v>0</v>
      </c>
      <c r="AP1171" s="73">
        <v>0</v>
      </c>
      <c r="AQ1171" s="73">
        <v>0</v>
      </c>
      <c r="AR1171" s="74">
        <v>0</v>
      </c>
      <c r="AS1171" s="75">
        <v>0</v>
      </c>
      <c r="AT1171" s="72"/>
      <c r="AU1171" s="73">
        <f>SUMIF($G1170:$T1170,"A",$G1171:$T1171)+SUMIF($W1170:$AJ1170,"A",$W1171:$AJ1171)</f>
        <v>0</v>
      </c>
      <c r="AV1171" s="72"/>
      <c r="AW1171" s="76">
        <f>IF(B1171="",0,IF($U$9="",0,$U$9))</f>
        <v>0</v>
      </c>
      <c r="AX1171" s="84"/>
      <c r="BA1171" s="2"/>
      <c r="BB1171" s="2"/>
      <c r="BC1171" s="101"/>
      <c r="BD1171" s="101"/>
    </row>
    <row r="1172" spans="1:56" s="53" customFormat="1" x14ac:dyDescent="0.35">
      <c r="A1172" s="84"/>
      <c r="B1172" s="26"/>
      <c r="C1172" s="27"/>
      <c r="D1172" s="28" t="str">
        <f>IF(D1098="","",D1098)</f>
        <v/>
      </c>
      <c r="E1172" s="29" t="str">
        <f t="shared" si="471"/>
        <v/>
      </c>
      <c r="F1172" s="50">
        <f>B1119</f>
        <v>25</v>
      </c>
      <c r="G1172" s="59"/>
      <c r="H1172" s="64"/>
      <c r="I1172" s="58"/>
      <c r="J1172" s="65"/>
      <c r="K1172" s="58"/>
      <c r="L1172" s="65"/>
      <c r="M1172" s="58"/>
      <c r="N1172" s="65"/>
      <c r="O1172" s="58"/>
      <c r="P1172" s="65"/>
      <c r="Q1172" s="58"/>
      <c r="R1172" s="65"/>
      <c r="S1172" s="59"/>
      <c r="T1172" s="64"/>
      <c r="U1172" s="44"/>
      <c r="V1172" s="84"/>
      <c r="W1172" s="59"/>
      <c r="X1172" s="64"/>
      <c r="Y1172" s="58"/>
      <c r="Z1172" s="65"/>
      <c r="AA1172" s="58"/>
      <c r="AB1172" s="65"/>
      <c r="AC1172" s="58"/>
      <c r="AD1172" s="65"/>
      <c r="AE1172" s="58"/>
      <c r="AF1172" s="65"/>
      <c r="AG1172" s="58"/>
      <c r="AH1172" s="65"/>
      <c r="AI1172" s="59"/>
      <c r="AJ1172" s="64"/>
      <c r="AK1172" s="44"/>
      <c r="AL1172" s="84"/>
      <c r="AM1172" s="49"/>
      <c r="AN1172" s="49"/>
      <c r="AO1172" s="49"/>
      <c r="AP1172" s="49"/>
      <c r="AQ1172" s="49"/>
      <c r="AR1172" s="40"/>
      <c r="AS1172" s="51"/>
      <c r="AT1172" s="84"/>
      <c r="AU1172" s="49"/>
      <c r="AV1172" s="84"/>
      <c r="AW1172" s="52"/>
      <c r="AX1172" s="84"/>
      <c r="BA1172" s="2"/>
      <c r="BB1172" s="2"/>
      <c r="BC1172" s="101"/>
      <c r="BD1172" s="101"/>
    </row>
    <row r="1173" spans="1:56" s="53" customFormat="1" ht="15" thickBot="1" x14ac:dyDescent="0.4">
      <c r="A1173" s="84"/>
      <c r="B1173" s="30" t="str">
        <f>IF(B1099="","",B1099)</f>
        <v/>
      </c>
      <c r="C1173" s="31"/>
      <c r="D1173" s="32"/>
      <c r="E1173" s="33" t="str">
        <f t="shared" si="471"/>
        <v/>
      </c>
      <c r="F1173" s="50">
        <f>B1119</f>
        <v>25</v>
      </c>
      <c r="G1173" s="69"/>
      <c r="H1173" s="70"/>
      <c r="I1173" s="67"/>
      <c r="J1173" s="68"/>
      <c r="K1173" s="67"/>
      <c r="L1173" s="68"/>
      <c r="M1173" s="67"/>
      <c r="N1173" s="68"/>
      <c r="O1173" s="67"/>
      <c r="P1173" s="68"/>
      <c r="Q1173" s="67"/>
      <c r="R1173" s="68"/>
      <c r="S1173" s="69"/>
      <c r="T1173" s="70"/>
      <c r="U1173" s="71">
        <f t="shared" ref="U1173" si="480">SUM(G1173:T1173)</f>
        <v>0</v>
      </c>
      <c r="V1173" s="72"/>
      <c r="W1173" s="69"/>
      <c r="X1173" s="70"/>
      <c r="Y1173" s="67"/>
      <c r="Z1173" s="68"/>
      <c r="AA1173" s="67"/>
      <c r="AB1173" s="68"/>
      <c r="AC1173" s="67"/>
      <c r="AD1173" s="68"/>
      <c r="AE1173" s="67"/>
      <c r="AF1173" s="68"/>
      <c r="AG1173" s="67"/>
      <c r="AH1173" s="68"/>
      <c r="AI1173" s="69"/>
      <c r="AJ1173" s="70"/>
      <c r="AK1173" s="71">
        <v>0</v>
      </c>
      <c r="AL1173" s="72"/>
      <c r="AM1173" s="73">
        <v>0</v>
      </c>
      <c r="AN1173" s="88">
        <v>0</v>
      </c>
      <c r="AO1173" s="73">
        <v>0</v>
      </c>
      <c r="AP1173" s="73">
        <v>0</v>
      </c>
      <c r="AQ1173" s="73">
        <v>0</v>
      </c>
      <c r="AR1173" s="74">
        <v>0</v>
      </c>
      <c r="AS1173" s="75">
        <v>0</v>
      </c>
      <c r="AT1173" s="72"/>
      <c r="AU1173" s="73">
        <f>SUMIF($G1172:$T1172,"A",$G1173:$T1173)+SUMIF($W1172:$AJ1172,"A",$W1173:$AJ1173)</f>
        <v>0</v>
      </c>
      <c r="AV1173" s="72"/>
      <c r="AW1173" s="76">
        <f>IF(B1173="",0,IF($U$9="",0,$U$9))</f>
        <v>0</v>
      </c>
      <c r="AX1173" s="84"/>
      <c r="BA1173" s="2"/>
      <c r="BB1173" s="2"/>
      <c r="BC1173" s="101"/>
      <c r="BD1173" s="101"/>
    </row>
    <row r="1174" spans="1:56" s="53" customFormat="1" ht="27.75" customHeight="1" thickBot="1" x14ac:dyDescent="0.4">
      <c r="A1174" s="84"/>
      <c r="B1174" s="149" t="s">
        <v>7</v>
      </c>
      <c r="C1174" s="150"/>
      <c r="D1174" s="150"/>
      <c r="E1174" s="151"/>
      <c r="F1174" s="97"/>
      <c r="G1174" s="152">
        <f>SUM(G1124:H1173)</f>
        <v>0</v>
      </c>
      <c r="H1174" s="152"/>
      <c r="I1174" s="152">
        <f>SUM(I1124:J1173)</f>
        <v>113.5</v>
      </c>
      <c r="J1174" s="152"/>
      <c r="K1174" s="152">
        <f>SUM(K1124:L1173)</f>
        <v>119.25</v>
      </c>
      <c r="L1174" s="152"/>
      <c r="M1174" s="152">
        <f>SUM(M1124:N1173)</f>
        <v>122.75</v>
      </c>
      <c r="N1174" s="152"/>
      <c r="O1174" s="152">
        <f>SUM(O1124:P1173)</f>
        <v>105</v>
      </c>
      <c r="P1174" s="152"/>
      <c r="Q1174" s="152">
        <f>SUM(Q1124:R1173)</f>
        <v>109.5</v>
      </c>
      <c r="R1174" s="152"/>
      <c r="S1174" s="152">
        <f>SUM(S1124:T1173)</f>
        <v>0</v>
      </c>
      <c r="T1174" s="153"/>
      <c r="U1174" s="77">
        <f>SUM(U1124:U1173)</f>
        <v>570</v>
      </c>
      <c r="V1174" s="78"/>
      <c r="W1174" s="152">
        <f>SUM(W1124:X1173)</f>
        <v>0</v>
      </c>
      <c r="X1174" s="152"/>
      <c r="Y1174" s="152">
        <f>SUM(Y1124:Z1173)</f>
        <v>107.75</v>
      </c>
      <c r="Z1174" s="152"/>
      <c r="AA1174" s="152">
        <f>SUM(AA1124:AB1173)</f>
        <v>106.5</v>
      </c>
      <c r="AB1174" s="152"/>
      <c r="AC1174" s="152">
        <f>SUM(AC1124:AD1173)</f>
        <v>103.25</v>
      </c>
      <c r="AD1174" s="152"/>
      <c r="AE1174" s="152">
        <f>SUM(AE1124:AF1173)</f>
        <v>111.25</v>
      </c>
      <c r="AF1174" s="152"/>
      <c r="AG1174" s="152">
        <f>SUM(AG1124:AH1173)</f>
        <v>112</v>
      </c>
      <c r="AH1174" s="152"/>
      <c r="AI1174" s="152">
        <f>SUM(AI1124:AJ1173)</f>
        <v>0</v>
      </c>
      <c r="AJ1174" s="152"/>
      <c r="AK1174" s="77">
        <f>SUM(AK1124:AK1173)</f>
        <v>540.75</v>
      </c>
      <c r="AL1174" s="78"/>
      <c r="AM1174" s="79">
        <f t="shared" ref="AM1174:AS1174" si="481">SUM(AM1124:AM1173)</f>
        <v>1071.75</v>
      </c>
      <c r="AN1174" s="79">
        <f t="shared" si="481"/>
        <v>23</v>
      </c>
      <c r="AO1174" s="79">
        <f t="shared" si="481"/>
        <v>0</v>
      </c>
      <c r="AP1174" s="79">
        <f t="shared" si="481"/>
        <v>0</v>
      </c>
      <c r="AQ1174" s="79">
        <f t="shared" si="481"/>
        <v>16</v>
      </c>
      <c r="AR1174" s="80">
        <f t="shared" si="481"/>
        <v>0</v>
      </c>
      <c r="AS1174" s="81">
        <f t="shared" si="481"/>
        <v>1110.75</v>
      </c>
      <c r="AT1174" s="78"/>
      <c r="AU1174" s="82">
        <f>SUM(AU1124:AU1173)</f>
        <v>0</v>
      </c>
      <c r="AV1174" s="78"/>
      <c r="AW1174" s="83">
        <f>SUM(AW1124:AW1173)</f>
        <v>1360</v>
      </c>
      <c r="AX1174" s="84"/>
      <c r="BA1174" s="2"/>
      <c r="BB1174" s="2"/>
      <c r="BC1174" s="101"/>
      <c r="BD1174" s="101"/>
    </row>
    <row r="1175" spans="1:56" s="53" customFormat="1" ht="15" thickTop="1" x14ac:dyDescent="0.35">
      <c r="B1175" s="54"/>
      <c r="F1175" s="98"/>
      <c r="G1175" s="55"/>
      <c r="H1175" s="55"/>
      <c r="I1175" s="55"/>
      <c r="J1175" s="55"/>
      <c r="K1175" s="55"/>
      <c r="L1175" s="55"/>
      <c r="M1175" s="55"/>
      <c r="N1175" s="55"/>
      <c r="O1175" s="55"/>
      <c r="P1175" s="55"/>
      <c r="Q1175" s="55"/>
      <c r="R1175" s="55"/>
      <c r="S1175" s="55"/>
      <c r="T1175" s="55"/>
      <c r="U1175" s="56"/>
      <c r="V1175" s="55"/>
      <c r="W1175" s="55"/>
      <c r="X1175" s="55"/>
      <c r="Y1175" s="55"/>
      <c r="Z1175" s="55"/>
      <c r="AA1175" s="55"/>
      <c r="AB1175" s="55"/>
      <c r="AC1175" s="55"/>
      <c r="AD1175" s="55"/>
      <c r="AE1175" s="55"/>
      <c r="AF1175" s="55"/>
      <c r="AG1175" s="55"/>
      <c r="AH1175" s="55"/>
      <c r="AI1175" s="55"/>
      <c r="AJ1175" s="55"/>
      <c r="AK1175" s="56"/>
      <c r="AL1175" s="55"/>
      <c r="AM1175" s="55"/>
      <c r="AN1175" s="55"/>
      <c r="AO1175" s="55"/>
      <c r="AP1175" s="55"/>
      <c r="AQ1175" s="55"/>
      <c r="AR1175" s="55"/>
      <c r="AS1175" s="55"/>
      <c r="AT1175" s="55"/>
      <c r="AU1175" s="55"/>
      <c r="AV1175" s="55"/>
      <c r="AW1175" s="55"/>
      <c r="BA1175" s="2"/>
      <c r="BB1175" s="2"/>
      <c r="BC1175" s="101"/>
      <c r="BD1175" s="101"/>
    </row>
    <row r="1176" spans="1:56" s="53" customFormat="1" x14ac:dyDescent="0.35">
      <c r="B1176" s="54" t="s">
        <v>52</v>
      </c>
      <c r="D1176" s="141"/>
      <c r="E1176" s="141"/>
      <c r="F1176" s="141"/>
      <c r="G1176" s="141"/>
      <c r="H1176" s="141"/>
      <c r="I1176" s="141"/>
      <c r="J1176" s="141"/>
      <c r="K1176" s="141"/>
      <c r="L1176" s="141"/>
      <c r="M1176" s="141"/>
      <c r="N1176" s="141"/>
      <c r="O1176" s="141"/>
      <c r="P1176" s="141"/>
      <c r="Q1176" s="141"/>
      <c r="R1176" s="141"/>
      <c r="S1176" s="141"/>
      <c r="T1176" s="141"/>
      <c r="U1176" s="141"/>
      <c r="V1176" s="141"/>
      <c r="W1176" s="141"/>
      <c r="X1176" s="141"/>
      <c r="Y1176" s="141"/>
      <c r="Z1176" s="141"/>
      <c r="AA1176" s="141"/>
      <c r="AB1176" s="141"/>
      <c r="AC1176" s="141"/>
      <c r="AD1176" s="141"/>
      <c r="AE1176" s="141"/>
      <c r="AF1176" s="141"/>
      <c r="AG1176" s="141"/>
      <c r="AH1176" s="141"/>
      <c r="AI1176" s="141"/>
      <c r="AJ1176" s="141"/>
      <c r="AK1176" s="56"/>
      <c r="AL1176" s="55"/>
      <c r="AM1176" s="55"/>
      <c r="AN1176" s="55"/>
      <c r="AO1176" s="55"/>
      <c r="AP1176" s="55"/>
      <c r="AQ1176" s="55"/>
      <c r="AR1176" s="55"/>
      <c r="AS1176" s="55"/>
      <c r="AT1176" s="55"/>
      <c r="AU1176" s="55"/>
      <c r="AV1176" s="55"/>
      <c r="AW1176" s="55"/>
      <c r="BA1176" s="2"/>
      <c r="BB1176" s="2"/>
      <c r="BC1176" s="101"/>
      <c r="BD1176" s="101"/>
    </row>
    <row r="1177" spans="1:56" s="84" customFormat="1" x14ac:dyDescent="0.35">
      <c r="A1177" s="53"/>
      <c r="B1177" s="54"/>
      <c r="C1177" s="53"/>
      <c r="D1177" s="141"/>
      <c r="E1177" s="141"/>
      <c r="F1177" s="141"/>
      <c r="G1177" s="141"/>
      <c r="H1177" s="141"/>
      <c r="I1177" s="141"/>
      <c r="J1177" s="141"/>
      <c r="K1177" s="141"/>
      <c r="L1177" s="141"/>
      <c r="M1177" s="141"/>
      <c r="N1177" s="141"/>
      <c r="O1177" s="141"/>
      <c r="P1177" s="141"/>
      <c r="Q1177" s="141"/>
      <c r="R1177" s="141"/>
      <c r="S1177" s="141"/>
      <c r="T1177" s="141"/>
      <c r="U1177" s="141"/>
      <c r="V1177" s="141"/>
      <c r="W1177" s="141"/>
      <c r="X1177" s="141"/>
      <c r="Y1177" s="141"/>
      <c r="Z1177" s="141"/>
      <c r="AA1177" s="141"/>
      <c r="AB1177" s="141"/>
      <c r="AC1177" s="141"/>
      <c r="AD1177" s="141"/>
      <c r="AE1177" s="141"/>
      <c r="AF1177" s="141"/>
      <c r="AG1177" s="141"/>
      <c r="AH1177" s="141"/>
      <c r="AI1177" s="141"/>
      <c r="AJ1177" s="141"/>
      <c r="AK1177" s="56"/>
      <c r="AL1177" s="55"/>
      <c r="AM1177" s="55"/>
      <c r="AN1177" s="55"/>
      <c r="AO1177" s="55"/>
      <c r="AP1177" s="55"/>
      <c r="AQ1177" s="55"/>
      <c r="AR1177" s="55"/>
      <c r="AS1177" s="55"/>
      <c r="AT1177" s="55"/>
      <c r="AU1177" s="55"/>
      <c r="AV1177" s="55"/>
      <c r="AW1177" s="55"/>
      <c r="AX1177" s="53"/>
      <c r="BA1177" s="2"/>
      <c r="BB1177" s="2"/>
      <c r="BC1177" s="101"/>
      <c r="BD1177" s="101"/>
    </row>
    <row r="1178" spans="1:56" s="84" customFormat="1" x14ac:dyDescent="0.35">
      <c r="A1178" s="53"/>
      <c r="B1178" s="54"/>
      <c r="C1178" s="53"/>
      <c r="D1178" s="141"/>
      <c r="E1178" s="141"/>
      <c r="F1178" s="141"/>
      <c r="G1178" s="141"/>
      <c r="H1178" s="141"/>
      <c r="I1178" s="141"/>
      <c r="J1178" s="141"/>
      <c r="K1178" s="141"/>
      <c r="L1178" s="141"/>
      <c r="M1178" s="141"/>
      <c r="N1178" s="141"/>
      <c r="O1178" s="141"/>
      <c r="P1178" s="141"/>
      <c r="Q1178" s="141"/>
      <c r="R1178" s="141"/>
      <c r="S1178" s="141"/>
      <c r="T1178" s="141"/>
      <c r="U1178" s="141"/>
      <c r="V1178" s="141"/>
      <c r="W1178" s="141"/>
      <c r="X1178" s="141"/>
      <c r="Y1178" s="141"/>
      <c r="Z1178" s="141"/>
      <c r="AA1178" s="141"/>
      <c r="AB1178" s="141"/>
      <c r="AC1178" s="141"/>
      <c r="AD1178" s="141"/>
      <c r="AE1178" s="141"/>
      <c r="AF1178" s="141"/>
      <c r="AG1178" s="141"/>
      <c r="AH1178" s="141"/>
      <c r="AI1178" s="141"/>
      <c r="AJ1178" s="141"/>
      <c r="AK1178" s="56"/>
      <c r="AL1178" s="55"/>
      <c r="AM1178" s="55"/>
      <c r="AN1178" s="55"/>
      <c r="AO1178" s="55"/>
      <c r="AP1178" s="55"/>
      <c r="AQ1178" s="55"/>
      <c r="AR1178" s="55"/>
      <c r="AS1178" s="55"/>
      <c r="AT1178" s="55"/>
      <c r="AU1178" s="55"/>
      <c r="AV1178" s="55"/>
      <c r="AW1178" s="55"/>
      <c r="AX1178" s="53"/>
      <c r="BA1178" s="2"/>
      <c r="BB1178" s="2"/>
      <c r="BC1178" s="101"/>
      <c r="BD1178" s="101"/>
    </row>
    <row r="1179" spans="1:56" s="84" customFormat="1" ht="15" customHeight="1" x14ac:dyDescent="0.35">
      <c r="A1179" s="53"/>
      <c r="B1179" s="54"/>
      <c r="C1179" s="53"/>
      <c r="D1179" s="53"/>
      <c r="E1179" s="53"/>
      <c r="F1179" s="98"/>
      <c r="G1179" s="55"/>
      <c r="H1179" s="55"/>
      <c r="I1179" s="55"/>
      <c r="J1179" s="55"/>
      <c r="K1179" s="55"/>
      <c r="L1179" s="55"/>
      <c r="M1179" s="55"/>
      <c r="N1179" s="55"/>
      <c r="O1179" s="55"/>
      <c r="P1179" s="55"/>
      <c r="Q1179" s="55"/>
      <c r="R1179" s="55"/>
      <c r="S1179" s="55"/>
      <c r="T1179" s="55"/>
      <c r="U1179" s="56"/>
      <c r="V1179" s="55"/>
      <c r="W1179" s="55"/>
      <c r="X1179" s="55"/>
      <c r="Y1179" s="55"/>
      <c r="Z1179" s="55"/>
      <c r="AA1179" s="55"/>
      <c r="AB1179" s="55"/>
      <c r="AC1179" s="55"/>
      <c r="AD1179" s="55"/>
      <c r="AE1179" s="55"/>
      <c r="AF1179" s="55"/>
      <c r="AG1179" s="55"/>
      <c r="AH1179" s="55"/>
      <c r="AI1179" s="55"/>
      <c r="AJ1179" s="55"/>
      <c r="AK1179" s="56"/>
      <c r="AL1179" s="55"/>
      <c r="AM1179" s="55"/>
      <c r="AN1179" s="55"/>
      <c r="AO1179" s="55"/>
      <c r="AP1179" s="55"/>
      <c r="AQ1179" s="55"/>
      <c r="AR1179" s="55"/>
      <c r="AS1179" s="55"/>
      <c r="AT1179" s="55"/>
      <c r="AU1179" s="55"/>
      <c r="AV1179" s="55"/>
      <c r="AW1179" s="55"/>
      <c r="AX1179" s="53"/>
      <c r="BA1179" s="2"/>
      <c r="BB1179" s="2"/>
      <c r="BC1179" s="101"/>
      <c r="BD1179" s="101"/>
    </row>
    <row r="1180" spans="1:56" s="84" customFormat="1" ht="15" customHeight="1" x14ac:dyDescent="0.35">
      <c r="A1180" s="53"/>
      <c r="B1180" s="54" t="s">
        <v>53</v>
      </c>
      <c r="C1180" s="53"/>
      <c r="D1180" s="31" t="s">
        <v>86</v>
      </c>
      <c r="E1180" s="34"/>
      <c r="F1180" s="99"/>
      <c r="G1180" s="34"/>
      <c r="H1180" s="34"/>
      <c r="I1180" s="34"/>
      <c r="J1180" s="34"/>
      <c r="K1180" s="53"/>
      <c r="L1180" s="55" t="s">
        <v>8</v>
      </c>
      <c r="M1180" s="53"/>
      <c r="N1180" s="142">
        <f ca="1">NOW()</f>
        <v>44720.650928935182</v>
      </c>
      <c r="O1180" s="142"/>
      <c r="P1180" s="142"/>
      <c r="Q1180" s="53"/>
      <c r="R1180" s="53"/>
      <c r="S1180" s="53"/>
      <c r="T1180" s="53"/>
      <c r="U1180" s="53"/>
      <c r="V1180" s="55"/>
      <c r="W1180" s="55"/>
      <c r="X1180" s="55"/>
      <c r="Y1180" s="55"/>
      <c r="Z1180" s="55"/>
      <c r="AA1180" s="55"/>
      <c r="AB1180" s="55"/>
      <c r="AC1180" s="55"/>
      <c r="AD1180" s="55"/>
      <c r="AE1180" s="55"/>
      <c r="AF1180" s="55"/>
      <c r="AG1180" s="55"/>
      <c r="AH1180" s="55"/>
      <c r="AI1180" s="55"/>
      <c r="AJ1180" s="55"/>
      <c r="AK1180" s="56"/>
      <c r="AL1180" s="55"/>
      <c r="AM1180" s="55"/>
      <c r="AN1180" s="55"/>
      <c r="AO1180" s="55"/>
      <c r="AP1180" s="55"/>
      <c r="AQ1180" s="55"/>
      <c r="AR1180" s="55"/>
      <c r="AS1180" s="55"/>
      <c r="AT1180" s="55"/>
      <c r="AU1180" s="55"/>
      <c r="AV1180" s="55"/>
      <c r="AW1180" s="55"/>
      <c r="AX1180" s="53"/>
      <c r="BA1180" s="2"/>
      <c r="BB1180" s="2"/>
      <c r="BC1180" s="101"/>
      <c r="BD1180" s="101"/>
    </row>
    <row r="1181" spans="1:56" s="84" customFormat="1" x14ac:dyDescent="0.35">
      <c r="A1181" s="53"/>
      <c r="B1181" s="54"/>
      <c r="C1181" s="53"/>
      <c r="D1181" s="53"/>
      <c r="E1181" s="53"/>
      <c r="F1181" s="98"/>
      <c r="G1181" s="55"/>
      <c r="H1181" s="55"/>
      <c r="I1181" s="55"/>
      <c r="J1181" s="55"/>
      <c r="K1181" s="53"/>
      <c r="L1181" s="55"/>
      <c r="M1181" s="53"/>
      <c r="N1181" s="55"/>
      <c r="O1181" s="56"/>
      <c r="P1181" s="53"/>
      <c r="Q1181" s="53"/>
      <c r="R1181" s="53"/>
      <c r="S1181" s="53"/>
      <c r="T1181" s="53"/>
      <c r="U1181" s="53"/>
      <c r="V1181" s="55"/>
      <c r="W1181" s="55"/>
      <c r="X1181" s="55"/>
      <c r="Y1181" s="55"/>
      <c r="Z1181" s="55"/>
      <c r="AA1181" s="55"/>
      <c r="AB1181" s="55"/>
      <c r="AC1181" s="55"/>
      <c r="AD1181" s="55"/>
      <c r="AE1181" s="55"/>
      <c r="AF1181" s="55"/>
      <c r="AG1181" s="55"/>
      <c r="AH1181" s="55"/>
      <c r="AI1181" s="55"/>
      <c r="AJ1181" s="55"/>
      <c r="AK1181" s="56"/>
      <c r="AL1181" s="55"/>
      <c r="AM1181" s="55"/>
      <c r="AN1181" s="55"/>
      <c r="AO1181" s="55"/>
      <c r="AP1181" s="55"/>
      <c r="AQ1181" s="55"/>
      <c r="AR1181" s="55"/>
      <c r="AS1181" s="55"/>
      <c r="AT1181" s="55"/>
      <c r="AU1181" s="55"/>
      <c r="AV1181" s="55"/>
      <c r="AW1181" s="55"/>
      <c r="AX1181" s="53"/>
      <c r="BA1181" s="2"/>
      <c r="BB1181" s="2"/>
      <c r="BC1181" s="101"/>
      <c r="BD1181" s="101"/>
    </row>
    <row r="1182" spans="1:56" s="84" customFormat="1" x14ac:dyDescent="0.35">
      <c r="A1182" s="53"/>
      <c r="B1182" s="54" t="s">
        <v>54</v>
      </c>
      <c r="C1182" s="53"/>
      <c r="D1182" s="31"/>
      <c r="E1182" s="34"/>
      <c r="F1182" s="99"/>
      <c r="G1182" s="34"/>
      <c r="H1182" s="34"/>
      <c r="I1182" s="34"/>
      <c r="J1182" s="34"/>
      <c r="K1182" s="53"/>
      <c r="L1182" s="55" t="s">
        <v>8</v>
      </c>
      <c r="M1182" s="53"/>
      <c r="N1182" s="142">
        <f ca="1">NOW()</f>
        <v>44720.650928935182</v>
      </c>
      <c r="O1182" s="142"/>
      <c r="P1182" s="142"/>
      <c r="Q1182" s="53"/>
      <c r="R1182" s="53"/>
      <c r="S1182" s="53"/>
      <c r="T1182" s="53"/>
      <c r="U1182" s="53"/>
      <c r="V1182" s="55"/>
      <c r="W1182" s="55"/>
      <c r="X1182" s="55"/>
      <c r="Y1182" s="55"/>
      <c r="Z1182" s="55"/>
      <c r="AA1182" s="55"/>
      <c r="AB1182" s="55"/>
      <c r="AC1182" s="55"/>
      <c r="AD1182" s="55"/>
      <c r="AE1182" s="55"/>
      <c r="AF1182" s="55"/>
      <c r="AG1182" s="55"/>
      <c r="AH1182" s="55"/>
      <c r="AI1182" s="55"/>
      <c r="AJ1182" s="55"/>
      <c r="AK1182" s="56"/>
      <c r="AL1182" s="55"/>
      <c r="AM1182" s="55"/>
      <c r="AN1182" s="55"/>
      <c r="AO1182" s="55"/>
      <c r="AP1182" s="55"/>
      <c r="AQ1182" s="55"/>
      <c r="AR1182" s="55"/>
      <c r="AS1182" s="55"/>
      <c r="AT1182" s="55"/>
      <c r="AU1182" s="55"/>
      <c r="AV1182" s="55"/>
      <c r="AW1182" s="55"/>
      <c r="AX1182" s="53"/>
      <c r="BA1182" s="2"/>
      <c r="BB1182" s="2"/>
      <c r="BC1182" s="101"/>
      <c r="BD1182" s="101"/>
    </row>
    <row r="1183" spans="1:56" s="84" customFormat="1" x14ac:dyDescent="0.35">
      <c r="A1183" s="53"/>
      <c r="B1183" s="54"/>
      <c r="C1183" s="53"/>
      <c r="D1183" s="53"/>
      <c r="E1183" s="53"/>
      <c r="F1183" s="98"/>
      <c r="G1183" s="55"/>
      <c r="H1183" s="55"/>
      <c r="I1183" s="55"/>
      <c r="J1183" s="55"/>
      <c r="K1183" s="55"/>
      <c r="L1183" s="55"/>
      <c r="M1183" s="55"/>
      <c r="N1183" s="55"/>
      <c r="O1183" s="55"/>
      <c r="P1183" s="55"/>
      <c r="Q1183" s="55"/>
      <c r="R1183" s="55"/>
      <c r="S1183" s="55"/>
      <c r="T1183" s="55"/>
      <c r="U1183" s="56"/>
      <c r="V1183" s="55"/>
      <c r="W1183" s="55"/>
      <c r="X1183" s="55"/>
      <c r="Y1183" s="55"/>
      <c r="Z1183" s="55"/>
      <c r="AA1183" s="55"/>
      <c r="AB1183" s="55"/>
      <c r="AC1183" s="55"/>
      <c r="AD1183" s="55"/>
      <c r="AE1183" s="55"/>
      <c r="AF1183" s="55"/>
      <c r="AG1183" s="55"/>
      <c r="AH1183" s="55"/>
      <c r="AI1183" s="55"/>
      <c r="AJ1183" s="55"/>
      <c r="AK1183" s="56"/>
      <c r="AL1183" s="55"/>
      <c r="AM1183" s="55"/>
      <c r="AN1183" s="55"/>
      <c r="AO1183" s="55"/>
      <c r="AP1183" s="55"/>
      <c r="AQ1183" s="55"/>
      <c r="AR1183" s="55"/>
      <c r="AS1183" s="55"/>
      <c r="AT1183" s="55"/>
      <c r="AU1183" s="55"/>
      <c r="AV1183" s="55"/>
      <c r="AW1183" s="55"/>
      <c r="AX1183" s="53"/>
      <c r="BA1183" s="2"/>
      <c r="BB1183" s="2"/>
      <c r="BC1183" s="101"/>
      <c r="BD1183" s="101"/>
    </row>
    <row r="1184" spans="1:56" s="84" customFormat="1" x14ac:dyDescent="0.35">
      <c r="A1184" s="53"/>
      <c r="B1184" s="54" t="s">
        <v>9</v>
      </c>
      <c r="C1184" s="53"/>
      <c r="D1184" s="53"/>
      <c r="E1184" s="53"/>
      <c r="F1184" s="98"/>
      <c r="G1184" s="55"/>
      <c r="H1184" s="55"/>
      <c r="I1184" s="55"/>
      <c r="J1184" s="55"/>
      <c r="K1184" s="55"/>
      <c r="L1184" s="55"/>
      <c r="M1184" s="55"/>
      <c r="N1184" s="55"/>
      <c r="O1184" s="55"/>
      <c r="P1184" s="55"/>
      <c r="Q1184" s="55"/>
      <c r="R1184" s="55"/>
      <c r="S1184" s="55"/>
      <c r="T1184" s="55"/>
      <c r="U1184" s="56"/>
      <c r="V1184" s="55"/>
      <c r="W1184" s="55"/>
      <c r="X1184" s="55"/>
      <c r="Y1184" s="55"/>
      <c r="Z1184" s="55"/>
      <c r="AA1184" s="55"/>
      <c r="AB1184" s="55"/>
      <c r="AC1184" s="55"/>
      <c r="AD1184" s="55"/>
      <c r="AE1184" s="55"/>
      <c r="AF1184" s="55"/>
      <c r="AG1184" s="55"/>
      <c r="AH1184" s="55"/>
      <c r="AI1184" s="55"/>
      <c r="AJ1184" s="55"/>
      <c r="AK1184" s="56"/>
      <c r="AL1184" s="55"/>
      <c r="AM1184" s="55"/>
      <c r="AN1184" s="55"/>
      <c r="AO1184" s="55"/>
      <c r="AP1184" s="55"/>
      <c r="AQ1184" s="55"/>
      <c r="AR1184" s="55"/>
      <c r="AS1184" s="55"/>
      <c r="AT1184" s="55"/>
      <c r="AU1184" s="55"/>
      <c r="AV1184" s="55"/>
      <c r="AW1184" s="55"/>
      <c r="AX1184" s="53"/>
      <c r="BA1184" s="2"/>
      <c r="BB1184" s="2"/>
      <c r="BC1184" s="101"/>
      <c r="BD1184" s="101"/>
    </row>
    <row r="1185" spans="2:56" x14ac:dyDescent="0.35">
      <c r="BA1185" s="2"/>
      <c r="BB1185" s="2"/>
      <c r="BC1185" s="101"/>
      <c r="BD1185" s="101"/>
    </row>
    <row r="1186" spans="2:56" x14ac:dyDescent="0.35">
      <c r="BA1186" s="2"/>
      <c r="BB1186" s="2"/>
      <c r="BC1186" s="101"/>
      <c r="BD1186" s="101"/>
    </row>
    <row r="1187" spans="2:56" s="84" customFormat="1" ht="28.5" x14ac:dyDescent="0.65">
      <c r="F1187" s="50"/>
      <c r="G1187" s="143" t="s">
        <v>10</v>
      </c>
      <c r="H1187" s="143"/>
      <c r="I1187" s="143"/>
      <c r="J1187" s="143"/>
      <c r="K1187" s="143"/>
      <c r="L1187" s="143"/>
      <c r="M1187" s="143"/>
      <c r="N1187" s="143"/>
      <c r="O1187" s="143"/>
      <c r="P1187" s="143"/>
      <c r="Q1187" s="143"/>
      <c r="R1187" s="143"/>
      <c r="S1187" s="143"/>
      <c r="T1187" s="143"/>
      <c r="U1187" s="143"/>
      <c r="W1187" s="37" t="s">
        <v>12</v>
      </c>
      <c r="X1187" s="86" t="s">
        <v>11</v>
      </c>
      <c r="BA1187" s="2"/>
      <c r="BB1187" s="2"/>
      <c r="BC1187" s="101"/>
      <c r="BD1187" s="101"/>
    </row>
    <row r="1188" spans="2:56" s="84" customFormat="1" x14ac:dyDescent="0.35">
      <c r="F1188" s="50"/>
      <c r="G1188" s="84" t="s">
        <v>0</v>
      </c>
      <c r="W1188" s="37" t="s">
        <v>13</v>
      </c>
      <c r="X1188" s="86" t="s">
        <v>14</v>
      </c>
      <c r="BA1188" s="2"/>
      <c r="BB1188" s="2"/>
      <c r="BC1188" s="101"/>
      <c r="BD1188" s="101"/>
    </row>
    <row r="1189" spans="2:56" s="84" customFormat="1" x14ac:dyDescent="0.35">
      <c r="F1189" s="50"/>
      <c r="W1189" s="37" t="s">
        <v>1</v>
      </c>
      <c r="X1189" s="86" t="s">
        <v>15</v>
      </c>
      <c r="BA1189" s="2"/>
      <c r="BB1189" s="2"/>
      <c r="BC1189" s="101"/>
      <c r="BD1189" s="101"/>
    </row>
    <row r="1190" spans="2:56" s="84" customFormat="1" x14ac:dyDescent="0.35">
      <c r="F1190" s="50"/>
      <c r="W1190" s="37" t="s">
        <v>2</v>
      </c>
      <c r="X1190" s="86" t="s">
        <v>16</v>
      </c>
      <c r="BA1190" s="2"/>
      <c r="BB1190" s="2"/>
      <c r="BC1190" s="101"/>
      <c r="BD1190" s="101"/>
    </row>
    <row r="1191" spans="2:56" s="84" customFormat="1" ht="15" customHeight="1" x14ac:dyDescent="0.35">
      <c r="B1191" s="154" t="s">
        <v>35</v>
      </c>
      <c r="F1191" s="50"/>
      <c r="G1191" s="154" t="s">
        <v>36</v>
      </c>
      <c r="H1191" s="154"/>
      <c r="I1191" s="154"/>
      <c r="K1191" s="154" t="s">
        <v>36</v>
      </c>
      <c r="L1191" s="154"/>
      <c r="M1191" s="154"/>
      <c r="W1191" s="37" t="s">
        <v>3</v>
      </c>
      <c r="X1191" s="86" t="s">
        <v>17</v>
      </c>
      <c r="BA1191" s="2"/>
      <c r="BB1191" s="2"/>
      <c r="BC1191" s="101"/>
      <c r="BD1191" s="101"/>
    </row>
    <row r="1192" spans="2:56" s="84" customFormat="1" x14ac:dyDescent="0.35">
      <c r="B1192" s="155"/>
      <c r="D1192" s="37" t="s">
        <v>34</v>
      </c>
      <c r="F1192" s="50"/>
      <c r="G1192" s="154"/>
      <c r="H1192" s="154"/>
      <c r="I1192" s="154"/>
      <c r="K1192" s="154"/>
      <c r="L1192" s="154"/>
      <c r="M1192" s="154"/>
      <c r="W1192" s="38"/>
      <c r="BA1192" s="2"/>
      <c r="BB1192" s="2"/>
      <c r="BC1192" s="101"/>
      <c r="BD1192" s="101"/>
    </row>
    <row r="1193" spans="2:56" s="84" customFormat="1" x14ac:dyDescent="0.35">
      <c r="B1193" s="100">
        <f>B1119+1</f>
        <v>26</v>
      </c>
      <c r="D1193" s="100">
        <f>D1119</f>
        <v>2021</v>
      </c>
      <c r="E1193" s="87" t="s">
        <v>38</v>
      </c>
      <c r="F1193" s="50"/>
      <c r="G1193" s="156">
        <f>K1119+1</f>
        <v>44535</v>
      </c>
      <c r="H1193" s="157"/>
      <c r="I1193" s="158"/>
      <c r="J1193" s="37" t="s">
        <v>37</v>
      </c>
      <c r="K1193" s="156">
        <f>IF(G1193="","",G1193+13)</f>
        <v>44548</v>
      </c>
      <c r="L1193" s="157"/>
      <c r="M1193" s="158"/>
      <c r="P1193" s="159" t="s">
        <v>39</v>
      </c>
      <c r="Q1193" s="160"/>
      <c r="R1193" s="160"/>
      <c r="S1193" s="160"/>
      <c r="T1193" s="161"/>
      <c r="U1193" s="24">
        <v>80</v>
      </c>
      <c r="BA1193" s="2"/>
      <c r="BB1193" s="2"/>
      <c r="BC1193" s="101"/>
      <c r="BD1193" s="101"/>
    </row>
    <row r="1194" spans="2:56" s="84" customFormat="1" x14ac:dyDescent="0.35">
      <c r="F1194" s="50"/>
      <c r="AM1194" s="144" t="s">
        <v>4</v>
      </c>
      <c r="AN1194" s="144"/>
      <c r="AO1194" s="144"/>
      <c r="AP1194" s="144"/>
      <c r="AQ1194" s="144"/>
      <c r="AR1194" s="144"/>
      <c r="AS1194" s="144"/>
      <c r="AU1194" s="100" t="s">
        <v>4</v>
      </c>
      <c r="BA1194" s="2"/>
      <c r="BB1194" s="2"/>
      <c r="BC1194" s="101"/>
      <c r="BD1194" s="101"/>
    </row>
    <row r="1195" spans="2:56" s="84" customFormat="1" ht="15" customHeight="1" x14ac:dyDescent="0.35">
      <c r="B1195" s="40"/>
      <c r="C1195" s="41"/>
      <c r="D1195" s="42" t="s">
        <v>32</v>
      </c>
      <c r="E1195" s="43" t="s">
        <v>5</v>
      </c>
      <c r="F1195" s="50"/>
      <c r="G1195" s="162">
        <f>G1193</f>
        <v>44535</v>
      </c>
      <c r="H1195" s="163"/>
      <c r="I1195" s="162">
        <f>IF(G1195="","",G1195+1)</f>
        <v>44536</v>
      </c>
      <c r="J1195" s="163"/>
      <c r="K1195" s="162">
        <f>IF(I1195="","",I1195+1)</f>
        <v>44537</v>
      </c>
      <c r="L1195" s="163"/>
      <c r="M1195" s="162">
        <f>IF(K1195="","",K1195+1)</f>
        <v>44538</v>
      </c>
      <c r="N1195" s="163"/>
      <c r="O1195" s="162">
        <f>IF(M1195="","",M1195+1)</f>
        <v>44539</v>
      </c>
      <c r="P1195" s="163"/>
      <c r="Q1195" s="162">
        <f>IF(O1195="","",O1195+1)</f>
        <v>44540</v>
      </c>
      <c r="R1195" s="163"/>
      <c r="S1195" s="162">
        <f>IF(Q1195="","",Q1195+1)</f>
        <v>44541</v>
      </c>
      <c r="T1195" s="164"/>
      <c r="U1195" s="44"/>
      <c r="W1195" s="162">
        <f>IF(S1195="","",S1195+1)</f>
        <v>44542</v>
      </c>
      <c r="X1195" s="163"/>
      <c r="Y1195" s="162">
        <f>IF(W1195="","",W1195+1)</f>
        <v>44543</v>
      </c>
      <c r="Z1195" s="163"/>
      <c r="AA1195" s="162">
        <f>IF(Y1195="","",Y1195+1)</f>
        <v>44544</v>
      </c>
      <c r="AB1195" s="163"/>
      <c r="AC1195" s="162">
        <f>IF(AA1195="","",AA1195+1)</f>
        <v>44545</v>
      </c>
      <c r="AD1195" s="163"/>
      <c r="AE1195" s="162">
        <f>IF(AC1195="","",AC1195+1)</f>
        <v>44546</v>
      </c>
      <c r="AF1195" s="163"/>
      <c r="AG1195" s="162">
        <f>IF(AE1195="","",AE1195+1)</f>
        <v>44547</v>
      </c>
      <c r="AH1195" s="163"/>
      <c r="AI1195" s="162">
        <f>IF(AG1195="","",AG1195+1)</f>
        <v>44548</v>
      </c>
      <c r="AJ1195" s="164"/>
      <c r="AK1195" s="44"/>
      <c r="AM1195" s="145" t="s">
        <v>18</v>
      </c>
      <c r="AN1195" s="165" t="s">
        <v>55</v>
      </c>
      <c r="AO1195" s="145" t="s">
        <v>19</v>
      </c>
      <c r="AP1195" s="145" t="s">
        <v>20</v>
      </c>
      <c r="AQ1195" s="145" t="s">
        <v>21</v>
      </c>
      <c r="AR1195" s="166" t="s">
        <v>22</v>
      </c>
      <c r="AS1195" s="167" t="s">
        <v>23</v>
      </c>
      <c r="AU1195" s="144" t="s">
        <v>6</v>
      </c>
      <c r="AW1195" s="145" t="s">
        <v>24</v>
      </c>
      <c r="BA1195" s="2"/>
      <c r="BB1195" s="2"/>
      <c r="BC1195" s="101"/>
      <c r="BD1195" s="101"/>
    </row>
    <row r="1196" spans="2:56" s="84" customFormat="1" x14ac:dyDescent="0.35">
      <c r="B1196" s="45" t="s">
        <v>33</v>
      </c>
      <c r="C1196" s="46"/>
      <c r="D1196" s="47"/>
      <c r="E1196" s="47"/>
      <c r="F1196" s="50"/>
      <c r="G1196" s="146" t="s">
        <v>25</v>
      </c>
      <c r="H1196" s="147"/>
      <c r="I1196" s="146" t="s">
        <v>26</v>
      </c>
      <c r="J1196" s="147"/>
      <c r="K1196" s="146" t="s">
        <v>27</v>
      </c>
      <c r="L1196" s="147"/>
      <c r="M1196" s="146" t="s">
        <v>28</v>
      </c>
      <c r="N1196" s="147"/>
      <c r="O1196" s="146" t="s">
        <v>29</v>
      </c>
      <c r="P1196" s="147"/>
      <c r="Q1196" s="146" t="s">
        <v>30</v>
      </c>
      <c r="R1196" s="147"/>
      <c r="S1196" s="146" t="s">
        <v>31</v>
      </c>
      <c r="T1196" s="148"/>
      <c r="U1196" s="48" t="s">
        <v>7</v>
      </c>
      <c r="W1196" s="146" t="s">
        <v>25</v>
      </c>
      <c r="X1196" s="147"/>
      <c r="Y1196" s="146" t="s">
        <v>26</v>
      </c>
      <c r="Z1196" s="147"/>
      <c r="AA1196" s="146" t="s">
        <v>27</v>
      </c>
      <c r="AB1196" s="147"/>
      <c r="AC1196" s="146" t="s">
        <v>28</v>
      </c>
      <c r="AD1196" s="147"/>
      <c r="AE1196" s="146" t="s">
        <v>29</v>
      </c>
      <c r="AF1196" s="147"/>
      <c r="AG1196" s="146" t="s">
        <v>30</v>
      </c>
      <c r="AH1196" s="147"/>
      <c r="AI1196" s="146" t="s">
        <v>31</v>
      </c>
      <c r="AJ1196" s="148"/>
      <c r="AK1196" s="48" t="s">
        <v>7</v>
      </c>
      <c r="AM1196" s="145"/>
      <c r="AN1196" s="165"/>
      <c r="AO1196" s="145"/>
      <c r="AP1196" s="145"/>
      <c r="AQ1196" s="145"/>
      <c r="AR1196" s="166"/>
      <c r="AS1196" s="167"/>
      <c r="AU1196" s="144"/>
      <c r="AW1196" s="145"/>
      <c r="BA1196" s="2"/>
      <c r="BB1196" s="2"/>
      <c r="BC1196" s="101"/>
      <c r="BD1196" s="101"/>
    </row>
    <row r="1197" spans="2:56" s="84" customFormat="1" x14ac:dyDescent="0.35">
      <c r="B1197" s="63"/>
      <c r="C1197" s="25"/>
      <c r="D1197" s="25"/>
      <c r="E1197" s="25"/>
      <c r="F1197" s="50"/>
      <c r="BA1197" s="2"/>
      <c r="BB1197" s="2"/>
      <c r="BC1197" s="101"/>
      <c r="BD1197" s="101"/>
    </row>
    <row r="1198" spans="2:56" s="84" customFormat="1" x14ac:dyDescent="0.35">
      <c r="B1198" s="26"/>
      <c r="C1198" s="27"/>
      <c r="D1198" s="28">
        <f>IF(D1124="","",D1124)</f>
        <v>31428</v>
      </c>
      <c r="E1198" s="29" t="str">
        <f>IF(E1124="","",E1124)</f>
        <v/>
      </c>
      <c r="F1198" s="50">
        <f>B1193</f>
        <v>26</v>
      </c>
      <c r="G1198" s="59"/>
      <c r="H1198" s="64"/>
      <c r="I1198" s="106"/>
      <c r="J1198" s="105"/>
      <c r="K1198" s="106"/>
      <c r="L1198" s="105"/>
      <c r="M1198" s="106"/>
      <c r="N1198" s="105"/>
      <c r="O1198" s="106"/>
      <c r="P1198" s="105"/>
      <c r="Q1198" s="106"/>
      <c r="R1198" s="105"/>
      <c r="S1198" s="59"/>
      <c r="T1198" s="64"/>
      <c r="U1198" s="44"/>
      <c r="W1198" s="59"/>
      <c r="X1198" s="64"/>
      <c r="Y1198" s="106"/>
      <c r="Z1198" s="105" t="s">
        <v>12</v>
      </c>
      <c r="AA1198" s="106"/>
      <c r="AB1198" s="105" t="s">
        <v>12</v>
      </c>
      <c r="AC1198" s="106"/>
      <c r="AD1198" s="105" t="s">
        <v>12</v>
      </c>
      <c r="AE1198" s="106"/>
      <c r="AF1198" s="105"/>
      <c r="AG1198" s="106"/>
      <c r="AH1198" s="105"/>
      <c r="AI1198" s="59"/>
      <c r="AJ1198" s="64"/>
      <c r="AK1198" s="44"/>
      <c r="AM1198" s="49"/>
      <c r="AN1198" s="49"/>
      <c r="AO1198" s="49"/>
      <c r="AP1198" s="49"/>
      <c r="AQ1198" s="49"/>
      <c r="AR1198" s="40"/>
      <c r="AS1198" s="51"/>
      <c r="AU1198" s="49"/>
      <c r="AW1198" s="52"/>
      <c r="BA1198" s="2"/>
      <c r="BB1198" s="2"/>
      <c r="BC1198" s="101"/>
      <c r="BD1198" s="101"/>
    </row>
    <row r="1199" spans="2:56" s="84" customFormat="1" x14ac:dyDescent="0.35">
      <c r="B1199" s="30" t="str">
        <f>IF(B1125="","",B1125)</f>
        <v>Gaulin, Francis</v>
      </c>
      <c r="C1199" s="31"/>
      <c r="D1199" s="32"/>
      <c r="E1199" s="33">
        <f t="shared" ref="E1199:E1230" si="482">IF(E1125="","",E1125)</f>
        <v>93542</v>
      </c>
      <c r="F1199" s="50">
        <f>B1193</f>
        <v>26</v>
      </c>
      <c r="G1199" s="95"/>
      <c r="H1199" s="70"/>
      <c r="I1199" s="104"/>
      <c r="J1199" s="103">
        <v>8.5</v>
      </c>
      <c r="K1199" s="104"/>
      <c r="L1199" s="103">
        <v>8.5</v>
      </c>
      <c r="M1199" s="104"/>
      <c r="N1199" s="103">
        <v>8.5</v>
      </c>
      <c r="O1199" s="104"/>
      <c r="P1199" s="103">
        <v>8.5</v>
      </c>
      <c r="Q1199" s="104"/>
      <c r="R1199" s="103">
        <v>8</v>
      </c>
      <c r="S1199" s="69"/>
      <c r="T1199" s="70"/>
      <c r="U1199" s="71">
        <f>SUM(G1199:T1199)</f>
        <v>42</v>
      </c>
      <c r="V1199" s="72"/>
      <c r="W1199" s="69"/>
      <c r="X1199" s="70"/>
      <c r="Y1199" s="104"/>
      <c r="Z1199" s="103">
        <v>0</v>
      </c>
      <c r="AA1199" s="104"/>
      <c r="AB1199" s="103">
        <v>0</v>
      </c>
      <c r="AC1199" s="104"/>
      <c r="AD1199" s="103">
        <v>0</v>
      </c>
      <c r="AE1199" s="104"/>
      <c r="AF1199" s="103">
        <v>8.5</v>
      </c>
      <c r="AG1199" s="104"/>
      <c r="AH1199" s="103">
        <v>8</v>
      </c>
      <c r="AI1199" s="69"/>
      <c r="AJ1199" s="70"/>
      <c r="AK1199" s="71">
        <f>SUM(W1199:AJ1199)</f>
        <v>16.5</v>
      </c>
      <c r="AL1199" s="72"/>
      <c r="AM1199" s="73">
        <f>SUMIF($G1198:$T1198,"",$G1199:$T1199)+SUMIF($W1198:$AJ1198,"",$W1199:$AJ1199)-AN1199</f>
        <v>56.5</v>
      </c>
      <c r="AN1199" s="88">
        <f>IF(SUMIF($G1198:$T1198,"",$G1199:$T1199)+SUMIF($G1198:$T1198,"F",$G1199:$T1199)+SUMIF($G1198:$T1198,"V",$G1199:$T1199)-40&lt;0,0,SUMIF($G1198:$T1198,"",$G1199:$T1199)+SUMIF($G1198:$T1198,"F",$G1199:$T1199)+SUMIF($G1198:$T1198,"V",$G1199:$T1199)-($U$9/2))+IF(SUMIF($W1198:$AJ1198,"",$W1199:$AJ1199)+SUMIF($W1198:$AJ1198,"F",$W1199:$AJ1199)+SUMIF($W1198:$AJ1198,"V",$W1199:$AJ1199)-40&lt;0,0,SUMIF($W1198:$AJ1198,"",$W1199:$AJ1199)+SUMIF($W1198:$AJ1198,"F",$W1199:$AJ1199)+SUMIF($W1198:$AJ1198,"V",$W1199:$AJ1199)-($U$9/2))</f>
        <v>2</v>
      </c>
      <c r="AO1199" s="73">
        <f>SUMIF($G1198:$T1198,"M",$G1199:$T1199)+SUMIF($W1198:$AJ1198,"M",$W1199:$AJ1199)</f>
        <v>0</v>
      </c>
      <c r="AP1199" s="73">
        <f>SUMIF($G1198:$T1198,"F",$G1199:$T1199)+SUMIF($W1198:$AJ1198,"F",$W1199:$AJ1199)</f>
        <v>0</v>
      </c>
      <c r="AQ1199" s="73">
        <f>SUMIF($G1198:$T1198,"V",$G1199:$T1199)+SUMIF($W1198:$AJ1198,"V",$W1199:$AJ1199)</f>
        <v>0</v>
      </c>
      <c r="AR1199" s="74">
        <f>SUMIF($G1198:$T1198,"O",$G1199:$T1199)+SUMIF($W1198:$AJ1198,"O",$W1199:$AJ1199)</f>
        <v>0</v>
      </c>
      <c r="AS1199" s="75">
        <f>SUM(AM1199:AR1199)</f>
        <v>58.5</v>
      </c>
      <c r="AT1199" s="72"/>
      <c r="AU1199" s="73">
        <f>SUMIF($G1198:$T1198,"A",$G1199:$T1199)+SUMIF($W1198:$AJ1198,"A",$W1199:$AJ1199)</f>
        <v>0</v>
      </c>
      <c r="AV1199" s="72"/>
      <c r="AW1199" s="76">
        <f>IF(B1199="",0,IF($U$9="",0,$U$9))</f>
        <v>80</v>
      </c>
      <c r="BA1199" s="2"/>
      <c r="BB1199" s="2"/>
      <c r="BC1199" s="101"/>
      <c r="BD1199" s="101"/>
    </row>
    <row r="1200" spans="2:56" s="84" customFormat="1" x14ac:dyDescent="0.35">
      <c r="B1200" s="26"/>
      <c r="C1200" s="27"/>
      <c r="D1200" s="28">
        <f>IF(D1126="","",D1126)</f>
        <v>24287</v>
      </c>
      <c r="E1200" s="29" t="str">
        <f t="shared" si="482"/>
        <v/>
      </c>
      <c r="F1200" s="50">
        <f>B1193</f>
        <v>26</v>
      </c>
      <c r="G1200" s="59"/>
      <c r="H1200" s="64"/>
      <c r="I1200" s="106"/>
      <c r="J1200" s="105"/>
      <c r="K1200" s="106"/>
      <c r="L1200" s="105"/>
      <c r="M1200" s="106"/>
      <c r="N1200" s="105"/>
      <c r="O1200" s="106"/>
      <c r="P1200" s="105"/>
      <c r="Q1200" s="106"/>
      <c r="R1200" s="105"/>
      <c r="S1200" s="59"/>
      <c r="T1200" s="64"/>
      <c r="U1200" s="44"/>
      <c r="W1200" s="59"/>
      <c r="X1200" s="64"/>
      <c r="Y1200" s="106"/>
      <c r="Z1200" s="105"/>
      <c r="AA1200" s="106"/>
      <c r="AB1200" s="105"/>
      <c r="AC1200" s="106"/>
      <c r="AD1200" s="105"/>
      <c r="AE1200" s="106"/>
      <c r="AF1200" s="105"/>
      <c r="AG1200" s="106"/>
      <c r="AH1200" s="105"/>
      <c r="AI1200" s="59"/>
      <c r="AJ1200" s="64"/>
      <c r="AK1200" s="44"/>
      <c r="AM1200" s="49"/>
      <c r="AN1200" s="49"/>
      <c r="AO1200" s="49"/>
      <c r="AP1200" s="49"/>
      <c r="AQ1200" s="49"/>
      <c r="AR1200" s="40"/>
      <c r="AS1200" s="51"/>
      <c r="AU1200" s="49"/>
      <c r="AW1200" s="52"/>
      <c r="BA1200" s="2"/>
      <c r="BB1200" s="2"/>
      <c r="BC1200" s="101"/>
      <c r="BD1200" s="101"/>
    </row>
    <row r="1201" spans="2:56" s="84" customFormat="1" x14ac:dyDescent="0.35">
      <c r="B1201" s="30" t="str">
        <f>IF(B1127="","",B1127)</f>
        <v>Barrata, Dominic(Avance $500.00)</v>
      </c>
      <c r="C1201" s="31"/>
      <c r="D1201" s="32"/>
      <c r="E1201" s="33">
        <f t="shared" si="482"/>
        <v>93595935</v>
      </c>
      <c r="F1201" s="50">
        <f>B1193</f>
        <v>26</v>
      </c>
      <c r="G1201" s="69"/>
      <c r="H1201" s="70"/>
      <c r="I1201" s="104"/>
      <c r="J1201" s="103" t="s">
        <v>69</v>
      </c>
      <c r="K1201" s="104"/>
      <c r="L1201" s="103" t="s">
        <v>69</v>
      </c>
      <c r="M1201" s="104"/>
      <c r="N1201" s="103" t="s">
        <v>69</v>
      </c>
      <c r="O1201" s="104"/>
      <c r="P1201" s="103" t="s">
        <v>69</v>
      </c>
      <c r="Q1201" s="104"/>
      <c r="R1201" s="103" t="s">
        <v>69</v>
      </c>
      <c r="S1201" s="69"/>
      <c r="T1201" s="70"/>
      <c r="U1201" s="71">
        <f t="shared" ref="U1201" si="483">SUM(G1201:T1201)</f>
        <v>0</v>
      </c>
      <c r="V1201" s="72"/>
      <c r="W1201" s="69"/>
      <c r="X1201" s="70"/>
      <c r="Y1201" s="104"/>
      <c r="Z1201" s="103" t="s">
        <v>69</v>
      </c>
      <c r="AA1201" s="104"/>
      <c r="AB1201" s="103" t="s">
        <v>69</v>
      </c>
      <c r="AC1201" s="104"/>
      <c r="AD1201" s="103" t="s">
        <v>69</v>
      </c>
      <c r="AE1201" s="104"/>
      <c r="AF1201" s="103" t="s">
        <v>69</v>
      </c>
      <c r="AG1201" s="104"/>
      <c r="AH1201" s="103" t="s">
        <v>69</v>
      </c>
      <c r="AI1201" s="69"/>
      <c r="AJ1201" s="70"/>
      <c r="AK1201" s="71">
        <f>SUM(W1201:AJ1201)</f>
        <v>0</v>
      </c>
      <c r="AL1201" s="72"/>
      <c r="AM1201" s="73">
        <f>SUMIF($G1200:$T1200,"",$G1201:$T1201)+SUMIF($W1200:$AJ1200,"",$W1201:$AJ1201)-AN1201</f>
        <v>0</v>
      </c>
      <c r="AN1201" s="88">
        <f>IF(SUMIF($G1200:$T1200,"",$G1201:$T1201)+SUMIF($G1200:$T1200,"F",$G1201:$T1201)+SUMIF($G1200:$T1200,"V",$G1201:$T1201)-40&lt;0,0,SUMIF($G1200:$T1200,"",$G1201:$T1201)+SUMIF($G1200:$T1200,"F",$G1201:$T1201)+SUMIF($G1200:$T1200,"V",$G1201:$T1201)-($U$9/2))+IF(SUMIF($W1200:$AJ1200,"",$W1201:$AJ1201)+SUMIF($W1200:$AJ1200,"F",$W1201:$AJ1201)+SUMIF($W1200:$AJ1200,"V",$W1201:$AJ1201)-40&lt;0,0,SUMIF($W1200:$AJ1200,"",$W1201:$AJ1201)+SUMIF($W1200:$AJ1200,"F",$W1201:$AJ1201)+SUMIF($W1200:$AJ1200,"V",$W1201:$AJ1201)-($U$9/2))</f>
        <v>0</v>
      </c>
      <c r="AO1201" s="73">
        <f>SUMIF($G1200:$T1200,"M",$G1201:$T1201)+SUMIF($W1200:$AJ1200,"M",$W1201:$AJ1201)</f>
        <v>0</v>
      </c>
      <c r="AP1201" s="73">
        <f>SUMIF($G1200:$T1200,"F",$G1201:$T1201)+SUMIF($W1200:$AJ1200,"F",$W1201:$AJ1201)</f>
        <v>0</v>
      </c>
      <c r="AQ1201" s="73">
        <f>SUMIF($G1200:$T1200,"V",$G1201:$T1201)+SUMIF($W1200:$AJ1200,"V",$W1201:$AJ1201)</f>
        <v>0</v>
      </c>
      <c r="AR1201" s="74">
        <f>SUMIF($G1200:$T1200,"O",$G1201:$T1201)+SUMIF($W1200:$AJ1200,"O",$W1201:$AJ1201)</f>
        <v>0</v>
      </c>
      <c r="AS1201" s="75">
        <f>SUM(AM1201:AR1201)</f>
        <v>0</v>
      </c>
      <c r="AT1201" s="72"/>
      <c r="AU1201" s="73">
        <f>SUMIF($G1200:$T1200,"A",$G1201:$T1201)+SUMIF($W1200:$AJ1200,"A",$W1201:$AJ1201)</f>
        <v>0</v>
      </c>
      <c r="AV1201" s="72"/>
      <c r="AW1201" s="76">
        <f>IF(B1201="",0,IF($U$9="",0,$U$9))</f>
        <v>80</v>
      </c>
      <c r="BA1201" s="2"/>
      <c r="BB1201" s="2"/>
      <c r="BC1201" s="101"/>
      <c r="BD1201" s="101"/>
    </row>
    <row r="1202" spans="2:56" s="84" customFormat="1" x14ac:dyDescent="0.35">
      <c r="B1202" s="26"/>
      <c r="C1202" s="27"/>
      <c r="D1202" s="28">
        <f>IF(D1128="","",D1128)</f>
        <v>92032</v>
      </c>
      <c r="E1202" s="29" t="str">
        <f t="shared" si="482"/>
        <v/>
      </c>
      <c r="F1202" s="50">
        <f>B1193</f>
        <v>26</v>
      </c>
      <c r="G1202" s="59"/>
      <c r="H1202" s="64"/>
      <c r="I1202" s="106"/>
      <c r="J1202" s="105"/>
      <c r="K1202" s="106"/>
      <c r="L1202" s="105"/>
      <c r="M1202" s="106"/>
      <c r="N1202" s="105"/>
      <c r="O1202" s="106"/>
      <c r="P1202" s="105"/>
      <c r="Q1202" s="106"/>
      <c r="R1202" s="105"/>
      <c r="S1202" s="59"/>
      <c r="T1202" s="64"/>
      <c r="U1202" s="44"/>
      <c r="W1202" s="59"/>
      <c r="X1202" s="64"/>
      <c r="Y1202" s="106"/>
      <c r="Z1202" s="105"/>
      <c r="AA1202" s="106"/>
      <c r="AB1202" s="105"/>
      <c r="AC1202" s="106"/>
      <c r="AD1202" s="105"/>
      <c r="AE1202" s="106"/>
      <c r="AF1202" s="105"/>
      <c r="AG1202" s="106"/>
      <c r="AH1202" s="105"/>
      <c r="AI1202" s="59"/>
      <c r="AJ1202" s="64"/>
      <c r="AK1202" s="44"/>
      <c r="AM1202" s="49"/>
      <c r="AN1202" s="49"/>
      <c r="AO1202" s="49"/>
      <c r="AP1202" s="49"/>
      <c r="AQ1202" s="49"/>
      <c r="AR1202" s="40"/>
      <c r="AS1202" s="51"/>
      <c r="AU1202" s="49"/>
      <c r="AW1202" s="52"/>
      <c r="BA1202" s="2"/>
      <c r="BB1202" s="2"/>
      <c r="BC1202" s="101"/>
      <c r="BD1202" s="101"/>
    </row>
    <row r="1203" spans="2:56" s="84" customFormat="1" x14ac:dyDescent="0.35">
      <c r="B1203" s="30" t="str">
        <f>IF(B1129="","",B1129)</f>
        <v>Benoit, Jean-Paul(Avance $1,600.00)</v>
      </c>
      <c r="C1203" s="31"/>
      <c r="D1203" s="32"/>
      <c r="E1203" s="33">
        <f t="shared" si="482"/>
        <v>93595935</v>
      </c>
      <c r="F1203" s="50">
        <f>B1193</f>
        <v>26</v>
      </c>
      <c r="G1203" s="69"/>
      <c r="H1203" s="70"/>
      <c r="I1203" s="104"/>
      <c r="J1203" s="103" t="s">
        <v>69</v>
      </c>
      <c r="K1203" s="104"/>
      <c r="L1203" s="103" t="s">
        <v>69</v>
      </c>
      <c r="M1203" s="104"/>
      <c r="N1203" s="103" t="s">
        <v>69</v>
      </c>
      <c r="O1203" s="104"/>
      <c r="P1203" s="103" t="s">
        <v>69</v>
      </c>
      <c r="Q1203" s="104"/>
      <c r="R1203" s="103" t="s">
        <v>69</v>
      </c>
      <c r="S1203" s="69"/>
      <c r="T1203" s="70"/>
      <c r="U1203" s="71">
        <f t="shared" ref="U1203" si="484">SUM(G1203:T1203)</f>
        <v>0</v>
      </c>
      <c r="V1203" s="72"/>
      <c r="W1203" s="69"/>
      <c r="X1203" s="70"/>
      <c r="Y1203" s="104"/>
      <c r="Z1203" s="103" t="s">
        <v>69</v>
      </c>
      <c r="AA1203" s="104"/>
      <c r="AB1203" s="103" t="s">
        <v>69</v>
      </c>
      <c r="AC1203" s="104"/>
      <c r="AD1203" s="103" t="s">
        <v>69</v>
      </c>
      <c r="AE1203" s="104"/>
      <c r="AF1203" s="103" t="s">
        <v>69</v>
      </c>
      <c r="AG1203" s="104"/>
      <c r="AH1203" s="103" t="s">
        <v>69</v>
      </c>
      <c r="AI1203" s="69"/>
      <c r="AJ1203" s="70"/>
      <c r="AK1203" s="71">
        <f>SUM(W1203:AJ1203)</f>
        <v>0</v>
      </c>
      <c r="AL1203" s="72"/>
      <c r="AM1203" s="73">
        <f>SUMIF($G1202:$T1202,"",$G1203:$T1203)+SUMIF($W1202:$AJ1202,"",$W1203:$AJ1203)-AN1203</f>
        <v>0</v>
      </c>
      <c r="AN1203" s="88">
        <f>IF(SUMIF($G1202:$T1202,"",$G1203:$T1203)+SUMIF($G1202:$T1202,"F",$G1203:$T1203)+SUMIF($G1202:$T1202,"V",$G1203:$T1203)-40&lt;0,0,SUMIF($G1202:$T1202,"",$G1203:$T1203)+SUMIF($G1202:$T1202,"F",$G1203:$T1203)+SUMIF($G1202:$T1202,"V",$G1203:$T1203)-($U$9/2))+IF(SUMIF($W1202:$AJ1202,"",$W1203:$AJ1203)+SUMIF($W1202:$AJ1202,"F",$W1203:$AJ1203)+SUMIF($W1202:$AJ1202,"V",$W1203:$AJ1203)-40&lt;0,0,SUMIF($W1202:$AJ1202,"",$W1203:$AJ1203)+SUMIF($W1202:$AJ1202,"F",$W1203:$AJ1203)+SUMIF($W1202:$AJ1202,"V",$W1203:$AJ1203)-($U$9/2))</f>
        <v>0</v>
      </c>
      <c r="AO1203" s="73">
        <f>SUMIF($G1202:$T1202,"M",$G1203:$T1203)+SUMIF($W1202:$AJ1202,"M",$W1203:$AJ1203)</f>
        <v>0</v>
      </c>
      <c r="AP1203" s="73">
        <f>SUMIF($G1202:$T1202,"F",$G1203:$T1203)+SUMIF($W1202:$AJ1202,"F",$W1203:$AJ1203)</f>
        <v>0</v>
      </c>
      <c r="AQ1203" s="73">
        <f>SUMIF($G1202:$T1202,"V",$G1203:$T1203)+SUMIF($W1202:$AJ1202,"V",$W1203:$AJ1203)</f>
        <v>0</v>
      </c>
      <c r="AR1203" s="74">
        <f>SUMIF($G1202:$T1202,"O",$G1203:$T1203)+SUMIF($W1202:$AJ1202,"O",$W1203:$AJ1203)</f>
        <v>0</v>
      </c>
      <c r="AS1203" s="75">
        <f>SUM(AM1203:AR1203)</f>
        <v>0</v>
      </c>
      <c r="AT1203" s="72"/>
      <c r="AU1203" s="73">
        <f>SUMIF($G1202:$T1202,"A",$G1203:$T1203)+SUMIF($W1202:$AJ1202,"A",$W1203:$AJ1203)</f>
        <v>0</v>
      </c>
      <c r="AV1203" s="72"/>
      <c r="AW1203" s="76">
        <f>IF(B1203="",0,IF($U$9="",0,$U$9))</f>
        <v>80</v>
      </c>
      <c r="BA1203" s="2"/>
      <c r="BB1203" s="2"/>
      <c r="BC1203" s="101"/>
      <c r="BD1203" s="101"/>
    </row>
    <row r="1204" spans="2:56" s="84" customFormat="1" x14ac:dyDescent="0.35">
      <c r="B1204" s="26"/>
      <c r="C1204" s="27"/>
      <c r="D1204" s="28">
        <f>IF(D1130="","",D1130)</f>
        <v>81077</v>
      </c>
      <c r="E1204" s="29" t="str">
        <f t="shared" si="482"/>
        <v/>
      </c>
      <c r="F1204" s="50">
        <f>B1193</f>
        <v>26</v>
      </c>
      <c r="G1204" s="93"/>
      <c r="H1204" s="94"/>
      <c r="I1204" s="106"/>
      <c r="J1204" s="105"/>
      <c r="K1204" s="106"/>
      <c r="L1204" s="105"/>
      <c r="M1204" s="106"/>
      <c r="N1204" s="105"/>
      <c r="O1204" s="106"/>
      <c r="P1204" s="105" t="s">
        <v>2</v>
      </c>
      <c r="Q1204" s="106"/>
      <c r="R1204" s="105"/>
      <c r="S1204" s="59"/>
      <c r="T1204" s="64"/>
      <c r="U1204" s="44"/>
      <c r="W1204" s="59"/>
      <c r="X1204" s="64"/>
      <c r="Y1204" s="106"/>
      <c r="Z1204" s="105"/>
      <c r="AA1204" s="106"/>
      <c r="AB1204" s="105"/>
      <c r="AC1204" s="106"/>
      <c r="AD1204" s="105"/>
      <c r="AE1204" s="106"/>
      <c r="AF1204" s="105"/>
      <c r="AG1204" s="106"/>
      <c r="AH1204" s="105"/>
      <c r="AI1204" s="59"/>
      <c r="AJ1204" s="64"/>
      <c r="AK1204" s="44"/>
      <c r="AM1204" s="49"/>
      <c r="AN1204" s="49"/>
      <c r="AO1204" s="49"/>
      <c r="AP1204" s="49"/>
      <c r="AQ1204" s="49"/>
      <c r="AR1204" s="40"/>
      <c r="AS1204" s="51"/>
      <c r="AU1204" s="49"/>
      <c r="AW1204" s="52"/>
      <c r="BA1204" s="2"/>
      <c r="BB1204" s="2"/>
      <c r="BC1204" s="101"/>
      <c r="BD1204" s="101"/>
    </row>
    <row r="1205" spans="2:56" s="84" customFormat="1" x14ac:dyDescent="0.35">
      <c r="B1205" s="30" t="str">
        <f>IF(B1131="","",B1131)</f>
        <v>Bourassa, Julie</v>
      </c>
      <c r="C1205" s="31"/>
      <c r="D1205" s="32"/>
      <c r="E1205" s="33">
        <f t="shared" si="482"/>
        <v>93540</v>
      </c>
      <c r="F1205" s="50">
        <f>B1193</f>
        <v>26</v>
      </c>
      <c r="G1205" s="93"/>
      <c r="H1205" s="94"/>
      <c r="I1205" s="104"/>
      <c r="J1205" s="103">
        <v>8</v>
      </c>
      <c r="K1205" s="104"/>
      <c r="L1205" s="103">
        <v>8.5</v>
      </c>
      <c r="M1205" s="104"/>
      <c r="N1205" s="103">
        <v>8</v>
      </c>
      <c r="O1205" s="104"/>
      <c r="P1205" s="103">
        <v>0</v>
      </c>
      <c r="Q1205" s="104"/>
      <c r="R1205" s="103">
        <v>8</v>
      </c>
      <c r="S1205" s="69"/>
      <c r="T1205" s="70"/>
      <c r="U1205" s="71">
        <f t="shared" ref="U1205" si="485">SUM(G1205:T1205)</f>
        <v>32.5</v>
      </c>
      <c r="V1205" s="72"/>
      <c r="W1205" s="69"/>
      <c r="X1205" s="70"/>
      <c r="Y1205" s="104"/>
      <c r="Z1205" s="103">
        <v>8</v>
      </c>
      <c r="AA1205" s="104"/>
      <c r="AB1205" s="103">
        <v>8</v>
      </c>
      <c r="AC1205" s="104"/>
      <c r="AD1205" s="103">
        <v>8</v>
      </c>
      <c r="AE1205" s="104"/>
      <c r="AF1205" s="103">
        <v>8</v>
      </c>
      <c r="AG1205" s="104"/>
      <c r="AH1205" s="103">
        <v>7.5</v>
      </c>
      <c r="AI1205" s="69"/>
      <c r="AJ1205" s="70"/>
      <c r="AK1205" s="71">
        <f>SUM(W1205:AJ1205)</f>
        <v>39.5</v>
      </c>
      <c r="AL1205" s="72"/>
      <c r="AM1205" s="73">
        <f>SUMIF($G1204:$T1204,"",$G1205:$T1205)+SUMIF($W1204:$AJ1204,"",$W1205:$AJ1205)-AN1205</f>
        <v>72</v>
      </c>
      <c r="AN1205" s="88">
        <f>IF(SUMIF($G1204:$T1204,"",$G1205:$T1205)+SUMIF($G1204:$T1204,"F",$G1205:$T1205)+SUMIF($G1204:$T1204,"V",$G1205:$T1205)-40&lt;0,0,SUMIF($G1204:$T1204,"",$G1205:$T1205)+SUMIF($G1204:$T1204,"F",$G1205:$T1205)+SUMIF($G1204:$T1204,"V",$G1205:$T1205)-($U$9/2))+IF(SUMIF($W1204:$AJ1204,"",$W1205:$AJ1205)+SUMIF($W1204:$AJ1204,"F",$W1205:$AJ1205)+SUMIF($W1204:$AJ1204,"V",$W1205:$AJ1205)-40&lt;0,0,SUMIF($W1204:$AJ1204,"",$W1205:$AJ1205)+SUMIF($W1204:$AJ1204,"F",$W1205:$AJ1205)+SUMIF($W1204:$AJ1204,"V",$W1205:$AJ1205)-($U$9/2))</f>
        <v>0</v>
      </c>
      <c r="AO1205" s="73">
        <f>SUMIF($G1204:$T1204,"M",$G1205:$T1205)+SUMIF($W1204:$AJ1204,"M",$W1205:$AJ1205)</f>
        <v>0</v>
      </c>
      <c r="AP1205" s="73">
        <f>SUMIF($G1204:$T1204,"F",$G1205:$T1205)+SUMIF($W1204:$AJ1204,"F",$W1205:$AJ1205)</f>
        <v>0</v>
      </c>
      <c r="AQ1205" s="73">
        <f>SUMIF($G1204:$T1204,"V",$G1205:$T1205)+SUMIF($W1204:$AJ1204,"V",$W1205:$AJ1205)</f>
        <v>0</v>
      </c>
      <c r="AR1205" s="74">
        <f>SUMIF($G1204:$T1204,"O",$G1205:$T1205)+SUMIF($W1204:$AJ1204,"O",$W1205:$AJ1205)</f>
        <v>0</v>
      </c>
      <c r="AS1205" s="75">
        <f>SUM(AM1205:AR1205)</f>
        <v>72</v>
      </c>
      <c r="AT1205" s="72"/>
      <c r="AU1205" s="73">
        <f>SUMIF($G1204:$T1204,"A",$G1205:$T1205)+SUMIF($W1204:$AJ1204,"A",$W1205:$AJ1205)</f>
        <v>0</v>
      </c>
      <c r="AV1205" s="72"/>
      <c r="AW1205" s="76">
        <f>IF(B1205="",0,IF($U$9="",0,$U$9))</f>
        <v>80</v>
      </c>
      <c r="BA1205" s="2"/>
      <c r="BB1205" s="2"/>
      <c r="BC1205" s="101"/>
      <c r="BD1205" s="101"/>
    </row>
    <row r="1206" spans="2:56" s="84" customFormat="1" x14ac:dyDescent="0.35">
      <c r="B1206" s="26"/>
      <c r="C1206" s="27"/>
      <c r="D1206" s="28">
        <f>IF(D1132="","",D1132)</f>
        <v>78475</v>
      </c>
      <c r="E1206" s="29" t="str">
        <f t="shared" si="482"/>
        <v/>
      </c>
      <c r="F1206" s="50">
        <f>B1193</f>
        <v>26</v>
      </c>
      <c r="G1206" s="59"/>
      <c r="H1206" s="64"/>
      <c r="I1206" s="106"/>
      <c r="J1206" s="105"/>
      <c r="K1206" s="106"/>
      <c r="L1206" s="105"/>
      <c r="M1206" s="106"/>
      <c r="N1206" s="105"/>
      <c r="O1206" s="106"/>
      <c r="P1206" s="105"/>
      <c r="Q1206" s="106"/>
      <c r="R1206" s="105"/>
      <c r="S1206" s="59"/>
      <c r="T1206" s="64"/>
      <c r="U1206" s="44"/>
      <c r="W1206" s="59"/>
      <c r="X1206" s="64"/>
      <c r="Y1206" s="106"/>
      <c r="Z1206" s="105"/>
      <c r="AA1206" s="106"/>
      <c r="AB1206" s="105"/>
      <c r="AC1206" s="106"/>
      <c r="AD1206" s="105"/>
      <c r="AE1206" s="106"/>
      <c r="AF1206" s="105"/>
      <c r="AG1206" s="106"/>
      <c r="AH1206" s="105"/>
      <c r="AI1206" s="59"/>
      <c r="AJ1206" s="64"/>
      <c r="AK1206" s="44"/>
      <c r="AM1206" s="49"/>
      <c r="AN1206" s="49"/>
      <c r="AO1206" s="49"/>
      <c r="AP1206" s="49"/>
      <c r="AQ1206" s="49"/>
      <c r="AR1206" s="40"/>
      <c r="AS1206" s="51"/>
      <c r="AU1206" s="49"/>
      <c r="AW1206" s="52"/>
      <c r="BA1206" s="2"/>
      <c r="BB1206" s="2"/>
      <c r="BC1206" s="101"/>
      <c r="BD1206" s="101"/>
    </row>
    <row r="1207" spans="2:56" s="84" customFormat="1" x14ac:dyDescent="0.35">
      <c r="B1207" s="30" t="str">
        <f>IF(B1133="","",B1133)</f>
        <v>Charbonneau, Samuel</v>
      </c>
      <c r="C1207" s="31"/>
      <c r="D1207" s="32"/>
      <c r="E1207" s="33">
        <f t="shared" si="482"/>
        <v>93540</v>
      </c>
      <c r="F1207" s="50">
        <f>B1193</f>
        <v>26</v>
      </c>
      <c r="G1207" s="69"/>
      <c r="H1207" s="70"/>
      <c r="I1207" s="104"/>
      <c r="J1207" s="103">
        <v>8.5</v>
      </c>
      <c r="K1207" s="104"/>
      <c r="L1207" s="103">
        <v>8</v>
      </c>
      <c r="M1207" s="104"/>
      <c r="N1207" s="103">
        <v>8.5</v>
      </c>
      <c r="O1207" s="104"/>
      <c r="P1207" s="103">
        <v>8.5</v>
      </c>
      <c r="Q1207" s="104"/>
      <c r="R1207" s="103">
        <v>7.5</v>
      </c>
      <c r="S1207" s="69"/>
      <c r="T1207" s="70"/>
      <c r="U1207" s="71">
        <f t="shared" ref="U1207" si="486">SUM(G1207:T1207)</f>
        <v>41</v>
      </c>
      <c r="V1207" s="72"/>
      <c r="W1207" s="69"/>
      <c r="X1207" s="70"/>
      <c r="Y1207" s="104"/>
      <c r="Z1207" s="103">
        <v>8.5</v>
      </c>
      <c r="AA1207" s="104"/>
      <c r="AB1207" s="103">
        <v>8.5</v>
      </c>
      <c r="AC1207" s="104"/>
      <c r="AD1207" s="103">
        <v>8.5</v>
      </c>
      <c r="AE1207" s="104"/>
      <c r="AF1207" s="103">
        <v>8.5</v>
      </c>
      <c r="AG1207" s="104"/>
      <c r="AH1207" s="103">
        <v>8</v>
      </c>
      <c r="AI1207" s="69"/>
      <c r="AJ1207" s="70"/>
      <c r="AK1207" s="71">
        <f>SUM(W1207:AJ1207)</f>
        <v>42</v>
      </c>
      <c r="AL1207" s="72"/>
      <c r="AM1207" s="73">
        <f>SUMIF($G1206:$T1206,"",$G1207:$T1207)+SUMIF($W1206:$AJ1206,"",$W1207:$AJ1207)-AN1207</f>
        <v>80</v>
      </c>
      <c r="AN1207" s="88">
        <f>IF(SUMIF($G1206:$T1206,"",$G1207:$T1207)+SUMIF($G1206:$T1206,"F",$G1207:$T1207)+SUMIF($G1206:$T1206,"V",$G1207:$T1207)-40&lt;0,0,SUMIF($G1206:$T1206,"",$G1207:$T1207)+SUMIF($G1206:$T1206,"F",$G1207:$T1207)+SUMIF($G1206:$T1206,"V",$G1207:$T1207)-($U$9/2))+IF(SUMIF($W1206:$AJ1206,"",$W1207:$AJ1207)+SUMIF($W1206:$AJ1206,"F",$W1207:$AJ1207)+SUMIF($W1206:$AJ1206,"V",$W1207:$AJ1207)-40&lt;0,0,SUMIF($W1206:$AJ1206,"",$W1207:$AJ1207)+SUMIF($W1206:$AJ1206,"F",$W1207:$AJ1207)+SUMIF($W1206:$AJ1206,"V",$W1207:$AJ1207)-($U$9/2))</f>
        <v>3</v>
      </c>
      <c r="AO1207" s="73">
        <f>SUMIF($G1206:$T1206,"M",$G1207:$T1207)+SUMIF($W1206:$AJ1206,"M",$W1207:$AJ1207)</f>
        <v>0</v>
      </c>
      <c r="AP1207" s="73">
        <f>SUMIF($G1206:$T1206,"F",$G1207:$T1207)+SUMIF($W1206:$AJ1206,"F",$W1207:$AJ1207)</f>
        <v>0</v>
      </c>
      <c r="AQ1207" s="73">
        <f>SUMIF($G1206:$T1206,"V",$G1207:$T1207)+SUMIF($W1206:$AJ1206,"V",$W1207:$AJ1207)</f>
        <v>0</v>
      </c>
      <c r="AR1207" s="74">
        <f>SUMIF($G1206:$T1206,"O",$G1207:$T1207)+SUMIF($W1206:$AJ1206,"O",$W1207:$AJ1207)</f>
        <v>0</v>
      </c>
      <c r="AS1207" s="75">
        <f>SUM(AM1207:AR1207)</f>
        <v>83</v>
      </c>
      <c r="AT1207" s="72"/>
      <c r="AU1207" s="73">
        <f>SUMIF($G1206:$T1206,"A",$G1207:$T1207)+SUMIF($W1206:$AJ1206,"A",$W1207:$AJ1207)</f>
        <v>0</v>
      </c>
      <c r="AV1207" s="72"/>
      <c r="AW1207" s="76">
        <f>IF(B1207="",0,IF($U$9="",0,$U$9))</f>
        <v>80</v>
      </c>
      <c r="BA1207" s="2"/>
      <c r="BB1207" s="2"/>
      <c r="BC1207" s="101"/>
      <c r="BD1207" s="101"/>
    </row>
    <row r="1208" spans="2:56" s="84" customFormat="1" x14ac:dyDescent="0.35">
      <c r="B1208" s="26"/>
      <c r="C1208" s="27"/>
      <c r="D1208" s="28" t="str">
        <f>IF(D1134="","",D1134)</f>
        <v/>
      </c>
      <c r="E1208" s="29" t="str">
        <f t="shared" si="482"/>
        <v/>
      </c>
      <c r="F1208" s="50">
        <f>B1193</f>
        <v>26</v>
      </c>
      <c r="G1208" s="59"/>
      <c r="H1208" s="64"/>
      <c r="I1208" s="106"/>
      <c r="J1208" s="105"/>
      <c r="K1208" s="106"/>
      <c r="L1208" s="105"/>
      <c r="M1208" s="106"/>
      <c r="N1208" s="105"/>
      <c r="O1208" s="106"/>
      <c r="P1208" s="105"/>
      <c r="Q1208" s="106"/>
      <c r="R1208" s="105"/>
      <c r="S1208" s="59"/>
      <c r="T1208" s="64"/>
      <c r="U1208" s="44"/>
      <c r="W1208" s="59"/>
      <c r="X1208" s="64"/>
      <c r="Y1208" s="106"/>
      <c r="Z1208" s="105"/>
      <c r="AA1208" s="106"/>
      <c r="AB1208" s="105"/>
      <c r="AC1208" s="106"/>
      <c r="AD1208" s="105"/>
      <c r="AE1208" s="106"/>
      <c r="AF1208" s="105"/>
      <c r="AG1208" s="106"/>
      <c r="AH1208" s="105"/>
      <c r="AI1208" s="59"/>
      <c r="AJ1208" s="64"/>
      <c r="AK1208" s="44"/>
      <c r="AM1208" s="49"/>
      <c r="AN1208" s="49"/>
      <c r="AO1208" s="49"/>
      <c r="AP1208" s="49"/>
      <c r="AQ1208" s="49"/>
      <c r="AR1208" s="40"/>
      <c r="AS1208" s="51"/>
      <c r="AU1208" s="49"/>
      <c r="AW1208" s="52"/>
      <c r="BA1208" s="2"/>
      <c r="BB1208" s="2"/>
      <c r="BC1208" s="101"/>
      <c r="BD1208" s="101"/>
    </row>
    <row r="1209" spans="2:56" s="84" customFormat="1" x14ac:dyDescent="0.35">
      <c r="B1209" s="30" t="str">
        <f>IF(B1135="","",B1135)</f>
        <v/>
      </c>
      <c r="C1209" s="31"/>
      <c r="D1209" s="32"/>
      <c r="E1209" s="33" t="str">
        <f t="shared" si="482"/>
        <v/>
      </c>
      <c r="F1209" s="50">
        <f>B1193</f>
        <v>26</v>
      </c>
      <c r="G1209" s="69"/>
      <c r="H1209" s="70"/>
      <c r="I1209" s="104"/>
      <c r="J1209" s="103"/>
      <c r="K1209" s="104"/>
      <c r="L1209" s="103"/>
      <c r="M1209" s="104"/>
      <c r="N1209" s="103"/>
      <c r="O1209" s="104"/>
      <c r="P1209" s="103"/>
      <c r="Q1209" s="104"/>
      <c r="R1209" s="103"/>
      <c r="S1209" s="69"/>
      <c r="T1209" s="70"/>
      <c r="U1209" s="71">
        <f t="shared" ref="U1209" si="487">SUM(G1209:T1209)</f>
        <v>0</v>
      </c>
      <c r="V1209" s="72"/>
      <c r="W1209" s="69"/>
      <c r="X1209" s="70"/>
      <c r="Y1209" s="104"/>
      <c r="Z1209" s="103"/>
      <c r="AA1209" s="104"/>
      <c r="AB1209" s="103"/>
      <c r="AC1209" s="104"/>
      <c r="AD1209" s="103"/>
      <c r="AE1209" s="104"/>
      <c r="AF1209" s="103"/>
      <c r="AG1209" s="104"/>
      <c r="AH1209" s="103"/>
      <c r="AI1209" s="69"/>
      <c r="AJ1209" s="70"/>
      <c r="AK1209" s="71">
        <f>SUM(W1209:AJ1209)</f>
        <v>0</v>
      </c>
      <c r="AL1209" s="72"/>
      <c r="AM1209" s="73">
        <f>SUMIF($G1208:$T1208,"",$G1209:$T1209)+SUMIF($W1208:$AJ1208,"",$W1209:$AJ1209)-AN1209</f>
        <v>0</v>
      </c>
      <c r="AN1209" s="88">
        <f>IF(SUMIF($G1208:$T1208,"",$G1209:$T1209)+SUMIF($G1208:$T1208,"F",$G1209:$T1209)+SUMIF($G1208:$T1208,"V",$G1209:$T1209)-40&lt;0,0,SUMIF($G1208:$T1208,"",$G1209:$T1209)+SUMIF($G1208:$T1208,"F",$G1209:$T1209)+SUMIF($G1208:$T1208,"V",$G1209:$T1209)-($U$9/2))+IF(SUMIF($W1208:$AJ1208,"",$W1209:$AJ1209)+SUMIF($W1208:$AJ1208,"F",$W1209:$AJ1209)+SUMIF($W1208:$AJ1208,"V",$W1209:$AJ1209)-40&lt;0,0,SUMIF($W1208:$AJ1208,"",$W1209:$AJ1209)+SUMIF($W1208:$AJ1208,"F",$W1209:$AJ1209)+SUMIF($W1208:$AJ1208,"V",$W1209:$AJ1209)-($U$9/2))</f>
        <v>0</v>
      </c>
      <c r="AO1209" s="73">
        <f>SUMIF($G1208:$T1208,"M",$G1209:$T1209)+SUMIF($W1208:$AJ1208,"M",$W1209:$AJ1209)</f>
        <v>0</v>
      </c>
      <c r="AP1209" s="73">
        <f>SUMIF($G1208:$T1208,"F",$G1209:$T1209)+SUMIF($W1208:$AJ1208,"F",$W1209:$AJ1209)</f>
        <v>0</v>
      </c>
      <c r="AQ1209" s="73">
        <f>SUMIF($G1208:$T1208,"V",$G1209:$T1209)+SUMIF($W1208:$AJ1208,"V",$W1209:$AJ1209)</f>
        <v>0</v>
      </c>
      <c r="AR1209" s="74">
        <f>SUMIF($G1208:$T1208,"O",$G1209:$T1209)+SUMIF($W1208:$AJ1208,"O",$W1209:$AJ1209)</f>
        <v>0</v>
      </c>
      <c r="AS1209" s="75">
        <f>SUM(AM1209:AR1209)</f>
        <v>0</v>
      </c>
      <c r="AT1209" s="72"/>
      <c r="AU1209" s="73">
        <f>SUMIF($G1208:$T1208,"A",$G1209:$T1209)+SUMIF($W1208:$AJ1208,"A",$W1209:$AJ1209)</f>
        <v>0</v>
      </c>
      <c r="AV1209" s="72"/>
      <c r="AW1209" s="76">
        <f>IF(B1209="",0,IF($U$9="",0,$U$9))</f>
        <v>0</v>
      </c>
      <c r="BA1209" s="2"/>
      <c r="BB1209" s="2"/>
      <c r="BC1209" s="101"/>
      <c r="BD1209" s="101"/>
    </row>
    <row r="1210" spans="2:56" s="84" customFormat="1" x14ac:dyDescent="0.35">
      <c r="B1210" s="26"/>
      <c r="C1210" s="27"/>
      <c r="D1210" s="28">
        <f>IF(D1136="","",D1136)</f>
        <v>79709</v>
      </c>
      <c r="E1210" s="29" t="str">
        <f t="shared" si="482"/>
        <v/>
      </c>
      <c r="F1210" s="50">
        <f>B1193</f>
        <v>26</v>
      </c>
      <c r="G1210" s="59"/>
      <c r="H1210" s="64"/>
      <c r="I1210" s="106"/>
      <c r="J1210" s="105"/>
      <c r="K1210" s="106"/>
      <c r="L1210" s="105"/>
      <c r="M1210" s="106"/>
      <c r="N1210" s="105"/>
      <c r="O1210" s="106"/>
      <c r="P1210" s="105"/>
      <c r="Q1210" s="106"/>
      <c r="R1210" s="105"/>
      <c r="S1210" s="59"/>
      <c r="T1210" s="64"/>
      <c r="U1210" s="44"/>
      <c r="W1210" s="59"/>
      <c r="X1210" s="64"/>
      <c r="Y1210" s="106"/>
      <c r="Z1210" s="105"/>
      <c r="AA1210" s="106"/>
      <c r="AB1210" s="105"/>
      <c r="AC1210" s="106"/>
      <c r="AD1210" s="105"/>
      <c r="AE1210" s="106"/>
      <c r="AF1210" s="105"/>
      <c r="AG1210" s="106"/>
      <c r="AH1210" s="105"/>
      <c r="AI1210" s="59"/>
      <c r="AJ1210" s="64"/>
      <c r="AK1210" s="44"/>
      <c r="AM1210" s="49"/>
      <c r="AN1210" s="49"/>
      <c r="AO1210" s="49"/>
      <c r="AP1210" s="49"/>
      <c r="AQ1210" s="49"/>
      <c r="AR1210" s="40"/>
      <c r="AS1210" s="51"/>
      <c r="AU1210" s="49"/>
      <c r="AW1210" s="52"/>
      <c r="BA1210" s="2"/>
      <c r="BB1210" s="2"/>
      <c r="BC1210" s="101"/>
      <c r="BD1210" s="101"/>
    </row>
    <row r="1211" spans="2:56" s="84" customFormat="1" x14ac:dyDescent="0.35">
      <c r="B1211" s="30" t="str">
        <f>IF(B1137="","",B1137)</f>
        <v>De Rose, Natale</v>
      </c>
      <c r="C1211" s="31"/>
      <c r="D1211" s="32"/>
      <c r="E1211" s="33">
        <f t="shared" si="482"/>
        <v>93595935</v>
      </c>
      <c r="F1211" s="50">
        <f>B1193</f>
        <v>26</v>
      </c>
      <c r="G1211" s="69"/>
      <c r="H1211" s="70"/>
      <c r="I1211" s="104"/>
      <c r="J1211" s="103">
        <v>8</v>
      </c>
      <c r="K1211" s="104"/>
      <c r="L1211" s="103">
        <v>8</v>
      </c>
      <c r="M1211" s="104"/>
      <c r="N1211" s="103">
        <v>8</v>
      </c>
      <c r="O1211" s="104"/>
      <c r="P1211" s="103">
        <v>8</v>
      </c>
      <c r="Q1211" s="104"/>
      <c r="R1211" s="103">
        <v>8</v>
      </c>
      <c r="S1211" s="69"/>
      <c r="T1211" s="70"/>
      <c r="U1211" s="71">
        <f t="shared" ref="U1211" si="488">SUM(G1211:T1211)</f>
        <v>40</v>
      </c>
      <c r="V1211" s="72"/>
      <c r="W1211" s="69"/>
      <c r="X1211" s="70"/>
      <c r="Y1211" s="104"/>
      <c r="Z1211" s="103">
        <v>8</v>
      </c>
      <c r="AA1211" s="104"/>
      <c r="AB1211" s="103">
        <v>8</v>
      </c>
      <c r="AC1211" s="104"/>
      <c r="AD1211" s="103">
        <v>8</v>
      </c>
      <c r="AE1211" s="104"/>
      <c r="AF1211" s="103">
        <v>8</v>
      </c>
      <c r="AG1211" s="104"/>
      <c r="AH1211" s="103">
        <v>8</v>
      </c>
      <c r="AI1211" s="69"/>
      <c r="AJ1211" s="70"/>
      <c r="AK1211" s="71">
        <f>SUM(W1211:AJ1211)</f>
        <v>40</v>
      </c>
      <c r="AL1211" s="72"/>
      <c r="AM1211" s="73">
        <f>SUMIF($G1210:$T1210,"",$G1211:$T1211)+SUMIF($W1210:$AJ1210,"",$W1211:$AJ1211)-AN1211</f>
        <v>80</v>
      </c>
      <c r="AN1211" s="88">
        <f>IF(SUMIF($G1210:$T1210,"",$G1211:$T1211)+SUMIF($G1210:$T1210,"F",$G1211:$T1211)+SUMIF($G1210:$T1210,"V",$G1211:$T1211)-40&lt;0,0,SUMIF($G1210:$T1210,"",$G1211:$T1211)+SUMIF($G1210:$T1210,"F",$G1211:$T1211)+SUMIF($G1210:$T1210,"V",$G1211:$T1211)-($U$9/2))+IF(SUMIF($W1210:$AJ1210,"",$W1211:$AJ1211)+SUMIF($W1210:$AJ1210,"F",$W1211:$AJ1211)+SUMIF($W1210:$AJ1210,"V",$W1211:$AJ1211)-40&lt;0,0,SUMIF($W1210:$AJ1210,"",$W1211:$AJ1211)+SUMIF($W1210:$AJ1210,"F",$W1211:$AJ1211)+SUMIF($W1210:$AJ1210,"V",$W1211:$AJ1211)-($U$9/2))</f>
        <v>0</v>
      </c>
      <c r="AO1211" s="73">
        <f>SUMIF($G1210:$T1210,"M",$G1211:$T1211)+SUMIF($W1210:$AJ1210,"M",$W1211:$AJ1211)</f>
        <v>0</v>
      </c>
      <c r="AP1211" s="73">
        <f>SUMIF($G1210:$T1210,"F",$G1211:$T1211)+SUMIF($W1210:$AJ1210,"F",$W1211:$AJ1211)</f>
        <v>0</v>
      </c>
      <c r="AQ1211" s="73">
        <f>SUMIF($G1210:$T1210,"V",$G1211:$T1211)+SUMIF($W1210:$AJ1210,"V",$W1211:$AJ1211)</f>
        <v>0</v>
      </c>
      <c r="AR1211" s="74">
        <f>SUMIF($G1210:$T1210,"O",$G1211:$T1211)+SUMIF($W1210:$AJ1210,"O",$W1211:$AJ1211)</f>
        <v>0</v>
      </c>
      <c r="AS1211" s="75">
        <f>SUM(AM1211:AR1211)</f>
        <v>80</v>
      </c>
      <c r="AT1211" s="72"/>
      <c r="AU1211" s="73">
        <f>SUMIF($G1210:$T1210,"A",$G1211:$T1211)+SUMIF($W1210:$AJ1210,"A",$W1211:$AJ1211)</f>
        <v>0</v>
      </c>
      <c r="AV1211" s="72"/>
      <c r="AW1211" s="76">
        <f>IF(B1211="",0,IF($U$9="",0,$U$9))</f>
        <v>80</v>
      </c>
      <c r="BA1211" s="2"/>
      <c r="BB1211" s="2"/>
      <c r="BC1211" s="101"/>
      <c r="BD1211" s="101"/>
    </row>
    <row r="1212" spans="2:56" s="84" customFormat="1" x14ac:dyDescent="0.35">
      <c r="B1212" s="26"/>
      <c r="C1212" s="27"/>
      <c r="D1212" s="28">
        <f>IF(D1138="","",D1138)</f>
        <v>92027</v>
      </c>
      <c r="E1212" s="29" t="str">
        <f t="shared" si="482"/>
        <v/>
      </c>
      <c r="F1212" s="50">
        <f>B1193</f>
        <v>26</v>
      </c>
      <c r="G1212" s="59"/>
      <c r="H1212" s="64"/>
      <c r="I1212" s="106"/>
      <c r="J1212" s="105"/>
      <c r="K1212" s="106"/>
      <c r="L1212" s="105"/>
      <c r="M1212" s="106"/>
      <c r="N1212" s="105"/>
      <c r="O1212" s="106"/>
      <c r="P1212" s="105"/>
      <c r="Q1212" s="106"/>
      <c r="R1212" s="105"/>
      <c r="S1212" s="59"/>
      <c r="T1212" s="64"/>
      <c r="U1212" s="44"/>
      <c r="W1212" s="59"/>
      <c r="X1212" s="64"/>
      <c r="Y1212" s="106"/>
      <c r="Z1212" s="105"/>
      <c r="AA1212" s="106"/>
      <c r="AB1212" s="105"/>
      <c r="AC1212" s="106"/>
      <c r="AD1212" s="105"/>
      <c r="AE1212" s="106"/>
      <c r="AF1212" s="105"/>
      <c r="AG1212" s="106"/>
      <c r="AH1212" s="105"/>
      <c r="AI1212" s="59"/>
      <c r="AJ1212" s="64"/>
      <c r="AK1212" s="44"/>
      <c r="AM1212" s="49"/>
      <c r="AN1212" s="49"/>
      <c r="AO1212" s="49"/>
      <c r="AP1212" s="49"/>
      <c r="AQ1212" s="49"/>
      <c r="AR1212" s="40"/>
      <c r="AS1212" s="51"/>
      <c r="AU1212" s="49"/>
      <c r="AW1212" s="52"/>
      <c r="BA1212" s="2"/>
      <c r="BB1212" s="2"/>
      <c r="BC1212" s="101"/>
      <c r="BD1212" s="101"/>
    </row>
    <row r="1213" spans="2:56" s="84" customFormat="1" x14ac:dyDescent="0.35">
      <c r="B1213" s="30" t="str">
        <f>IF(B1139="","",B1139)</f>
        <v>Descoteaux, Gerald</v>
      </c>
      <c r="C1213" s="31"/>
      <c r="D1213" s="32"/>
      <c r="E1213" s="33">
        <f t="shared" si="482"/>
        <v>93595935</v>
      </c>
      <c r="F1213" s="50">
        <f>B1193</f>
        <v>26</v>
      </c>
      <c r="G1213" s="69"/>
      <c r="H1213" s="70"/>
      <c r="I1213" s="104"/>
      <c r="J1213" s="103">
        <v>8</v>
      </c>
      <c r="K1213" s="104"/>
      <c r="L1213" s="103">
        <v>8</v>
      </c>
      <c r="M1213" s="104"/>
      <c r="N1213" s="103">
        <v>8</v>
      </c>
      <c r="O1213" s="104"/>
      <c r="P1213" s="103">
        <v>8</v>
      </c>
      <c r="Q1213" s="104"/>
      <c r="R1213" s="103">
        <v>8</v>
      </c>
      <c r="S1213" s="69"/>
      <c r="T1213" s="70"/>
      <c r="U1213" s="71">
        <f t="shared" ref="U1213" si="489">SUM(G1213:T1213)</f>
        <v>40</v>
      </c>
      <c r="V1213" s="72"/>
      <c r="W1213" s="69"/>
      <c r="X1213" s="70"/>
      <c r="Y1213" s="104"/>
      <c r="Z1213" s="103">
        <v>8</v>
      </c>
      <c r="AA1213" s="104"/>
      <c r="AB1213" s="103">
        <v>8</v>
      </c>
      <c r="AC1213" s="104"/>
      <c r="AD1213" s="103">
        <v>8</v>
      </c>
      <c r="AE1213" s="104"/>
      <c r="AF1213" s="103">
        <v>8</v>
      </c>
      <c r="AG1213" s="104"/>
      <c r="AH1213" s="103">
        <v>8</v>
      </c>
      <c r="AI1213" s="69"/>
      <c r="AJ1213" s="70"/>
      <c r="AK1213" s="71">
        <f>SUM(W1213:AJ1213)</f>
        <v>40</v>
      </c>
      <c r="AL1213" s="72"/>
      <c r="AM1213" s="73">
        <f>SUMIF($G1212:$T1212,"",$G1213:$T1213)+SUMIF($W1212:$AJ1212,"",$W1213:$AJ1213)-AN1213</f>
        <v>80</v>
      </c>
      <c r="AN1213" s="88">
        <f>IF(SUMIF($G1212:$T1212,"",$G1213:$T1213)+SUMIF($G1212:$T1212,"F",$G1213:$T1213)+SUMIF($G1212:$T1212,"V",$G1213:$T1213)-40&lt;0,0,SUMIF($G1212:$T1212,"",$G1213:$T1213)+SUMIF($G1212:$T1212,"F",$G1213:$T1213)+SUMIF($G1212:$T1212,"V",$G1213:$T1213)-($U$9/2))+IF(SUMIF($W1212:$AJ1212,"",$W1213:$AJ1213)+SUMIF($W1212:$AJ1212,"F",$W1213:$AJ1213)+SUMIF($W1212:$AJ1212,"V",$W1213:$AJ1213)-40&lt;0,0,SUMIF($W1212:$AJ1212,"",$W1213:$AJ1213)+SUMIF($W1212:$AJ1212,"F",$W1213:$AJ1213)+SUMIF($W1212:$AJ1212,"V",$W1213:$AJ1213)-($U$9/2))</f>
        <v>0</v>
      </c>
      <c r="AO1213" s="73">
        <f>SUMIF($G1212:$T1212,"M",$G1213:$T1213)+SUMIF($W1212:$AJ1212,"M",$W1213:$AJ1213)</f>
        <v>0</v>
      </c>
      <c r="AP1213" s="73">
        <f>SUMIF($G1212:$T1212,"F",$G1213:$T1213)+SUMIF($W1212:$AJ1212,"F",$W1213:$AJ1213)</f>
        <v>0</v>
      </c>
      <c r="AQ1213" s="73">
        <f>SUMIF($G1212:$T1212,"V",$G1213:$T1213)+SUMIF($W1212:$AJ1212,"V",$W1213:$AJ1213)</f>
        <v>0</v>
      </c>
      <c r="AR1213" s="74">
        <f>SUMIF($G1212:$T1212,"O",$G1213:$T1213)+SUMIF($W1212:$AJ1212,"O",$W1213:$AJ1213)</f>
        <v>0</v>
      </c>
      <c r="AS1213" s="75">
        <f>SUM(AM1213:AR1213)</f>
        <v>80</v>
      </c>
      <c r="AT1213" s="72"/>
      <c r="AU1213" s="73">
        <f>SUMIF($G1212:$T1212,"A",$G1213:$T1213)+SUMIF($W1212:$AJ1212,"A",$W1213:$AJ1213)</f>
        <v>0</v>
      </c>
      <c r="AV1213" s="72"/>
      <c r="AW1213" s="76">
        <f>IF(B1213="",0,IF($U$9="",0,$U$9))</f>
        <v>80</v>
      </c>
      <c r="BA1213" s="2"/>
      <c r="BB1213" s="2"/>
      <c r="BC1213" s="101"/>
      <c r="BD1213" s="101"/>
    </row>
    <row r="1214" spans="2:56" s="84" customFormat="1" x14ac:dyDescent="0.35">
      <c r="B1214" s="26"/>
      <c r="C1214" s="27"/>
      <c r="D1214" s="28">
        <f>IF(D1140="","",D1140)</f>
        <v>73795</v>
      </c>
      <c r="E1214" s="29" t="str">
        <f t="shared" si="482"/>
        <v/>
      </c>
      <c r="F1214" s="50">
        <f>B1193</f>
        <v>26</v>
      </c>
      <c r="G1214" s="59"/>
      <c r="H1214" s="64"/>
      <c r="I1214" s="106"/>
      <c r="J1214" s="105"/>
      <c r="K1214" s="106"/>
      <c r="L1214" s="105"/>
      <c r="M1214" s="106"/>
      <c r="N1214" s="105"/>
      <c r="O1214" s="106"/>
      <c r="P1214" s="105"/>
      <c r="Q1214" s="106"/>
      <c r="R1214" s="105"/>
      <c r="S1214" s="59"/>
      <c r="T1214" s="64"/>
      <c r="U1214" s="44"/>
      <c r="W1214" s="59"/>
      <c r="X1214" s="64"/>
      <c r="Y1214" s="106"/>
      <c r="Z1214" s="105"/>
      <c r="AA1214" s="106"/>
      <c r="AB1214" s="105"/>
      <c r="AC1214" s="106"/>
      <c r="AD1214" s="105"/>
      <c r="AE1214" s="106"/>
      <c r="AF1214" s="105"/>
      <c r="AG1214" s="106"/>
      <c r="AH1214" s="105"/>
      <c r="AI1214" s="59"/>
      <c r="AJ1214" s="64"/>
      <c r="AK1214" s="44"/>
      <c r="AM1214" s="49"/>
      <c r="AN1214" s="49"/>
      <c r="AO1214" s="49"/>
      <c r="AP1214" s="49"/>
      <c r="AQ1214" s="49"/>
      <c r="AR1214" s="40"/>
      <c r="AS1214" s="51"/>
      <c r="AU1214" s="49"/>
      <c r="AW1214" s="52"/>
      <c r="BA1214" s="2"/>
      <c r="BB1214" s="2"/>
      <c r="BC1214" s="101"/>
      <c r="BD1214" s="101"/>
    </row>
    <row r="1215" spans="2:56" s="84" customFormat="1" x14ac:dyDescent="0.35">
      <c r="B1215" s="30" t="str">
        <f>IF(B1141="","",B1141)</f>
        <v>Fortin, Veronique</v>
      </c>
      <c r="C1215" s="31"/>
      <c r="D1215" s="32"/>
      <c r="E1215" s="33">
        <f t="shared" si="482"/>
        <v>93540</v>
      </c>
      <c r="F1215" s="50">
        <f>B1193</f>
        <v>26</v>
      </c>
      <c r="G1215" s="69"/>
      <c r="H1215" s="70"/>
      <c r="I1215" s="104"/>
      <c r="J1215" s="103">
        <v>8</v>
      </c>
      <c r="K1215" s="104"/>
      <c r="L1215" s="103">
        <v>8</v>
      </c>
      <c r="M1215" s="104"/>
      <c r="N1215" s="103">
        <v>8</v>
      </c>
      <c r="O1215" s="104"/>
      <c r="P1215" s="103">
        <v>8</v>
      </c>
      <c r="Q1215" s="104"/>
      <c r="R1215" s="103">
        <v>8</v>
      </c>
      <c r="S1215" s="69"/>
      <c r="T1215" s="70"/>
      <c r="U1215" s="71">
        <f t="shared" ref="U1215" si="490">SUM(G1215:T1215)</f>
        <v>40</v>
      </c>
      <c r="V1215" s="72"/>
      <c r="W1215" s="69"/>
      <c r="X1215" s="70"/>
      <c r="Y1215" s="104"/>
      <c r="Z1215" s="103">
        <v>8</v>
      </c>
      <c r="AA1215" s="104"/>
      <c r="AB1215" s="103">
        <v>8</v>
      </c>
      <c r="AC1215" s="104"/>
      <c r="AD1215" s="103">
        <v>8</v>
      </c>
      <c r="AE1215" s="104"/>
      <c r="AF1215" s="103">
        <v>8</v>
      </c>
      <c r="AG1215" s="104"/>
      <c r="AH1215" s="103">
        <v>8</v>
      </c>
      <c r="AI1215" s="69"/>
      <c r="AJ1215" s="70"/>
      <c r="AK1215" s="71">
        <f>SUM(W1215:AJ1215)</f>
        <v>40</v>
      </c>
      <c r="AL1215" s="72"/>
      <c r="AM1215" s="73">
        <f>SUMIF($G1214:$T1214,"",$G1215:$T1215)+SUMIF($W1214:$AJ1214,"",$W1215:$AJ1215)-AN1215</f>
        <v>80</v>
      </c>
      <c r="AN1215" s="88">
        <f>IF(SUMIF($G1214:$T1214,"",$G1215:$T1215)+SUMIF($G1214:$T1214,"F",$G1215:$T1215)+SUMIF($G1214:$T1214,"V",$G1215:$T1215)-40&lt;0,0,SUMIF($G1214:$T1214,"",$G1215:$T1215)+SUMIF($G1214:$T1214,"F",$G1215:$T1215)+SUMIF($G1214:$T1214,"V",$G1215:$T1215)-($U$9/2))+IF(SUMIF($W1214:$AJ1214,"",$W1215:$AJ1215)+SUMIF($W1214:$AJ1214,"F",$W1215:$AJ1215)+SUMIF($W1214:$AJ1214,"V",$W1215:$AJ1215)-40&lt;0,0,SUMIF($W1214:$AJ1214,"",$W1215:$AJ1215)+SUMIF($W1214:$AJ1214,"F",$W1215:$AJ1215)+SUMIF($W1214:$AJ1214,"V",$W1215:$AJ1215)-($U$9/2))</f>
        <v>0</v>
      </c>
      <c r="AO1215" s="73">
        <f>SUMIF($G1214:$T1214,"M",$G1215:$T1215)+SUMIF($W1214:$AJ1214,"M",$W1215:$AJ1215)</f>
        <v>0</v>
      </c>
      <c r="AP1215" s="73">
        <f>SUMIF($G1214:$T1214,"F",$G1215:$T1215)+SUMIF($W1214:$AJ1214,"F",$W1215:$AJ1215)</f>
        <v>0</v>
      </c>
      <c r="AQ1215" s="73">
        <f>SUMIF($G1214:$T1214,"V",$G1215:$T1215)+SUMIF($W1214:$AJ1214,"V",$W1215:$AJ1215)</f>
        <v>0</v>
      </c>
      <c r="AR1215" s="74">
        <f>SUMIF($G1214:$T1214,"O",$G1215:$T1215)+SUMIF($W1214:$AJ1214,"O",$W1215:$AJ1215)</f>
        <v>0</v>
      </c>
      <c r="AS1215" s="75">
        <f>SUM(AM1215:AR1215)</f>
        <v>80</v>
      </c>
      <c r="AT1215" s="72"/>
      <c r="AU1215" s="73">
        <f>SUMIF($G1214:$T1214,"A",$G1215:$T1215)+SUMIF($W1214:$AJ1214,"A",$W1215:$AJ1215)</f>
        <v>0</v>
      </c>
      <c r="AV1215" s="72"/>
      <c r="AW1215" s="76">
        <f>IF(B1215="",0,IF($U$9="",0,$U$9))</f>
        <v>80</v>
      </c>
      <c r="BA1215" s="2"/>
      <c r="BB1215" s="2"/>
      <c r="BC1215" s="101"/>
      <c r="BD1215" s="101"/>
    </row>
    <row r="1216" spans="2:56" s="84" customFormat="1" x14ac:dyDescent="0.35">
      <c r="B1216" s="26"/>
      <c r="C1216" s="27"/>
      <c r="D1216" s="28">
        <f>IF(D1142="","",D1142)</f>
        <v>23206</v>
      </c>
      <c r="E1216" s="29" t="str">
        <f t="shared" si="482"/>
        <v/>
      </c>
      <c r="F1216" s="50">
        <f>B1193</f>
        <v>26</v>
      </c>
      <c r="G1216" s="59"/>
      <c r="H1216" s="64"/>
      <c r="I1216" s="106"/>
      <c r="J1216" s="105"/>
      <c r="K1216" s="106"/>
      <c r="L1216" s="105"/>
      <c r="M1216" s="106"/>
      <c r="N1216" s="105"/>
      <c r="O1216" s="106"/>
      <c r="P1216" s="105"/>
      <c r="Q1216" s="106"/>
      <c r="R1216" s="105"/>
      <c r="S1216" s="59"/>
      <c r="T1216" s="64"/>
      <c r="U1216" s="44"/>
      <c r="W1216" s="59"/>
      <c r="X1216" s="64"/>
      <c r="Y1216" s="106"/>
      <c r="Z1216" s="105"/>
      <c r="AA1216" s="106"/>
      <c r="AB1216" s="105"/>
      <c r="AC1216" s="106"/>
      <c r="AD1216" s="105"/>
      <c r="AE1216" s="106"/>
      <c r="AF1216" s="105"/>
      <c r="AG1216" s="106"/>
      <c r="AH1216" s="105"/>
      <c r="AI1216" s="59"/>
      <c r="AJ1216" s="64"/>
      <c r="AK1216" s="44"/>
      <c r="AM1216" s="49"/>
      <c r="AN1216" s="49"/>
      <c r="AO1216" s="49"/>
      <c r="AP1216" s="49"/>
      <c r="AQ1216" s="49"/>
      <c r="AR1216" s="40"/>
      <c r="AS1216" s="51"/>
      <c r="AU1216" s="49"/>
      <c r="AW1216" s="52"/>
      <c r="BA1216" s="2"/>
      <c r="BB1216" s="2"/>
      <c r="BC1216" s="101"/>
      <c r="BD1216" s="101"/>
    </row>
    <row r="1217" spans="2:56" s="84" customFormat="1" x14ac:dyDescent="0.35">
      <c r="B1217" s="30" t="str">
        <f>IF(B1143="","",B1143)</f>
        <v>Gadbois, Dominic</v>
      </c>
      <c r="C1217" s="31"/>
      <c r="D1217" s="32"/>
      <c r="E1217" s="33">
        <f t="shared" si="482"/>
        <v>93545</v>
      </c>
      <c r="F1217" s="50">
        <f>B1193</f>
        <v>26</v>
      </c>
      <c r="G1217" s="69"/>
      <c r="H1217" s="70"/>
      <c r="I1217" s="104"/>
      <c r="J1217" s="103">
        <v>3.25</v>
      </c>
      <c r="K1217" s="104"/>
      <c r="L1217" s="103">
        <v>7.75</v>
      </c>
      <c r="M1217" s="104"/>
      <c r="N1217" s="103">
        <v>8.25</v>
      </c>
      <c r="O1217" s="104"/>
      <c r="P1217" s="103">
        <v>7.5</v>
      </c>
      <c r="Q1217" s="104"/>
      <c r="R1217" s="103">
        <v>7</v>
      </c>
      <c r="S1217" s="69"/>
      <c r="T1217" s="70"/>
      <c r="U1217" s="71">
        <f t="shared" ref="U1217" si="491">SUM(G1217:T1217)</f>
        <v>33.75</v>
      </c>
      <c r="V1217" s="72"/>
      <c r="W1217" s="69"/>
      <c r="X1217" s="70"/>
      <c r="Y1217" s="104"/>
      <c r="Z1217" s="103">
        <v>8</v>
      </c>
      <c r="AA1217" s="104"/>
      <c r="AB1217" s="103">
        <v>8.25</v>
      </c>
      <c r="AC1217" s="104"/>
      <c r="AD1217" s="103">
        <v>7.5</v>
      </c>
      <c r="AE1217" s="104"/>
      <c r="AF1217" s="103">
        <v>7.5</v>
      </c>
      <c r="AG1217" s="104"/>
      <c r="AH1217" s="103">
        <v>8</v>
      </c>
      <c r="AI1217" s="69"/>
      <c r="AJ1217" s="70"/>
      <c r="AK1217" s="71">
        <f>SUM(W1217:AJ1217)</f>
        <v>39.25</v>
      </c>
      <c r="AL1217" s="72"/>
      <c r="AM1217" s="73">
        <f>SUMIF($G1216:$T1216,"",$G1217:$T1217)+SUMIF($W1216:$AJ1216,"",$W1217:$AJ1217)-AN1217</f>
        <v>73</v>
      </c>
      <c r="AN1217" s="88">
        <f>IF(SUMIF($G1216:$T1216,"",$G1217:$T1217)+SUMIF($G1216:$T1216,"F",$G1217:$T1217)+SUMIF($G1216:$T1216,"V",$G1217:$T1217)-40&lt;0,0,SUMIF($G1216:$T1216,"",$G1217:$T1217)+SUMIF($G1216:$T1216,"F",$G1217:$T1217)+SUMIF($G1216:$T1216,"V",$G1217:$T1217)-($U$9/2))+IF(SUMIF($W1216:$AJ1216,"",$W1217:$AJ1217)+SUMIF($W1216:$AJ1216,"F",$W1217:$AJ1217)+SUMIF($W1216:$AJ1216,"V",$W1217:$AJ1217)-40&lt;0,0,SUMIF($W1216:$AJ1216,"",$W1217:$AJ1217)+SUMIF($W1216:$AJ1216,"F",$W1217:$AJ1217)+SUMIF($W1216:$AJ1216,"V",$W1217:$AJ1217)-($U$9/2))</f>
        <v>0</v>
      </c>
      <c r="AO1217" s="73">
        <f>SUMIF($G1216:$T1216,"M",$G1217:$T1217)+SUMIF($W1216:$AJ1216,"M",$W1217:$AJ1217)</f>
        <v>0</v>
      </c>
      <c r="AP1217" s="73">
        <f>SUMIF($G1216:$T1216,"F",$G1217:$T1217)+SUMIF($W1216:$AJ1216,"F",$W1217:$AJ1217)</f>
        <v>0</v>
      </c>
      <c r="AQ1217" s="73">
        <f>SUMIF($G1216:$T1216,"V",$G1217:$T1217)+SUMIF($W1216:$AJ1216,"V",$W1217:$AJ1217)</f>
        <v>0</v>
      </c>
      <c r="AR1217" s="74">
        <f>SUMIF($G1216:$T1216,"O",$G1217:$T1217)+SUMIF($W1216:$AJ1216,"O",$W1217:$AJ1217)</f>
        <v>0</v>
      </c>
      <c r="AS1217" s="75">
        <f>SUM(AM1217:AR1217)</f>
        <v>73</v>
      </c>
      <c r="AT1217" s="72"/>
      <c r="AU1217" s="73">
        <f>SUMIF($G1216:$T1216,"A",$G1217:$T1217)+SUMIF($W1216:$AJ1216,"A",$W1217:$AJ1217)</f>
        <v>0</v>
      </c>
      <c r="AV1217" s="72"/>
      <c r="AW1217" s="76">
        <f>IF(B1217="",0,IF($U$9="",0,$U$9))</f>
        <v>80</v>
      </c>
      <c r="BA1217" s="2"/>
      <c r="BB1217" s="2"/>
      <c r="BC1217" s="101"/>
      <c r="BD1217" s="101"/>
    </row>
    <row r="1218" spans="2:56" s="84" customFormat="1" x14ac:dyDescent="0.35">
      <c r="B1218" s="26"/>
      <c r="C1218" s="27"/>
      <c r="D1218" s="28">
        <f>IF(D1144="","",D1144)</f>
        <v>33664</v>
      </c>
      <c r="E1218" s="29" t="str">
        <f t="shared" si="482"/>
        <v/>
      </c>
      <c r="F1218" s="50">
        <f>B1193</f>
        <v>26</v>
      </c>
      <c r="G1218" s="59"/>
      <c r="H1218" s="64"/>
      <c r="I1218" s="106"/>
      <c r="J1218" s="105"/>
      <c r="K1218" s="106"/>
      <c r="L1218" s="105"/>
      <c r="M1218" s="106"/>
      <c r="N1218" s="105"/>
      <c r="O1218" s="106"/>
      <c r="P1218" s="105"/>
      <c r="Q1218" s="106"/>
      <c r="R1218" s="105"/>
      <c r="S1218" s="59"/>
      <c r="T1218" s="64"/>
      <c r="U1218" s="44"/>
      <c r="W1218" s="59"/>
      <c r="X1218" s="64"/>
      <c r="Y1218" s="106"/>
      <c r="Z1218" s="105"/>
      <c r="AA1218" s="106"/>
      <c r="AB1218" s="105"/>
      <c r="AC1218" s="106"/>
      <c r="AD1218" s="105"/>
      <c r="AE1218" s="106"/>
      <c r="AF1218" s="105"/>
      <c r="AG1218" s="106"/>
      <c r="AH1218" s="105"/>
      <c r="AI1218" s="59"/>
      <c r="AJ1218" s="64"/>
      <c r="AK1218" s="44"/>
      <c r="AM1218" s="49"/>
      <c r="AN1218" s="49"/>
      <c r="AO1218" s="49"/>
      <c r="AP1218" s="49"/>
      <c r="AQ1218" s="49"/>
      <c r="AR1218" s="40"/>
      <c r="AS1218" s="51"/>
      <c r="AU1218" s="49"/>
      <c r="AW1218" s="52"/>
      <c r="BA1218" s="2"/>
      <c r="BB1218" s="2"/>
      <c r="BC1218" s="101"/>
      <c r="BD1218" s="101"/>
    </row>
    <row r="1219" spans="2:56" s="84" customFormat="1" x14ac:dyDescent="0.35">
      <c r="B1219" s="30" t="str">
        <f>IF(B1145="","",B1145)</f>
        <v>Knox Michaud, Jessy</v>
      </c>
      <c r="C1219" s="31"/>
      <c r="D1219" s="32"/>
      <c r="E1219" s="33">
        <f t="shared" si="482"/>
        <v>93542</v>
      </c>
      <c r="F1219" s="50">
        <f>B1193</f>
        <v>26</v>
      </c>
      <c r="G1219" s="69"/>
      <c r="H1219" s="70"/>
      <c r="I1219" s="104"/>
      <c r="J1219" s="103">
        <v>8</v>
      </c>
      <c r="K1219" s="104"/>
      <c r="L1219" s="103">
        <v>9</v>
      </c>
      <c r="M1219" s="104"/>
      <c r="N1219" s="103">
        <v>9</v>
      </c>
      <c r="O1219" s="104"/>
      <c r="P1219" s="103">
        <v>9</v>
      </c>
      <c r="Q1219" s="104"/>
      <c r="R1219" s="103">
        <v>9</v>
      </c>
      <c r="S1219" s="69"/>
      <c r="T1219" s="70"/>
      <c r="U1219" s="71">
        <f t="shared" ref="U1219" si="492">SUM(G1219:T1219)</f>
        <v>44</v>
      </c>
      <c r="V1219" s="72"/>
      <c r="W1219" s="69"/>
      <c r="X1219" s="70"/>
      <c r="Y1219" s="104"/>
      <c r="Z1219" s="103">
        <v>9</v>
      </c>
      <c r="AA1219" s="104"/>
      <c r="AB1219" s="103">
        <v>9</v>
      </c>
      <c r="AC1219" s="104"/>
      <c r="AD1219" s="103">
        <v>9</v>
      </c>
      <c r="AE1219" s="104"/>
      <c r="AF1219" s="103">
        <v>9</v>
      </c>
      <c r="AG1219" s="104"/>
      <c r="AH1219" s="103">
        <v>9</v>
      </c>
      <c r="AI1219" s="69"/>
      <c r="AJ1219" s="70"/>
      <c r="AK1219" s="71">
        <f>SUM(W1219:AJ1219)</f>
        <v>45</v>
      </c>
      <c r="AL1219" s="72"/>
      <c r="AM1219" s="73">
        <f>SUMIF($G1218:$T1218,"",$G1219:$T1219)+SUMIF($W1218:$AJ1218,"",$W1219:$AJ1219)-AN1219</f>
        <v>80</v>
      </c>
      <c r="AN1219" s="88">
        <f>IF(SUMIF($G1218:$T1218,"",$G1219:$T1219)+SUMIF($G1218:$T1218,"F",$G1219:$T1219)+SUMIF($G1218:$T1218,"V",$G1219:$T1219)-40&lt;0,0,SUMIF($G1218:$T1218,"",$G1219:$T1219)+SUMIF($G1218:$T1218,"F",$G1219:$T1219)+SUMIF($G1218:$T1218,"V",$G1219:$T1219)-($U$9/2))+IF(SUMIF($W1218:$AJ1218,"",$W1219:$AJ1219)+SUMIF($W1218:$AJ1218,"F",$W1219:$AJ1219)+SUMIF($W1218:$AJ1218,"V",$W1219:$AJ1219)-40&lt;0,0,SUMIF($W1218:$AJ1218,"",$W1219:$AJ1219)+SUMIF($W1218:$AJ1218,"F",$W1219:$AJ1219)+SUMIF($W1218:$AJ1218,"V",$W1219:$AJ1219)-($U$9/2))</f>
        <v>9</v>
      </c>
      <c r="AO1219" s="73">
        <f>SUMIF($G1218:$T1218,"M",$G1219:$T1219)+SUMIF($W1218:$AJ1218,"M",$W1219:$AJ1219)</f>
        <v>0</v>
      </c>
      <c r="AP1219" s="73">
        <f>SUMIF($G1218:$T1218,"F",$G1219:$T1219)+SUMIF($W1218:$AJ1218,"F",$W1219:$AJ1219)</f>
        <v>0</v>
      </c>
      <c r="AQ1219" s="73">
        <f>SUMIF($G1218:$T1218,"V",$G1219:$T1219)+SUMIF($W1218:$AJ1218,"V",$W1219:$AJ1219)</f>
        <v>0</v>
      </c>
      <c r="AR1219" s="74">
        <f>SUMIF($G1218:$T1218,"O",$G1219:$T1219)+SUMIF($W1218:$AJ1218,"O",$W1219:$AJ1219)</f>
        <v>0</v>
      </c>
      <c r="AS1219" s="75">
        <f>SUM(AM1219:AR1219)</f>
        <v>89</v>
      </c>
      <c r="AT1219" s="72"/>
      <c r="AU1219" s="73">
        <f>SUMIF($G1218:$T1218,"A",$G1219:$T1219)+SUMIF($W1218:$AJ1218,"A",$W1219:$AJ1219)</f>
        <v>0</v>
      </c>
      <c r="AV1219" s="72"/>
      <c r="AW1219" s="76">
        <f>IF(B1219="",0,IF($U$9="",0,$U$9))</f>
        <v>80</v>
      </c>
      <c r="BA1219" s="2"/>
      <c r="BB1219" s="2"/>
      <c r="BC1219" s="101"/>
      <c r="BD1219" s="101"/>
    </row>
    <row r="1220" spans="2:56" s="84" customFormat="1" x14ac:dyDescent="0.35">
      <c r="B1220" s="26"/>
      <c r="C1220" s="27"/>
      <c r="D1220" s="28">
        <f>IF(D1146="","",D1146)</f>
        <v>14206</v>
      </c>
      <c r="E1220" s="29" t="str">
        <f t="shared" si="482"/>
        <v/>
      </c>
      <c r="F1220" s="50">
        <f>B1193</f>
        <v>26</v>
      </c>
      <c r="G1220" s="59"/>
      <c r="H1220" s="64"/>
      <c r="I1220" s="106"/>
      <c r="J1220" s="105"/>
      <c r="K1220" s="106"/>
      <c r="L1220" s="105"/>
      <c r="M1220" s="106"/>
      <c r="N1220" s="105"/>
      <c r="O1220" s="106"/>
      <c r="P1220" s="105"/>
      <c r="Q1220" s="106"/>
      <c r="R1220" s="105"/>
      <c r="S1220" s="59"/>
      <c r="T1220" s="64"/>
      <c r="U1220" s="44"/>
      <c r="W1220" s="59"/>
      <c r="X1220" s="64"/>
      <c r="Y1220" s="106"/>
      <c r="Z1220" s="105"/>
      <c r="AA1220" s="106"/>
      <c r="AB1220" s="105"/>
      <c r="AC1220" s="106"/>
      <c r="AD1220" s="105"/>
      <c r="AE1220" s="106"/>
      <c r="AF1220" s="105"/>
      <c r="AG1220" s="106"/>
      <c r="AH1220" s="105"/>
      <c r="AI1220" s="59"/>
      <c r="AJ1220" s="64"/>
      <c r="AK1220" s="44"/>
      <c r="AM1220" s="49"/>
      <c r="AN1220" s="49"/>
      <c r="AO1220" s="49"/>
      <c r="AP1220" s="49"/>
      <c r="AQ1220" s="49"/>
      <c r="AR1220" s="40"/>
      <c r="AS1220" s="51"/>
      <c r="AU1220" s="49"/>
      <c r="AW1220" s="52"/>
      <c r="BA1220" s="2"/>
      <c r="BB1220" s="2"/>
      <c r="BC1220" s="101"/>
      <c r="BD1220" s="101"/>
    </row>
    <row r="1221" spans="2:56" s="84" customFormat="1" x14ac:dyDescent="0.35">
      <c r="B1221" s="30" t="str">
        <f>IF(B1147="","",B1147)</f>
        <v>Landry, Bernard</v>
      </c>
      <c r="C1221" s="31"/>
      <c r="D1221" s="32"/>
      <c r="E1221" s="33">
        <f t="shared" si="482"/>
        <v>93545</v>
      </c>
      <c r="F1221" s="50">
        <f>B1193</f>
        <v>26</v>
      </c>
      <c r="G1221" s="69"/>
      <c r="H1221" s="70"/>
      <c r="I1221" s="104"/>
      <c r="J1221" s="103">
        <v>8</v>
      </c>
      <c r="K1221" s="104"/>
      <c r="L1221" s="103">
        <v>8</v>
      </c>
      <c r="M1221" s="104"/>
      <c r="N1221" s="103">
        <v>8</v>
      </c>
      <c r="O1221" s="104"/>
      <c r="P1221" s="103">
        <v>8</v>
      </c>
      <c r="Q1221" s="104"/>
      <c r="R1221" s="103">
        <v>8</v>
      </c>
      <c r="S1221" s="69"/>
      <c r="T1221" s="70"/>
      <c r="U1221" s="71">
        <f t="shared" ref="U1221" si="493">SUM(G1221:T1221)</f>
        <v>40</v>
      </c>
      <c r="V1221" s="72"/>
      <c r="W1221" s="69"/>
      <c r="X1221" s="70"/>
      <c r="Y1221" s="104"/>
      <c r="Z1221" s="103">
        <v>8</v>
      </c>
      <c r="AA1221" s="104"/>
      <c r="AB1221" s="103">
        <v>8</v>
      </c>
      <c r="AC1221" s="104"/>
      <c r="AD1221" s="103">
        <v>8</v>
      </c>
      <c r="AE1221" s="104"/>
      <c r="AF1221" s="103">
        <v>8</v>
      </c>
      <c r="AG1221" s="104"/>
      <c r="AH1221" s="103">
        <v>8</v>
      </c>
      <c r="AI1221" s="69"/>
      <c r="AJ1221" s="70"/>
      <c r="AK1221" s="71">
        <f>SUM(W1221:AJ1221)</f>
        <v>40</v>
      </c>
      <c r="AL1221" s="72"/>
      <c r="AM1221" s="73">
        <f>SUMIF($G1220:$T1220,"",$G1221:$T1221)+SUMIF($W1220:$AJ1220,"",$W1221:$AJ1221)-AN1221</f>
        <v>80</v>
      </c>
      <c r="AN1221" s="88">
        <f>IF(SUMIF($G1220:$T1220,"",$G1221:$T1221)+SUMIF($G1220:$T1220,"F",$G1221:$T1221)+SUMIF($G1220:$T1220,"V",$G1221:$T1221)-40&lt;0,0,SUMIF($G1220:$T1220,"",$G1221:$T1221)+SUMIF($G1220:$T1220,"F",$G1221:$T1221)+SUMIF($G1220:$T1220,"V",$G1221:$T1221)-($U$9/2))+IF(SUMIF($W1220:$AJ1220,"",$W1221:$AJ1221)+SUMIF($W1220:$AJ1220,"F",$W1221:$AJ1221)+SUMIF($W1220:$AJ1220,"V",$W1221:$AJ1221)-40&lt;0,0,SUMIF($W1220:$AJ1220,"",$W1221:$AJ1221)+SUMIF($W1220:$AJ1220,"F",$W1221:$AJ1221)+SUMIF($W1220:$AJ1220,"V",$W1221:$AJ1221)-($U$9/2))</f>
        <v>0</v>
      </c>
      <c r="AO1221" s="73">
        <f>SUMIF($G1220:$T1220,"M",$G1221:$T1221)+SUMIF($W1220:$AJ1220,"M",$W1221:$AJ1221)</f>
        <v>0</v>
      </c>
      <c r="AP1221" s="73">
        <f>SUMIF($G1220:$T1220,"F",$G1221:$T1221)+SUMIF($W1220:$AJ1220,"F",$W1221:$AJ1221)</f>
        <v>0</v>
      </c>
      <c r="AQ1221" s="73">
        <f>SUMIF($G1220:$T1220,"V",$G1221:$T1221)+SUMIF($W1220:$AJ1220,"V",$W1221:$AJ1221)</f>
        <v>0</v>
      </c>
      <c r="AR1221" s="74">
        <f>SUMIF($G1220:$T1220,"O",$G1221:$T1221)+SUMIF($W1220:$AJ1220,"O",$W1221:$AJ1221)</f>
        <v>0</v>
      </c>
      <c r="AS1221" s="75">
        <f>SUM(AM1221:AR1221)</f>
        <v>80</v>
      </c>
      <c r="AT1221" s="72"/>
      <c r="AU1221" s="73">
        <f>SUMIF($G1220:$T1220,"A",$G1221:$T1221)+SUMIF($W1220:$AJ1220,"A",$W1221:$AJ1221)</f>
        <v>0</v>
      </c>
      <c r="AV1221" s="72"/>
      <c r="AW1221" s="76">
        <f>IF(B1221="",0,IF($U$9="",0,$U$9))</f>
        <v>80</v>
      </c>
      <c r="BA1221" s="2"/>
      <c r="BB1221" s="2"/>
      <c r="BC1221" s="101"/>
      <c r="BD1221" s="101"/>
    </row>
    <row r="1222" spans="2:56" s="84" customFormat="1" x14ac:dyDescent="0.35">
      <c r="B1222" s="26"/>
      <c r="C1222" s="27"/>
      <c r="D1222" s="28">
        <f>IF(D1148="","",D1148)</f>
        <v>92257</v>
      </c>
      <c r="E1222" s="29" t="str">
        <f t="shared" si="482"/>
        <v/>
      </c>
      <c r="F1222" s="50">
        <f>B1193</f>
        <v>26</v>
      </c>
      <c r="G1222" s="59"/>
      <c r="H1222" s="64"/>
      <c r="I1222" s="106"/>
      <c r="J1222" s="105"/>
      <c r="K1222" s="106"/>
      <c r="L1222" s="105"/>
      <c r="M1222" s="106"/>
      <c r="N1222" s="105"/>
      <c r="O1222" s="106"/>
      <c r="P1222" s="105"/>
      <c r="Q1222" s="106"/>
      <c r="R1222" s="105"/>
      <c r="S1222" s="59"/>
      <c r="T1222" s="64"/>
      <c r="U1222" s="44"/>
      <c r="W1222" s="59"/>
      <c r="X1222" s="64"/>
      <c r="Y1222" s="106"/>
      <c r="Z1222" s="105"/>
      <c r="AA1222" s="106"/>
      <c r="AB1222" s="105"/>
      <c r="AC1222" s="106"/>
      <c r="AD1222" s="105"/>
      <c r="AE1222" s="106"/>
      <c r="AF1222" s="105"/>
      <c r="AG1222" s="106"/>
      <c r="AH1222" s="105"/>
      <c r="AI1222" s="59"/>
      <c r="AJ1222" s="64"/>
      <c r="AK1222" s="44"/>
      <c r="AM1222" s="49"/>
      <c r="AN1222" s="49"/>
      <c r="AO1222" s="49"/>
      <c r="AP1222" s="49"/>
      <c r="AQ1222" s="49"/>
      <c r="AR1222" s="40"/>
      <c r="AS1222" s="51"/>
      <c r="AU1222" s="49"/>
      <c r="AW1222" s="52"/>
      <c r="BA1222" s="2"/>
      <c r="BB1222" s="2"/>
      <c r="BC1222" s="101"/>
      <c r="BD1222" s="101"/>
    </row>
    <row r="1223" spans="2:56" s="84" customFormat="1" x14ac:dyDescent="0.35">
      <c r="B1223" s="30" t="str">
        <f>IF(B1149="","",B1149)</f>
        <v>Lelievre, Anik</v>
      </c>
      <c r="C1223" s="31"/>
      <c r="D1223" s="32"/>
      <c r="E1223" s="33">
        <f t="shared" si="482"/>
        <v>93513</v>
      </c>
      <c r="F1223" s="50">
        <f>B1193</f>
        <v>26</v>
      </c>
      <c r="G1223" s="69"/>
      <c r="H1223" s="70"/>
      <c r="I1223" s="104"/>
      <c r="J1223" s="103">
        <v>8</v>
      </c>
      <c r="K1223" s="104"/>
      <c r="L1223" s="103">
        <v>8</v>
      </c>
      <c r="M1223" s="104"/>
      <c r="N1223" s="103">
        <v>8</v>
      </c>
      <c r="O1223" s="104"/>
      <c r="P1223" s="103">
        <v>8</v>
      </c>
      <c r="Q1223" s="104"/>
      <c r="R1223" s="103">
        <v>8</v>
      </c>
      <c r="S1223" s="69"/>
      <c r="T1223" s="70"/>
      <c r="U1223" s="71">
        <f t="shared" ref="U1223" si="494">SUM(G1223:T1223)</f>
        <v>40</v>
      </c>
      <c r="V1223" s="72"/>
      <c r="W1223" s="69"/>
      <c r="X1223" s="70"/>
      <c r="Y1223" s="104"/>
      <c r="Z1223" s="103">
        <v>8</v>
      </c>
      <c r="AA1223" s="104"/>
      <c r="AB1223" s="103">
        <v>8</v>
      </c>
      <c r="AC1223" s="104"/>
      <c r="AD1223" s="103">
        <v>8</v>
      </c>
      <c r="AE1223" s="104"/>
      <c r="AF1223" s="103">
        <v>8</v>
      </c>
      <c r="AG1223" s="104"/>
      <c r="AH1223" s="103">
        <v>8</v>
      </c>
      <c r="AI1223" s="69"/>
      <c r="AJ1223" s="70"/>
      <c r="AK1223" s="71">
        <f>SUM(W1223:AJ1223)</f>
        <v>40</v>
      </c>
      <c r="AL1223" s="72"/>
      <c r="AM1223" s="73">
        <f>SUMIF($G1222:$T1222,"",$G1223:$T1223)+SUMIF($W1222:$AJ1222,"",$W1223:$AJ1223)-AN1223</f>
        <v>80</v>
      </c>
      <c r="AN1223" s="88">
        <f>IF(SUMIF($G1222:$T1222,"",$G1223:$T1223)+SUMIF($G1222:$T1222,"F",$G1223:$T1223)+SUMIF($G1222:$T1222,"V",$G1223:$T1223)-40&lt;0,0,SUMIF($G1222:$T1222,"",$G1223:$T1223)+SUMIF($G1222:$T1222,"F",$G1223:$T1223)+SUMIF($G1222:$T1222,"V",$G1223:$T1223)-($U$9/2))+IF(SUMIF($W1222:$AJ1222,"",$W1223:$AJ1223)+SUMIF($W1222:$AJ1222,"F",$W1223:$AJ1223)+SUMIF($W1222:$AJ1222,"V",$W1223:$AJ1223)-40&lt;0,0,SUMIF($W1222:$AJ1222,"",$W1223:$AJ1223)+SUMIF($W1222:$AJ1222,"F",$W1223:$AJ1223)+SUMIF($W1222:$AJ1222,"V",$W1223:$AJ1223)-($U$9/2))</f>
        <v>0</v>
      </c>
      <c r="AO1223" s="73">
        <f>SUMIF($G1222:$T1222,"M",$G1223:$T1223)+SUMIF($W1222:$AJ1222,"M",$W1223:$AJ1223)</f>
        <v>0</v>
      </c>
      <c r="AP1223" s="73">
        <f>SUMIF($G1222:$T1222,"F",$G1223:$T1223)+SUMIF($W1222:$AJ1222,"F",$W1223:$AJ1223)</f>
        <v>0</v>
      </c>
      <c r="AQ1223" s="73">
        <f>SUMIF($G1222:$T1222,"V",$G1223:$T1223)+SUMIF($W1222:$AJ1222,"V",$W1223:$AJ1223)</f>
        <v>0</v>
      </c>
      <c r="AR1223" s="74">
        <f>SUMIF($G1222:$T1222,"O",$G1223:$T1223)+SUMIF($W1222:$AJ1222,"O",$W1223:$AJ1223)</f>
        <v>0</v>
      </c>
      <c r="AS1223" s="75">
        <f>SUM(AM1223:AR1223)</f>
        <v>80</v>
      </c>
      <c r="AT1223" s="72"/>
      <c r="AU1223" s="73">
        <f>SUMIF($G1222:$T1222,"A",$G1223:$T1223)+SUMIF($W1222:$AJ1222,"A",$W1223:$AJ1223)</f>
        <v>0</v>
      </c>
      <c r="AV1223" s="72"/>
      <c r="AW1223" s="76">
        <f>IF(B1223="",0,IF($U$9="",0,$U$9))</f>
        <v>80</v>
      </c>
      <c r="BA1223" s="2"/>
      <c r="BB1223" s="2"/>
      <c r="BC1223" s="101"/>
      <c r="BD1223" s="101"/>
    </row>
    <row r="1224" spans="2:56" s="84" customFormat="1" x14ac:dyDescent="0.35">
      <c r="B1224" s="26"/>
      <c r="C1224" s="27"/>
      <c r="D1224" s="28">
        <f>IF(D1150="","",D1150)</f>
        <v>81042</v>
      </c>
      <c r="E1224" s="29" t="str">
        <f t="shared" si="482"/>
        <v/>
      </c>
      <c r="F1224" s="50">
        <f>B1193</f>
        <v>26</v>
      </c>
      <c r="G1224" s="59"/>
      <c r="H1224" s="64"/>
      <c r="I1224" s="106"/>
      <c r="J1224" s="105"/>
      <c r="K1224" s="106"/>
      <c r="L1224" s="105"/>
      <c r="M1224" s="106"/>
      <c r="N1224" s="105"/>
      <c r="O1224" s="106"/>
      <c r="P1224" s="105" t="s">
        <v>1</v>
      </c>
      <c r="Q1224" s="106"/>
      <c r="R1224" s="105" t="s">
        <v>1</v>
      </c>
      <c r="S1224" s="59"/>
      <c r="T1224" s="64"/>
      <c r="U1224" s="44"/>
      <c r="W1224" s="59"/>
      <c r="X1224" s="64"/>
      <c r="Y1224" s="106"/>
      <c r="Z1224" s="105"/>
      <c r="AA1224" s="106"/>
      <c r="AB1224" s="105"/>
      <c r="AC1224" s="106"/>
      <c r="AD1224" s="105"/>
      <c r="AE1224" s="106"/>
      <c r="AF1224" s="105"/>
      <c r="AG1224" s="106"/>
      <c r="AH1224" s="105"/>
      <c r="AI1224" s="59"/>
      <c r="AJ1224" s="64"/>
      <c r="AK1224" s="44"/>
      <c r="AM1224" s="49"/>
      <c r="AN1224" s="49"/>
      <c r="AO1224" s="49"/>
      <c r="AP1224" s="49"/>
      <c r="AQ1224" s="49"/>
      <c r="AR1224" s="40"/>
      <c r="AS1224" s="51"/>
      <c r="AU1224" s="49"/>
      <c r="AW1224" s="52"/>
      <c r="BA1224" s="2"/>
      <c r="BB1224" s="2"/>
      <c r="BC1224" s="101"/>
      <c r="BD1224" s="101"/>
    </row>
    <row r="1225" spans="2:56" s="84" customFormat="1" x14ac:dyDescent="0.35">
      <c r="B1225" s="30" t="str">
        <f>IF(B1151="","",B1151)</f>
        <v>Letarte, Martin</v>
      </c>
      <c r="C1225" s="31"/>
      <c r="D1225" s="32"/>
      <c r="E1225" s="33">
        <f t="shared" si="482"/>
        <v>93545</v>
      </c>
      <c r="F1225" s="50">
        <f>B1193</f>
        <v>26</v>
      </c>
      <c r="G1225" s="69"/>
      <c r="H1225" s="70"/>
      <c r="I1225" s="104"/>
      <c r="J1225" s="103">
        <v>8</v>
      </c>
      <c r="K1225" s="104"/>
      <c r="L1225" s="103">
        <v>8</v>
      </c>
      <c r="M1225" s="104"/>
      <c r="N1225" s="103">
        <v>8</v>
      </c>
      <c r="O1225" s="104"/>
      <c r="P1225" s="103">
        <v>8</v>
      </c>
      <c r="Q1225" s="104"/>
      <c r="R1225" s="103">
        <v>8</v>
      </c>
      <c r="S1225" s="69"/>
      <c r="T1225" s="70"/>
      <c r="U1225" s="71">
        <f t="shared" ref="U1225" si="495">SUM(G1225:T1225)</f>
        <v>40</v>
      </c>
      <c r="V1225" s="72"/>
      <c r="W1225" s="69"/>
      <c r="X1225" s="70"/>
      <c r="Y1225" s="104"/>
      <c r="Z1225" s="103">
        <v>8</v>
      </c>
      <c r="AA1225" s="104"/>
      <c r="AB1225" s="103">
        <v>8</v>
      </c>
      <c r="AC1225" s="104"/>
      <c r="AD1225" s="103">
        <v>8</v>
      </c>
      <c r="AE1225" s="104"/>
      <c r="AF1225" s="103">
        <v>8</v>
      </c>
      <c r="AG1225" s="104"/>
      <c r="AH1225" s="103">
        <v>8</v>
      </c>
      <c r="AI1225" s="69"/>
      <c r="AJ1225" s="70"/>
      <c r="AK1225" s="71">
        <f>SUM(W1225:AJ1225)</f>
        <v>40</v>
      </c>
      <c r="AL1225" s="72"/>
      <c r="AM1225" s="73">
        <f>SUMIF($G1224:$T1224,"",$G1225:$T1225)+SUMIF($W1224:$AJ1224,"",$W1225:$AJ1225)-AN1225</f>
        <v>64</v>
      </c>
      <c r="AN1225" s="88">
        <f>IF(SUMIF($G1224:$T1224,"",$G1225:$T1225)+SUMIF($G1224:$T1224,"F",$G1225:$T1225)+SUMIF($G1224:$T1224,"V",$G1225:$T1225)-40&lt;0,0,SUMIF($G1224:$T1224,"",$G1225:$T1225)+SUMIF($G1224:$T1224,"F",$G1225:$T1225)+SUMIF($G1224:$T1224,"V",$G1225:$T1225)-($U$9/2))+IF(SUMIF($W1224:$AJ1224,"",$W1225:$AJ1225)+SUMIF($W1224:$AJ1224,"F",$W1225:$AJ1225)+SUMIF($W1224:$AJ1224,"V",$W1225:$AJ1225)-40&lt;0,0,SUMIF($W1224:$AJ1224,"",$W1225:$AJ1225)+SUMIF($W1224:$AJ1224,"F",$W1225:$AJ1225)+SUMIF($W1224:$AJ1224,"V",$W1225:$AJ1225)-($U$9/2))</f>
        <v>0</v>
      </c>
      <c r="AO1225" s="73">
        <f>SUMIF($G1224:$T1224,"M",$G1225:$T1225)+SUMIF($W1224:$AJ1224,"M",$W1225:$AJ1225)</f>
        <v>0</v>
      </c>
      <c r="AP1225" s="73">
        <f>SUMIF($G1224:$T1224,"F",$G1225:$T1225)+SUMIF($W1224:$AJ1224,"F",$W1225:$AJ1225)</f>
        <v>0</v>
      </c>
      <c r="AQ1225" s="73">
        <f>SUMIF($G1224:$T1224,"V",$G1225:$T1225)+SUMIF($W1224:$AJ1224,"V",$W1225:$AJ1225)</f>
        <v>16</v>
      </c>
      <c r="AR1225" s="74">
        <f>SUMIF($G1224:$T1224,"O",$G1225:$T1225)+SUMIF($W1224:$AJ1224,"O",$W1225:$AJ1225)</f>
        <v>0</v>
      </c>
      <c r="AS1225" s="75">
        <f>SUM(AM1225:AR1225)</f>
        <v>80</v>
      </c>
      <c r="AT1225" s="72"/>
      <c r="AU1225" s="73">
        <f>SUMIF($G1224:$T1224,"A",$G1225:$T1225)+SUMIF($W1224:$AJ1224,"A",$W1225:$AJ1225)</f>
        <v>0</v>
      </c>
      <c r="AV1225" s="72"/>
      <c r="AW1225" s="76">
        <f>IF(B1225="",0,IF($U$9="",0,$U$9))</f>
        <v>80</v>
      </c>
      <c r="BA1225" s="2"/>
      <c r="BB1225" s="2"/>
      <c r="BC1225" s="101"/>
      <c r="BD1225" s="101"/>
    </row>
    <row r="1226" spans="2:56" s="84" customFormat="1" x14ac:dyDescent="0.35">
      <c r="B1226" s="26"/>
      <c r="C1226" s="27"/>
      <c r="D1226" s="28" t="str">
        <f>IF(D1152="","",D1152)</f>
        <v/>
      </c>
      <c r="E1226" s="29" t="str">
        <f t="shared" si="482"/>
        <v/>
      </c>
      <c r="F1226" s="50">
        <f>B1193</f>
        <v>26</v>
      </c>
      <c r="G1226" s="59"/>
      <c r="H1226" s="64"/>
      <c r="I1226" s="106"/>
      <c r="J1226" s="105"/>
      <c r="K1226" s="106"/>
      <c r="L1226" s="105"/>
      <c r="M1226" s="106"/>
      <c r="N1226" s="105"/>
      <c r="O1226" s="106"/>
      <c r="P1226" s="105"/>
      <c r="Q1226" s="106"/>
      <c r="R1226" s="105"/>
      <c r="S1226" s="59"/>
      <c r="T1226" s="64"/>
      <c r="U1226" s="44"/>
      <c r="W1226" s="59"/>
      <c r="X1226" s="64"/>
      <c r="Y1226" s="106"/>
      <c r="Z1226" s="105"/>
      <c r="AA1226" s="106"/>
      <c r="AB1226" s="105"/>
      <c r="AC1226" s="106"/>
      <c r="AD1226" s="105"/>
      <c r="AE1226" s="106"/>
      <c r="AF1226" s="105"/>
      <c r="AG1226" s="106"/>
      <c r="AH1226" s="105"/>
      <c r="AI1226" s="59"/>
      <c r="AJ1226" s="64"/>
      <c r="AK1226" s="44"/>
      <c r="AM1226" s="49"/>
      <c r="AN1226" s="49"/>
      <c r="AO1226" s="49"/>
      <c r="AP1226" s="49"/>
      <c r="AQ1226" s="49"/>
      <c r="AR1226" s="40"/>
      <c r="AS1226" s="51"/>
      <c r="AU1226" s="49"/>
      <c r="AW1226" s="52"/>
      <c r="BA1226" s="2"/>
      <c r="BB1226" s="2"/>
      <c r="BC1226" s="101"/>
      <c r="BD1226" s="101"/>
    </row>
    <row r="1227" spans="2:56" s="84" customFormat="1" x14ac:dyDescent="0.35">
      <c r="B1227" s="30" t="str">
        <f>IF(B1153="","",B1153)</f>
        <v/>
      </c>
      <c r="C1227" s="31"/>
      <c r="D1227" s="32"/>
      <c r="E1227" s="33" t="str">
        <f t="shared" si="482"/>
        <v/>
      </c>
      <c r="F1227" s="50">
        <f>B1193</f>
        <v>26</v>
      </c>
      <c r="G1227" s="69"/>
      <c r="H1227" s="70"/>
      <c r="I1227" s="104"/>
      <c r="J1227" s="103"/>
      <c r="K1227" s="104"/>
      <c r="L1227" s="103"/>
      <c r="M1227" s="104"/>
      <c r="N1227" s="103"/>
      <c r="O1227" s="104"/>
      <c r="P1227" s="103"/>
      <c r="Q1227" s="104"/>
      <c r="R1227" s="103"/>
      <c r="S1227" s="69"/>
      <c r="T1227" s="70"/>
      <c r="U1227" s="71">
        <f t="shared" ref="U1227" si="496">SUM(G1227:T1227)</f>
        <v>0</v>
      </c>
      <c r="V1227" s="72"/>
      <c r="W1227" s="69"/>
      <c r="X1227" s="70"/>
      <c r="Y1227" s="104"/>
      <c r="Z1227" s="103"/>
      <c r="AA1227" s="104"/>
      <c r="AB1227" s="103"/>
      <c r="AC1227" s="104"/>
      <c r="AD1227" s="103"/>
      <c r="AE1227" s="104"/>
      <c r="AF1227" s="103"/>
      <c r="AG1227" s="104"/>
      <c r="AH1227" s="103"/>
      <c r="AI1227" s="69"/>
      <c r="AJ1227" s="70"/>
      <c r="AK1227" s="71">
        <f>SUM(W1227:AJ1227)</f>
        <v>0</v>
      </c>
      <c r="AL1227" s="72"/>
      <c r="AM1227" s="73">
        <f>SUMIF($G1226:$T1226,"",$G1227:$T1227)+SUMIF($W1226:$AJ1226,"",$W1227:$AJ1227)-AN1227</f>
        <v>0</v>
      </c>
      <c r="AN1227" s="88">
        <f>IF(SUMIF($G1226:$T1226,"",$G1227:$T1227)+SUMIF($G1226:$T1226,"F",$G1227:$T1227)+SUMIF($G1226:$T1226,"V",$G1227:$T1227)-40&lt;0,0,SUMIF($G1226:$T1226,"",$G1227:$T1227)+SUMIF($G1226:$T1226,"F",$G1227:$T1227)+SUMIF($G1226:$T1226,"V",$G1227:$T1227)-($U$9/2))+IF(SUMIF($W1226:$AJ1226,"",$W1227:$AJ1227)+SUMIF($W1226:$AJ1226,"F",$W1227:$AJ1227)+SUMIF($W1226:$AJ1226,"V",$W1227:$AJ1227)-40&lt;0,0,SUMIF($W1226:$AJ1226,"",$W1227:$AJ1227)+SUMIF($W1226:$AJ1226,"F",$W1227:$AJ1227)+SUMIF($W1226:$AJ1226,"V",$W1227:$AJ1227)-($U$9/2))</f>
        <v>0</v>
      </c>
      <c r="AO1227" s="73">
        <f>SUMIF($G1226:$T1226,"M",$G1227:$T1227)+SUMIF($W1226:$AJ1226,"M",$W1227:$AJ1227)</f>
        <v>0</v>
      </c>
      <c r="AP1227" s="73">
        <f>SUMIF($G1226:$T1226,"F",$G1227:$T1227)+SUMIF($W1226:$AJ1226,"F",$W1227:$AJ1227)</f>
        <v>0</v>
      </c>
      <c r="AQ1227" s="73">
        <f>SUMIF($G1226:$T1226,"V",$G1227:$T1227)+SUMIF($W1226:$AJ1226,"V",$W1227:$AJ1227)</f>
        <v>0</v>
      </c>
      <c r="AR1227" s="74">
        <f>SUMIF($G1226:$T1226,"O",$G1227:$T1227)+SUMIF($W1226:$AJ1226,"O",$W1227:$AJ1227)</f>
        <v>0</v>
      </c>
      <c r="AS1227" s="75">
        <f>SUM(AM1227:AR1227)</f>
        <v>0</v>
      </c>
      <c r="AT1227" s="72"/>
      <c r="AU1227" s="73">
        <f>SUMIF($G1226:$T1226,"A",$G1227:$T1227)+SUMIF($W1226:$AJ1226,"A",$W1227:$AJ1227)</f>
        <v>0</v>
      </c>
      <c r="AV1227" s="72"/>
      <c r="AW1227" s="76">
        <f>IF(B1227="",0,IF($U$9="",0,$U$9))</f>
        <v>0</v>
      </c>
      <c r="BA1227" s="2"/>
      <c r="BB1227" s="2"/>
      <c r="BC1227" s="101"/>
      <c r="BD1227" s="101"/>
    </row>
    <row r="1228" spans="2:56" s="84" customFormat="1" x14ac:dyDescent="0.35">
      <c r="B1228" s="26"/>
      <c r="C1228" s="27"/>
      <c r="D1228" s="28">
        <f>IF(D1154="","",D1154)</f>
        <v>11792</v>
      </c>
      <c r="E1228" s="29" t="str">
        <f t="shared" si="482"/>
        <v/>
      </c>
      <c r="F1228" s="50">
        <f>B1193</f>
        <v>26</v>
      </c>
      <c r="G1228" s="59"/>
      <c r="H1228" s="64"/>
      <c r="I1228" s="106"/>
      <c r="J1228" s="105"/>
      <c r="K1228" s="106"/>
      <c r="L1228" s="105"/>
      <c r="M1228" s="106"/>
      <c r="N1228" s="105"/>
      <c r="O1228" s="106"/>
      <c r="P1228" s="105"/>
      <c r="Q1228" s="106"/>
      <c r="R1228" s="105"/>
      <c r="S1228" s="59"/>
      <c r="T1228" s="64"/>
      <c r="U1228" s="44"/>
      <c r="W1228" s="59"/>
      <c r="X1228" s="64"/>
      <c r="Y1228" s="106"/>
      <c r="Z1228" s="105"/>
      <c r="AA1228" s="106"/>
      <c r="AB1228" s="105"/>
      <c r="AC1228" s="106"/>
      <c r="AD1228" s="105"/>
      <c r="AE1228" s="106"/>
      <c r="AF1228" s="105"/>
      <c r="AG1228" s="106"/>
      <c r="AH1228" s="105"/>
      <c r="AI1228" s="59"/>
      <c r="AJ1228" s="64"/>
      <c r="AK1228" s="44"/>
      <c r="AM1228" s="49"/>
      <c r="AN1228" s="49"/>
      <c r="AO1228" s="49"/>
      <c r="AP1228" s="49"/>
      <c r="AQ1228" s="49"/>
      <c r="AR1228" s="40"/>
      <c r="AS1228" s="51"/>
      <c r="AU1228" s="49"/>
      <c r="AW1228" s="52"/>
      <c r="BA1228" s="2"/>
      <c r="BB1228" s="2"/>
      <c r="BC1228" s="101"/>
      <c r="BD1228" s="101"/>
    </row>
    <row r="1229" spans="2:56" s="84" customFormat="1" x14ac:dyDescent="0.35">
      <c r="B1229" s="30" t="str">
        <f>IF(B1155="","",B1155)</f>
        <v>Pellerin, Pierre</v>
      </c>
      <c r="C1229" s="31"/>
      <c r="D1229" s="32"/>
      <c r="E1229" s="33">
        <f t="shared" si="482"/>
        <v>93595935</v>
      </c>
      <c r="F1229" s="50">
        <f>B1193</f>
        <v>26</v>
      </c>
      <c r="G1229" s="69"/>
      <c r="H1229" s="70"/>
      <c r="I1229" s="104"/>
      <c r="J1229" s="103">
        <v>8</v>
      </c>
      <c r="K1229" s="104"/>
      <c r="L1229" s="103">
        <v>8</v>
      </c>
      <c r="M1229" s="104"/>
      <c r="N1229" s="103">
        <v>8</v>
      </c>
      <c r="O1229" s="104"/>
      <c r="P1229" s="103">
        <v>8</v>
      </c>
      <c r="Q1229" s="104"/>
      <c r="R1229" s="103">
        <v>8</v>
      </c>
      <c r="S1229" s="69"/>
      <c r="T1229" s="70"/>
      <c r="U1229" s="71">
        <f t="shared" ref="U1229" si="497">SUM(G1229:T1229)</f>
        <v>40</v>
      </c>
      <c r="V1229" s="72"/>
      <c r="W1229" s="69"/>
      <c r="X1229" s="70"/>
      <c r="Y1229" s="104"/>
      <c r="Z1229" s="103">
        <v>8</v>
      </c>
      <c r="AA1229" s="104"/>
      <c r="AB1229" s="103">
        <v>8</v>
      </c>
      <c r="AC1229" s="104"/>
      <c r="AD1229" s="103">
        <v>8</v>
      </c>
      <c r="AE1229" s="104"/>
      <c r="AF1229" s="103">
        <v>8</v>
      </c>
      <c r="AG1229" s="104"/>
      <c r="AH1229" s="103">
        <v>8</v>
      </c>
      <c r="AI1229" s="69"/>
      <c r="AJ1229" s="70"/>
      <c r="AK1229" s="71">
        <f>SUM(Z1229:AH1229)</f>
        <v>40</v>
      </c>
      <c r="AL1229" s="72"/>
      <c r="AM1229" s="73">
        <f>SUMIF($G1228:$T1228,"",$G1229:$T1229)+SUMIF($W1228:$AJ1228,"",$W1229:$AJ1229)-AN1229</f>
        <v>80</v>
      </c>
      <c r="AN1229" s="88">
        <f>IF(SUMIF($G1228:$T1228,"",$G1229:$T1229)+SUMIF($G1228:$T1228,"F",$G1229:$T1229)+SUMIF($G1228:$T1228,"V",$G1229:$T1229)-40&lt;0,0,SUMIF($G1228:$T1228,"",$G1229:$T1229)+SUMIF($G1228:$T1228,"F",$G1229:$T1229)+SUMIF($G1228:$T1228,"V",$G1229:$T1229)-($U$9/2))+IF(SUMIF($W1228:$AJ1228,"",$W1229:$AJ1229)+SUMIF($W1228:$AJ1228,"F",$W1229:$AJ1229)+SUMIF($W1228:$AJ1228,"V",$W1229:$AJ1229)-40&lt;0,0,SUMIF($W1228:$AJ1228,"",$W1229:$AJ1229)+SUMIF($W1228:$AJ1228,"F",$W1229:$AJ1229)+SUMIF($W1228:$AJ1228,"V",$W1229:$AJ1229)-($U$9/2))</f>
        <v>0</v>
      </c>
      <c r="AO1229" s="73">
        <f>SUMIF($G1228:$T1228,"M",$G1229:$T1229)+SUMIF($W1228:$AJ1228,"M",$W1229:$AJ1229)</f>
        <v>0</v>
      </c>
      <c r="AP1229" s="73">
        <f>SUMIF($G1228:$T1228,"F",$G1229:$T1229)+SUMIF($W1228:$AJ1228,"F",$W1229:$AJ1229)</f>
        <v>0</v>
      </c>
      <c r="AQ1229" s="73">
        <f>SUMIF($G1228:$T1228,"V",$G1229:$T1229)+SUMIF($W1228:$AJ1228,"V",$W1229:$AJ1229)</f>
        <v>0</v>
      </c>
      <c r="AR1229" s="74">
        <f>SUMIF($G1228:$T1228,"O",$G1229:$T1229)+SUMIF($W1228:$AJ1228,"O",$W1229:$AJ1229)</f>
        <v>0</v>
      </c>
      <c r="AS1229" s="75">
        <f>SUM(AM1229:AR1229)</f>
        <v>80</v>
      </c>
      <c r="AT1229" s="72"/>
      <c r="AU1229" s="73">
        <f>SUMIF($G1228:$T1228,"A",$G1229:$T1229)+SUMIF($W1228:$AJ1228,"A",$W1229:$AJ1229)</f>
        <v>0</v>
      </c>
      <c r="AV1229" s="72"/>
      <c r="AW1229" s="76">
        <f>IF(B1229="",0,IF($U$9="",0,$U$9))</f>
        <v>80</v>
      </c>
      <c r="BA1229" s="2"/>
      <c r="BB1229" s="2"/>
      <c r="BC1229" s="101"/>
      <c r="BD1229" s="101"/>
    </row>
    <row r="1230" spans="2:56" s="84" customFormat="1" x14ac:dyDescent="0.35">
      <c r="B1230" s="26"/>
      <c r="C1230" s="27"/>
      <c r="D1230" s="28">
        <f>IF(D1156="","",D1156)</f>
        <v>81043</v>
      </c>
      <c r="E1230" s="29" t="str">
        <f t="shared" si="482"/>
        <v/>
      </c>
      <c r="F1230" s="50">
        <f>B1193</f>
        <v>26</v>
      </c>
      <c r="G1230" s="59"/>
      <c r="H1230" s="64"/>
      <c r="I1230" s="106"/>
      <c r="J1230" s="105"/>
      <c r="K1230" s="106"/>
      <c r="L1230" s="105"/>
      <c r="M1230" s="106"/>
      <c r="N1230" s="105"/>
      <c r="O1230" s="106"/>
      <c r="P1230" s="105"/>
      <c r="Q1230" s="106"/>
      <c r="R1230" s="105"/>
      <c r="S1230" s="59"/>
      <c r="T1230" s="64"/>
      <c r="U1230" s="44"/>
      <c r="W1230" s="59"/>
      <c r="X1230" s="64"/>
      <c r="Y1230" s="106"/>
      <c r="Z1230" s="105"/>
      <c r="AA1230" s="106"/>
      <c r="AB1230" s="105"/>
      <c r="AC1230" s="106"/>
      <c r="AD1230" s="105"/>
      <c r="AE1230" s="106"/>
      <c r="AF1230" s="105"/>
      <c r="AG1230" s="106"/>
      <c r="AH1230" s="105"/>
      <c r="AI1230" s="59"/>
      <c r="AJ1230" s="64"/>
      <c r="AK1230" s="44"/>
      <c r="AM1230" s="49"/>
      <c r="AN1230" s="49"/>
      <c r="AO1230" s="49"/>
      <c r="AP1230" s="49"/>
      <c r="AQ1230" s="49"/>
      <c r="AR1230" s="40"/>
      <c r="AS1230" s="51"/>
      <c r="AU1230" s="49"/>
      <c r="AW1230" s="52"/>
      <c r="BA1230" s="2"/>
      <c r="BB1230" s="2"/>
      <c r="BC1230" s="101"/>
      <c r="BD1230" s="101"/>
    </row>
    <row r="1231" spans="2:56" s="84" customFormat="1" x14ac:dyDescent="0.35">
      <c r="B1231" s="30" t="str">
        <f>IF(B1157="","",B1157)</f>
        <v>Rodrigue, Frank</v>
      </c>
      <c r="C1231" s="31"/>
      <c r="D1231" s="32"/>
      <c r="E1231" s="33">
        <f t="shared" ref="E1231:E1247" si="498">IF(E1157="","",E1157)</f>
        <v>93545</v>
      </c>
      <c r="F1231" s="50">
        <f>B1193</f>
        <v>26</v>
      </c>
      <c r="G1231" s="69"/>
      <c r="H1231" s="70"/>
      <c r="I1231" s="104"/>
      <c r="J1231" s="103">
        <v>8</v>
      </c>
      <c r="K1231" s="104"/>
      <c r="L1231" s="103">
        <v>8</v>
      </c>
      <c r="M1231" s="104"/>
      <c r="N1231" s="103">
        <v>8</v>
      </c>
      <c r="O1231" s="104"/>
      <c r="P1231" s="103">
        <v>8</v>
      </c>
      <c r="Q1231" s="104"/>
      <c r="R1231" s="103">
        <v>8</v>
      </c>
      <c r="S1231" s="69"/>
      <c r="T1231" s="70"/>
      <c r="U1231" s="71">
        <f t="shared" ref="U1231" si="499">SUM(G1231:T1231)</f>
        <v>40</v>
      </c>
      <c r="V1231" s="72"/>
      <c r="W1231" s="69"/>
      <c r="X1231" s="70"/>
      <c r="Y1231" s="104"/>
      <c r="Z1231" s="103">
        <v>8</v>
      </c>
      <c r="AA1231" s="104"/>
      <c r="AB1231" s="103">
        <v>8</v>
      </c>
      <c r="AC1231" s="104"/>
      <c r="AD1231" s="103">
        <v>8</v>
      </c>
      <c r="AE1231" s="104"/>
      <c r="AF1231" s="103">
        <v>8</v>
      </c>
      <c r="AG1231" s="104"/>
      <c r="AH1231" s="103">
        <v>8</v>
      </c>
      <c r="AI1231" s="69"/>
      <c r="AJ1231" s="70"/>
      <c r="AK1231" s="71">
        <f>SUM(W1231:AJ1231)</f>
        <v>40</v>
      </c>
      <c r="AL1231" s="72"/>
      <c r="AM1231" s="73">
        <f>SUMIF($G1230:$T1230,"",$G1231:$T1231)+SUMIF($W1230:$AJ1230,"",$W1231:$AJ1231)-AN1231</f>
        <v>80</v>
      </c>
      <c r="AN1231" s="88">
        <f>IF(SUMIF($G1230:$T1230,"",$G1231:$T1231)+SUMIF($G1230:$T1230,"F",$G1231:$T1231)+SUMIF($G1230:$T1230,"V",$G1231:$T1231)-40&lt;0,0,SUMIF($G1230:$T1230,"",$G1231:$T1231)+SUMIF($G1230:$T1230,"F",$G1231:$T1231)+SUMIF($G1230:$T1230,"V",$G1231:$T1231)-($U$9/2))+IF(SUMIF($W1230:$AJ1230,"",$W1231:$AJ1231)+SUMIF($W1230:$AJ1230,"F",$W1231:$AJ1231)+SUMIF($W1230:$AJ1230,"V",$W1231:$AJ1231)-40&lt;0,0,SUMIF($W1230:$AJ1230,"",$W1231:$AJ1231)+SUMIF($W1230:$AJ1230,"F",$W1231:$AJ1231)+SUMIF($W1230:$AJ1230,"V",$W1231:$AJ1231)-($U$9/2))</f>
        <v>0</v>
      </c>
      <c r="AO1231" s="73">
        <f>SUMIF($G1230:$T1230,"M",$G1231:$T1231)+SUMIF($W1230:$AJ1230,"M",$W1231:$AJ1231)</f>
        <v>0</v>
      </c>
      <c r="AP1231" s="73">
        <f>SUMIF($G1230:$T1230,"F",$G1231:$T1231)+SUMIF($W1230:$AJ1230,"F",$W1231:$AJ1231)</f>
        <v>0</v>
      </c>
      <c r="AQ1231" s="73">
        <f>SUMIF($G1230:$T1230,"V",$G1231:$T1231)+SUMIF($W1230:$AJ1230,"V",$W1231:$AJ1231)</f>
        <v>0</v>
      </c>
      <c r="AR1231" s="74">
        <f>SUMIF($G1230:$T1230,"O",$G1231:$T1231)+SUMIF($W1230:$AJ1230,"O",$W1231:$AJ1231)</f>
        <v>0</v>
      </c>
      <c r="AS1231" s="75">
        <f>SUM(AM1231:AR1231)</f>
        <v>80</v>
      </c>
      <c r="AT1231" s="72"/>
      <c r="AU1231" s="73">
        <f>SUMIF($G1230:$T1230,"A",$G1231:$T1231)+SUMIF($W1230:$AJ1230,"A",$W1231:$AJ1231)</f>
        <v>0</v>
      </c>
      <c r="AV1231" s="72"/>
      <c r="AW1231" s="76">
        <f>IF(B1231="",0,IF($U$9="",0,$U$9))</f>
        <v>80</v>
      </c>
      <c r="BA1231" s="2"/>
      <c r="BB1231" s="2"/>
      <c r="BC1231" s="101"/>
      <c r="BD1231" s="101"/>
    </row>
    <row r="1232" spans="2:56" s="84" customFormat="1" x14ac:dyDescent="0.35">
      <c r="B1232" s="26"/>
      <c r="C1232" s="27"/>
      <c r="D1232" s="28">
        <f>IF(D1158="","",D1158)</f>
        <v>72673</v>
      </c>
      <c r="E1232" s="29" t="str">
        <f t="shared" si="498"/>
        <v/>
      </c>
      <c r="F1232" s="50">
        <f>B1193</f>
        <v>26</v>
      </c>
      <c r="G1232" s="59"/>
      <c r="H1232" s="64"/>
      <c r="I1232" s="106"/>
      <c r="J1232" s="105"/>
      <c r="K1232" s="106"/>
      <c r="L1232" s="105"/>
      <c r="M1232" s="106"/>
      <c r="N1232" s="105"/>
      <c r="O1232" s="106"/>
      <c r="P1232" s="105"/>
      <c r="Q1232" s="106"/>
      <c r="R1232" s="105"/>
      <c r="S1232" s="59"/>
      <c r="T1232" s="64"/>
      <c r="U1232" s="44"/>
      <c r="W1232" s="59"/>
      <c r="X1232" s="64"/>
      <c r="Y1232" s="106"/>
      <c r="Z1232" s="105"/>
      <c r="AA1232" s="106"/>
      <c r="AB1232" s="105"/>
      <c r="AC1232" s="106"/>
      <c r="AD1232" s="105"/>
      <c r="AE1232" s="106"/>
      <c r="AF1232" s="105"/>
      <c r="AG1232" s="106"/>
      <c r="AH1232" s="105"/>
      <c r="AI1232" s="59"/>
      <c r="AJ1232" s="64"/>
      <c r="AK1232" s="44"/>
      <c r="AM1232" s="49"/>
      <c r="AN1232" s="49"/>
      <c r="AO1232" s="49"/>
      <c r="AP1232" s="49"/>
      <c r="AQ1232" s="49"/>
      <c r="AR1232" s="40"/>
      <c r="AS1232" s="51"/>
      <c r="AU1232" s="49"/>
      <c r="AW1232" s="52"/>
      <c r="BA1232" s="2"/>
      <c r="BB1232" s="2"/>
      <c r="BC1232" s="101"/>
      <c r="BD1232" s="101"/>
    </row>
    <row r="1233" spans="1:56" s="84" customFormat="1" x14ac:dyDescent="0.35">
      <c r="B1233" s="30" t="str">
        <f>IF(B1159="","",B1159)</f>
        <v>St-Georges, Manuel (avance $2,000)</v>
      </c>
      <c r="C1233" s="31"/>
      <c r="D1233" s="32"/>
      <c r="E1233" s="33">
        <f t="shared" si="498"/>
        <v>93595935</v>
      </c>
      <c r="F1233" s="50">
        <f>B1193</f>
        <v>26</v>
      </c>
      <c r="G1233" s="69"/>
      <c r="H1233" s="70"/>
      <c r="I1233" s="104"/>
      <c r="J1233" s="103" t="s">
        <v>69</v>
      </c>
      <c r="K1233" s="104"/>
      <c r="L1233" s="103" t="s">
        <v>69</v>
      </c>
      <c r="M1233" s="104"/>
      <c r="N1233" s="103" t="s">
        <v>69</v>
      </c>
      <c r="O1233" s="104"/>
      <c r="P1233" s="103" t="s">
        <v>69</v>
      </c>
      <c r="Q1233" s="104"/>
      <c r="R1233" s="103" t="s">
        <v>69</v>
      </c>
      <c r="S1233" s="69"/>
      <c r="T1233" s="70"/>
      <c r="U1233" s="71">
        <f t="shared" ref="U1233" si="500">SUM(G1233:T1233)</f>
        <v>0</v>
      </c>
      <c r="V1233" s="72"/>
      <c r="W1233" s="69"/>
      <c r="X1233" s="70"/>
      <c r="Y1233" s="104"/>
      <c r="Z1233" s="103" t="s">
        <v>69</v>
      </c>
      <c r="AA1233" s="104"/>
      <c r="AB1233" s="103" t="s">
        <v>69</v>
      </c>
      <c r="AC1233" s="104"/>
      <c r="AD1233" s="103" t="s">
        <v>69</v>
      </c>
      <c r="AE1233" s="104"/>
      <c r="AF1233" s="103" t="s">
        <v>69</v>
      </c>
      <c r="AG1233" s="104"/>
      <c r="AH1233" s="103" t="s">
        <v>69</v>
      </c>
      <c r="AI1233" s="69"/>
      <c r="AJ1233" s="70"/>
      <c r="AK1233" s="71">
        <f>SUM(W1233:AJ1233)</f>
        <v>0</v>
      </c>
      <c r="AL1233" s="72"/>
      <c r="AM1233" s="73">
        <f>SUMIF($G1232:$T1232,"",$G1233:$T1233)+SUMIF($W1232:$AJ1232,"",$W1233:$AJ1233)-AN1233</f>
        <v>0</v>
      </c>
      <c r="AN1233" s="88">
        <f>IF(SUMIF($G1232:$T1232,"",$G1233:$T1233)+SUMIF($G1232:$T1232,"F",$G1233:$T1233)+SUMIF($G1232:$T1232,"V",$G1233:$T1233)-40&lt;0,0,SUMIF($G1232:$T1232,"",$G1233:$T1233)+SUMIF($G1232:$T1232,"F",$G1233:$T1233)+SUMIF($G1232:$T1232,"V",$G1233:$T1233)-($U$9/2))+IF(SUMIF($W1232:$AJ1232,"",$W1233:$AJ1233)+SUMIF($W1232:$AJ1232,"F",$W1233:$AJ1233)+SUMIF($W1232:$AJ1232,"V",$W1233:$AJ1233)-40&lt;0,0,SUMIF($W1232:$AJ1232,"",$W1233:$AJ1233)+SUMIF($W1232:$AJ1232,"F",$W1233:$AJ1233)+SUMIF($W1232:$AJ1232,"V",$W1233:$AJ1233)-($U$9/2))</f>
        <v>0</v>
      </c>
      <c r="AO1233" s="73">
        <f>SUMIF($G1232:$T1232,"M",$G1233:$T1233)+SUMIF($W1232:$AJ1232,"M",$W1233:$AJ1233)</f>
        <v>0</v>
      </c>
      <c r="AP1233" s="73">
        <f>SUMIF($G1232:$T1232,"F",$G1233:$T1233)+SUMIF($W1232:$AJ1232,"F",$W1233:$AJ1233)</f>
        <v>0</v>
      </c>
      <c r="AQ1233" s="73">
        <f>SUMIF($G1232:$T1232,"V",$G1233:$T1233)+SUMIF($W1232:$AJ1232,"V",$W1233:$AJ1233)</f>
        <v>0</v>
      </c>
      <c r="AR1233" s="74">
        <f>SUMIF($G1232:$T1232,"O",$G1233:$T1233)+SUMIF($W1232:$AJ1232,"O",$W1233:$AJ1233)</f>
        <v>0</v>
      </c>
      <c r="AS1233" s="75">
        <f>SUM(AM1233:AR1233)</f>
        <v>0</v>
      </c>
      <c r="AT1233" s="72"/>
      <c r="AU1233" s="73">
        <f>SUMIF($G1232:$T1232,"A",$G1233:$T1233)+SUMIF($W1232:$AJ1232,"A",$W1233:$AJ1233)</f>
        <v>0</v>
      </c>
      <c r="AV1233" s="72"/>
      <c r="AW1233" s="76">
        <f>IF(B1233="",0,IF($U$9="",0,$U$9))</f>
        <v>80</v>
      </c>
      <c r="BA1233" s="2"/>
      <c r="BB1233" s="2"/>
      <c r="BC1233" s="101"/>
      <c r="BD1233" s="101"/>
    </row>
    <row r="1234" spans="1:56" s="84" customFormat="1" x14ac:dyDescent="0.35">
      <c r="B1234" s="26"/>
      <c r="C1234" s="27"/>
      <c r="D1234" s="28" t="str">
        <f>IF(D1160="","",D1160)</f>
        <v/>
      </c>
      <c r="E1234" s="29" t="str">
        <f t="shared" si="498"/>
        <v/>
      </c>
      <c r="F1234" s="50">
        <f>B1193</f>
        <v>26</v>
      </c>
      <c r="G1234" s="59"/>
      <c r="H1234" s="64"/>
      <c r="I1234" s="106"/>
      <c r="J1234" s="105"/>
      <c r="K1234" s="106"/>
      <c r="L1234" s="105"/>
      <c r="M1234" s="106"/>
      <c r="N1234" s="105"/>
      <c r="O1234" s="106"/>
      <c r="P1234" s="105"/>
      <c r="Q1234" s="106"/>
      <c r="R1234" s="105"/>
      <c r="S1234" s="59"/>
      <c r="T1234" s="64"/>
      <c r="U1234" s="44"/>
      <c r="W1234" s="59"/>
      <c r="X1234" s="64"/>
      <c r="Y1234" s="106"/>
      <c r="Z1234" s="105"/>
      <c r="AA1234" s="106"/>
      <c r="AB1234" s="105"/>
      <c r="AC1234" s="106"/>
      <c r="AD1234" s="105"/>
      <c r="AE1234" s="106"/>
      <c r="AF1234" s="105"/>
      <c r="AG1234" s="106"/>
      <c r="AH1234" s="105"/>
      <c r="AI1234" s="59"/>
      <c r="AJ1234" s="64"/>
      <c r="AK1234" s="44"/>
      <c r="AM1234" s="49"/>
      <c r="AN1234" s="49"/>
      <c r="AO1234" s="49"/>
      <c r="AP1234" s="49"/>
      <c r="AQ1234" s="49"/>
      <c r="AR1234" s="40"/>
      <c r="AS1234" s="51"/>
      <c r="AU1234" s="49"/>
      <c r="AW1234" s="52"/>
      <c r="BA1234" s="2"/>
      <c r="BB1234" s="2"/>
      <c r="BC1234" s="101"/>
      <c r="BD1234" s="101"/>
    </row>
    <row r="1235" spans="1:56" s="84" customFormat="1" x14ac:dyDescent="0.35">
      <c r="B1235" s="30" t="str">
        <f>IF(B1161="","",B1161)</f>
        <v/>
      </c>
      <c r="C1235" s="31"/>
      <c r="D1235" s="32"/>
      <c r="E1235" s="33" t="str">
        <f t="shared" si="498"/>
        <v/>
      </c>
      <c r="F1235" s="50">
        <f>B1193</f>
        <v>26</v>
      </c>
      <c r="G1235" s="69"/>
      <c r="H1235" s="70"/>
      <c r="I1235" s="104"/>
      <c r="J1235" s="103"/>
      <c r="K1235" s="104"/>
      <c r="L1235" s="103"/>
      <c r="M1235" s="104"/>
      <c r="N1235" s="103"/>
      <c r="O1235" s="104"/>
      <c r="P1235" s="103"/>
      <c r="Q1235" s="104"/>
      <c r="R1235" s="103"/>
      <c r="S1235" s="69"/>
      <c r="T1235" s="70"/>
      <c r="U1235" s="71">
        <f t="shared" ref="U1235" si="501">SUM(G1235:T1235)</f>
        <v>0</v>
      </c>
      <c r="V1235" s="72"/>
      <c r="W1235" s="69"/>
      <c r="X1235" s="70"/>
      <c r="Y1235" s="104"/>
      <c r="Z1235" s="103"/>
      <c r="AA1235" s="104"/>
      <c r="AB1235" s="103"/>
      <c r="AC1235" s="104"/>
      <c r="AD1235" s="103"/>
      <c r="AE1235" s="104"/>
      <c r="AF1235" s="103"/>
      <c r="AG1235" s="104"/>
      <c r="AH1235" s="103"/>
      <c r="AI1235" s="69"/>
      <c r="AJ1235" s="70"/>
      <c r="AK1235" s="71">
        <f>SUM(W1235:AJ1235)</f>
        <v>0</v>
      </c>
      <c r="AL1235" s="72"/>
      <c r="AM1235" s="73">
        <f>SUMIF($G1234:$T1234,"",$G1235:$T1235)+SUMIF($W1234:$AJ1234,"",$W1235:$AJ1235)-AN1235</f>
        <v>0</v>
      </c>
      <c r="AN1235" s="88">
        <f>IF(SUMIF($G1234:$T1234,"",$G1235:$T1235)+SUMIF($G1234:$T1234,"F",$G1235:$T1235)+SUMIF($G1234:$T1234,"V",$G1235:$T1235)-40&lt;0,0,SUMIF($G1234:$T1234,"",$G1235:$T1235)+SUMIF($G1234:$T1234,"F",$G1235:$T1235)+SUMIF($G1234:$T1234,"V",$G1235:$T1235)-($U$9/2))+IF(SUMIF($W1234:$AJ1234,"",$W1235:$AJ1235)+SUMIF($W1234:$AJ1234,"F",$W1235:$AJ1235)+SUMIF($W1234:$AJ1234,"V",$W1235:$AJ1235)-40&lt;0,0,SUMIF($W1234:$AJ1234,"",$W1235:$AJ1235)+SUMIF($W1234:$AJ1234,"F",$W1235:$AJ1235)+SUMIF($W1234:$AJ1234,"V",$W1235:$AJ1235)-($U$9/2))</f>
        <v>0</v>
      </c>
      <c r="AO1235" s="73">
        <f>SUMIF($G1234:$T1234,"M",$G1235:$T1235)+SUMIF($W1234:$AJ1234,"M",$W1235:$AJ1235)</f>
        <v>0</v>
      </c>
      <c r="AP1235" s="73">
        <f>SUMIF($G1234:$T1234,"F",$G1235:$T1235)+SUMIF($W1234:$AJ1234,"F",$W1235:$AJ1235)</f>
        <v>0</v>
      </c>
      <c r="AQ1235" s="73">
        <f>SUMIF($G1234:$T1234,"V",$G1235:$T1235)+SUMIF($W1234:$AJ1234,"V",$W1235:$AJ1235)</f>
        <v>0</v>
      </c>
      <c r="AR1235" s="74">
        <f>SUMIF($G1234:$T1234,"O",$G1235:$T1235)+SUMIF($W1234:$AJ1234,"O",$W1235:$AJ1235)</f>
        <v>0</v>
      </c>
      <c r="AS1235" s="75">
        <f>SUM(AM1235:AR1235)</f>
        <v>0</v>
      </c>
      <c r="AT1235" s="72"/>
      <c r="AU1235" s="73">
        <f>SUMIF($G1234:$T1234,"A",$G1235:$T1235)+SUMIF($W1234:$AJ1234,"A",$W1235:$AJ1235)</f>
        <v>0</v>
      </c>
      <c r="AV1235" s="72"/>
      <c r="AW1235" s="76">
        <f>IF(B1235="",0,IF($U$9="",0,$U$9))</f>
        <v>0</v>
      </c>
      <c r="BA1235" s="2"/>
      <c r="BB1235" s="2"/>
      <c r="BC1235" s="101"/>
      <c r="BD1235" s="101"/>
    </row>
    <row r="1236" spans="1:56" s="84" customFormat="1" x14ac:dyDescent="0.35">
      <c r="B1236" s="26"/>
      <c r="C1236" s="27"/>
      <c r="D1236" s="28">
        <f>IF(D1162="","",D1162)</f>
        <v>23736</v>
      </c>
      <c r="E1236" s="29" t="str">
        <f t="shared" si="498"/>
        <v/>
      </c>
      <c r="F1236" s="50">
        <f>B1193</f>
        <v>26</v>
      </c>
      <c r="G1236" s="59"/>
      <c r="H1236" s="64"/>
      <c r="I1236" s="106"/>
      <c r="J1236" s="105" t="s">
        <v>1</v>
      </c>
      <c r="K1236" s="106"/>
      <c r="L1236" s="105" t="s">
        <v>1</v>
      </c>
      <c r="M1236" s="106"/>
      <c r="N1236" s="105" t="s">
        <v>1</v>
      </c>
      <c r="O1236" s="106"/>
      <c r="P1236" s="105" t="s">
        <v>1</v>
      </c>
      <c r="Q1236" s="106"/>
      <c r="R1236" s="105" t="s">
        <v>1</v>
      </c>
      <c r="S1236" s="59"/>
      <c r="T1236" s="64"/>
      <c r="U1236" s="44"/>
      <c r="W1236" s="59"/>
      <c r="X1236" s="64"/>
      <c r="Y1236" s="106"/>
      <c r="Z1236" s="105"/>
      <c r="AA1236" s="106"/>
      <c r="AB1236" s="105"/>
      <c r="AC1236" s="106"/>
      <c r="AD1236" s="105"/>
      <c r="AE1236" s="106"/>
      <c r="AF1236" s="105"/>
      <c r="AG1236" s="106"/>
      <c r="AH1236" s="105"/>
      <c r="AI1236" s="59"/>
      <c r="AJ1236" s="64"/>
      <c r="AK1236" s="44"/>
      <c r="AM1236" s="49"/>
      <c r="AN1236" s="49"/>
      <c r="AO1236" s="49"/>
      <c r="AP1236" s="49"/>
      <c r="AQ1236" s="49"/>
      <c r="AR1236" s="40"/>
      <c r="AS1236" s="51"/>
      <c r="AU1236" s="49"/>
      <c r="AW1236" s="52"/>
      <c r="BA1236" s="2"/>
      <c r="BB1236" s="2"/>
      <c r="BC1236" s="101"/>
      <c r="BD1236" s="101"/>
    </row>
    <row r="1237" spans="1:56" s="84" customFormat="1" x14ac:dyDescent="0.35">
      <c r="B1237" s="30" t="str">
        <f>IF(B1163="","",B1163)</f>
        <v>Voster, Jean-Michel</v>
      </c>
      <c r="C1237" s="31"/>
      <c r="D1237" s="32"/>
      <c r="E1237" s="33">
        <f t="shared" si="498"/>
        <v>93545</v>
      </c>
      <c r="F1237" s="50">
        <f>B1193</f>
        <v>26</v>
      </c>
      <c r="G1237" s="69"/>
      <c r="H1237" s="70"/>
      <c r="I1237" s="104"/>
      <c r="J1237" s="103">
        <v>8</v>
      </c>
      <c r="K1237" s="104"/>
      <c r="L1237" s="103">
        <v>8</v>
      </c>
      <c r="M1237" s="104"/>
      <c r="N1237" s="103">
        <v>8</v>
      </c>
      <c r="O1237" s="104"/>
      <c r="P1237" s="103">
        <v>8</v>
      </c>
      <c r="Q1237" s="104"/>
      <c r="R1237" s="103">
        <v>8</v>
      </c>
      <c r="S1237" s="69"/>
      <c r="T1237" s="70"/>
      <c r="U1237" s="71">
        <f t="shared" ref="U1237" si="502">SUM(G1237:T1237)</f>
        <v>40</v>
      </c>
      <c r="V1237" s="72"/>
      <c r="W1237" s="69"/>
      <c r="X1237" s="70"/>
      <c r="Y1237" s="104"/>
      <c r="Z1237" s="103">
        <v>8.25</v>
      </c>
      <c r="AA1237" s="104"/>
      <c r="AB1237" s="103">
        <v>8</v>
      </c>
      <c r="AC1237" s="104"/>
      <c r="AD1237" s="103">
        <v>8</v>
      </c>
      <c r="AE1237" s="104"/>
      <c r="AF1237" s="103">
        <v>8</v>
      </c>
      <c r="AG1237" s="104"/>
      <c r="AH1237" s="103">
        <v>8</v>
      </c>
      <c r="AI1237" s="69"/>
      <c r="AJ1237" s="70"/>
      <c r="AK1237" s="71">
        <f>SUM(W1237:AJ1237)</f>
        <v>40.25</v>
      </c>
      <c r="AL1237" s="72"/>
      <c r="AM1237" s="73">
        <f>SUMIF($G1236:$T1236,"",$G1237:$T1237)+SUMIF($W1236:$AJ1236,"",$W1237:$AJ1237)-AN1237</f>
        <v>40</v>
      </c>
      <c r="AN1237" s="88">
        <f>IF(SUMIF($G1236:$T1236,"",$G1237:$T1237)+SUMIF($G1236:$T1236,"F",$G1237:$T1237)+SUMIF($G1236:$T1236,"V",$G1237:$T1237)-40&lt;0,0,SUMIF($G1236:$T1236,"",$G1237:$T1237)+SUMIF($G1236:$T1236,"F",$G1237:$T1237)+SUMIF($G1236:$T1236,"V",$G1237:$T1237)-($U$9/2))+IF(SUMIF($W1236:$AJ1236,"",$W1237:$AJ1237)+SUMIF($W1236:$AJ1236,"F",$W1237:$AJ1237)+SUMIF($W1236:$AJ1236,"V",$W1237:$AJ1237)-40&lt;0,0,SUMIF($W1236:$AJ1236,"",$W1237:$AJ1237)+SUMIF($W1236:$AJ1236,"F",$W1237:$AJ1237)+SUMIF($W1236:$AJ1236,"V",$W1237:$AJ1237)-($U$9/2))</f>
        <v>0.25</v>
      </c>
      <c r="AO1237" s="73">
        <f>SUMIF($G1236:$T1236,"M",$G1237:$T1237)+SUMIF($W1236:$AJ1236,"M",$W1237:$AJ1237)</f>
        <v>0</v>
      </c>
      <c r="AP1237" s="73">
        <f>SUMIF($G1236:$T1236,"F",$G1237:$T1237)+SUMIF($W1236:$AJ1236,"F",$W1237:$AJ1237)</f>
        <v>0</v>
      </c>
      <c r="AQ1237" s="73">
        <f>SUMIF($G1236:$T1236,"V",$G1237:$T1237)+SUMIF($W1236:$AJ1236,"V",$W1237:$AJ1237)</f>
        <v>40</v>
      </c>
      <c r="AR1237" s="74">
        <f>SUMIF($G1236:$T1236,"O",$G1237:$T1237)+SUMIF($W1236:$AJ1236,"O",$W1237:$AJ1237)</f>
        <v>0</v>
      </c>
      <c r="AS1237" s="75">
        <f>SUM(AM1237:AR1237)</f>
        <v>80.25</v>
      </c>
      <c r="AT1237" s="72"/>
      <c r="AU1237" s="73">
        <f>SUMIF($G1236:$T1236,"A",$G1237:$T1237)+SUMIF($W1236:$AJ1236,"A",$W1237:$AJ1237)</f>
        <v>0</v>
      </c>
      <c r="AV1237" s="72"/>
      <c r="AW1237" s="76">
        <f>IF(B1237="",0,IF($U$9="",0,$U$9))</f>
        <v>80</v>
      </c>
      <c r="BA1237" s="2"/>
      <c r="BB1237" s="2"/>
      <c r="BC1237" s="101"/>
      <c r="BD1237" s="101"/>
    </row>
    <row r="1238" spans="1:56" s="53" customFormat="1" ht="15" customHeight="1" x14ac:dyDescent="0.35">
      <c r="A1238" s="84"/>
      <c r="B1238" s="26"/>
      <c r="C1238" s="27"/>
      <c r="D1238" s="28" t="str">
        <f>IF(D1164="","",D1164)</f>
        <v/>
      </c>
      <c r="E1238" s="29" t="str">
        <f t="shared" si="498"/>
        <v/>
      </c>
      <c r="F1238" s="50">
        <f>B1193</f>
        <v>26</v>
      </c>
      <c r="G1238" s="59"/>
      <c r="H1238" s="64"/>
      <c r="I1238" s="106"/>
      <c r="J1238" s="105"/>
      <c r="K1238" s="106"/>
      <c r="L1238" s="105"/>
      <c r="M1238" s="106"/>
      <c r="N1238" s="105"/>
      <c r="O1238" s="106"/>
      <c r="P1238" s="105"/>
      <c r="Q1238" s="106"/>
      <c r="R1238" s="105"/>
      <c r="S1238" s="59"/>
      <c r="T1238" s="64"/>
      <c r="U1238" s="44"/>
      <c r="V1238" s="84"/>
      <c r="W1238" s="59"/>
      <c r="X1238" s="64"/>
      <c r="Y1238" s="106"/>
      <c r="Z1238" s="105"/>
      <c r="AA1238" s="106"/>
      <c r="AB1238" s="105"/>
      <c r="AC1238" s="106"/>
      <c r="AD1238" s="105"/>
      <c r="AE1238" s="106"/>
      <c r="AF1238" s="105"/>
      <c r="AG1238" s="106"/>
      <c r="AH1238" s="105"/>
      <c r="AI1238" s="59"/>
      <c r="AJ1238" s="64"/>
      <c r="AK1238" s="44"/>
      <c r="AL1238" s="84"/>
      <c r="AM1238" s="49"/>
      <c r="AN1238" s="49"/>
      <c r="AO1238" s="49"/>
      <c r="AP1238" s="49"/>
      <c r="AQ1238" s="49"/>
      <c r="AR1238" s="40"/>
      <c r="AS1238" s="51"/>
      <c r="AT1238" s="84"/>
      <c r="AU1238" s="49"/>
      <c r="AV1238" s="84"/>
      <c r="AW1238" s="52"/>
      <c r="AX1238" s="84"/>
      <c r="BA1238" s="2"/>
      <c r="BB1238" s="2"/>
      <c r="BC1238" s="101"/>
      <c r="BD1238" s="101"/>
    </row>
    <row r="1239" spans="1:56" s="57" customFormat="1" ht="15" customHeight="1" x14ac:dyDescent="0.35">
      <c r="A1239" s="84"/>
      <c r="B1239" s="30" t="str">
        <f>IF(B1165="","",B1165)</f>
        <v/>
      </c>
      <c r="C1239" s="31"/>
      <c r="D1239" s="32"/>
      <c r="E1239" s="33" t="str">
        <f t="shared" si="498"/>
        <v/>
      </c>
      <c r="F1239" s="50">
        <f>B1193</f>
        <v>26</v>
      </c>
      <c r="G1239" s="69"/>
      <c r="H1239" s="70"/>
      <c r="I1239" s="104"/>
      <c r="J1239" s="103"/>
      <c r="K1239" s="104"/>
      <c r="L1239" s="103"/>
      <c r="M1239" s="104"/>
      <c r="N1239" s="103"/>
      <c r="O1239" s="104"/>
      <c r="P1239" s="103"/>
      <c r="Q1239" s="104"/>
      <c r="R1239" s="103"/>
      <c r="S1239" s="69"/>
      <c r="T1239" s="70"/>
      <c r="U1239" s="71">
        <f t="shared" ref="U1239" si="503">SUM(G1239:T1239)</f>
        <v>0</v>
      </c>
      <c r="V1239" s="72"/>
      <c r="W1239" s="69"/>
      <c r="X1239" s="70"/>
      <c r="Y1239" s="104"/>
      <c r="Z1239" s="103"/>
      <c r="AA1239" s="104"/>
      <c r="AB1239" s="103"/>
      <c r="AC1239" s="104"/>
      <c r="AD1239" s="103"/>
      <c r="AE1239" s="104"/>
      <c r="AF1239" s="103"/>
      <c r="AG1239" s="104"/>
      <c r="AH1239" s="103"/>
      <c r="AI1239" s="69"/>
      <c r="AJ1239" s="70"/>
      <c r="AK1239" s="71">
        <f>SUM(W1239:AJ1239)</f>
        <v>0</v>
      </c>
      <c r="AL1239" s="72"/>
      <c r="AM1239" s="73">
        <f>SUMIF($G1238:$T1238,"",$G1239:$T1239)+SUMIF($W1238:$AJ1238,"",$W1239:$AJ1239)-AN1239</f>
        <v>0</v>
      </c>
      <c r="AN1239" s="88">
        <f>IF(SUMIF($G1238:$T1238,"",$G1239:$T1239)+SUMIF($G1238:$T1238,"F",$G1239:$T1239)+SUMIF($G1238:$T1238,"V",$G1239:$T1239)-40&lt;0,0,SUMIF($G1238:$T1238,"",$G1239:$T1239)+SUMIF($G1238:$T1238,"F",$G1239:$T1239)+SUMIF($G1238:$T1238,"V",$G1239:$T1239)-($U$9/2))+IF(SUMIF($W1238:$AJ1238,"",$W1239:$AJ1239)+SUMIF($W1238:$AJ1238,"F",$W1239:$AJ1239)+SUMIF($W1238:$AJ1238,"V",$W1239:$AJ1239)-40&lt;0,0,SUMIF($W1238:$AJ1238,"",$W1239:$AJ1239)+SUMIF($W1238:$AJ1238,"F",$W1239:$AJ1239)+SUMIF($W1238:$AJ1238,"V",$W1239:$AJ1239)-($U$9/2))</f>
        <v>0</v>
      </c>
      <c r="AO1239" s="73">
        <f>SUMIF($G1238:$T1238,"M",$G1239:$T1239)+SUMIF($W1238:$AJ1238,"M",$W1239:$AJ1239)</f>
        <v>0</v>
      </c>
      <c r="AP1239" s="73">
        <f>SUMIF($G1238:$T1238,"F",$G1239:$T1239)+SUMIF($W1238:$AJ1238,"F",$W1239:$AJ1239)</f>
        <v>0</v>
      </c>
      <c r="AQ1239" s="73">
        <f>SUMIF($G1238:$T1238,"V",$G1239:$T1239)+SUMIF($W1238:$AJ1238,"V",$W1239:$AJ1239)</f>
        <v>0</v>
      </c>
      <c r="AR1239" s="74">
        <f>SUMIF($G1238:$T1238,"O",$G1239:$T1239)+SUMIF($W1238:$AJ1238,"O",$W1239:$AJ1239)</f>
        <v>0</v>
      </c>
      <c r="AS1239" s="75">
        <f>SUM(AM1239:AR1239)</f>
        <v>0</v>
      </c>
      <c r="AT1239" s="72"/>
      <c r="AU1239" s="73">
        <f>SUMIF($G1238:$T1238,"A",$G1239:$T1239)+SUMIF($W1238:$AJ1238,"A",$W1239:$AJ1239)</f>
        <v>0</v>
      </c>
      <c r="AV1239" s="72"/>
      <c r="AW1239" s="76">
        <f>IF(B1239="",0,IF($U$9="",0,$U$9))</f>
        <v>0</v>
      </c>
      <c r="AX1239" s="84"/>
      <c r="BA1239" s="2"/>
      <c r="BB1239" s="2"/>
      <c r="BC1239" s="101"/>
      <c r="BD1239" s="101"/>
    </row>
    <row r="1240" spans="1:56" s="53" customFormat="1" ht="15" customHeight="1" x14ac:dyDescent="0.35">
      <c r="A1240" s="84"/>
      <c r="B1240" s="26"/>
      <c r="C1240" s="27"/>
      <c r="D1240" s="28" t="str">
        <f>IF(D1166="","",D1166)</f>
        <v/>
      </c>
      <c r="E1240" s="29" t="str">
        <f t="shared" si="498"/>
        <v/>
      </c>
      <c r="F1240" s="50">
        <f>B1193</f>
        <v>26</v>
      </c>
      <c r="G1240" s="59"/>
      <c r="H1240" s="64"/>
      <c r="I1240" s="106"/>
      <c r="J1240" s="105"/>
      <c r="K1240" s="106"/>
      <c r="L1240" s="105"/>
      <c r="M1240" s="106"/>
      <c r="N1240" s="105"/>
      <c r="O1240" s="106"/>
      <c r="P1240" s="105"/>
      <c r="Q1240" s="106"/>
      <c r="R1240" s="105"/>
      <c r="S1240" s="59"/>
      <c r="T1240" s="64"/>
      <c r="U1240" s="44"/>
      <c r="V1240" s="84"/>
      <c r="W1240" s="59"/>
      <c r="X1240" s="64"/>
      <c r="Y1240" s="106"/>
      <c r="Z1240" s="105"/>
      <c r="AA1240" s="106"/>
      <c r="AB1240" s="105"/>
      <c r="AC1240" s="106"/>
      <c r="AD1240" s="105"/>
      <c r="AE1240" s="106"/>
      <c r="AF1240" s="105"/>
      <c r="AG1240" s="106"/>
      <c r="AH1240" s="105"/>
      <c r="AI1240" s="59"/>
      <c r="AJ1240" s="64"/>
      <c r="AK1240" s="44"/>
      <c r="AL1240" s="84"/>
      <c r="AM1240" s="49"/>
      <c r="AN1240" s="49"/>
      <c r="AO1240" s="49"/>
      <c r="AP1240" s="49"/>
      <c r="AQ1240" s="49"/>
      <c r="AR1240" s="40"/>
      <c r="AS1240" s="51"/>
      <c r="AT1240" s="84"/>
      <c r="AU1240" s="49"/>
      <c r="AV1240" s="84"/>
      <c r="AW1240" s="52"/>
      <c r="AX1240" s="84"/>
      <c r="BA1240" s="2"/>
      <c r="BB1240" s="2"/>
      <c r="BC1240" s="101"/>
      <c r="BD1240" s="101"/>
    </row>
    <row r="1241" spans="1:56" s="53" customFormat="1" x14ac:dyDescent="0.35">
      <c r="A1241" s="84"/>
      <c r="B1241" s="30" t="str">
        <f>IF(B1167="","",B1167)</f>
        <v/>
      </c>
      <c r="C1241" s="31"/>
      <c r="D1241" s="32"/>
      <c r="E1241" s="33"/>
      <c r="F1241" s="50">
        <f>B1193</f>
        <v>26</v>
      </c>
      <c r="G1241" s="69"/>
      <c r="H1241" s="70"/>
      <c r="I1241" s="104"/>
      <c r="J1241" s="103"/>
      <c r="K1241" s="104"/>
      <c r="L1241" s="103"/>
      <c r="M1241" s="104"/>
      <c r="N1241" s="103"/>
      <c r="O1241" s="104"/>
      <c r="P1241" s="103"/>
      <c r="Q1241" s="104"/>
      <c r="R1241" s="103"/>
      <c r="S1241" s="69"/>
      <c r="T1241" s="70"/>
      <c r="U1241" s="71">
        <f t="shared" ref="U1241" si="504">SUM(G1241:T1241)</f>
        <v>0</v>
      </c>
      <c r="V1241" s="72"/>
      <c r="W1241" s="69"/>
      <c r="X1241" s="70"/>
      <c r="Y1241" s="104"/>
      <c r="Z1241" s="103"/>
      <c r="AA1241" s="104"/>
      <c r="AB1241" s="103"/>
      <c r="AC1241" s="104"/>
      <c r="AD1241" s="103"/>
      <c r="AE1241" s="104"/>
      <c r="AF1241" s="103"/>
      <c r="AG1241" s="104"/>
      <c r="AH1241" s="103"/>
      <c r="AI1241" s="69"/>
      <c r="AJ1241" s="70"/>
      <c r="AK1241" s="71">
        <f>SUM(W1241:AJ1241)</f>
        <v>0</v>
      </c>
      <c r="AL1241" s="72"/>
      <c r="AM1241" s="73">
        <f>SUMIF($G1240:$T1240,"",$G1241:$T1241)+SUMIF($W1240:$AJ1240,"",$W1241:$AJ1241)-AN1241</f>
        <v>0</v>
      </c>
      <c r="AN1241" s="88">
        <f>IF(SUMIF($G1240:$T1240,"",$G1241:$T1241)+SUMIF($G1240:$T1240,"F",$G1241:$T1241)+SUMIF($G1240:$T1240,"V",$G1241:$T1241)-40&lt;0,0,SUMIF($G1240:$T1240,"",$G1241:$T1241)+SUMIF($G1240:$T1240,"F",$G1241:$T1241)+SUMIF($G1240:$T1240,"V",$G1241:$T1241)-($U$9/2))+IF(SUMIF($W1240:$AJ1240,"",$W1241:$AJ1241)+SUMIF($W1240:$AJ1240,"F",$W1241:$AJ1241)+SUMIF($W1240:$AJ1240,"V",$W1241:$AJ1241)-40&lt;0,0,SUMIF($W1240:$AJ1240,"",$W1241:$AJ1241)+SUMIF($W1240:$AJ1240,"F",$W1241:$AJ1241)+SUMIF($W1240:$AJ1240,"V",$W1241:$AJ1241)-($U$9/2))</f>
        <v>0</v>
      </c>
      <c r="AO1241" s="73">
        <f>SUMIF($G1240:$T1240,"M",$G1241:$T1241)+SUMIF($W1240:$AJ1240,"M",$W1241:$AJ1241)</f>
        <v>0</v>
      </c>
      <c r="AP1241" s="73">
        <f>SUMIF($G1240:$T1240,"F",$G1241:$T1241)+SUMIF($W1240:$AJ1240,"F",$W1241:$AJ1241)</f>
        <v>0</v>
      </c>
      <c r="AQ1241" s="73">
        <f>SUMIF($G1240:$T1240,"V",$G1241:$T1241)+SUMIF($W1240:$AJ1240,"V",$W1241:$AJ1241)</f>
        <v>0</v>
      </c>
      <c r="AR1241" s="74">
        <f>SUMIF($G1240:$T1240,"O",$G1241:$T1241)+SUMIF($W1240:$AJ1240,"O",$W1241:$AJ1241)</f>
        <v>0</v>
      </c>
      <c r="AS1241" s="75">
        <f>SUM(AM1241:AR1241)</f>
        <v>0</v>
      </c>
      <c r="AT1241" s="72"/>
      <c r="AU1241" s="73">
        <f>SUMIF($G1240:$T1240,"A",$G1241:$T1241)+SUMIF($W1240:$AJ1240,"A",$W1241:$AJ1241)</f>
        <v>0</v>
      </c>
      <c r="AV1241" s="72"/>
      <c r="AW1241" s="76">
        <f>IF(B1241="",0,IF($U$9="",0,$U$9))</f>
        <v>0</v>
      </c>
      <c r="AX1241" s="84"/>
      <c r="BA1241" s="2"/>
      <c r="BB1241" s="2"/>
      <c r="BC1241" s="101"/>
      <c r="BD1241" s="101"/>
    </row>
    <row r="1242" spans="1:56" s="53" customFormat="1" x14ac:dyDescent="0.35">
      <c r="A1242" s="84"/>
      <c r="B1242" s="26"/>
      <c r="C1242" s="27"/>
      <c r="D1242" s="28" t="str">
        <f>IF(D1168="","",D1168)</f>
        <v/>
      </c>
      <c r="E1242" s="29" t="str">
        <f t="shared" si="498"/>
        <v/>
      </c>
      <c r="F1242" s="50">
        <f>B1193</f>
        <v>26</v>
      </c>
      <c r="G1242" s="59"/>
      <c r="H1242" s="64"/>
      <c r="I1242" s="58"/>
      <c r="J1242" s="65"/>
      <c r="K1242" s="58"/>
      <c r="L1242" s="65"/>
      <c r="M1242" s="58"/>
      <c r="N1242" s="65"/>
      <c r="O1242" s="58"/>
      <c r="P1242" s="65"/>
      <c r="Q1242" s="58"/>
      <c r="R1242" s="65"/>
      <c r="S1242" s="59"/>
      <c r="T1242" s="64"/>
      <c r="U1242" s="44"/>
      <c r="V1242" s="84"/>
      <c r="W1242" s="59"/>
      <c r="X1242" s="64"/>
      <c r="Y1242" s="58"/>
      <c r="Z1242" s="65"/>
      <c r="AA1242" s="58"/>
      <c r="AB1242" s="65"/>
      <c r="AC1242" s="58"/>
      <c r="AD1242" s="65"/>
      <c r="AE1242" s="58"/>
      <c r="AF1242" s="65"/>
      <c r="AG1242" s="58"/>
      <c r="AH1242" s="65"/>
      <c r="AI1242" s="59"/>
      <c r="AJ1242" s="64"/>
      <c r="AK1242" s="44"/>
      <c r="AL1242" s="84"/>
      <c r="AM1242" s="49"/>
      <c r="AN1242" s="49"/>
      <c r="AO1242" s="49"/>
      <c r="AP1242" s="49"/>
      <c r="AQ1242" s="49"/>
      <c r="AR1242" s="40"/>
      <c r="AS1242" s="51"/>
      <c r="AT1242" s="84"/>
      <c r="AU1242" s="49"/>
      <c r="AV1242" s="84"/>
      <c r="AW1242" s="52"/>
      <c r="AX1242" s="84"/>
      <c r="BA1242" s="2"/>
      <c r="BB1242" s="2"/>
      <c r="BC1242" s="101"/>
      <c r="BD1242" s="101"/>
    </row>
    <row r="1243" spans="1:56" s="53" customFormat="1" x14ac:dyDescent="0.35">
      <c r="A1243" s="84"/>
      <c r="B1243" s="30" t="str">
        <f>IF(B1169="","",B1169)</f>
        <v/>
      </c>
      <c r="C1243" s="31"/>
      <c r="D1243" s="32"/>
      <c r="E1243" s="33" t="str">
        <f t="shared" si="498"/>
        <v/>
      </c>
      <c r="F1243" s="50">
        <f>B1193</f>
        <v>26</v>
      </c>
      <c r="G1243" s="69"/>
      <c r="H1243" s="70"/>
      <c r="I1243" s="67"/>
      <c r="J1243" s="68"/>
      <c r="K1243" s="67"/>
      <c r="L1243" s="68"/>
      <c r="M1243" s="67"/>
      <c r="N1243" s="68"/>
      <c r="O1243" s="67"/>
      <c r="P1243" s="68"/>
      <c r="Q1243" s="67"/>
      <c r="R1243" s="68"/>
      <c r="S1243" s="69"/>
      <c r="T1243" s="70"/>
      <c r="U1243" s="71">
        <f t="shared" ref="U1243" si="505">SUM(G1243:T1243)</f>
        <v>0</v>
      </c>
      <c r="V1243" s="72"/>
      <c r="W1243" s="69"/>
      <c r="X1243" s="70"/>
      <c r="Y1243" s="67"/>
      <c r="Z1243" s="68"/>
      <c r="AA1243" s="67"/>
      <c r="AB1243" s="68"/>
      <c r="AC1243" s="67"/>
      <c r="AD1243" s="68"/>
      <c r="AE1243" s="67"/>
      <c r="AF1243" s="68"/>
      <c r="AG1243" s="67"/>
      <c r="AH1243" s="68"/>
      <c r="AI1243" s="69"/>
      <c r="AJ1243" s="70"/>
      <c r="AK1243" s="71">
        <v>0</v>
      </c>
      <c r="AL1243" s="72"/>
      <c r="AM1243" s="73">
        <f>SUMIF($G1242:$T1242,"",$G1243:$T1243)+SUMIF($W1242:$AJ1242,"",$W1243:$AJ1243)-AN1243</f>
        <v>0</v>
      </c>
      <c r="AN1243" s="88">
        <f>IF(SUMIF($G1242:$T1242,"",$G1243:$T1243)+SUMIF($G1242:$T1242,"F",$G1243:$T1243)+SUMIF($G1242:$T1242,"V",$G1243:$T1243)-40&lt;0,0,SUMIF($G1242:$T1242,"",$G1243:$T1243)+SUMIF($G1242:$T1242,"F",$G1243:$T1243)+SUMIF($G1242:$T1242,"V",$G1243:$T1243)-($U$9/2))+IF(SUMIF($W1242:$AJ1242,"",$W1243:$AJ1243)+SUMIF($W1242:$AJ1242,"F",$W1243:$AJ1243)+SUMIF($W1242:$AJ1242,"V",$W1243:$AJ1243)-40&lt;0,0,SUMIF($W1242:$AJ1242,"",$W1243:$AJ1243)+SUMIF($W1242:$AJ1242,"F",$W1243:$AJ1243)+SUMIF($W1242:$AJ1242,"V",$W1243:$AJ1243)-($U$9/2))</f>
        <v>0</v>
      </c>
      <c r="AO1243" s="73">
        <f>SUMIF($G1242:$T1242,"M",$G1243:$T1243)+SUMIF($W1242:$AJ1242,"M",$W1243:$AJ1243)</f>
        <v>0</v>
      </c>
      <c r="AP1243" s="73">
        <f>SUMIF($G1242:$T1242,"F",$G1243:$T1243)+SUMIF($W1242:$AJ1242,"F",$W1243:$AJ1243)</f>
        <v>0</v>
      </c>
      <c r="AQ1243" s="73">
        <f>SUMIF($G1242:$T1242,"V",$G1243:$T1243)+SUMIF($W1242:$AJ1242,"V",$W1243:$AJ1243)</f>
        <v>0</v>
      </c>
      <c r="AR1243" s="74">
        <f>SUMIF($G1242:$T1242,"O",$G1243:$T1243)+SUMIF($W1242:$AJ1242,"O",$W1243:$AJ1243)</f>
        <v>0</v>
      </c>
      <c r="AS1243" s="75">
        <f>SUM(AM1243:AR1243)</f>
        <v>0</v>
      </c>
      <c r="AT1243" s="72"/>
      <c r="AU1243" s="73">
        <f>SUMIF($G1242:$T1242,"A",$G1243:$T1243)+SUMIF($W1242:$AJ1242,"A",$W1243:$AJ1243)</f>
        <v>0</v>
      </c>
      <c r="AV1243" s="72"/>
      <c r="AW1243" s="76">
        <f>IF(B1243="",0,IF($U$9="",0,$U$9))</f>
        <v>0</v>
      </c>
      <c r="AX1243" s="84"/>
      <c r="BA1243" s="2"/>
      <c r="BB1243" s="2"/>
      <c r="BC1243" s="101"/>
      <c r="BD1243" s="101"/>
    </row>
    <row r="1244" spans="1:56" s="53" customFormat="1" x14ac:dyDescent="0.35">
      <c r="A1244" s="84"/>
      <c r="B1244" s="26"/>
      <c r="C1244" s="27"/>
      <c r="D1244" s="28" t="str">
        <f>IF(D1170="","",D1170)</f>
        <v/>
      </c>
      <c r="E1244" s="29" t="str">
        <f t="shared" si="498"/>
        <v/>
      </c>
      <c r="F1244" s="50">
        <f>B1193</f>
        <v>26</v>
      </c>
      <c r="G1244" s="59"/>
      <c r="H1244" s="64"/>
      <c r="I1244" s="58"/>
      <c r="J1244" s="65"/>
      <c r="K1244" s="58"/>
      <c r="L1244" s="65"/>
      <c r="M1244" s="58"/>
      <c r="N1244" s="65"/>
      <c r="O1244" s="58"/>
      <c r="P1244" s="65"/>
      <c r="Q1244" s="58"/>
      <c r="R1244" s="65"/>
      <c r="S1244" s="59"/>
      <c r="T1244" s="64"/>
      <c r="U1244" s="44"/>
      <c r="V1244" s="84"/>
      <c r="W1244" s="59"/>
      <c r="X1244" s="64"/>
      <c r="Y1244" s="58"/>
      <c r="Z1244" s="65"/>
      <c r="AA1244" s="58"/>
      <c r="AB1244" s="65"/>
      <c r="AC1244" s="58"/>
      <c r="AD1244" s="65"/>
      <c r="AE1244" s="58"/>
      <c r="AF1244" s="65"/>
      <c r="AG1244" s="58"/>
      <c r="AH1244" s="65"/>
      <c r="AI1244" s="59"/>
      <c r="AJ1244" s="64"/>
      <c r="AK1244" s="44"/>
      <c r="AL1244" s="84"/>
      <c r="AM1244" s="49"/>
      <c r="AN1244" s="49"/>
      <c r="AO1244" s="49"/>
      <c r="AP1244" s="49"/>
      <c r="AQ1244" s="49"/>
      <c r="AR1244" s="40"/>
      <c r="AS1244" s="51"/>
      <c r="AT1244" s="84"/>
      <c r="AU1244" s="49"/>
      <c r="AV1244" s="84"/>
      <c r="AW1244" s="52"/>
      <c r="AX1244" s="84"/>
      <c r="BA1244" s="2"/>
      <c r="BB1244" s="2"/>
      <c r="BC1244" s="101"/>
      <c r="BD1244" s="101"/>
    </row>
    <row r="1245" spans="1:56" s="53" customFormat="1" x14ac:dyDescent="0.35">
      <c r="A1245" s="84"/>
      <c r="B1245" s="30" t="str">
        <f>IF(B1171="","",B1171)</f>
        <v/>
      </c>
      <c r="C1245" s="31"/>
      <c r="D1245" s="32"/>
      <c r="E1245" s="33" t="str">
        <f t="shared" si="498"/>
        <v/>
      </c>
      <c r="F1245" s="50">
        <f>B1193</f>
        <v>26</v>
      </c>
      <c r="G1245" s="69"/>
      <c r="H1245" s="70"/>
      <c r="I1245" s="67"/>
      <c r="J1245" s="68"/>
      <c r="K1245" s="67"/>
      <c r="L1245" s="68"/>
      <c r="M1245" s="67"/>
      <c r="N1245" s="68"/>
      <c r="O1245" s="67"/>
      <c r="P1245" s="68"/>
      <c r="Q1245" s="67"/>
      <c r="R1245" s="68"/>
      <c r="S1245" s="69"/>
      <c r="T1245" s="70"/>
      <c r="U1245" s="71">
        <f t="shared" ref="U1245" si="506">SUM(G1245:T1245)</f>
        <v>0</v>
      </c>
      <c r="V1245" s="72"/>
      <c r="W1245" s="69"/>
      <c r="X1245" s="70"/>
      <c r="Y1245" s="67"/>
      <c r="Z1245" s="68"/>
      <c r="AA1245" s="67"/>
      <c r="AB1245" s="68"/>
      <c r="AC1245" s="67"/>
      <c r="AD1245" s="68"/>
      <c r="AE1245" s="67"/>
      <c r="AF1245" s="68"/>
      <c r="AG1245" s="67"/>
      <c r="AH1245" s="68"/>
      <c r="AI1245" s="69"/>
      <c r="AJ1245" s="70"/>
      <c r="AK1245" s="71">
        <v>0</v>
      </c>
      <c r="AL1245" s="72"/>
      <c r="AM1245" s="73">
        <v>0</v>
      </c>
      <c r="AN1245" s="88">
        <v>0</v>
      </c>
      <c r="AO1245" s="73">
        <v>0</v>
      </c>
      <c r="AP1245" s="73">
        <v>0</v>
      </c>
      <c r="AQ1245" s="73">
        <v>0</v>
      </c>
      <c r="AR1245" s="74">
        <v>0</v>
      </c>
      <c r="AS1245" s="75">
        <v>0</v>
      </c>
      <c r="AT1245" s="72"/>
      <c r="AU1245" s="73">
        <f>SUMIF($G1244:$T1244,"A",$G1245:$T1245)+SUMIF($W1244:$AJ1244,"A",$W1245:$AJ1245)</f>
        <v>0</v>
      </c>
      <c r="AV1245" s="72"/>
      <c r="AW1245" s="76">
        <f>IF(B1245="",0,IF($U$9="",0,$U$9))</f>
        <v>0</v>
      </c>
      <c r="AX1245" s="84"/>
      <c r="BA1245" s="2"/>
      <c r="BB1245" s="2"/>
      <c r="BC1245" s="101"/>
      <c r="BD1245" s="101"/>
    </row>
    <row r="1246" spans="1:56" s="53" customFormat="1" x14ac:dyDescent="0.35">
      <c r="A1246" s="84"/>
      <c r="B1246" s="26"/>
      <c r="C1246" s="27"/>
      <c r="D1246" s="28" t="str">
        <f>IF(D1172="","",D1172)</f>
        <v/>
      </c>
      <c r="E1246" s="29" t="str">
        <f t="shared" si="498"/>
        <v/>
      </c>
      <c r="F1246" s="50">
        <f>B1193</f>
        <v>26</v>
      </c>
      <c r="G1246" s="59"/>
      <c r="H1246" s="64"/>
      <c r="I1246" s="58"/>
      <c r="J1246" s="65"/>
      <c r="K1246" s="58"/>
      <c r="L1246" s="65"/>
      <c r="M1246" s="58"/>
      <c r="N1246" s="65"/>
      <c r="O1246" s="58"/>
      <c r="P1246" s="65"/>
      <c r="Q1246" s="58"/>
      <c r="R1246" s="65"/>
      <c r="S1246" s="59"/>
      <c r="T1246" s="64"/>
      <c r="U1246" s="44"/>
      <c r="V1246" s="84"/>
      <c r="W1246" s="59"/>
      <c r="X1246" s="64"/>
      <c r="Y1246" s="58"/>
      <c r="Z1246" s="65"/>
      <c r="AA1246" s="58"/>
      <c r="AB1246" s="65"/>
      <c r="AC1246" s="58"/>
      <c r="AD1246" s="65"/>
      <c r="AE1246" s="58"/>
      <c r="AF1246" s="65"/>
      <c r="AG1246" s="58"/>
      <c r="AH1246" s="65"/>
      <c r="AI1246" s="59"/>
      <c r="AJ1246" s="64"/>
      <c r="AK1246" s="44"/>
      <c r="AL1246" s="84"/>
      <c r="AM1246" s="49"/>
      <c r="AN1246" s="49"/>
      <c r="AO1246" s="49"/>
      <c r="AP1246" s="49"/>
      <c r="AQ1246" s="49"/>
      <c r="AR1246" s="40"/>
      <c r="AS1246" s="51"/>
      <c r="AT1246" s="84"/>
      <c r="AU1246" s="49"/>
      <c r="AV1246" s="84"/>
      <c r="AW1246" s="52"/>
      <c r="AX1246" s="84"/>
      <c r="BA1246" s="2"/>
      <c r="BB1246" s="2"/>
      <c r="BC1246" s="101"/>
      <c r="BD1246" s="101"/>
    </row>
    <row r="1247" spans="1:56" s="53" customFormat="1" ht="15" thickBot="1" x14ac:dyDescent="0.4">
      <c r="A1247" s="84"/>
      <c r="B1247" s="30" t="str">
        <f>IF(B1173="","",B1173)</f>
        <v/>
      </c>
      <c r="C1247" s="31"/>
      <c r="D1247" s="32"/>
      <c r="E1247" s="33" t="str">
        <f t="shared" si="498"/>
        <v/>
      </c>
      <c r="F1247" s="50">
        <f>B1193</f>
        <v>26</v>
      </c>
      <c r="G1247" s="69"/>
      <c r="H1247" s="70"/>
      <c r="I1247" s="67"/>
      <c r="J1247" s="68"/>
      <c r="K1247" s="67"/>
      <c r="L1247" s="68"/>
      <c r="M1247" s="67"/>
      <c r="N1247" s="68"/>
      <c r="O1247" s="67"/>
      <c r="P1247" s="68"/>
      <c r="Q1247" s="67"/>
      <c r="R1247" s="68"/>
      <c r="S1247" s="69"/>
      <c r="T1247" s="70"/>
      <c r="U1247" s="71">
        <f t="shared" ref="U1247" si="507">SUM(G1247:T1247)</f>
        <v>0</v>
      </c>
      <c r="V1247" s="72"/>
      <c r="W1247" s="69"/>
      <c r="X1247" s="70"/>
      <c r="Y1247" s="67"/>
      <c r="Z1247" s="68"/>
      <c r="AA1247" s="67"/>
      <c r="AB1247" s="68"/>
      <c r="AC1247" s="67"/>
      <c r="AD1247" s="68"/>
      <c r="AE1247" s="67"/>
      <c r="AF1247" s="68"/>
      <c r="AG1247" s="67"/>
      <c r="AH1247" s="68"/>
      <c r="AI1247" s="69"/>
      <c r="AJ1247" s="70"/>
      <c r="AK1247" s="71">
        <v>0</v>
      </c>
      <c r="AL1247" s="72"/>
      <c r="AM1247" s="73">
        <v>0</v>
      </c>
      <c r="AN1247" s="88">
        <v>0</v>
      </c>
      <c r="AO1247" s="73">
        <v>0</v>
      </c>
      <c r="AP1247" s="73">
        <v>0</v>
      </c>
      <c r="AQ1247" s="73">
        <v>0</v>
      </c>
      <c r="AR1247" s="74">
        <v>0</v>
      </c>
      <c r="AS1247" s="75">
        <v>0</v>
      </c>
      <c r="AT1247" s="72"/>
      <c r="AU1247" s="73">
        <f>SUMIF($G1246:$T1246,"A",$G1247:$T1247)+SUMIF($W1246:$AJ1246,"A",$W1247:$AJ1247)</f>
        <v>0</v>
      </c>
      <c r="AV1247" s="72"/>
      <c r="AW1247" s="76">
        <f>IF(B1247="",0,IF($U$9="",0,$U$9))</f>
        <v>0</v>
      </c>
      <c r="AX1247" s="84"/>
      <c r="BA1247" s="2"/>
      <c r="BB1247" s="2"/>
      <c r="BC1247" s="101"/>
      <c r="BD1247" s="101"/>
    </row>
    <row r="1248" spans="1:56" s="53" customFormat="1" ht="27.75" customHeight="1" thickBot="1" x14ac:dyDescent="0.4">
      <c r="A1248" s="84"/>
      <c r="B1248" s="149" t="s">
        <v>7</v>
      </c>
      <c r="C1248" s="150"/>
      <c r="D1248" s="150"/>
      <c r="E1248" s="151"/>
      <c r="F1248" s="97"/>
      <c r="G1248" s="152">
        <f>SUM(G1198:H1247)</f>
        <v>0</v>
      </c>
      <c r="H1248" s="152"/>
      <c r="I1248" s="152">
        <f>SUM(I1198:J1247)</f>
        <v>108.25</v>
      </c>
      <c r="J1248" s="152"/>
      <c r="K1248" s="152">
        <f>SUM(K1198:L1247)</f>
        <v>113.75</v>
      </c>
      <c r="L1248" s="152"/>
      <c r="M1248" s="152">
        <f>SUM(M1198:N1247)</f>
        <v>114.25</v>
      </c>
      <c r="N1248" s="152"/>
      <c r="O1248" s="152">
        <f>SUM(O1198:P1247)</f>
        <v>105.5</v>
      </c>
      <c r="P1248" s="152"/>
      <c r="Q1248" s="152">
        <f>SUM(Q1198:R1247)</f>
        <v>111.5</v>
      </c>
      <c r="R1248" s="152"/>
      <c r="S1248" s="152">
        <f>SUM(S1198:T1247)</f>
        <v>0</v>
      </c>
      <c r="T1248" s="153"/>
      <c r="U1248" s="77">
        <f>SUM(U1198:U1247)</f>
        <v>553.25</v>
      </c>
      <c r="V1248" s="78"/>
      <c r="W1248" s="152">
        <f>SUM(W1198:X1247)</f>
        <v>0</v>
      </c>
      <c r="X1248" s="152"/>
      <c r="Y1248" s="152">
        <f>SUM(Y1198:Z1247)</f>
        <v>105.75</v>
      </c>
      <c r="Z1248" s="152"/>
      <c r="AA1248" s="152">
        <f>SUM(AA1198:AB1247)</f>
        <v>105.75</v>
      </c>
      <c r="AB1248" s="152"/>
      <c r="AC1248" s="152">
        <f>SUM(AC1198:AD1247)</f>
        <v>105</v>
      </c>
      <c r="AD1248" s="152"/>
      <c r="AE1248" s="152">
        <f>SUM(AE1198:AF1247)</f>
        <v>113.5</v>
      </c>
      <c r="AF1248" s="152"/>
      <c r="AG1248" s="152">
        <f>SUM(AG1198:AH1247)</f>
        <v>112.5</v>
      </c>
      <c r="AH1248" s="152"/>
      <c r="AI1248" s="152">
        <f>SUM(AI1198:AJ1247)</f>
        <v>0</v>
      </c>
      <c r="AJ1248" s="152"/>
      <c r="AK1248" s="77">
        <f>SUM(AK1198:AK1247)</f>
        <v>542.5</v>
      </c>
      <c r="AL1248" s="78"/>
      <c r="AM1248" s="79">
        <f t="shared" ref="AM1248:AS1248" si="508">SUM(AM1198:AM1247)</f>
        <v>1025.5</v>
      </c>
      <c r="AN1248" s="79">
        <f t="shared" si="508"/>
        <v>14.25</v>
      </c>
      <c r="AO1248" s="79">
        <f t="shared" si="508"/>
        <v>0</v>
      </c>
      <c r="AP1248" s="79">
        <f t="shared" si="508"/>
        <v>0</v>
      </c>
      <c r="AQ1248" s="79">
        <f t="shared" si="508"/>
        <v>56</v>
      </c>
      <c r="AR1248" s="80">
        <f t="shared" si="508"/>
        <v>0</v>
      </c>
      <c r="AS1248" s="81">
        <f t="shared" si="508"/>
        <v>1095.75</v>
      </c>
      <c r="AT1248" s="78"/>
      <c r="AU1248" s="82">
        <f>SUM(AU1198:AU1247)</f>
        <v>0</v>
      </c>
      <c r="AV1248" s="78"/>
      <c r="AW1248" s="83">
        <f>SUM(AW1198:AW1247)</f>
        <v>1360</v>
      </c>
      <c r="AX1248" s="84"/>
      <c r="BA1248" s="2"/>
      <c r="BB1248" s="2"/>
      <c r="BC1248" s="101"/>
      <c r="BD1248" s="101"/>
    </row>
    <row r="1249" spans="1:56" s="53" customFormat="1" ht="15" thickTop="1" x14ac:dyDescent="0.35">
      <c r="B1249" s="54"/>
      <c r="F1249" s="98"/>
      <c r="G1249" s="55"/>
      <c r="H1249" s="55"/>
      <c r="I1249" s="55"/>
      <c r="J1249" s="55"/>
      <c r="K1249" s="55"/>
      <c r="L1249" s="55"/>
      <c r="M1249" s="55"/>
      <c r="N1249" s="55"/>
      <c r="O1249" s="55"/>
      <c r="P1249" s="55"/>
      <c r="Q1249" s="55"/>
      <c r="R1249" s="55"/>
      <c r="S1249" s="55"/>
      <c r="T1249" s="55"/>
      <c r="U1249" s="56"/>
      <c r="V1249" s="55"/>
      <c r="W1249" s="55"/>
      <c r="X1249" s="55"/>
      <c r="Y1249" s="55"/>
      <c r="Z1249" s="55"/>
      <c r="AA1249" s="55"/>
      <c r="AB1249" s="55"/>
      <c r="AC1249" s="55"/>
      <c r="AD1249" s="55"/>
      <c r="AE1249" s="55"/>
      <c r="AF1249" s="55"/>
      <c r="AG1249" s="55"/>
      <c r="AH1249" s="55"/>
      <c r="AI1249" s="55"/>
      <c r="AJ1249" s="55"/>
      <c r="AK1249" s="56"/>
      <c r="AL1249" s="55"/>
      <c r="AM1249" s="55"/>
      <c r="AN1249" s="55"/>
      <c r="AO1249" s="55"/>
      <c r="AP1249" s="55"/>
      <c r="AQ1249" s="55"/>
      <c r="AR1249" s="55"/>
      <c r="AS1249" s="55"/>
      <c r="AT1249" s="55"/>
      <c r="AU1249" s="55"/>
      <c r="AV1249" s="55"/>
      <c r="AW1249" s="55"/>
      <c r="BA1249" s="2"/>
      <c r="BB1249" s="2"/>
      <c r="BC1249" s="101"/>
      <c r="BD1249" s="101"/>
    </row>
    <row r="1250" spans="1:56" s="53" customFormat="1" x14ac:dyDescent="0.35">
      <c r="B1250" s="54" t="s">
        <v>52</v>
      </c>
      <c r="D1250" s="141"/>
      <c r="E1250" s="141"/>
      <c r="F1250" s="141"/>
      <c r="G1250" s="141"/>
      <c r="H1250" s="141"/>
      <c r="I1250" s="141"/>
      <c r="J1250" s="141"/>
      <c r="K1250" s="141"/>
      <c r="L1250" s="141"/>
      <c r="M1250" s="141"/>
      <c r="N1250" s="141"/>
      <c r="O1250" s="141"/>
      <c r="P1250" s="141"/>
      <c r="Q1250" s="141"/>
      <c r="R1250" s="141"/>
      <c r="S1250" s="141"/>
      <c r="T1250" s="141"/>
      <c r="U1250" s="141"/>
      <c r="V1250" s="141"/>
      <c r="W1250" s="141"/>
      <c r="X1250" s="141"/>
      <c r="Y1250" s="141"/>
      <c r="Z1250" s="141"/>
      <c r="AA1250" s="141"/>
      <c r="AB1250" s="141"/>
      <c r="AC1250" s="141"/>
      <c r="AD1250" s="141"/>
      <c r="AE1250" s="141"/>
      <c r="AF1250" s="141"/>
      <c r="AG1250" s="141"/>
      <c r="AH1250" s="141"/>
      <c r="AI1250" s="141"/>
      <c r="AJ1250" s="141"/>
      <c r="AK1250" s="56"/>
      <c r="AL1250" s="55"/>
      <c r="AM1250" s="55"/>
      <c r="AN1250" s="55"/>
      <c r="AO1250" s="55"/>
      <c r="AP1250" s="55"/>
      <c r="AQ1250" s="55"/>
      <c r="AR1250" s="55"/>
      <c r="AS1250" s="55"/>
      <c r="AT1250" s="55"/>
      <c r="AU1250" s="55"/>
      <c r="AV1250" s="55"/>
      <c r="AW1250" s="55"/>
      <c r="BA1250" s="2"/>
      <c r="BB1250" s="2"/>
      <c r="BC1250" s="101"/>
      <c r="BD1250" s="101"/>
    </row>
    <row r="1251" spans="1:56" s="84" customFormat="1" x14ac:dyDescent="0.35">
      <c r="A1251" s="53"/>
      <c r="B1251" s="54"/>
      <c r="C1251" s="53"/>
      <c r="D1251" s="141"/>
      <c r="E1251" s="141"/>
      <c r="F1251" s="141"/>
      <c r="G1251" s="141"/>
      <c r="H1251" s="141"/>
      <c r="I1251" s="141"/>
      <c r="J1251" s="141"/>
      <c r="K1251" s="141"/>
      <c r="L1251" s="141"/>
      <c r="M1251" s="141"/>
      <c r="N1251" s="141"/>
      <c r="O1251" s="141"/>
      <c r="P1251" s="141"/>
      <c r="Q1251" s="141"/>
      <c r="R1251" s="141"/>
      <c r="S1251" s="141"/>
      <c r="T1251" s="141"/>
      <c r="U1251" s="141"/>
      <c r="V1251" s="141"/>
      <c r="W1251" s="141"/>
      <c r="X1251" s="141"/>
      <c r="Y1251" s="141"/>
      <c r="Z1251" s="141"/>
      <c r="AA1251" s="141"/>
      <c r="AB1251" s="141"/>
      <c r="AC1251" s="141"/>
      <c r="AD1251" s="141"/>
      <c r="AE1251" s="141"/>
      <c r="AF1251" s="141"/>
      <c r="AG1251" s="141"/>
      <c r="AH1251" s="141"/>
      <c r="AI1251" s="141"/>
      <c r="AJ1251" s="141"/>
      <c r="AK1251" s="56"/>
      <c r="AL1251" s="55"/>
      <c r="AM1251" s="55"/>
      <c r="AN1251" s="55"/>
      <c r="AO1251" s="55"/>
      <c r="AP1251" s="55"/>
      <c r="AQ1251" s="55"/>
      <c r="AR1251" s="55"/>
      <c r="AS1251" s="55"/>
      <c r="AT1251" s="55"/>
      <c r="AU1251" s="55"/>
      <c r="AV1251" s="55"/>
      <c r="AW1251" s="55"/>
      <c r="AX1251" s="53"/>
      <c r="BA1251" s="2"/>
      <c r="BB1251" s="2"/>
      <c r="BC1251" s="101"/>
      <c r="BD1251" s="101"/>
    </row>
    <row r="1252" spans="1:56" s="84" customFormat="1" x14ac:dyDescent="0.35">
      <c r="A1252" s="53"/>
      <c r="B1252" s="54"/>
      <c r="C1252" s="53"/>
      <c r="D1252" s="141"/>
      <c r="E1252" s="141"/>
      <c r="F1252" s="141"/>
      <c r="G1252" s="141"/>
      <c r="H1252" s="141"/>
      <c r="I1252" s="141"/>
      <c r="J1252" s="141"/>
      <c r="K1252" s="141"/>
      <c r="L1252" s="141"/>
      <c r="M1252" s="141"/>
      <c r="N1252" s="141"/>
      <c r="O1252" s="141"/>
      <c r="P1252" s="141"/>
      <c r="Q1252" s="141"/>
      <c r="R1252" s="141"/>
      <c r="S1252" s="141"/>
      <c r="T1252" s="141"/>
      <c r="U1252" s="141"/>
      <c r="V1252" s="141"/>
      <c r="W1252" s="141"/>
      <c r="X1252" s="141"/>
      <c r="Y1252" s="141"/>
      <c r="Z1252" s="141"/>
      <c r="AA1252" s="141"/>
      <c r="AB1252" s="141"/>
      <c r="AC1252" s="141"/>
      <c r="AD1252" s="141"/>
      <c r="AE1252" s="141"/>
      <c r="AF1252" s="141"/>
      <c r="AG1252" s="141"/>
      <c r="AH1252" s="141"/>
      <c r="AI1252" s="141"/>
      <c r="AJ1252" s="141"/>
      <c r="AK1252" s="56"/>
      <c r="AL1252" s="55"/>
      <c r="AM1252" s="55"/>
      <c r="AN1252" s="55"/>
      <c r="AO1252" s="55"/>
      <c r="AP1252" s="55"/>
      <c r="AQ1252" s="55"/>
      <c r="AR1252" s="55"/>
      <c r="AS1252" s="55"/>
      <c r="AT1252" s="55"/>
      <c r="AU1252" s="55"/>
      <c r="AV1252" s="55"/>
      <c r="AW1252" s="55"/>
      <c r="AX1252" s="53"/>
      <c r="BA1252" s="2"/>
      <c r="BB1252" s="2"/>
      <c r="BC1252" s="101"/>
      <c r="BD1252" s="101"/>
    </row>
    <row r="1253" spans="1:56" s="84" customFormat="1" ht="15" customHeight="1" x14ac:dyDescent="0.35">
      <c r="A1253" s="53"/>
      <c r="B1253" s="54"/>
      <c r="C1253" s="53"/>
      <c r="D1253" s="53"/>
      <c r="E1253" s="53"/>
      <c r="F1253" s="98"/>
      <c r="G1253" s="55"/>
      <c r="H1253" s="55"/>
      <c r="I1253" s="55"/>
      <c r="J1253" s="55"/>
      <c r="K1253" s="55"/>
      <c r="L1253" s="55"/>
      <c r="M1253" s="55"/>
      <c r="N1253" s="55"/>
      <c r="O1253" s="55"/>
      <c r="P1253" s="55"/>
      <c r="Q1253" s="55"/>
      <c r="R1253" s="55"/>
      <c r="S1253" s="55"/>
      <c r="T1253" s="55"/>
      <c r="U1253" s="56"/>
      <c r="V1253" s="55"/>
      <c r="W1253" s="55"/>
      <c r="X1253" s="55"/>
      <c r="Y1253" s="55"/>
      <c r="Z1253" s="55"/>
      <c r="AA1253" s="55"/>
      <c r="AB1253" s="55"/>
      <c r="AC1253" s="55"/>
      <c r="AD1253" s="55"/>
      <c r="AE1253" s="55"/>
      <c r="AF1253" s="55"/>
      <c r="AG1253" s="55"/>
      <c r="AH1253" s="55"/>
      <c r="AI1253" s="55"/>
      <c r="AJ1253" s="55"/>
      <c r="AK1253" s="56"/>
      <c r="AL1253" s="55"/>
      <c r="AM1253" s="55"/>
      <c r="AN1253" s="55"/>
      <c r="AO1253" s="55"/>
      <c r="AP1253" s="55"/>
      <c r="AQ1253" s="55"/>
      <c r="AR1253" s="55"/>
      <c r="AS1253" s="55"/>
      <c r="AT1253" s="55"/>
      <c r="AU1253" s="55"/>
      <c r="AV1253" s="55"/>
      <c r="AW1253" s="55"/>
      <c r="AX1253" s="53"/>
      <c r="BA1253" s="2"/>
      <c r="BB1253" s="2"/>
      <c r="BC1253" s="101"/>
      <c r="BD1253" s="101"/>
    </row>
    <row r="1254" spans="1:56" s="84" customFormat="1" ht="15" customHeight="1" x14ac:dyDescent="0.35">
      <c r="A1254" s="53"/>
      <c r="B1254" s="54" t="s">
        <v>53</v>
      </c>
      <c r="C1254" s="53"/>
      <c r="D1254" s="31" t="s">
        <v>74</v>
      </c>
      <c r="E1254" s="34"/>
      <c r="F1254" s="99"/>
      <c r="G1254" s="34"/>
      <c r="H1254" s="34"/>
      <c r="I1254" s="34"/>
      <c r="J1254" s="34"/>
      <c r="K1254" s="53"/>
      <c r="L1254" s="55" t="s">
        <v>8</v>
      </c>
      <c r="M1254" s="53"/>
      <c r="N1254" s="142">
        <f ca="1">NOW()</f>
        <v>44720.650928935182</v>
      </c>
      <c r="O1254" s="142"/>
      <c r="P1254" s="142"/>
      <c r="Q1254" s="53"/>
      <c r="R1254" s="53"/>
      <c r="S1254" s="53"/>
      <c r="T1254" s="53"/>
      <c r="U1254" s="53"/>
      <c r="V1254" s="55"/>
      <c r="W1254" s="55"/>
      <c r="X1254" s="55"/>
      <c r="Y1254" s="55"/>
      <c r="Z1254" s="55"/>
      <c r="AA1254" s="55"/>
      <c r="AB1254" s="55"/>
      <c r="AC1254" s="55"/>
      <c r="AD1254" s="55"/>
      <c r="AE1254" s="55"/>
      <c r="AF1254" s="55"/>
      <c r="AG1254" s="55"/>
      <c r="AH1254" s="55"/>
      <c r="AI1254" s="55"/>
      <c r="AJ1254" s="55"/>
      <c r="AK1254" s="56"/>
      <c r="AL1254" s="55"/>
      <c r="AM1254" s="55"/>
      <c r="AN1254" s="55"/>
      <c r="AO1254" s="55"/>
      <c r="AP1254" s="55"/>
      <c r="AQ1254" s="55"/>
      <c r="AR1254" s="55"/>
      <c r="AS1254" s="55"/>
      <c r="AT1254" s="55"/>
      <c r="AU1254" s="55"/>
      <c r="AV1254" s="55"/>
      <c r="AW1254" s="55"/>
      <c r="AX1254" s="53"/>
      <c r="BA1254" s="2"/>
      <c r="BB1254" s="2"/>
      <c r="BC1254" s="101"/>
      <c r="BD1254" s="101"/>
    </row>
    <row r="1255" spans="1:56" s="84" customFormat="1" x14ac:dyDescent="0.35">
      <c r="A1255" s="53"/>
      <c r="B1255" s="54"/>
      <c r="C1255" s="53"/>
      <c r="D1255" s="53"/>
      <c r="E1255" s="53"/>
      <c r="F1255" s="98"/>
      <c r="G1255" s="55"/>
      <c r="H1255" s="55"/>
      <c r="I1255" s="55"/>
      <c r="J1255" s="55"/>
      <c r="K1255" s="53"/>
      <c r="L1255" s="55"/>
      <c r="M1255" s="53"/>
      <c r="N1255" s="55"/>
      <c r="O1255" s="56"/>
      <c r="P1255" s="53"/>
      <c r="Q1255" s="53"/>
      <c r="R1255" s="53"/>
      <c r="S1255" s="53"/>
      <c r="T1255" s="53"/>
      <c r="U1255" s="53"/>
      <c r="V1255" s="55"/>
      <c r="W1255" s="55"/>
      <c r="X1255" s="55"/>
      <c r="Y1255" s="55"/>
      <c r="Z1255" s="55"/>
      <c r="AA1255" s="55"/>
      <c r="AB1255" s="55"/>
      <c r="AC1255" s="55"/>
      <c r="AD1255" s="55"/>
      <c r="AE1255" s="55"/>
      <c r="AF1255" s="55"/>
      <c r="AG1255" s="55"/>
      <c r="AH1255" s="55"/>
      <c r="AI1255" s="55"/>
      <c r="AJ1255" s="55"/>
      <c r="AK1255" s="56"/>
      <c r="AL1255" s="55"/>
      <c r="AM1255" s="55"/>
      <c r="AN1255" s="55"/>
      <c r="AO1255" s="55"/>
      <c r="AP1255" s="55"/>
      <c r="AQ1255" s="55"/>
      <c r="AR1255" s="55"/>
      <c r="AS1255" s="55"/>
      <c r="AT1255" s="55"/>
      <c r="AU1255" s="55"/>
      <c r="AV1255" s="55"/>
      <c r="AW1255" s="55"/>
      <c r="AX1255" s="53"/>
      <c r="BA1255" s="2"/>
      <c r="BB1255" s="2"/>
      <c r="BC1255" s="101"/>
      <c r="BD1255" s="101"/>
    </row>
    <row r="1256" spans="1:56" s="84" customFormat="1" x14ac:dyDescent="0.35">
      <c r="A1256" s="53"/>
      <c r="B1256" s="54" t="s">
        <v>54</v>
      </c>
      <c r="C1256" s="53"/>
      <c r="D1256" s="31"/>
      <c r="E1256" s="34"/>
      <c r="F1256" s="99"/>
      <c r="G1256" s="34"/>
      <c r="H1256" s="34"/>
      <c r="I1256" s="34"/>
      <c r="J1256" s="34"/>
      <c r="K1256" s="53"/>
      <c r="L1256" s="55" t="s">
        <v>8</v>
      </c>
      <c r="M1256" s="53"/>
      <c r="N1256" s="142">
        <f ca="1">NOW()</f>
        <v>44720.650928935182</v>
      </c>
      <c r="O1256" s="142"/>
      <c r="P1256" s="142"/>
      <c r="Q1256" s="53"/>
      <c r="R1256" s="53"/>
      <c r="S1256" s="53"/>
      <c r="T1256" s="53"/>
      <c r="U1256" s="53"/>
      <c r="V1256" s="55"/>
      <c r="W1256" s="55"/>
      <c r="X1256" s="55"/>
      <c r="Y1256" s="55"/>
      <c r="Z1256" s="55"/>
      <c r="AA1256" s="55"/>
      <c r="AB1256" s="55"/>
      <c r="AC1256" s="55"/>
      <c r="AD1256" s="55"/>
      <c r="AE1256" s="55"/>
      <c r="AF1256" s="55"/>
      <c r="AG1256" s="55"/>
      <c r="AH1256" s="55"/>
      <c r="AI1256" s="55"/>
      <c r="AJ1256" s="55"/>
      <c r="AK1256" s="56"/>
      <c r="AL1256" s="55"/>
      <c r="AM1256" s="55"/>
      <c r="AN1256" s="55"/>
      <c r="AO1256" s="55"/>
      <c r="AP1256" s="55"/>
      <c r="AQ1256" s="55"/>
      <c r="AR1256" s="55"/>
      <c r="AS1256" s="55"/>
      <c r="AT1256" s="55"/>
      <c r="AU1256" s="55"/>
      <c r="AV1256" s="55"/>
      <c r="AW1256" s="55"/>
      <c r="AX1256" s="53"/>
      <c r="BA1256" s="2"/>
      <c r="BB1256" s="2"/>
      <c r="BC1256" s="101"/>
      <c r="BD1256" s="101"/>
    </row>
    <row r="1257" spans="1:56" s="84" customFormat="1" x14ac:dyDescent="0.35">
      <c r="A1257" s="53"/>
      <c r="B1257" s="54"/>
      <c r="C1257" s="53"/>
      <c r="D1257" s="53"/>
      <c r="E1257" s="53"/>
      <c r="F1257" s="98"/>
      <c r="G1257" s="55"/>
      <c r="H1257" s="55"/>
      <c r="I1257" s="55"/>
      <c r="J1257" s="55"/>
      <c r="K1257" s="55"/>
      <c r="L1257" s="55"/>
      <c r="M1257" s="55"/>
      <c r="N1257" s="55"/>
      <c r="O1257" s="55"/>
      <c r="P1257" s="55"/>
      <c r="Q1257" s="55"/>
      <c r="R1257" s="55"/>
      <c r="S1257" s="55"/>
      <c r="T1257" s="55"/>
      <c r="U1257" s="56"/>
      <c r="V1257" s="55"/>
      <c r="W1257" s="55"/>
      <c r="X1257" s="55"/>
      <c r="Y1257" s="55"/>
      <c r="Z1257" s="55"/>
      <c r="AA1257" s="55"/>
      <c r="AB1257" s="55"/>
      <c r="AC1257" s="55"/>
      <c r="AD1257" s="55"/>
      <c r="AE1257" s="55"/>
      <c r="AF1257" s="55"/>
      <c r="AG1257" s="55"/>
      <c r="AH1257" s="55"/>
      <c r="AI1257" s="55"/>
      <c r="AJ1257" s="55"/>
      <c r="AK1257" s="56"/>
      <c r="AL1257" s="55"/>
      <c r="AM1257" s="55"/>
      <c r="AN1257" s="55"/>
      <c r="AO1257" s="55"/>
      <c r="AP1257" s="55"/>
      <c r="AQ1257" s="55"/>
      <c r="AR1257" s="55"/>
      <c r="AS1257" s="55"/>
      <c r="AT1257" s="55"/>
      <c r="AU1257" s="55"/>
      <c r="AV1257" s="55"/>
      <c r="AW1257" s="55"/>
      <c r="AX1257" s="53"/>
      <c r="BA1257" s="2"/>
      <c r="BB1257" s="2"/>
      <c r="BC1257" s="101"/>
      <c r="BD1257" s="101"/>
    </row>
    <row r="1258" spans="1:56" s="84" customFormat="1" x14ac:dyDescent="0.35">
      <c r="A1258" s="53"/>
      <c r="B1258" s="54" t="s">
        <v>9</v>
      </c>
      <c r="C1258" s="53"/>
      <c r="D1258" s="53"/>
      <c r="E1258" s="53"/>
      <c r="F1258" s="98"/>
      <c r="G1258" s="55"/>
      <c r="H1258" s="55"/>
      <c r="I1258" s="55"/>
      <c r="J1258" s="55"/>
      <c r="K1258" s="55"/>
      <c r="L1258" s="55"/>
      <c r="M1258" s="55"/>
      <c r="N1258" s="55"/>
      <c r="O1258" s="55"/>
      <c r="P1258" s="55"/>
      <c r="Q1258" s="55"/>
      <c r="R1258" s="55"/>
      <c r="S1258" s="55"/>
      <c r="T1258" s="55"/>
      <c r="U1258" s="56"/>
      <c r="V1258" s="55"/>
      <c r="W1258" s="55"/>
      <c r="X1258" s="55"/>
      <c r="Y1258" s="55"/>
      <c r="Z1258" s="55"/>
      <c r="AA1258" s="55"/>
      <c r="AB1258" s="55"/>
      <c r="AC1258" s="55"/>
      <c r="AD1258" s="55"/>
      <c r="AE1258" s="55"/>
      <c r="AF1258" s="55"/>
      <c r="AG1258" s="55"/>
      <c r="AH1258" s="55"/>
      <c r="AI1258" s="55"/>
      <c r="AJ1258" s="55"/>
      <c r="AK1258" s="56"/>
      <c r="AL1258" s="55"/>
      <c r="AM1258" s="55"/>
      <c r="AN1258" s="55"/>
      <c r="AO1258" s="55"/>
      <c r="AP1258" s="55"/>
      <c r="AQ1258" s="55"/>
      <c r="AR1258" s="55"/>
      <c r="AS1258" s="55"/>
      <c r="AT1258" s="55"/>
      <c r="AU1258" s="55"/>
      <c r="AV1258" s="55"/>
      <c r="AW1258" s="55"/>
      <c r="AX1258" s="53"/>
      <c r="BA1258" s="2"/>
      <c r="BB1258" s="2"/>
      <c r="BC1258" s="101"/>
      <c r="BD1258" s="101"/>
    </row>
    <row r="1259" spans="1:56" x14ac:dyDescent="0.35">
      <c r="BA1259" s="2"/>
      <c r="BB1259" s="2"/>
      <c r="BC1259" s="101"/>
      <c r="BD1259" s="101"/>
    </row>
    <row r="1260" spans="1:56" x14ac:dyDescent="0.35">
      <c r="BA1260" s="2"/>
      <c r="BB1260" s="2"/>
      <c r="BC1260" s="101"/>
      <c r="BD1260" s="101"/>
    </row>
    <row r="1261" spans="1:56" s="84" customFormat="1" ht="28.5" x14ac:dyDescent="0.65">
      <c r="F1261" s="50"/>
      <c r="G1261" s="143" t="s">
        <v>10</v>
      </c>
      <c r="H1261" s="143"/>
      <c r="I1261" s="143"/>
      <c r="J1261" s="143"/>
      <c r="K1261" s="143"/>
      <c r="L1261" s="143"/>
      <c r="M1261" s="143"/>
      <c r="N1261" s="143"/>
      <c r="O1261" s="143"/>
      <c r="P1261" s="143"/>
      <c r="Q1261" s="143"/>
      <c r="R1261" s="143"/>
      <c r="S1261" s="143"/>
      <c r="T1261" s="143"/>
      <c r="U1261" s="143"/>
      <c r="W1261" s="37" t="s">
        <v>12</v>
      </c>
      <c r="X1261" s="86" t="s">
        <v>11</v>
      </c>
      <c r="BA1261" s="2"/>
      <c r="BB1261" s="2"/>
      <c r="BC1261" s="101"/>
      <c r="BD1261" s="101"/>
    </row>
    <row r="1262" spans="1:56" s="84" customFormat="1" x14ac:dyDescent="0.35">
      <c r="F1262" s="50"/>
      <c r="G1262" s="84" t="s">
        <v>0</v>
      </c>
      <c r="W1262" s="37" t="s">
        <v>13</v>
      </c>
      <c r="X1262" s="86" t="s">
        <v>14</v>
      </c>
      <c r="BA1262" s="2"/>
      <c r="BB1262" s="2"/>
      <c r="BC1262" s="101"/>
      <c r="BD1262" s="101"/>
    </row>
    <row r="1263" spans="1:56" s="84" customFormat="1" x14ac:dyDescent="0.35">
      <c r="F1263" s="50"/>
      <c r="W1263" s="37" t="s">
        <v>1</v>
      </c>
      <c r="X1263" s="86" t="s">
        <v>15</v>
      </c>
      <c r="BA1263" s="2"/>
      <c r="BB1263" s="2"/>
      <c r="BC1263" s="101"/>
      <c r="BD1263" s="101"/>
    </row>
    <row r="1264" spans="1:56" s="84" customFormat="1" x14ac:dyDescent="0.35">
      <c r="F1264" s="50"/>
      <c r="W1264" s="37" t="s">
        <v>2</v>
      </c>
      <c r="X1264" s="86" t="s">
        <v>16</v>
      </c>
      <c r="BA1264" s="2"/>
      <c r="BB1264" s="2"/>
      <c r="BC1264" s="101"/>
      <c r="BD1264" s="101"/>
    </row>
    <row r="1265" spans="2:56" s="84" customFormat="1" ht="15" customHeight="1" x14ac:dyDescent="0.35">
      <c r="B1265" s="154" t="s">
        <v>35</v>
      </c>
      <c r="F1265" s="50"/>
      <c r="G1265" s="154" t="s">
        <v>36</v>
      </c>
      <c r="H1265" s="154"/>
      <c r="I1265" s="154"/>
      <c r="K1265" s="154" t="s">
        <v>36</v>
      </c>
      <c r="L1265" s="154"/>
      <c r="M1265" s="154"/>
      <c r="W1265" s="37" t="s">
        <v>3</v>
      </c>
      <c r="X1265" s="86" t="s">
        <v>17</v>
      </c>
      <c r="BA1265" s="2"/>
      <c r="BB1265" s="2"/>
      <c r="BC1265" s="101"/>
      <c r="BD1265" s="101"/>
    </row>
    <row r="1266" spans="2:56" s="84" customFormat="1" x14ac:dyDescent="0.35">
      <c r="B1266" s="155"/>
      <c r="D1266" s="37" t="s">
        <v>34</v>
      </c>
      <c r="F1266" s="50"/>
      <c r="G1266" s="154"/>
      <c r="H1266" s="154"/>
      <c r="I1266" s="154"/>
      <c r="K1266" s="154"/>
      <c r="L1266" s="154"/>
      <c r="M1266" s="154"/>
      <c r="W1266" s="38"/>
      <c r="BA1266" s="2"/>
      <c r="BB1266" s="2"/>
      <c r="BC1266" s="101"/>
      <c r="BD1266" s="101"/>
    </row>
    <row r="1267" spans="2:56" s="84" customFormat="1" x14ac:dyDescent="0.35">
      <c r="B1267" s="100">
        <v>1</v>
      </c>
      <c r="D1267" s="100">
        <v>2022</v>
      </c>
      <c r="E1267" s="87" t="s">
        <v>38</v>
      </c>
      <c r="F1267" s="50"/>
      <c r="G1267" s="156">
        <f>K1193+1</f>
        <v>44549</v>
      </c>
      <c r="H1267" s="157"/>
      <c r="I1267" s="158"/>
      <c r="J1267" s="37" t="s">
        <v>37</v>
      </c>
      <c r="K1267" s="156">
        <f>IF(G1267="","",G1267+13)</f>
        <v>44562</v>
      </c>
      <c r="L1267" s="157"/>
      <c r="M1267" s="158"/>
      <c r="P1267" s="159" t="s">
        <v>39</v>
      </c>
      <c r="Q1267" s="160"/>
      <c r="R1267" s="160"/>
      <c r="S1267" s="160"/>
      <c r="T1267" s="161"/>
      <c r="U1267" s="24">
        <v>80</v>
      </c>
      <c r="BA1267" s="2"/>
      <c r="BB1267" s="2"/>
      <c r="BC1267" s="101"/>
      <c r="BD1267" s="101"/>
    </row>
    <row r="1268" spans="2:56" s="84" customFormat="1" x14ac:dyDescent="0.35">
      <c r="F1268" s="50"/>
      <c r="AM1268" s="144" t="s">
        <v>4</v>
      </c>
      <c r="AN1268" s="144"/>
      <c r="AO1268" s="144"/>
      <c r="AP1268" s="144"/>
      <c r="AQ1268" s="144"/>
      <c r="AR1268" s="144"/>
      <c r="AS1268" s="144"/>
      <c r="AU1268" s="100" t="s">
        <v>4</v>
      </c>
      <c r="BA1268" s="2"/>
      <c r="BB1268" s="2"/>
      <c r="BC1268" s="101"/>
      <c r="BD1268" s="101"/>
    </row>
    <row r="1269" spans="2:56" s="84" customFormat="1" ht="15" customHeight="1" x14ac:dyDescent="0.35">
      <c r="B1269" s="40"/>
      <c r="C1269" s="41"/>
      <c r="D1269" s="42" t="s">
        <v>32</v>
      </c>
      <c r="E1269" s="43" t="s">
        <v>5</v>
      </c>
      <c r="F1269" s="50"/>
      <c r="G1269" s="162">
        <f>G1267</f>
        <v>44549</v>
      </c>
      <c r="H1269" s="163"/>
      <c r="I1269" s="162">
        <f>IF(G1269="","",G1269+1)</f>
        <v>44550</v>
      </c>
      <c r="J1269" s="163"/>
      <c r="K1269" s="162">
        <f>IF(I1269="","",I1269+1)</f>
        <v>44551</v>
      </c>
      <c r="L1269" s="163"/>
      <c r="M1269" s="162">
        <f>IF(K1269="","",K1269+1)</f>
        <v>44552</v>
      </c>
      <c r="N1269" s="163"/>
      <c r="O1269" s="162">
        <f>IF(M1269="","",M1269+1)</f>
        <v>44553</v>
      </c>
      <c r="P1269" s="163"/>
      <c r="Q1269" s="162">
        <f>IF(O1269="","",O1269+1)</f>
        <v>44554</v>
      </c>
      <c r="R1269" s="163"/>
      <c r="S1269" s="162">
        <f>IF(Q1269="","",Q1269+1)</f>
        <v>44555</v>
      </c>
      <c r="T1269" s="164"/>
      <c r="U1269" s="44"/>
      <c r="W1269" s="162">
        <f>IF(S1269="","",S1269+1)</f>
        <v>44556</v>
      </c>
      <c r="X1269" s="163"/>
      <c r="Y1269" s="162">
        <f>IF(W1269="","",W1269+1)</f>
        <v>44557</v>
      </c>
      <c r="Z1269" s="163"/>
      <c r="AA1269" s="162">
        <f>IF(Y1269="","",Y1269+1)</f>
        <v>44558</v>
      </c>
      <c r="AB1269" s="163"/>
      <c r="AC1269" s="162">
        <f>IF(AA1269="","",AA1269+1)</f>
        <v>44559</v>
      </c>
      <c r="AD1269" s="163"/>
      <c r="AE1269" s="162">
        <f>IF(AC1269="","",AC1269+1)</f>
        <v>44560</v>
      </c>
      <c r="AF1269" s="163"/>
      <c r="AG1269" s="162">
        <f>IF(AE1269="","",AE1269+1)</f>
        <v>44561</v>
      </c>
      <c r="AH1269" s="163"/>
      <c r="AI1269" s="162">
        <f>IF(AG1269="","",AG1269+1)</f>
        <v>44562</v>
      </c>
      <c r="AJ1269" s="164"/>
      <c r="AK1269" s="44"/>
      <c r="AM1269" s="145" t="s">
        <v>18</v>
      </c>
      <c r="AN1269" s="165" t="s">
        <v>55</v>
      </c>
      <c r="AO1269" s="145" t="s">
        <v>19</v>
      </c>
      <c r="AP1269" s="145" t="s">
        <v>20</v>
      </c>
      <c r="AQ1269" s="145" t="s">
        <v>21</v>
      </c>
      <c r="AR1269" s="166" t="s">
        <v>22</v>
      </c>
      <c r="AS1269" s="167" t="s">
        <v>23</v>
      </c>
      <c r="AU1269" s="144" t="s">
        <v>6</v>
      </c>
      <c r="AW1269" s="145" t="s">
        <v>24</v>
      </c>
      <c r="BA1269" s="2"/>
      <c r="BB1269" s="2"/>
      <c r="BC1269" s="101"/>
      <c r="BD1269" s="101"/>
    </row>
    <row r="1270" spans="2:56" s="84" customFormat="1" x14ac:dyDescent="0.35">
      <c r="B1270" s="45" t="s">
        <v>33</v>
      </c>
      <c r="C1270" s="46"/>
      <c r="D1270" s="47"/>
      <c r="E1270" s="47"/>
      <c r="F1270" s="50"/>
      <c r="G1270" s="146" t="s">
        <v>25</v>
      </c>
      <c r="H1270" s="147"/>
      <c r="I1270" s="146" t="s">
        <v>26</v>
      </c>
      <c r="J1270" s="147"/>
      <c r="K1270" s="146" t="s">
        <v>27</v>
      </c>
      <c r="L1270" s="147"/>
      <c r="M1270" s="146" t="s">
        <v>28</v>
      </c>
      <c r="N1270" s="147"/>
      <c r="O1270" s="146" t="s">
        <v>29</v>
      </c>
      <c r="P1270" s="147"/>
      <c r="Q1270" s="146" t="s">
        <v>30</v>
      </c>
      <c r="R1270" s="147"/>
      <c r="S1270" s="146" t="s">
        <v>31</v>
      </c>
      <c r="T1270" s="148"/>
      <c r="U1270" s="48" t="s">
        <v>7</v>
      </c>
      <c r="W1270" s="146" t="s">
        <v>25</v>
      </c>
      <c r="X1270" s="147"/>
      <c r="Y1270" s="146" t="s">
        <v>26</v>
      </c>
      <c r="Z1270" s="147"/>
      <c r="AA1270" s="146" t="s">
        <v>27</v>
      </c>
      <c r="AB1270" s="147"/>
      <c r="AC1270" s="146" t="s">
        <v>28</v>
      </c>
      <c r="AD1270" s="147"/>
      <c r="AE1270" s="146" t="s">
        <v>29</v>
      </c>
      <c r="AF1270" s="147"/>
      <c r="AG1270" s="146" t="s">
        <v>30</v>
      </c>
      <c r="AH1270" s="147"/>
      <c r="AI1270" s="146" t="s">
        <v>31</v>
      </c>
      <c r="AJ1270" s="148"/>
      <c r="AK1270" s="48" t="s">
        <v>7</v>
      </c>
      <c r="AM1270" s="145"/>
      <c r="AN1270" s="165"/>
      <c r="AO1270" s="145"/>
      <c r="AP1270" s="145"/>
      <c r="AQ1270" s="145"/>
      <c r="AR1270" s="166"/>
      <c r="AS1270" s="167"/>
      <c r="AU1270" s="144"/>
      <c r="AW1270" s="145"/>
      <c r="BA1270" s="2"/>
      <c r="BB1270" s="2"/>
      <c r="BC1270" s="101"/>
      <c r="BD1270" s="101"/>
    </row>
    <row r="1271" spans="2:56" s="84" customFormat="1" x14ac:dyDescent="0.35">
      <c r="B1271" s="63"/>
      <c r="C1271" s="25"/>
      <c r="D1271" s="25"/>
      <c r="E1271" s="25"/>
      <c r="F1271" s="50"/>
      <c r="BA1271" s="2"/>
      <c r="BB1271" s="2"/>
      <c r="BC1271" s="101"/>
      <c r="BD1271" s="101"/>
    </row>
    <row r="1272" spans="2:56" s="84" customFormat="1" x14ac:dyDescent="0.35">
      <c r="B1272" s="26"/>
      <c r="C1272" s="27"/>
      <c r="D1272" s="28">
        <f>IF(D1198="","",D1198)</f>
        <v>31428</v>
      </c>
      <c r="E1272" s="29" t="str">
        <f>IF(E1198="","",E1198)</f>
        <v/>
      </c>
      <c r="F1272" s="50">
        <f>B1267</f>
        <v>1</v>
      </c>
      <c r="G1272" s="59"/>
      <c r="H1272" s="64"/>
      <c r="I1272" s="106"/>
      <c r="J1272" s="105"/>
      <c r="K1272" s="106"/>
      <c r="L1272" s="105"/>
      <c r="M1272" s="106"/>
      <c r="N1272" s="105"/>
      <c r="O1272" s="106"/>
      <c r="P1272" s="105" t="s">
        <v>13</v>
      </c>
      <c r="Q1272" s="106"/>
      <c r="R1272" s="105" t="s">
        <v>13</v>
      </c>
      <c r="S1272" s="59"/>
      <c r="T1272" s="64"/>
      <c r="U1272" s="44"/>
      <c r="W1272" s="59"/>
      <c r="X1272" s="64"/>
      <c r="Y1272" s="106"/>
      <c r="Z1272" s="105" t="s">
        <v>1</v>
      </c>
      <c r="AA1272" s="106"/>
      <c r="AB1272" s="105" t="s">
        <v>1</v>
      </c>
      <c r="AC1272" s="106"/>
      <c r="AD1272" s="105" t="s">
        <v>13</v>
      </c>
      <c r="AE1272" s="106"/>
      <c r="AF1272" s="105" t="s">
        <v>13</v>
      </c>
      <c r="AG1272" s="106"/>
      <c r="AH1272" s="105" t="s">
        <v>13</v>
      </c>
      <c r="AI1272" s="59"/>
      <c r="AJ1272" s="64"/>
      <c r="AK1272" s="44"/>
      <c r="AM1272" s="49"/>
      <c r="AN1272" s="49"/>
      <c r="AO1272" s="49"/>
      <c r="AP1272" s="49"/>
      <c r="AQ1272" s="49"/>
      <c r="AR1272" s="40"/>
      <c r="AS1272" s="51"/>
      <c r="AU1272" s="49"/>
      <c r="AW1272" s="52"/>
      <c r="BA1272" s="2"/>
      <c r="BB1272" s="2"/>
      <c r="BC1272" s="101"/>
      <c r="BD1272" s="101"/>
    </row>
    <row r="1273" spans="2:56" s="84" customFormat="1" x14ac:dyDescent="0.35">
      <c r="B1273" s="30" t="str">
        <f>IF(B1199="","",B1199)</f>
        <v>Gaulin, Francis</v>
      </c>
      <c r="C1273" s="31"/>
      <c r="D1273" s="32"/>
      <c r="E1273" s="33">
        <f t="shared" ref="E1273:E1304" si="509">IF(E1199="","",E1199)</f>
        <v>93542</v>
      </c>
      <c r="F1273" s="50">
        <f>B1267</f>
        <v>1</v>
      </c>
      <c r="G1273" s="95"/>
      <c r="H1273" s="70"/>
      <c r="I1273" s="104"/>
      <c r="J1273" s="103">
        <v>8.5</v>
      </c>
      <c r="K1273" s="104"/>
      <c r="L1273" s="103">
        <v>8.5</v>
      </c>
      <c r="M1273" s="104"/>
      <c r="N1273" s="103">
        <v>8.5</v>
      </c>
      <c r="O1273" s="104"/>
      <c r="P1273" s="103">
        <v>8</v>
      </c>
      <c r="Q1273" s="104"/>
      <c r="R1273" s="103">
        <v>8</v>
      </c>
      <c r="S1273" s="69"/>
      <c r="T1273" s="70"/>
      <c r="U1273" s="71">
        <f>SUM(G1273:T1273)</f>
        <v>41.5</v>
      </c>
      <c r="V1273" s="72"/>
      <c r="W1273" s="69"/>
      <c r="X1273" s="70"/>
      <c r="Y1273" s="104"/>
      <c r="Z1273" s="103">
        <v>8</v>
      </c>
      <c r="AA1273" s="104"/>
      <c r="AB1273" s="103">
        <v>8</v>
      </c>
      <c r="AC1273" s="104"/>
      <c r="AD1273" s="103">
        <v>8</v>
      </c>
      <c r="AE1273" s="104"/>
      <c r="AF1273" s="103">
        <v>8</v>
      </c>
      <c r="AG1273" s="104"/>
      <c r="AH1273" s="103">
        <v>8</v>
      </c>
      <c r="AI1273" s="69"/>
      <c r="AJ1273" s="70"/>
      <c r="AK1273" s="71">
        <f>SUM(W1273:AJ1273)</f>
        <v>40</v>
      </c>
      <c r="AL1273" s="72"/>
      <c r="AM1273" s="73">
        <f>SUMIF($G1272:$T1272,"",$G1273:$T1273)+SUMIF($W1272:$AJ1272,"",$W1273:$AJ1273)-AN1273</f>
        <v>24</v>
      </c>
      <c r="AN1273" s="88">
        <f>IF(SUMIF($G1272:$T1272,"",$G1273:$T1273)+SUMIF($G1272:$T1272,"F",$G1273:$T1273)+SUMIF($G1272:$T1272,"V",$G1273:$T1273)-40&lt;0,0,SUMIF($G1272:$T1272,"",$G1273:$T1273)+SUMIF($G1272:$T1272,"F",$G1273:$T1273)+SUMIF($G1272:$T1272,"V",$G1273:$T1273)-($U$9/2))+IF(SUMIF($W1272:$AJ1272,"",$W1273:$AJ1273)+SUMIF($W1272:$AJ1272,"F",$W1273:$AJ1273)+SUMIF($W1272:$AJ1272,"V",$W1273:$AJ1273)-40&lt;0,0,SUMIF($W1272:$AJ1272,"",$W1273:$AJ1273)+SUMIF($W1272:$AJ1272,"F",$W1273:$AJ1273)+SUMIF($W1272:$AJ1272,"V",$W1273:$AJ1273)-($U$9/2))</f>
        <v>1.5</v>
      </c>
      <c r="AO1273" s="73">
        <f>SUMIF($G1272:$T1272,"M",$G1273:$T1273)+SUMIF($W1272:$AJ1272,"M",$W1273:$AJ1273)</f>
        <v>0</v>
      </c>
      <c r="AP1273" s="73">
        <f>SUMIF($G1272:$T1272,"F",$G1273:$T1273)+SUMIF($W1272:$AJ1272,"F",$W1273:$AJ1273)</f>
        <v>40</v>
      </c>
      <c r="AQ1273" s="73">
        <f>SUMIF($G1272:$T1272,"V",$G1273:$T1273)+SUMIF($W1272:$AJ1272,"V",$W1273:$AJ1273)</f>
        <v>16</v>
      </c>
      <c r="AR1273" s="74">
        <f>SUMIF($G1272:$T1272,"O",$G1273:$T1273)+SUMIF($W1272:$AJ1272,"O",$W1273:$AJ1273)</f>
        <v>0</v>
      </c>
      <c r="AS1273" s="75">
        <f>SUM(AM1273:AR1273)</f>
        <v>81.5</v>
      </c>
      <c r="AT1273" s="72"/>
      <c r="AU1273" s="73">
        <f>SUMIF($G1272:$T1272,"A",$G1273:$T1273)+SUMIF($W1272:$AJ1272,"A",$W1273:$AJ1273)</f>
        <v>0</v>
      </c>
      <c r="AV1273" s="72"/>
      <c r="AW1273" s="76">
        <f>IF(B1273="",0,IF($U$9="",0,$U$9))</f>
        <v>80</v>
      </c>
      <c r="BA1273" s="2"/>
      <c r="BB1273" s="2"/>
      <c r="BC1273" s="101"/>
      <c r="BD1273" s="101"/>
    </row>
    <row r="1274" spans="2:56" s="84" customFormat="1" x14ac:dyDescent="0.35">
      <c r="B1274" s="26"/>
      <c r="C1274" s="27"/>
      <c r="D1274" s="28">
        <f>IF(D1200="","",D1200)</f>
        <v>24287</v>
      </c>
      <c r="E1274" s="29" t="str">
        <f t="shared" si="509"/>
        <v/>
      </c>
      <c r="F1274" s="50">
        <f>B1267</f>
        <v>1</v>
      </c>
      <c r="G1274" s="59"/>
      <c r="H1274" s="64"/>
      <c r="I1274" s="106"/>
      <c r="J1274" s="105"/>
      <c r="K1274" s="106"/>
      <c r="L1274" s="105"/>
      <c r="M1274" s="106"/>
      <c r="N1274" s="105"/>
      <c r="O1274" s="106"/>
      <c r="P1274" s="105"/>
      <c r="Q1274" s="106"/>
      <c r="R1274" s="105"/>
      <c r="S1274" s="59"/>
      <c r="T1274" s="64"/>
      <c r="U1274" s="44"/>
      <c r="W1274" s="59"/>
      <c r="X1274" s="64"/>
      <c r="Y1274" s="106"/>
      <c r="Z1274" s="105"/>
      <c r="AA1274" s="106"/>
      <c r="AB1274" s="105"/>
      <c r="AC1274" s="106"/>
      <c r="AD1274" s="105"/>
      <c r="AE1274" s="106"/>
      <c r="AF1274" s="105"/>
      <c r="AG1274" s="106"/>
      <c r="AH1274" s="105"/>
      <c r="AI1274" s="59"/>
      <c r="AJ1274" s="64"/>
      <c r="AK1274" s="44"/>
      <c r="AM1274" s="49"/>
      <c r="AN1274" s="49"/>
      <c r="AO1274" s="49"/>
      <c r="AP1274" s="49"/>
      <c r="AQ1274" s="49"/>
      <c r="AR1274" s="40"/>
      <c r="AS1274" s="51"/>
      <c r="AU1274" s="49"/>
      <c r="AW1274" s="52"/>
      <c r="BA1274" s="2"/>
      <c r="BB1274" s="2"/>
      <c r="BC1274" s="101"/>
      <c r="BD1274" s="101"/>
    </row>
    <row r="1275" spans="2:56" s="84" customFormat="1" x14ac:dyDescent="0.35">
      <c r="B1275" s="30" t="str">
        <f>IF(B1201="","",B1201)</f>
        <v>Barrata, Dominic(Avance $500.00)</v>
      </c>
      <c r="C1275" s="31"/>
      <c r="D1275" s="32"/>
      <c r="E1275" s="33">
        <f t="shared" si="509"/>
        <v>93595935</v>
      </c>
      <c r="F1275" s="50">
        <f>B1267</f>
        <v>1</v>
      </c>
      <c r="G1275" s="69"/>
      <c r="H1275" s="70"/>
      <c r="I1275" s="104"/>
      <c r="J1275" s="103" t="s">
        <v>69</v>
      </c>
      <c r="K1275" s="104"/>
      <c r="L1275" s="103" t="s">
        <v>69</v>
      </c>
      <c r="M1275" s="104"/>
      <c r="N1275" s="103" t="s">
        <v>69</v>
      </c>
      <c r="O1275" s="104"/>
      <c r="P1275" s="103" t="s">
        <v>69</v>
      </c>
      <c r="Q1275" s="104"/>
      <c r="R1275" s="103" t="s">
        <v>69</v>
      </c>
      <c r="S1275" s="69"/>
      <c r="T1275" s="70"/>
      <c r="U1275" s="71">
        <f t="shared" ref="U1275" si="510">SUM(G1275:T1275)</f>
        <v>0</v>
      </c>
      <c r="V1275" s="72"/>
      <c r="W1275" s="69"/>
      <c r="X1275" s="70"/>
      <c r="Y1275" s="104"/>
      <c r="Z1275" s="103" t="s">
        <v>69</v>
      </c>
      <c r="AA1275" s="104"/>
      <c r="AB1275" s="103" t="s">
        <v>69</v>
      </c>
      <c r="AC1275" s="104"/>
      <c r="AD1275" s="103" t="s">
        <v>69</v>
      </c>
      <c r="AE1275" s="104"/>
      <c r="AF1275" s="103" t="s">
        <v>69</v>
      </c>
      <c r="AG1275" s="104"/>
      <c r="AH1275" s="103" t="s">
        <v>69</v>
      </c>
      <c r="AI1275" s="69"/>
      <c r="AJ1275" s="70"/>
      <c r="AK1275" s="71">
        <f>SUM(W1275:AJ1275)</f>
        <v>0</v>
      </c>
      <c r="AL1275" s="72"/>
      <c r="AM1275" s="73">
        <f>SUMIF($G1274:$T1274,"",$G1275:$T1275)+SUMIF($W1274:$AJ1274,"",$W1275:$AJ1275)-AN1275</f>
        <v>0</v>
      </c>
      <c r="AN1275" s="88">
        <f>IF(SUMIF($G1274:$T1274,"",$G1275:$T1275)+SUMIF($G1274:$T1274,"F",$G1275:$T1275)+SUMIF($G1274:$T1274,"V",$G1275:$T1275)-40&lt;0,0,SUMIF($G1274:$T1274,"",$G1275:$T1275)+SUMIF($G1274:$T1274,"F",$G1275:$T1275)+SUMIF($G1274:$T1274,"V",$G1275:$T1275)-($U$9/2))+IF(SUMIF($W1274:$AJ1274,"",$W1275:$AJ1275)+SUMIF($W1274:$AJ1274,"F",$W1275:$AJ1275)+SUMIF($W1274:$AJ1274,"V",$W1275:$AJ1275)-40&lt;0,0,SUMIF($W1274:$AJ1274,"",$W1275:$AJ1275)+SUMIF($W1274:$AJ1274,"F",$W1275:$AJ1275)+SUMIF($W1274:$AJ1274,"V",$W1275:$AJ1275)-($U$9/2))</f>
        <v>0</v>
      </c>
      <c r="AO1275" s="73">
        <f>SUMIF($G1274:$T1274,"M",$G1275:$T1275)+SUMIF($W1274:$AJ1274,"M",$W1275:$AJ1275)</f>
        <v>0</v>
      </c>
      <c r="AP1275" s="73">
        <f>SUMIF($G1274:$T1274,"F",$G1275:$T1275)+SUMIF($W1274:$AJ1274,"F",$W1275:$AJ1275)</f>
        <v>0</v>
      </c>
      <c r="AQ1275" s="73">
        <f>SUMIF($G1274:$T1274,"V",$G1275:$T1275)+SUMIF($W1274:$AJ1274,"V",$W1275:$AJ1275)</f>
        <v>0</v>
      </c>
      <c r="AR1275" s="74">
        <f>SUMIF($G1274:$T1274,"O",$G1275:$T1275)+SUMIF($W1274:$AJ1274,"O",$W1275:$AJ1275)</f>
        <v>0</v>
      </c>
      <c r="AS1275" s="75">
        <f>SUM(AM1275:AR1275)</f>
        <v>0</v>
      </c>
      <c r="AT1275" s="72"/>
      <c r="AU1275" s="73">
        <f>SUMIF($G1274:$T1274,"A",$G1275:$T1275)+SUMIF($W1274:$AJ1274,"A",$W1275:$AJ1275)</f>
        <v>0</v>
      </c>
      <c r="AV1275" s="72"/>
      <c r="AW1275" s="76">
        <f>IF(B1275="",0,IF($U$9="",0,$U$9))</f>
        <v>80</v>
      </c>
      <c r="BA1275" s="2"/>
      <c r="BB1275" s="2"/>
      <c r="BC1275" s="101"/>
      <c r="BD1275" s="101"/>
    </row>
    <row r="1276" spans="2:56" s="84" customFormat="1" x14ac:dyDescent="0.35">
      <c r="B1276" s="26"/>
      <c r="C1276" s="27"/>
      <c r="D1276" s="28">
        <f>IF(D1202="","",D1202)</f>
        <v>92032</v>
      </c>
      <c r="E1276" s="29" t="str">
        <f t="shared" si="509"/>
        <v/>
      </c>
      <c r="F1276" s="50">
        <f>B1267</f>
        <v>1</v>
      </c>
      <c r="G1276" s="59"/>
      <c r="H1276" s="64"/>
      <c r="I1276" s="106"/>
      <c r="J1276" s="105"/>
      <c r="K1276" s="106"/>
      <c r="L1276" s="105"/>
      <c r="M1276" s="106"/>
      <c r="N1276" s="105"/>
      <c r="O1276" s="106"/>
      <c r="P1276" s="105"/>
      <c r="Q1276" s="106"/>
      <c r="R1276" s="105"/>
      <c r="S1276" s="59"/>
      <c r="T1276" s="64"/>
      <c r="U1276" s="44"/>
      <c r="W1276" s="59"/>
      <c r="X1276" s="64"/>
      <c r="Y1276" s="106"/>
      <c r="Z1276" s="105"/>
      <c r="AA1276" s="106"/>
      <c r="AB1276" s="105"/>
      <c r="AC1276" s="106"/>
      <c r="AD1276" s="105"/>
      <c r="AE1276" s="106"/>
      <c r="AF1276" s="105"/>
      <c r="AG1276" s="106"/>
      <c r="AH1276" s="105"/>
      <c r="AI1276" s="59"/>
      <c r="AJ1276" s="64"/>
      <c r="AK1276" s="44"/>
      <c r="AM1276" s="49"/>
      <c r="AN1276" s="49"/>
      <c r="AO1276" s="49"/>
      <c r="AP1276" s="49"/>
      <c r="AQ1276" s="49"/>
      <c r="AR1276" s="40"/>
      <c r="AS1276" s="51"/>
      <c r="AU1276" s="49"/>
      <c r="AW1276" s="52"/>
      <c r="BA1276" s="2"/>
      <c r="BB1276" s="2"/>
      <c r="BC1276" s="101"/>
      <c r="BD1276" s="101"/>
    </row>
    <row r="1277" spans="2:56" s="84" customFormat="1" x14ac:dyDescent="0.35">
      <c r="B1277" s="30" t="str">
        <f>IF(B1203="","",B1203)</f>
        <v>Benoit, Jean-Paul(Avance $1,600.00)</v>
      </c>
      <c r="C1277" s="31"/>
      <c r="D1277" s="32"/>
      <c r="E1277" s="33">
        <f t="shared" si="509"/>
        <v>93595935</v>
      </c>
      <c r="F1277" s="50">
        <f>B1267</f>
        <v>1</v>
      </c>
      <c r="G1277" s="69"/>
      <c r="H1277" s="70"/>
      <c r="I1277" s="104"/>
      <c r="J1277" s="103" t="s">
        <v>69</v>
      </c>
      <c r="K1277" s="104"/>
      <c r="L1277" s="103" t="s">
        <v>69</v>
      </c>
      <c r="M1277" s="104"/>
      <c r="N1277" s="103" t="s">
        <v>69</v>
      </c>
      <c r="O1277" s="104"/>
      <c r="P1277" s="103" t="s">
        <v>69</v>
      </c>
      <c r="Q1277" s="104"/>
      <c r="R1277" s="103" t="s">
        <v>69</v>
      </c>
      <c r="S1277" s="69"/>
      <c r="T1277" s="70"/>
      <c r="U1277" s="71">
        <f t="shared" ref="U1277" si="511">SUM(G1277:T1277)</f>
        <v>0</v>
      </c>
      <c r="V1277" s="72"/>
      <c r="W1277" s="69"/>
      <c r="X1277" s="70"/>
      <c r="Y1277" s="104"/>
      <c r="Z1277" s="103" t="s">
        <v>69</v>
      </c>
      <c r="AA1277" s="104"/>
      <c r="AB1277" s="103" t="s">
        <v>69</v>
      </c>
      <c r="AC1277" s="104"/>
      <c r="AD1277" s="103" t="s">
        <v>69</v>
      </c>
      <c r="AE1277" s="104"/>
      <c r="AF1277" s="103" t="s">
        <v>69</v>
      </c>
      <c r="AG1277" s="104"/>
      <c r="AH1277" s="103" t="s">
        <v>69</v>
      </c>
      <c r="AI1277" s="69"/>
      <c r="AJ1277" s="70"/>
      <c r="AK1277" s="71">
        <f>SUM(W1277:AJ1277)</f>
        <v>0</v>
      </c>
      <c r="AL1277" s="72"/>
      <c r="AM1277" s="73">
        <f>SUMIF($G1276:$T1276,"",$G1277:$T1277)+SUMIF($W1276:$AJ1276,"",$W1277:$AJ1277)-AN1277</f>
        <v>0</v>
      </c>
      <c r="AN1277" s="88">
        <f>IF(SUMIF($G1276:$T1276,"",$G1277:$T1277)+SUMIF($G1276:$T1276,"F",$G1277:$T1277)+SUMIF($G1276:$T1276,"V",$G1277:$T1277)-40&lt;0,0,SUMIF($G1276:$T1276,"",$G1277:$T1277)+SUMIF($G1276:$T1276,"F",$G1277:$T1277)+SUMIF($G1276:$T1276,"V",$G1277:$T1277)-($U$9/2))+IF(SUMIF($W1276:$AJ1276,"",$W1277:$AJ1277)+SUMIF($W1276:$AJ1276,"F",$W1277:$AJ1277)+SUMIF($W1276:$AJ1276,"V",$W1277:$AJ1277)-40&lt;0,0,SUMIF($W1276:$AJ1276,"",$W1277:$AJ1277)+SUMIF($W1276:$AJ1276,"F",$W1277:$AJ1277)+SUMIF($W1276:$AJ1276,"V",$W1277:$AJ1277)-($U$9/2))</f>
        <v>0</v>
      </c>
      <c r="AO1277" s="73">
        <f>SUMIF($G1276:$T1276,"M",$G1277:$T1277)+SUMIF($W1276:$AJ1276,"M",$W1277:$AJ1277)</f>
        <v>0</v>
      </c>
      <c r="AP1277" s="73">
        <f>SUMIF($G1276:$T1276,"F",$G1277:$T1277)+SUMIF($W1276:$AJ1276,"F",$W1277:$AJ1277)</f>
        <v>0</v>
      </c>
      <c r="AQ1277" s="73">
        <f>SUMIF($G1276:$T1276,"V",$G1277:$T1277)+SUMIF($W1276:$AJ1276,"V",$W1277:$AJ1277)</f>
        <v>0</v>
      </c>
      <c r="AR1277" s="74">
        <f>SUMIF($G1276:$T1276,"O",$G1277:$T1277)+SUMIF($W1276:$AJ1276,"O",$W1277:$AJ1277)</f>
        <v>0</v>
      </c>
      <c r="AS1277" s="75">
        <f>SUM(AM1277:AR1277)</f>
        <v>0</v>
      </c>
      <c r="AT1277" s="72"/>
      <c r="AU1277" s="73">
        <f>SUMIF($G1276:$T1276,"A",$G1277:$T1277)+SUMIF($W1276:$AJ1276,"A",$W1277:$AJ1277)</f>
        <v>0</v>
      </c>
      <c r="AV1277" s="72"/>
      <c r="AW1277" s="76">
        <f>IF(B1277="",0,IF($U$9="",0,$U$9))</f>
        <v>80</v>
      </c>
      <c r="BA1277" s="2"/>
      <c r="BB1277" s="2"/>
      <c r="BC1277" s="101"/>
      <c r="BD1277" s="101"/>
    </row>
    <row r="1278" spans="2:56" s="84" customFormat="1" x14ac:dyDescent="0.35">
      <c r="B1278" s="26"/>
      <c r="C1278" s="27"/>
      <c r="D1278" s="28">
        <f>IF(D1204="","",D1204)</f>
        <v>81077</v>
      </c>
      <c r="E1278" s="29" t="str">
        <f t="shared" si="509"/>
        <v/>
      </c>
      <c r="F1278" s="50">
        <f>B1267</f>
        <v>1</v>
      </c>
      <c r="G1278" s="93"/>
      <c r="H1278" s="94"/>
      <c r="I1278" s="106"/>
      <c r="J1278" s="105"/>
      <c r="K1278" s="106"/>
      <c r="L1278" s="105"/>
      <c r="M1278" s="106"/>
      <c r="N1278" s="105"/>
      <c r="O1278" s="106"/>
      <c r="P1278" s="105" t="s">
        <v>13</v>
      </c>
      <c r="Q1278" s="106"/>
      <c r="R1278" s="105" t="s">
        <v>13</v>
      </c>
      <c r="S1278" s="59"/>
      <c r="T1278" s="64"/>
      <c r="U1278" s="44"/>
      <c r="W1278" s="59"/>
      <c r="X1278" s="64"/>
      <c r="Y1278" s="106"/>
      <c r="Z1278" s="105" t="s">
        <v>1</v>
      </c>
      <c r="AA1278" s="106"/>
      <c r="AB1278" s="105" t="s">
        <v>1</v>
      </c>
      <c r="AC1278" s="106"/>
      <c r="AD1278" s="105" t="s">
        <v>13</v>
      </c>
      <c r="AE1278" s="106"/>
      <c r="AF1278" s="105" t="s">
        <v>13</v>
      </c>
      <c r="AG1278" s="106"/>
      <c r="AH1278" s="105" t="s">
        <v>13</v>
      </c>
      <c r="AI1278" s="59"/>
      <c r="AJ1278" s="64"/>
      <c r="AK1278" s="44"/>
      <c r="AM1278" s="49"/>
      <c r="AN1278" s="49"/>
      <c r="AO1278" s="49"/>
      <c r="AP1278" s="49"/>
      <c r="AQ1278" s="49"/>
      <c r="AR1278" s="40"/>
      <c r="AS1278" s="51"/>
      <c r="AU1278" s="49"/>
      <c r="AW1278" s="52"/>
      <c r="BA1278" s="2"/>
      <c r="BB1278" s="2"/>
      <c r="BC1278" s="101"/>
      <c r="BD1278" s="101"/>
    </row>
    <row r="1279" spans="2:56" s="84" customFormat="1" x14ac:dyDescent="0.35">
      <c r="B1279" s="30" t="str">
        <f>IF(B1205="","",B1205)</f>
        <v>Bourassa, Julie</v>
      </c>
      <c r="C1279" s="31"/>
      <c r="D1279" s="32"/>
      <c r="E1279" s="33">
        <f t="shared" si="509"/>
        <v>93540</v>
      </c>
      <c r="F1279" s="50">
        <f>B1267</f>
        <v>1</v>
      </c>
      <c r="G1279" s="93"/>
      <c r="H1279" s="94"/>
      <c r="I1279" s="104"/>
      <c r="J1279" s="103">
        <v>8</v>
      </c>
      <c r="K1279" s="104"/>
      <c r="L1279" s="103">
        <v>8</v>
      </c>
      <c r="M1279" s="104"/>
      <c r="N1279" s="103">
        <v>8</v>
      </c>
      <c r="O1279" s="104"/>
      <c r="P1279" s="103">
        <v>8</v>
      </c>
      <c r="Q1279" s="104"/>
      <c r="R1279" s="103">
        <v>8</v>
      </c>
      <c r="S1279" s="69"/>
      <c r="T1279" s="70"/>
      <c r="U1279" s="71">
        <f t="shared" ref="U1279" si="512">SUM(G1279:T1279)</f>
        <v>40</v>
      </c>
      <c r="V1279" s="72"/>
      <c r="W1279" s="69"/>
      <c r="X1279" s="70"/>
      <c r="Y1279" s="104"/>
      <c r="Z1279" s="103">
        <v>8</v>
      </c>
      <c r="AA1279" s="104"/>
      <c r="AB1279" s="103">
        <v>8</v>
      </c>
      <c r="AC1279" s="104"/>
      <c r="AD1279" s="103">
        <v>8</v>
      </c>
      <c r="AE1279" s="104"/>
      <c r="AF1279" s="103">
        <v>8</v>
      </c>
      <c r="AG1279" s="104"/>
      <c r="AH1279" s="103">
        <v>8</v>
      </c>
      <c r="AI1279" s="69"/>
      <c r="AJ1279" s="70"/>
      <c r="AK1279" s="71">
        <f>SUM(W1279:AJ1279)</f>
        <v>40</v>
      </c>
      <c r="AL1279" s="72"/>
      <c r="AM1279" s="73">
        <f>SUMIF($G1278:$T1278,"",$G1279:$T1279)+SUMIF($W1278:$AJ1278,"",$W1279:$AJ1279)-AN1279</f>
        <v>24</v>
      </c>
      <c r="AN1279" s="88">
        <f>IF(SUMIF($G1278:$T1278,"",$G1279:$T1279)+SUMIF($G1278:$T1278,"F",$G1279:$T1279)+SUMIF($G1278:$T1278,"V",$G1279:$T1279)-40&lt;0,0,SUMIF($G1278:$T1278,"",$G1279:$T1279)+SUMIF($G1278:$T1278,"F",$G1279:$T1279)+SUMIF($G1278:$T1278,"V",$G1279:$T1279)-($U$9/2))+IF(SUMIF($W1278:$AJ1278,"",$W1279:$AJ1279)+SUMIF($W1278:$AJ1278,"F",$W1279:$AJ1279)+SUMIF($W1278:$AJ1278,"V",$W1279:$AJ1279)-40&lt;0,0,SUMIF($W1278:$AJ1278,"",$W1279:$AJ1279)+SUMIF($W1278:$AJ1278,"F",$W1279:$AJ1279)+SUMIF($W1278:$AJ1278,"V",$W1279:$AJ1279)-($U$9/2))</f>
        <v>0</v>
      </c>
      <c r="AO1279" s="73">
        <f>SUMIF($G1278:$T1278,"M",$G1279:$T1279)+SUMIF($W1278:$AJ1278,"M",$W1279:$AJ1279)</f>
        <v>0</v>
      </c>
      <c r="AP1279" s="73">
        <f>SUMIF($G1278:$T1278,"F",$G1279:$T1279)+SUMIF($W1278:$AJ1278,"F",$W1279:$AJ1279)</f>
        <v>40</v>
      </c>
      <c r="AQ1279" s="73">
        <f>SUMIF($G1278:$T1278,"V",$G1279:$T1279)+SUMIF($W1278:$AJ1278,"V",$W1279:$AJ1279)</f>
        <v>16</v>
      </c>
      <c r="AR1279" s="74">
        <f>SUMIF($G1278:$T1278,"O",$G1279:$T1279)+SUMIF($W1278:$AJ1278,"O",$W1279:$AJ1279)</f>
        <v>0</v>
      </c>
      <c r="AS1279" s="75">
        <f>SUM(AM1279:AR1279)</f>
        <v>80</v>
      </c>
      <c r="AT1279" s="72"/>
      <c r="AU1279" s="73">
        <f>SUMIF($G1278:$T1278,"A",$G1279:$T1279)+SUMIF($W1278:$AJ1278,"A",$W1279:$AJ1279)</f>
        <v>0</v>
      </c>
      <c r="AV1279" s="72"/>
      <c r="AW1279" s="76">
        <f>IF(B1279="",0,IF($U$9="",0,$U$9))</f>
        <v>80</v>
      </c>
      <c r="BA1279" s="2"/>
      <c r="BB1279" s="2"/>
      <c r="BC1279" s="101"/>
      <c r="BD1279" s="101"/>
    </row>
    <row r="1280" spans="2:56" s="84" customFormat="1" x14ac:dyDescent="0.35">
      <c r="B1280" s="26"/>
      <c r="C1280" s="27"/>
      <c r="D1280" s="28">
        <f>IF(D1206="","",D1206)</f>
        <v>78475</v>
      </c>
      <c r="E1280" s="29" t="str">
        <f t="shared" si="509"/>
        <v/>
      </c>
      <c r="F1280" s="50">
        <f>B1267</f>
        <v>1</v>
      </c>
      <c r="G1280" s="59"/>
      <c r="H1280" s="64"/>
      <c r="I1280" s="106"/>
      <c r="J1280" s="105"/>
      <c r="K1280" s="106"/>
      <c r="L1280" s="105" t="s">
        <v>1</v>
      </c>
      <c r="M1280" s="106"/>
      <c r="N1280" s="105" t="s">
        <v>1</v>
      </c>
      <c r="O1280" s="106"/>
      <c r="P1280" s="105" t="s">
        <v>13</v>
      </c>
      <c r="Q1280" s="106"/>
      <c r="R1280" s="105" t="s">
        <v>13</v>
      </c>
      <c r="S1280" s="59"/>
      <c r="T1280" s="64"/>
      <c r="U1280" s="44"/>
      <c r="W1280" s="59"/>
      <c r="X1280" s="64"/>
      <c r="Y1280" s="106"/>
      <c r="Z1280" s="105" t="s">
        <v>1</v>
      </c>
      <c r="AA1280" s="106"/>
      <c r="AB1280" s="105" t="s">
        <v>1</v>
      </c>
      <c r="AC1280" s="106"/>
      <c r="AD1280" s="105" t="s">
        <v>13</v>
      </c>
      <c r="AE1280" s="106"/>
      <c r="AF1280" s="105" t="s">
        <v>13</v>
      </c>
      <c r="AG1280" s="106"/>
      <c r="AH1280" s="105" t="s">
        <v>13</v>
      </c>
      <c r="AI1280" s="59"/>
      <c r="AJ1280" s="64"/>
      <c r="AK1280" s="44"/>
      <c r="AM1280" s="49"/>
      <c r="AN1280" s="49"/>
      <c r="AO1280" s="49"/>
      <c r="AP1280" s="49"/>
      <c r="AQ1280" s="49"/>
      <c r="AR1280" s="40"/>
      <c r="AS1280" s="51"/>
      <c r="AU1280" s="49"/>
      <c r="AW1280" s="52"/>
      <c r="BA1280" s="2"/>
      <c r="BB1280" s="2"/>
      <c r="BC1280" s="101"/>
      <c r="BD1280" s="101"/>
    </row>
    <row r="1281" spans="2:56" s="84" customFormat="1" x14ac:dyDescent="0.35">
      <c r="B1281" s="30" t="str">
        <f>IF(B1207="","",B1207)</f>
        <v>Charbonneau, Samuel</v>
      </c>
      <c r="C1281" s="31"/>
      <c r="D1281" s="32"/>
      <c r="E1281" s="33">
        <f t="shared" si="509"/>
        <v>93540</v>
      </c>
      <c r="F1281" s="50">
        <f>B1267</f>
        <v>1</v>
      </c>
      <c r="G1281" s="69"/>
      <c r="H1281" s="70"/>
      <c r="I1281" s="104"/>
      <c r="J1281" s="103">
        <v>8</v>
      </c>
      <c r="K1281" s="104"/>
      <c r="L1281" s="103">
        <v>8</v>
      </c>
      <c r="M1281" s="104"/>
      <c r="N1281" s="103">
        <v>8</v>
      </c>
      <c r="O1281" s="104"/>
      <c r="P1281" s="103">
        <v>8</v>
      </c>
      <c r="Q1281" s="104"/>
      <c r="R1281" s="103">
        <v>8</v>
      </c>
      <c r="S1281" s="69"/>
      <c r="T1281" s="70"/>
      <c r="U1281" s="71">
        <f t="shared" ref="U1281" si="513">SUM(G1281:T1281)</f>
        <v>40</v>
      </c>
      <c r="V1281" s="72"/>
      <c r="W1281" s="69"/>
      <c r="X1281" s="70"/>
      <c r="Y1281" s="104"/>
      <c r="Z1281" s="103">
        <v>8</v>
      </c>
      <c r="AA1281" s="104"/>
      <c r="AB1281" s="103">
        <v>8</v>
      </c>
      <c r="AC1281" s="104"/>
      <c r="AD1281" s="103">
        <v>8</v>
      </c>
      <c r="AE1281" s="104"/>
      <c r="AF1281" s="103">
        <v>8</v>
      </c>
      <c r="AG1281" s="104"/>
      <c r="AH1281" s="103">
        <v>8</v>
      </c>
      <c r="AI1281" s="69"/>
      <c r="AJ1281" s="70"/>
      <c r="AK1281" s="71">
        <f>SUM(W1281:AJ1281)</f>
        <v>40</v>
      </c>
      <c r="AL1281" s="72"/>
      <c r="AM1281" s="73">
        <f>SUMIF($G1280:$T1280,"",$G1281:$T1281)+SUMIF($W1280:$AJ1280,"",$W1281:$AJ1281)-AN1281</f>
        <v>8</v>
      </c>
      <c r="AN1281" s="88">
        <f>IF(SUMIF($G1280:$T1280,"",$G1281:$T1281)+SUMIF($G1280:$T1280,"F",$G1281:$T1281)+SUMIF($G1280:$T1280,"V",$G1281:$T1281)-40&lt;0,0,SUMIF($G1280:$T1280,"",$G1281:$T1281)+SUMIF($G1280:$T1280,"F",$G1281:$T1281)+SUMIF($G1280:$T1280,"V",$G1281:$T1281)-($U$9/2))+IF(SUMIF($W1280:$AJ1280,"",$W1281:$AJ1281)+SUMIF($W1280:$AJ1280,"F",$W1281:$AJ1281)+SUMIF($W1280:$AJ1280,"V",$W1281:$AJ1281)-40&lt;0,0,SUMIF($W1280:$AJ1280,"",$W1281:$AJ1281)+SUMIF($W1280:$AJ1280,"F",$W1281:$AJ1281)+SUMIF($W1280:$AJ1280,"V",$W1281:$AJ1281)-($U$9/2))</f>
        <v>0</v>
      </c>
      <c r="AO1281" s="73">
        <f>SUMIF($G1280:$T1280,"M",$G1281:$T1281)+SUMIF($W1280:$AJ1280,"M",$W1281:$AJ1281)</f>
        <v>0</v>
      </c>
      <c r="AP1281" s="73">
        <f>SUMIF($G1280:$T1280,"F",$G1281:$T1281)+SUMIF($W1280:$AJ1280,"F",$W1281:$AJ1281)</f>
        <v>40</v>
      </c>
      <c r="AQ1281" s="73">
        <f>SUMIF($G1280:$T1280,"V",$G1281:$T1281)+SUMIF($W1280:$AJ1280,"V",$W1281:$AJ1281)</f>
        <v>32</v>
      </c>
      <c r="AR1281" s="74">
        <f>SUMIF($G1280:$T1280,"O",$G1281:$T1281)+SUMIF($W1280:$AJ1280,"O",$W1281:$AJ1281)</f>
        <v>0</v>
      </c>
      <c r="AS1281" s="75">
        <f>SUM(AM1281:AR1281)</f>
        <v>80</v>
      </c>
      <c r="AT1281" s="72"/>
      <c r="AU1281" s="73">
        <f>SUMIF($G1280:$T1280,"A",$G1281:$T1281)+SUMIF($W1280:$AJ1280,"A",$W1281:$AJ1281)</f>
        <v>0</v>
      </c>
      <c r="AV1281" s="72"/>
      <c r="AW1281" s="76">
        <f>IF(B1281="",0,IF($U$9="",0,$U$9))</f>
        <v>80</v>
      </c>
      <c r="BA1281" s="2"/>
      <c r="BB1281" s="2"/>
      <c r="BC1281" s="101"/>
      <c r="BD1281" s="101"/>
    </row>
    <row r="1282" spans="2:56" s="84" customFormat="1" x14ac:dyDescent="0.35">
      <c r="B1282" s="26"/>
      <c r="C1282" s="27"/>
      <c r="D1282" s="28" t="str">
        <f>IF(D1208="","",D1208)</f>
        <v/>
      </c>
      <c r="E1282" s="29" t="str">
        <f t="shared" si="509"/>
        <v/>
      </c>
      <c r="F1282" s="50">
        <f>B1267</f>
        <v>1</v>
      </c>
      <c r="G1282" s="59"/>
      <c r="H1282" s="64"/>
      <c r="I1282" s="106"/>
      <c r="J1282" s="105"/>
      <c r="K1282" s="106"/>
      <c r="L1282" s="105"/>
      <c r="M1282" s="106"/>
      <c r="N1282" s="105"/>
      <c r="O1282" s="106"/>
      <c r="P1282" s="105"/>
      <c r="Q1282" s="106"/>
      <c r="R1282" s="105"/>
      <c r="S1282" s="59"/>
      <c r="T1282" s="64"/>
      <c r="U1282" s="44"/>
      <c r="W1282" s="59"/>
      <c r="X1282" s="64"/>
      <c r="Y1282" s="106"/>
      <c r="Z1282" s="105"/>
      <c r="AA1282" s="106"/>
      <c r="AB1282" s="105"/>
      <c r="AC1282" s="106"/>
      <c r="AD1282" s="105"/>
      <c r="AE1282" s="106"/>
      <c r="AF1282" s="105"/>
      <c r="AG1282" s="106"/>
      <c r="AH1282" s="105"/>
      <c r="AI1282" s="59"/>
      <c r="AJ1282" s="64"/>
      <c r="AK1282" s="44"/>
      <c r="AM1282" s="49"/>
      <c r="AN1282" s="49"/>
      <c r="AO1282" s="49"/>
      <c r="AP1282" s="49"/>
      <c r="AQ1282" s="49"/>
      <c r="AR1282" s="40"/>
      <c r="AS1282" s="51"/>
      <c r="AU1282" s="49"/>
      <c r="AW1282" s="52"/>
      <c r="BA1282" s="2"/>
      <c r="BB1282" s="2"/>
      <c r="BC1282" s="101"/>
      <c r="BD1282" s="101"/>
    </row>
    <row r="1283" spans="2:56" s="84" customFormat="1" x14ac:dyDescent="0.35">
      <c r="B1283" s="30" t="str">
        <f>IF(B1209="","",B1209)</f>
        <v/>
      </c>
      <c r="C1283" s="31"/>
      <c r="D1283" s="32"/>
      <c r="E1283" s="33" t="str">
        <f t="shared" si="509"/>
        <v/>
      </c>
      <c r="F1283" s="50">
        <f>B1267</f>
        <v>1</v>
      </c>
      <c r="G1283" s="69"/>
      <c r="H1283" s="70"/>
      <c r="I1283" s="104"/>
      <c r="J1283" s="103"/>
      <c r="K1283" s="104"/>
      <c r="L1283" s="103"/>
      <c r="M1283" s="104"/>
      <c r="N1283" s="103"/>
      <c r="O1283" s="104"/>
      <c r="P1283" s="103"/>
      <c r="Q1283" s="104"/>
      <c r="R1283" s="103"/>
      <c r="S1283" s="69"/>
      <c r="T1283" s="70"/>
      <c r="U1283" s="71">
        <f t="shared" ref="U1283" si="514">SUM(G1283:T1283)</f>
        <v>0</v>
      </c>
      <c r="V1283" s="72"/>
      <c r="W1283" s="69"/>
      <c r="X1283" s="70"/>
      <c r="Y1283" s="104"/>
      <c r="Z1283" s="103"/>
      <c r="AA1283" s="104"/>
      <c r="AB1283" s="103"/>
      <c r="AC1283" s="104"/>
      <c r="AD1283" s="103"/>
      <c r="AE1283" s="104"/>
      <c r="AF1283" s="103"/>
      <c r="AG1283" s="104"/>
      <c r="AH1283" s="103"/>
      <c r="AI1283" s="69"/>
      <c r="AJ1283" s="70"/>
      <c r="AK1283" s="71">
        <f>SUM(W1283:AJ1283)</f>
        <v>0</v>
      </c>
      <c r="AL1283" s="72"/>
      <c r="AM1283" s="73">
        <f>SUMIF($G1282:$T1282,"",$G1283:$T1283)+SUMIF($W1282:$AJ1282,"",$W1283:$AJ1283)-AN1283</f>
        <v>0</v>
      </c>
      <c r="AN1283" s="88">
        <f>IF(SUMIF($G1282:$T1282,"",$G1283:$T1283)+SUMIF($G1282:$T1282,"F",$G1283:$T1283)+SUMIF($G1282:$T1282,"V",$G1283:$T1283)-40&lt;0,0,SUMIF($G1282:$T1282,"",$G1283:$T1283)+SUMIF($G1282:$T1282,"F",$G1283:$T1283)+SUMIF($G1282:$T1282,"V",$G1283:$T1283)-($U$9/2))+IF(SUMIF($W1282:$AJ1282,"",$W1283:$AJ1283)+SUMIF($W1282:$AJ1282,"F",$W1283:$AJ1283)+SUMIF($W1282:$AJ1282,"V",$W1283:$AJ1283)-40&lt;0,0,SUMIF($W1282:$AJ1282,"",$W1283:$AJ1283)+SUMIF($W1282:$AJ1282,"F",$W1283:$AJ1283)+SUMIF($W1282:$AJ1282,"V",$W1283:$AJ1283)-($U$9/2))</f>
        <v>0</v>
      </c>
      <c r="AO1283" s="73">
        <f>SUMIF($G1282:$T1282,"M",$G1283:$T1283)+SUMIF($W1282:$AJ1282,"M",$W1283:$AJ1283)</f>
        <v>0</v>
      </c>
      <c r="AP1283" s="73">
        <f>SUMIF($G1282:$T1282,"F",$G1283:$T1283)+SUMIF($W1282:$AJ1282,"F",$W1283:$AJ1283)</f>
        <v>0</v>
      </c>
      <c r="AQ1283" s="73">
        <f>SUMIF($G1282:$T1282,"V",$G1283:$T1283)+SUMIF($W1282:$AJ1282,"V",$W1283:$AJ1283)</f>
        <v>0</v>
      </c>
      <c r="AR1283" s="74">
        <f>SUMIF($G1282:$T1282,"O",$G1283:$T1283)+SUMIF($W1282:$AJ1282,"O",$W1283:$AJ1283)</f>
        <v>0</v>
      </c>
      <c r="AS1283" s="75">
        <f>SUM(AM1283:AR1283)</f>
        <v>0</v>
      </c>
      <c r="AT1283" s="72"/>
      <c r="AU1283" s="73">
        <f>SUMIF($G1282:$T1282,"A",$G1283:$T1283)+SUMIF($W1282:$AJ1282,"A",$W1283:$AJ1283)</f>
        <v>0</v>
      </c>
      <c r="AV1283" s="72"/>
      <c r="AW1283" s="76">
        <f>IF(B1283="",0,IF($U$9="",0,$U$9))</f>
        <v>0</v>
      </c>
      <c r="BA1283" s="2"/>
      <c r="BB1283" s="2"/>
      <c r="BC1283" s="101"/>
      <c r="BD1283" s="101"/>
    </row>
    <row r="1284" spans="2:56" s="84" customFormat="1" x14ac:dyDescent="0.35">
      <c r="B1284" s="26"/>
      <c r="C1284" s="27"/>
      <c r="D1284" s="28">
        <f>IF(D1210="","",D1210)</f>
        <v>79709</v>
      </c>
      <c r="E1284" s="29" t="str">
        <f t="shared" si="509"/>
        <v/>
      </c>
      <c r="F1284" s="50">
        <f>B1267</f>
        <v>1</v>
      </c>
      <c r="G1284" s="59"/>
      <c r="H1284" s="64"/>
      <c r="I1284" s="106"/>
      <c r="J1284" s="105"/>
      <c r="K1284" s="106"/>
      <c r="L1284" s="105"/>
      <c r="M1284" s="106"/>
      <c r="N1284" s="105"/>
      <c r="O1284" s="106"/>
      <c r="P1284" s="105" t="s">
        <v>13</v>
      </c>
      <c r="Q1284" s="106"/>
      <c r="R1284" s="105" t="s">
        <v>13</v>
      </c>
      <c r="S1284" s="59"/>
      <c r="T1284" s="64"/>
      <c r="U1284" s="44"/>
      <c r="W1284" s="59"/>
      <c r="X1284" s="64"/>
      <c r="Y1284" s="106"/>
      <c r="Z1284" s="105" t="s">
        <v>1</v>
      </c>
      <c r="AA1284" s="106"/>
      <c r="AB1284" s="105" t="s">
        <v>1</v>
      </c>
      <c r="AC1284" s="106"/>
      <c r="AD1284" s="105" t="s">
        <v>13</v>
      </c>
      <c r="AE1284" s="106"/>
      <c r="AF1284" s="105" t="s">
        <v>13</v>
      </c>
      <c r="AG1284" s="106"/>
      <c r="AH1284" s="105" t="s">
        <v>13</v>
      </c>
      <c r="AI1284" s="59"/>
      <c r="AJ1284" s="64"/>
      <c r="AK1284" s="44"/>
      <c r="AM1284" s="49"/>
      <c r="AN1284" s="49"/>
      <c r="AO1284" s="49"/>
      <c r="AP1284" s="49"/>
      <c r="AQ1284" s="49"/>
      <c r="AR1284" s="40"/>
      <c r="AS1284" s="51"/>
      <c r="AU1284" s="49"/>
      <c r="AW1284" s="52"/>
      <c r="BA1284" s="2"/>
      <c r="BB1284" s="2"/>
      <c r="BC1284" s="101"/>
      <c r="BD1284" s="101"/>
    </row>
    <row r="1285" spans="2:56" s="84" customFormat="1" x14ac:dyDescent="0.35">
      <c r="B1285" s="30" t="str">
        <f>IF(B1211="","",B1211)</f>
        <v>De Rose, Natale</v>
      </c>
      <c r="C1285" s="31"/>
      <c r="D1285" s="32"/>
      <c r="E1285" s="33">
        <f t="shared" si="509"/>
        <v>93595935</v>
      </c>
      <c r="F1285" s="50">
        <f>B1267</f>
        <v>1</v>
      </c>
      <c r="G1285" s="69"/>
      <c r="H1285" s="70"/>
      <c r="I1285" s="104"/>
      <c r="J1285" s="103">
        <v>8</v>
      </c>
      <c r="K1285" s="104"/>
      <c r="L1285" s="103">
        <v>8</v>
      </c>
      <c r="M1285" s="104"/>
      <c r="N1285" s="103">
        <v>8</v>
      </c>
      <c r="O1285" s="104"/>
      <c r="P1285" s="103">
        <v>8</v>
      </c>
      <c r="Q1285" s="104"/>
      <c r="R1285" s="103">
        <v>8</v>
      </c>
      <c r="S1285" s="69"/>
      <c r="T1285" s="70"/>
      <c r="U1285" s="71">
        <f t="shared" ref="U1285" si="515">SUM(G1285:T1285)</f>
        <v>40</v>
      </c>
      <c r="V1285" s="72"/>
      <c r="W1285" s="69"/>
      <c r="X1285" s="70"/>
      <c r="Y1285" s="104"/>
      <c r="Z1285" s="103">
        <v>8</v>
      </c>
      <c r="AA1285" s="104"/>
      <c r="AB1285" s="103">
        <v>8</v>
      </c>
      <c r="AC1285" s="104"/>
      <c r="AD1285" s="103">
        <v>8</v>
      </c>
      <c r="AE1285" s="104"/>
      <c r="AF1285" s="103">
        <v>8</v>
      </c>
      <c r="AG1285" s="104"/>
      <c r="AH1285" s="103">
        <v>8</v>
      </c>
      <c r="AI1285" s="69"/>
      <c r="AJ1285" s="70"/>
      <c r="AK1285" s="71">
        <f>SUM(W1285:AJ1285)</f>
        <v>40</v>
      </c>
      <c r="AL1285" s="72"/>
      <c r="AM1285" s="73">
        <f>SUMIF($G1284:$T1284,"",$G1285:$T1285)+SUMIF($W1284:$AJ1284,"",$W1285:$AJ1285)-AN1285</f>
        <v>24</v>
      </c>
      <c r="AN1285" s="88">
        <f>IF(SUMIF($G1284:$T1284,"",$G1285:$T1285)+SUMIF($G1284:$T1284,"F",$G1285:$T1285)+SUMIF($G1284:$T1284,"V",$G1285:$T1285)-40&lt;0,0,SUMIF($G1284:$T1284,"",$G1285:$T1285)+SUMIF($G1284:$T1284,"F",$G1285:$T1285)+SUMIF($G1284:$T1284,"V",$G1285:$T1285)-($U$9/2))+IF(SUMIF($W1284:$AJ1284,"",$W1285:$AJ1285)+SUMIF($W1284:$AJ1284,"F",$W1285:$AJ1285)+SUMIF($W1284:$AJ1284,"V",$W1285:$AJ1285)-40&lt;0,0,SUMIF($W1284:$AJ1284,"",$W1285:$AJ1285)+SUMIF($W1284:$AJ1284,"F",$W1285:$AJ1285)+SUMIF($W1284:$AJ1284,"V",$W1285:$AJ1285)-($U$9/2))</f>
        <v>0</v>
      </c>
      <c r="AO1285" s="73">
        <f>SUMIF($G1284:$T1284,"M",$G1285:$T1285)+SUMIF($W1284:$AJ1284,"M",$W1285:$AJ1285)</f>
        <v>0</v>
      </c>
      <c r="AP1285" s="73">
        <f>SUMIF($G1284:$T1284,"F",$G1285:$T1285)+SUMIF($W1284:$AJ1284,"F",$W1285:$AJ1285)</f>
        <v>40</v>
      </c>
      <c r="AQ1285" s="73">
        <f>SUMIF($G1284:$T1284,"V",$G1285:$T1285)+SUMIF($W1284:$AJ1284,"V",$W1285:$AJ1285)</f>
        <v>16</v>
      </c>
      <c r="AR1285" s="74">
        <f>SUMIF($G1284:$T1284,"O",$G1285:$T1285)+SUMIF($W1284:$AJ1284,"O",$W1285:$AJ1285)</f>
        <v>0</v>
      </c>
      <c r="AS1285" s="75">
        <f>SUM(AM1285:AR1285)</f>
        <v>80</v>
      </c>
      <c r="AT1285" s="72"/>
      <c r="AU1285" s="73">
        <f>SUMIF($G1284:$T1284,"A",$G1285:$T1285)+SUMIF($W1284:$AJ1284,"A",$W1285:$AJ1285)</f>
        <v>0</v>
      </c>
      <c r="AV1285" s="72"/>
      <c r="AW1285" s="76">
        <f>IF(B1285="",0,IF($U$9="",0,$U$9))</f>
        <v>80</v>
      </c>
      <c r="BA1285" s="2"/>
      <c r="BB1285" s="2"/>
      <c r="BC1285" s="101"/>
      <c r="BD1285" s="101"/>
    </row>
    <row r="1286" spans="2:56" s="84" customFormat="1" x14ac:dyDescent="0.35">
      <c r="B1286" s="26"/>
      <c r="C1286" s="27"/>
      <c r="D1286" s="28">
        <f>IF(D1212="","",D1212)</f>
        <v>92027</v>
      </c>
      <c r="E1286" s="29" t="str">
        <f t="shared" si="509"/>
        <v/>
      </c>
      <c r="F1286" s="50">
        <f>B1267</f>
        <v>1</v>
      </c>
      <c r="G1286" s="59"/>
      <c r="H1286" s="64"/>
      <c r="I1286" s="106"/>
      <c r="J1286" s="105" t="s">
        <v>1</v>
      </c>
      <c r="K1286" s="106"/>
      <c r="L1286" s="105" t="s">
        <v>1</v>
      </c>
      <c r="M1286" s="106"/>
      <c r="N1286" s="105" t="s">
        <v>1</v>
      </c>
      <c r="O1286" s="106"/>
      <c r="P1286" s="105" t="s">
        <v>13</v>
      </c>
      <c r="Q1286" s="106"/>
      <c r="R1286" s="105" t="s">
        <v>13</v>
      </c>
      <c r="S1286" s="59"/>
      <c r="T1286" s="64"/>
      <c r="U1286" s="44"/>
      <c r="W1286" s="59"/>
      <c r="X1286" s="64"/>
      <c r="Y1286" s="106"/>
      <c r="Z1286" s="105" t="s">
        <v>1</v>
      </c>
      <c r="AA1286" s="106"/>
      <c r="AB1286" s="105" t="s">
        <v>1</v>
      </c>
      <c r="AC1286" s="106"/>
      <c r="AD1286" s="105" t="s">
        <v>13</v>
      </c>
      <c r="AE1286" s="106"/>
      <c r="AF1286" s="105" t="s">
        <v>13</v>
      </c>
      <c r="AG1286" s="106"/>
      <c r="AH1286" s="105" t="s">
        <v>13</v>
      </c>
      <c r="AI1286" s="59"/>
      <c r="AJ1286" s="64"/>
      <c r="AK1286" s="44"/>
      <c r="AM1286" s="49"/>
      <c r="AN1286" s="49"/>
      <c r="AO1286" s="49"/>
      <c r="AP1286" s="49"/>
      <c r="AQ1286" s="49"/>
      <c r="AR1286" s="40"/>
      <c r="AS1286" s="51"/>
      <c r="AU1286" s="49"/>
      <c r="AW1286" s="52"/>
      <c r="BA1286" s="2"/>
      <c r="BB1286" s="2"/>
      <c r="BC1286" s="101"/>
      <c r="BD1286" s="101"/>
    </row>
    <row r="1287" spans="2:56" s="84" customFormat="1" x14ac:dyDescent="0.35">
      <c r="B1287" s="30" t="str">
        <f>IF(B1213="","",B1213)</f>
        <v>Descoteaux, Gerald</v>
      </c>
      <c r="C1287" s="31"/>
      <c r="D1287" s="32"/>
      <c r="E1287" s="33">
        <f t="shared" si="509"/>
        <v>93595935</v>
      </c>
      <c r="F1287" s="50">
        <f>B1267</f>
        <v>1</v>
      </c>
      <c r="G1287" s="69"/>
      <c r="H1287" s="70"/>
      <c r="I1287" s="104"/>
      <c r="J1287" s="103">
        <v>8</v>
      </c>
      <c r="K1287" s="104"/>
      <c r="L1287" s="103">
        <v>8</v>
      </c>
      <c r="M1287" s="104"/>
      <c r="N1287" s="103">
        <v>8</v>
      </c>
      <c r="O1287" s="104"/>
      <c r="P1287" s="103">
        <v>8</v>
      </c>
      <c r="Q1287" s="104"/>
      <c r="R1287" s="103">
        <v>8</v>
      </c>
      <c r="S1287" s="69"/>
      <c r="T1287" s="70"/>
      <c r="U1287" s="71">
        <f t="shared" ref="U1287" si="516">SUM(G1287:T1287)</f>
        <v>40</v>
      </c>
      <c r="V1287" s="72"/>
      <c r="W1287" s="69"/>
      <c r="X1287" s="70"/>
      <c r="Y1287" s="104"/>
      <c r="Z1287" s="103">
        <v>8</v>
      </c>
      <c r="AA1287" s="104"/>
      <c r="AB1287" s="103">
        <v>8</v>
      </c>
      <c r="AC1287" s="104"/>
      <c r="AD1287" s="103">
        <v>8</v>
      </c>
      <c r="AE1287" s="104"/>
      <c r="AF1287" s="103">
        <v>8</v>
      </c>
      <c r="AG1287" s="104"/>
      <c r="AH1287" s="103">
        <v>8</v>
      </c>
      <c r="AI1287" s="69"/>
      <c r="AJ1287" s="70"/>
      <c r="AK1287" s="71">
        <f>SUM(W1287:AJ1287)</f>
        <v>40</v>
      </c>
      <c r="AL1287" s="72"/>
      <c r="AM1287" s="73">
        <f>SUMIF($G1286:$T1286,"",$G1287:$T1287)+SUMIF($W1286:$AJ1286,"",$W1287:$AJ1287)-AN1287</f>
        <v>0</v>
      </c>
      <c r="AN1287" s="88">
        <f>IF(SUMIF($G1286:$T1286,"",$G1287:$T1287)+SUMIF($G1286:$T1286,"F",$G1287:$T1287)+SUMIF($G1286:$T1286,"V",$G1287:$T1287)-40&lt;0,0,SUMIF($G1286:$T1286,"",$G1287:$T1287)+SUMIF($G1286:$T1286,"F",$G1287:$T1287)+SUMIF($G1286:$T1286,"V",$G1287:$T1287)-($U$9/2))+IF(SUMIF($W1286:$AJ1286,"",$W1287:$AJ1287)+SUMIF($W1286:$AJ1286,"F",$W1287:$AJ1287)+SUMIF($W1286:$AJ1286,"V",$W1287:$AJ1287)-40&lt;0,0,SUMIF($W1286:$AJ1286,"",$W1287:$AJ1287)+SUMIF($W1286:$AJ1286,"F",$W1287:$AJ1287)+SUMIF($W1286:$AJ1286,"V",$W1287:$AJ1287)-($U$9/2))</f>
        <v>0</v>
      </c>
      <c r="AO1287" s="73">
        <f>SUMIF($G1286:$T1286,"M",$G1287:$T1287)+SUMIF($W1286:$AJ1286,"M",$W1287:$AJ1287)</f>
        <v>0</v>
      </c>
      <c r="AP1287" s="73">
        <f>SUMIF($G1286:$T1286,"F",$G1287:$T1287)+SUMIF($W1286:$AJ1286,"F",$W1287:$AJ1287)</f>
        <v>40</v>
      </c>
      <c r="AQ1287" s="73">
        <f>SUMIF($G1286:$T1286,"V",$G1287:$T1287)+SUMIF($W1286:$AJ1286,"V",$W1287:$AJ1287)</f>
        <v>40</v>
      </c>
      <c r="AR1287" s="74">
        <f>SUMIF($G1286:$T1286,"O",$G1287:$T1287)+SUMIF($W1286:$AJ1286,"O",$W1287:$AJ1287)</f>
        <v>0</v>
      </c>
      <c r="AS1287" s="75">
        <f>SUM(AM1287:AR1287)</f>
        <v>80</v>
      </c>
      <c r="AT1287" s="72"/>
      <c r="AU1287" s="73">
        <f>SUMIF($G1286:$T1286,"A",$G1287:$T1287)+SUMIF($W1286:$AJ1286,"A",$W1287:$AJ1287)</f>
        <v>0</v>
      </c>
      <c r="AV1287" s="72"/>
      <c r="AW1287" s="76">
        <f>IF(B1287="",0,IF($U$9="",0,$U$9))</f>
        <v>80</v>
      </c>
      <c r="BA1287" s="2"/>
      <c r="BB1287" s="2"/>
      <c r="BC1287" s="101"/>
      <c r="BD1287" s="101"/>
    </row>
    <row r="1288" spans="2:56" s="84" customFormat="1" x14ac:dyDescent="0.35">
      <c r="B1288" s="26"/>
      <c r="C1288" s="27"/>
      <c r="D1288" s="28">
        <f>IF(D1214="","",D1214)</f>
        <v>73795</v>
      </c>
      <c r="E1288" s="29" t="str">
        <f t="shared" si="509"/>
        <v/>
      </c>
      <c r="F1288" s="50">
        <f>B1267</f>
        <v>1</v>
      </c>
      <c r="G1288" s="59"/>
      <c r="H1288" s="64"/>
      <c r="I1288" s="106"/>
      <c r="J1288" s="130" t="s">
        <v>12</v>
      </c>
      <c r="K1288" s="106"/>
      <c r="L1288" s="105"/>
      <c r="M1288" s="106"/>
      <c r="N1288" s="105"/>
      <c r="O1288" s="106"/>
      <c r="P1288" s="105" t="s">
        <v>13</v>
      </c>
      <c r="Q1288" s="106"/>
      <c r="R1288" s="105" t="s">
        <v>13</v>
      </c>
      <c r="S1288" s="59"/>
      <c r="T1288" s="64"/>
      <c r="U1288" s="44"/>
      <c r="W1288" s="59"/>
      <c r="X1288" s="64"/>
      <c r="Y1288" s="106"/>
      <c r="Z1288" s="131" t="s">
        <v>1</v>
      </c>
      <c r="AA1288" s="106"/>
      <c r="AB1288" s="105" t="s">
        <v>1</v>
      </c>
      <c r="AC1288" s="106"/>
      <c r="AD1288" s="105" t="s">
        <v>13</v>
      </c>
      <c r="AE1288" s="106"/>
      <c r="AF1288" s="105" t="s">
        <v>13</v>
      </c>
      <c r="AG1288" s="106"/>
      <c r="AH1288" s="105" t="s">
        <v>13</v>
      </c>
      <c r="AI1288" s="59"/>
      <c r="AJ1288" s="64"/>
      <c r="AK1288" s="44"/>
      <c r="AM1288" s="49"/>
      <c r="AN1288" s="49"/>
      <c r="AO1288" s="49"/>
      <c r="AP1288" s="49"/>
      <c r="AQ1288" s="49"/>
      <c r="AR1288" s="40"/>
      <c r="AS1288" s="51"/>
      <c r="AU1288" s="49"/>
      <c r="AW1288" s="52"/>
      <c r="BA1288" s="2"/>
      <c r="BB1288" s="2"/>
      <c r="BC1288" s="101"/>
      <c r="BD1288" s="101"/>
    </row>
    <row r="1289" spans="2:56" s="84" customFormat="1" x14ac:dyDescent="0.35">
      <c r="B1289" s="30" t="str">
        <f>IF(B1215="","",B1215)</f>
        <v>Fortin, Veronique</v>
      </c>
      <c r="C1289" s="31"/>
      <c r="D1289" s="32"/>
      <c r="E1289" s="33">
        <f t="shared" si="509"/>
        <v>93540</v>
      </c>
      <c r="F1289" s="50">
        <f>B1267</f>
        <v>1</v>
      </c>
      <c r="G1289" s="69"/>
      <c r="H1289" s="70"/>
      <c r="I1289" s="104"/>
      <c r="J1289" s="103">
        <v>8</v>
      </c>
      <c r="K1289" s="104"/>
      <c r="L1289" s="103">
        <v>8</v>
      </c>
      <c r="M1289" s="104"/>
      <c r="N1289" s="103">
        <v>8</v>
      </c>
      <c r="O1289" s="104"/>
      <c r="P1289" s="103">
        <v>8</v>
      </c>
      <c r="Q1289" s="104"/>
      <c r="R1289" s="103">
        <v>8</v>
      </c>
      <c r="S1289" s="69"/>
      <c r="T1289" s="70"/>
      <c r="U1289" s="71">
        <f t="shared" ref="U1289" si="517">SUM(G1289:T1289)</f>
        <v>40</v>
      </c>
      <c r="V1289" s="72"/>
      <c r="W1289" s="69"/>
      <c r="X1289" s="70"/>
      <c r="Y1289" s="104"/>
      <c r="Z1289" s="103">
        <v>8</v>
      </c>
      <c r="AA1289" s="104"/>
      <c r="AB1289" s="103">
        <v>8</v>
      </c>
      <c r="AC1289" s="104"/>
      <c r="AD1289" s="103">
        <v>8</v>
      </c>
      <c r="AE1289" s="104"/>
      <c r="AF1289" s="103">
        <v>8</v>
      </c>
      <c r="AG1289" s="104"/>
      <c r="AH1289" s="103">
        <v>8</v>
      </c>
      <c r="AI1289" s="69"/>
      <c r="AJ1289" s="70"/>
      <c r="AK1289" s="71">
        <f>SUM(W1289:AJ1289)</f>
        <v>40</v>
      </c>
      <c r="AL1289" s="72"/>
      <c r="AM1289" s="73">
        <f>SUMIF($G1288:$T1288,"",$G1289:$T1289)+SUMIF($W1288:$AJ1288,"",$W1289:$AJ1289)-AN1289</f>
        <v>16</v>
      </c>
      <c r="AN1289" s="88">
        <f>IF(SUMIF($G1288:$T1288,"",$G1289:$T1289)+SUMIF($G1288:$T1288,"F",$G1289:$T1289)+SUMIF($G1288:$T1288,"V",$G1289:$T1289)-40&lt;0,0,SUMIF($G1288:$T1288,"",$G1289:$T1289)+SUMIF($G1288:$T1288,"F",$G1289:$T1289)+SUMIF($G1288:$T1288,"V",$G1289:$T1289)-($U$9/2))+IF(SUMIF($W1288:$AJ1288,"",$W1289:$AJ1289)+SUMIF($W1288:$AJ1288,"F",$W1289:$AJ1289)+SUMIF($W1288:$AJ1288,"V",$W1289:$AJ1289)-40&lt;0,0,SUMIF($W1288:$AJ1288,"",$W1289:$AJ1289)+SUMIF($W1288:$AJ1288,"F",$W1289:$AJ1289)+SUMIF($W1288:$AJ1288,"V",$W1289:$AJ1289)-($U$9/2))</f>
        <v>0</v>
      </c>
      <c r="AO1289" s="73">
        <f>SUMIF($G1288:$T1288,"M",$G1289:$T1289)+SUMIF($W1288:$AJ1288,"M",$W1289:$AJ1289)</f>
        <v>8</v>
      </c>
      <c r="AP1289" s="73">
        <f>SUMIF($G1288:$T1288,"F",$G1289:$T1289)+SUMIF($W1288:$AJ1288,"F",$W1289:$AJ1289)</f>
        <v>40</v>
      </c>
      <c r="AQ1289" s="73">
        <f>SUMIF($G1288:$T1288,"V",$G1289:$T1289)+SUMIF($W1288:$AJ1288,"V",$W1289:$AJ1289)</f>
        <v>16</v>
      </c>
      <c r="AR1289" s="74">
        <f>SUMIF($G1288:$T1288,"O",$G1289:$T1289)+SUMIF($W1288:$AJ1288,"O",$W1289:$AJ1289)</f>
        <v>0</v>
      </c>
      <c r="AS1289" s="75">
        <f>SUM(AM1289:AR1289)</f>
        <v>80</v>
      </c>
      <c r="AT1289" s="72"/>
      <c r="AU1289" s="73">
        <f>SUMIF($G1288:$T1288,"A",$G1289:$T1289)+SUMIF($W1288:$AJ1288,"A",$W1289:$AJ1289)</f>
        <v>0</v>
      </c>
      <c r="AV1289" s="72"/>
      <c r="AW1289" s="76">
        <f>IF(B1289="",0,IF($U$9="",0,$U$9))</f>
        <v>80</v>
      </c>
      <c r="BA1289" s="2"/>
      <c r="BB1289" s="2"/>
      <c r="BC1289" s="101"/>
      <c r="BD1289" s="101"/>
    </row>
    <row r="1290" spans="2:56" s="84" customFormat="1" x14ac:dyDescent="0.35">
      <c r="B1290" s="26"/>
      <c r="C1290" s="27"/>
      <c r="D1290" s="28">
        <f>IF(D1216="","",D1216)</f>
        <v>23206</v>
      </c>
      <c r="E1290" s="29" t="str">
        <f t="shared" si="509"/>
        <v/>
      </c>
      <c r="F1290" s="50">
        <f>B1267</f>
        <v>1</v>
      </c>
      <c r="G1290" s="59"/>
      <c r="H1290" s="64"/>
      <c r="I1290" s="106"/>
      <c r="J1290" s="105" t="s">
        <v>1</v>
      </c>
      <c r="K1290" s="106"/>
      <c r="L1290" s="105" t="s">
        <v>1</v>
      </c>
      <c r="M1290" s="106"/>
      <c r="N1290" s="105" t="s">
        <v>1</v>
      </c>
      <c r="O1290" s="106"/>
      <c r="P1290" s="105" t="s">
        <v>13</v>
      </c>
      <c r="Q1290" s="106"/>
      <c r="R1290" s="105" t="s">
        <v>13</v>
      </c>
      <c r="S1290" s="59"/>
      <c r="T1290" s="64"/>
      <c r="U1290" s="44"/>
      <c r="W1290" s="59"/>
      <c r="X1290" s="64"/>
      <c r="Y1290" s="106"/>
      <c r="Z1290" s="105" t="s">
        <v>1</v>
      </c>
      <c r="AA1290" s="106"/>
      <c r="AB1290" s="105" t="s">
        <v>1</v>
      </c>
      <c r="AC1290" s="106"/>
      <c r="AD1290" s="105" t="s">
        <v>13</v>
      </c>
      <c r="AE1290" s="106"/>
      <c r="AF1290" s="105" t="s">
        <v>13</v>
      </c>
      <c r="AG1290" s="106"/>
      <c r="AH1290" s="105" t="s">
        <v>13</v>
      </c>
      <c r="AI1290" s="59"/>
      <c r="AJ1290" s="64"/>
      <c r="AK1290" s="44"/>
      <c r="AM1290" s="49"/>
      <c r="AN1290" s="49"/>
      <c r="AO1290" s="49"/>
      <c r="AP1290" s="49"/>
      <c r="AQ1290" s="49"/>
      <c r="AR1290" s="40"/>
      <c r="AS1290" s="51"/>
      <c r="AU1290" s="49"/>
      <c r="AW1290" s="52"/>
      <c r="BA1290" s="2"/>
      <c r="BB1290" s="2"/>
      <c r="BC1290" s="101"/>
      <c r="BD1290" s="101"/>
    </row>
    <row r="1291" spans="2:56" s="84" customFormat="1" x14ac:dyDescent="0.35">
      <c r="B1291" s="30" t="str">
        <f>IF(B1217="","",B1217)</f>
        <v>Gadbois, Dominic</v>
      </c>
      <c r="C1291" s="31"/>
      <c r="D1291" s="32"/>
      <c r="E1291" s="33">
        <f t="shared" si="509"/>
        <v>93545</v>
      </c>
      <c r="F1291" s="50">
        <f>B1267</f>
        <v>1</v>
      </c>
      <c r="G1291" s="69"/>
      <c r="H1291" s="70"/>
      <c r="I1291" s="104"/>
      <c r="J1291" s="103">
        <v>8</v>
      </c>
      <c r="K1291" s="104"/>
      <c r="L1291" s="103">
        <v>8</v>
      </c>
      <c r="M1291" s="104"/>
      <c r="N1291" s="103">
        <v>8</v>
      </c>
      <c r="O1291" s="104"/>
      <c r="P1291" s="103">
        <v>8</v>
      </c>
      <c r="Q1291" s="104"/>
      <c r="R1291" s="103">
        <v>8</v>
      </c>
      <c r="S1291" s="69"/>
      <c r="T1291" s="70"/>
      <c r="U1291" s="71">
        <f t="shared" ref="U1291" si="518">SUM(G1291:T1291)</f>
        <v>40</v>
      </c>
      <c r="V1291" s="72"/>
      <c r="W1291" s="69"/>
      <c r="X1291" s="70"/>
      <c r="Y1291" s="104"/>
      <c r="Z1291" s="103">
        <v>8</v>
      </c>
      <c r="AA1291" s="104"/>
      <c r="AB1291" s="103">
        <v>8</v>
      </c>
      <c r="AC1291" s="104"/>
      <c r="AD1291" s="103">
        <v>8</v>
      </c>
      <c r="AE1291" s="104"/>
      <c r="AF1291" s="103">
        <v>8</v>
      </c>
      <c r="AG1291" s="104"/>
      <c r="AH1291" s="103">
        <v>8</v>
      </c>
      <c r="AI1291" s="69"/>
      <c r="AJ1291" s="70"/>
      <c r="AK1291" s="71">
        <f>SUM(W1291:AJ1291)</f>
        <v>40</v>
      </c>
      <c r="AL1291" s="72"/>
      <c r="AM1291" s="73">
        <f>SUMIF($G1290:$T1290,"",$G1291:$T1291)+SUMIF($W1290:$AJ1290,"",$W1291:$AJ1291)-AN1291</f>
        <v>0</v>
      </c>
      <c r="AN1291" s="88">
        <f>IF(SUMIF($G1290:$T1290,"",$G1291:$T1291)+SUMIF($G1290:$T1290,"F",$G1291:$T1291)+SUMIF($G1290:$T1290,"V",$G1291:$T1291)-40&lt;0,0,SUMIF($G1290:$T1290,"",$G1291:$T1291)+SUMIF($G1290:$T1290,"F",$G1291:$T1291)+SUMIF($G1290:$T1290,"V",$G1291:$T1291)-($U$9/2))+IF(SUMIF($W1290:$AJ1290,"",$W1291:$AJ1291)+SUMIF($W1290:$AJ1290,"F",$W1291:$AJ1291)+SUMIF($W1290:$AJ1290,"V",$W1291:$AJ1291)-40&lt;0,0,SUMIF($W1290:$AJ1290,"",$W1291:$AJ1291)+SUMIF($W1290:$AJ1290,"F",$W1291:$AJ1291)+SUMIF($W1290:$AJ1290,"V",$W1291:$AJ1291)-($U$9/2))</f>
        <v>0</v>
      </c>
      <c r="AO1291" s="73">
        <f>SUMIF($G1290:$T1290,"M",$G1291:$T1291)+SUMIF($W1290:$AJ1290,"M",$W1291:$AJ1291)</f>
        <v>0</v>
      </c>
      <c r="AP1291" s="73">
        <f>SUMIF($G1290:$T1290,"F",$G1291:$T1291)+SUMIF($W1290:$AJ1290,"F",$W1291:$AJ1291)</f>
        <v>40</v>
      </c>
      <c r="AQ1291" s="73">
        <f>SUMIF($G1290:$T1290,"V",$G1291:$T1291)+SUMIF($W1290:$AJ1290,"V",$W1291:$AJ1291)</f>
        <v>40</v>
      </c>
      <c r="AR1291" s="74">
        <f>SUMIF($G1290:$T1290,"O",$G1291:$T1291)+SUMIF($W1290:$AJ1290,"O",$W1291:$AJ1291)</f>
        <v>0</v>
      </c>
      <c r="AS1291" s="75">
        <f>SUM(AM1291:AR1291)</f>
        <v>80</v>
      </c>
      <c r="AT1291" s="72"/>
      <c r="AU1291" s="73">
        <f>SUMIF($G1290:$T1290,"A",$G1291:$T1291)+SUMIF($W1290:$AJ1290,"A",$W1291:$AJ1291)</f>
        <v>0</v>
      </c>
      <c r="AV1291" s="72"/>
      <c r="AW1291" s="76">
        <f>IF(B1291="",0,IF($U$9="",0,$U$9))</f>
        <v>80</v>
      </c>
      <c r="BA1291" s="2"/>
      <c r="BB1291" s="2"/>
      <c r="BC1291" s="101"/>
      <c r="BD1291" s="101"/>
    </row>
    <row r="1292" spans="2:56" s="84" customFormat="1" x14ac:dyDescent="0.35">
      <c r="B1292" s="26"/>
      <c r="C1292" s="27"/>
      <c r="D1292" s="28">
        <f>IF(D1218="","",D1218)</f>
        <v>33664</v>
      </c>
      <c r="E1292" s="29" t="str">
        <f t="shared" si="509"/>
        <v/>
      </c>
      <c r="F1292" s="50">
        <f>B1267</f>
        <v>1</v>
      </c>
      <c r="G1292" s="59"/>
      <c r="H1292" s="64"/>
      <c r="I1292" s="106"/>
      <c r="J1292" s="105"/>
      <c r="K1292" s="106"/>
      <c r="L1292" s="105"/>
      <c r="M1292" s="106"/>
      <c r="N1292" s="105"/>
      <c r="O1292" s="106"/>
      <c r="P1292" s="105" t="s">
        <v>13</v>
      </c>
      <c r="Q1292" s="106"/>
      <c r="R1292" s="105" t="s">
        <v>13</v>
      </c>
      <c r="S1292" s="59"/>
      <c r="T1292" s="64"/>
      <c r="U1292" s="44"/>
      <c r="W1292" s="59"/>
      <c r="X1292" s="64"/>
      <c r="Y1292" s="106"/>
      <c r="Z1292" s="130" t="s">
        <v>12</v>
      </c>
      <c r="AA1292" s="106"/>
      <c r="AB1292" s="130" t="s">
        <v>12</v>
      </c>
      <c r="AC1292" s="106"/>
      <c r="AD1292" s="105" t="s">
        <v>13</v>
      </c>
      <c r="AE1292" s="106"/>
      <c r="AF1292" s="105" t="s">
        <v>13</v>
      </c>
      <c r="AG1292" s="106"/>
      <c r="AH1292" s="105" t="s">
        <v>13</v>
      </c>
      <c r="AI1292" s="59"/>
      <c r="AJ1292" s="64"/>
      <c r="AK1292" s="44"/>
      <c r="AM1292" s="49"/>
      <c r="AN1292" s="49"/>
      <c r="AO1292" s="49"/>
      <c r="AP1292" s="49"/>
      <c r="AQ1292" s="49"/>
      <c r="AR1292" s="40"/>
      <c r="AS1292" s="51"/>
      <c r="AU1292" s="49"/>
      <c r="AW1292" s="52"/>
      <c r="BA1292" s="2"/>
      <c r="BB1292" s="2"/>
      <c r="BC1292" s="101"/>
      <c r="BD1292" s="101"/>
    </row>
    <row r="1293" spans="2:56" s="84" customFormat="1" x14ac:dyDescent="0.35">
      <c r="B1293" s="30" t="str">
        <f>IF(B1219="","",B1219)</f>
        <v>Knox Michaud, Jessy</v>
      </c>
      <c r="C1293" s="31"/>
      <c r="D1293" s="32"/>
      <c r="E1293" s="33">
        <f t="shared" si="509"/>
        <v>93542</v>
      </c>
      <c r="F1293" s="50">
        <f>B1267</f>
        <v>1</v>
      </c>
      <c r="G1293" s="69"/>
      <c r="H1293" s="70"/>
      <c r="I1293" s="104"/>
      <c r="J1293" s="103">
        <v>9</v>
      </c>
      <c r="K1293" s="104"/>
      <c r="L1293" s="103">
        <v>9</v>
      </c>
      <c r="M1293" s="104"/>
      <c r="N1293" s="103">
        <v>9</v>
      </c>
      <c r="O1293" s="104"/>
      <c r="P1293" s="103">
        <v>8</v>
      </c>
      <c r="Q1293" s="104"/>
      <c r="R1293" s="103">
        <v>8</v>
      </c>
      <c r="S1293" s="69"/>
      <c r="T1293" s="70"/>
      <c r="U1293" s="71">
        <f t="shared" ref="U1293" si="519">SUM(G1293:T1293)</f>
        <v>43</v>
      </c>
      <c r="V1293" s="72"/>
      <c r="W1293" s="69"/>
      <c r="X1293" s="70"/>
      <c r="Y1293" s="104"/>
      <c r="Z1293" s="103">
        <v>8</v>
      </c>
      <c r="AA1293" s="104"/>
      <c r="AB1293" s="103">
        <v>8</v>
      </c>
      <c r="AC1293" s="104"/>
      <c r="AD1293" s="103">
        <v>8</v>
      </c>
      <c r="AE1293" s="104"/>
      <c r="AF1293" s="103">
        <v>8</v>
      </c>
      <c r="AG1293" s="104"/>
      <c r="AH1293" s="103">
        <v>8</v>
      </c>
      <c r="AI1293" s="69"/>
      <c r="AJ1293" s="70"/>
      <c r="AK1293" s="71">
        <f>SUM(W1293:AJ1293)</f>
        <v>40</v>
      </c>
      <c r="AL1293" s="72"/>
      <c r="AM1293" s="73">
        <f>SUMIF($G1292:$T1292,"",$G1293:$T1293)+SUMIF($W1292:$AJ1292,"",$W1293:$AJ1293)-AN1293</f>
        <v>24</v>
      </c>
      <c r="AN1293" s="88">
        <f>IF(SUMIF($G1292:$T1292,"",$G1293:$T1293)+SUMIF($G1292:$T1292,"F",$G1293:$T1293)+SUMIF($G1292:$T1292,"V",$G1293:$T1293)-40&lt;0,0,SUMIF($G1292:$T1292,"",$G1293:$T1293)+SUMIF($G1292:$T1292,"F",$G1293:$T1293)+SUMIF($G1292:$T1292,"V",$G1293:$T1293)-($U$9/2))+IF(SUMIF($W1292:$AJ1292,"",$W1293:$AJ1293)+SUMIF($W1292:$AJ1292,"F",$W1293:$AJ1293)+SUMIF($W1292:$AJ1292,"V",$W1293:$AJ1293)-40&lt;0,0,SUMIF($W1292:$AJ1292,"",$W1293:$AJ1293)+SUMIF($W1292:$AJ1292,"F",$W1293:$AJ1293)+SUMIF($W1292:$AJ1292,"V",$W1293:$AJ1293)-($U$9/2))</f>
        <v>3</v>
      </c>
      <c r="AO1293" s="73">
        <f>SUMIF($G1292:$T1292,"M",$G1293:$T1293)+SUMIF($W1292:$AJ1292,"M",$W1293:$AJ1293)</f>
        <v>16</v>
      </c>
      <c r="AP1293" s="73">
        <f>SUMIF($G1292:$T1292,"F",$G1293:$T1293)+SUMIF($W1292:$AJ1292,"F",$W1293:$AJ1293)</f>
        <v>40</v>
      </c>
      <c r="AQ1293" s="73">
        <f>SUMIF($G1292:$T1292,"V",$G1293:$T1293)+SUMIF($W1292:$AJ1292,"V",$W1293:$AJ1293)</f>
        <v>0</v>
      </c>
      <c r="AR1293" s="74">
        <f>SUMIF($G1292:$T1292,"O",$G1293:$T1293)+SUMIF($W1292:$AJ1292,"O",$W1293:$AJ1293)</f>
        <v>0</v>
      </c>
      <c r="AS1293" s="75">
        <f>SUM(AM1293:AR1293)</f>
        <v>83</v>
      </c>
      <c r="AT1293" s="72"/>
      <c r="AU1293" s="73">
        <f>SUMIF($G1292:$T1292,"A",$G1293:$T1293)+SUMIF($W1292:$AJ1292,"A",$W1293:$AJ1293)</f>
        <v>0</v>
      </c>
      <c r="AV1293" s="72"/>
      <c r="AW1293" s="76">
        <f>IF(B1293="",0,IF($U$9="",0,$U$9))</f>
        <v>80</v>
      </c>
      <c r="BA1293" s="2"/>
      <c r="BB1293" s="2"/>
      <c r="BC1293" s="101"/>
      <c r="BD1293" s="101"/>
    </row>
    <row r="1294" spans="2:56" s="84" customFormat="1" x14ac:dyDescent="0.35">
      <c r="B1294" s="26"/>
      <c r="C1294" s="27"/>
      <c r="D1294" s="28">
        <f>IF(D1220="","",D1220)</f>
        <v>14206</v>
      </c>
      <c r="E1294" s="29" t="str">
        <f t="shared" si="509"/>
        <v/>
      </c>
      <c r="F1294" s="50">
        <f>B1267</f>
        <v>1</v>
      </c>
      <c r="G1294" s="59"/>
      <c r="H1294" s="64"/>
      <c r="I1294" s="106"/>
      <c r="J1294" s="105" t="s">
        <v>1</v>
      </c>
      <c r="K1294" s="106"/>
      <c r="L1294" s="105" t="s">
        <v>1</v>
      </c>
      <c r="M1294" s="106"/>
      <c r="N1294" s="105" t="s">
        <v>1</v>
      </c>
      <c r="O1294" s="106"/>
      <c r="P1294" s="105" t="s">
        <v>13</v>
      </c>
      <c r="Q1294" s="106"/>
      <c r="R1294" s="105" t="s">
        <v>13</v>
      </c>
      <c r="S1294" s="59"/>
      <c r="T1294" s="64"/>
      <c r="U1294" s="44"/>
      <c r="W1294" s="59"/>
      <c r="X1294" s="64"/>
      <c r="Y1294" s="106"/>
      <c r="Z1294" s="105" t="s">
        <v>1</v>
      </c>
      <c r="AA1294" s="106"/>
      <c r="AB1294" s="105" t="s">
        <v>1</v>
      </c>
      <c r="AC1294" s="106"/>
      <c r="AD1294" s="105" t="s">
        <v>13</v>
      </c>
      <c r="AE1294" s="106"/>
      <c r="AF1294" s="105" t="s">
        <v>13</v>
      </c>
      <c r="AG1294" s="106"/>
      <c r="AH1294" s="105" t="s">
        <v>13</v>
      </c>
      <c r="AI1294" s="59"/>
      <c r="AJ1294" s="64"/>
      <c r="AK1294" s="44"/>
      <c r="AM1294" s="49"/>
      <c r="AN1294" s="49"/>
      <c r="AO1294" s="49"/>
      <c r="AP1294" s="49"/>
      <c r="AQ1294" s="49"/>
      <c r="AR1294" s="40"/>
      <c r="AS1294" s="51"/>
      <c r="AU1294" s="49"/>
      <c r="AW1294" s="52"/>
      <c r="BA1294" s="2"/>
      <c r="BB1294" s="2"/>
      <c r="BC1294" s="101"/>
      <c r="BD1294" s="101"/>
    </row>
    <row r="1295" spans="2:56" s="84" customFormat="1" x14ac:dyDescent="0.35">
      <c r="B1295" s="30" t="str">
        <f>IF(B1221="","",B1221)</f>
        <v>Landry, Bernard</v>
      </c>
      <c r="C1295" s="31"/>
      <c r="D1295" s="32"/>
      <c r="E1295" s="33">
        <f t="shared" si="509"/>
        <v>93545</v>
      </c>
      <c r="F1295" s="50">
        <f>B1267</f>
        <v>1</v>
      </c>
      <c r="G1295" s="69"/>
      <c r="H1295" s="70"/>
      <c r="I1295" s="104"/>
      <c r="J1295" s="103">
        <v>0</v>
      </c>
      <c r="K1295" s="104"/>
      <c r="L1295" s="103">
        <v>0</v>
      </c>
      <c r="M1295" s="104"/>
      <c r="N1295" s="103">
        <v>0</v>
      </c>
      <c r="O1295" s="104"/>
      <c r="P1295" s="103">
        <v>8</v>
      </c>
      <c r="Q1295" s="104"/>
      <c r="R1295" s="103">
        <v>8</v>
      </c>
      <c r="S1295" s="69"/>
      <c r="T1295" s="70"/>
      <c r="U1295" s="71">
        <f t="shared" ref="U1295" si="520">SUM(G1295:T1295)</f>
        <v>16</v>
      </c>
      <c r="V1295" s="72"/>
      <c r="W1295" s="69"/>
      <c r="X1295" s="70"/>
      <c r="Y1295" s="104"/>
      <c r="Z1295" s="103">
        <v>8</v>
      </c>
      <c r="AA1295" s="104"/>
      <c r="AB1295" s="103">
        <v>8</v>
      </c>
      <c r="AC1295" s="104"/>
      <c r="AD1295" s="103">
        <v>8</v>
      </c>
      <c r="AE1295" s="104"/>
      <c r="AF1295" s="103">
        <v>8</v>
      </c>
      <c r="AG1295" s="104"/>
      <c r="AH1295" s="103">
        <v>8</v>
      </c>
      <c r="AI1295" s="69"/>
      <c r="AJ1295" s="70"/>
      <c r="AK1295" s="71">
        <f>SUM(W1295:AJ1295)</f>
        <v>40</v>
      </c>
      <c r="AL1295" s="72"/>
      <c r="AM1295" s="73">
        <f>SUMIF($G1294:$T1294,"",$G1295:$T1295)+SUMIF($W1294:$AJ1294,"",$W1295:$AJ1295)-AN1295</f>
        <v>0</v>
      </c>
      <c r="AN1295" s="88">
        <f>IF(SUMIF($G1294:$T1294,"",$G1295:$T1295)+SUMIF($G1294:$T1294,"F",$G1295:$T1295)+SUMIF($G1294:$T1294,"V",$G1295:$T1295)-40&lt;0,0,SUMIF($G1294:$T1294,"",$G1295:$T1295)+SUMIF($G1294:$T1294,"F",$G1295:$T1295)+SUMIF($G1294:$T1294,"V",$G1295:$T1295)-($U$9/2))+IF(SUMIF($W1294:$AJ1294,"",$W1295:$AJ1295)+SUMIF($W1294:$AJ1294,"F",$W1295:$AJ1295)+SUMIF($W1294:$AJ1294,"V",$W1295:$AJ1295)-40&lt;0,0,SUMIF($W1294:$AJ1294,"",$W1295:$AJ1295)+SUMIF($W1294:$AJ1294,"F",$W1295:$AJ1295)+SUMIF($W1294:$AJ1294,"V",$W1295:$AJ1295)-($U$9/2))</f>
        <v>0</v>
      </c>
      <c r="AO1295" s="73">
        <f>SUMIF($G1294:$T1294,"M",$G1295:$T1295)+SUMIF($W1294:$AJ1294,"M",$W1295:$AJ1295)</f>
        <v>0</v>
      </c>
      <c r="AP1295" s="73">
        <f>SUMIF($G1294:$T1294,"F",$G1295:$T1295)+SUMIF($W1294:$AJ1294,"F",$W1295:$AJ1295)</f>
        <v>40</v>
      </c>
      <c r="AQ1295" s="73">
        <f>SUMIF($G1294:$T1294,"V",$G1295:$T1295)+SUMIF($W1294:$AJ1294,"V",$W1295:$AJ1295)</f>
        <v>16</v>
      </c>
      <c r="AR1295" s="74">
        <f>SUMIF($G1294:$T1294,"O",$G1295:$T1295)+SUMIF($W1294:$AJ1294,"O",$W1295:$AJ1295)</f>
        <v>0</v>
      </c>
      <c r="AS1295" s="75">
        <f>SUM(AM1295:AR1295)</f>
        <v>56</v>
      </c>
      <c r="AT1295" s="72"/>
      <c r="AU1295" s="73">
        <f>SUMIF($G1294:$T1294,"A",$G1295:$T1295)+SUMIF($W1294:$AJ1294,"A",$W1295:$AJ1295)</f>
        <v>0</v>
      </c>
      <c r="AV1295" s="72"/>
      <c r="AW1295" s="76">
        <f>IF(B1295="",0,IF($U$9="",0,$U$9))</f>
        <v>80</v>
      </c>
      <c r="BA1295" s="2"/>
      <c r="BB1295" s="2"/>
      <c r="BC1295" s="101"/>
      <c r="BD1295" s="101"/>
    </row>
    <row r="1296" spans="2:56" s="84" customFormat="1" x14ac:dyDescent="0.35">
      <c r="B1296" s="26"/>
      <c r="C1296" s="27"/>
      <c r="D1296" s="28">
        <f>IF(D1222="","",D1222)</f>
        <v>92257</v>
      </c>
      <c r="E1296" s="29" t="str">
        <f t="shared" si="509"/>
        <v/>
      </c>
      <c r="F1296" s="50">
        <f>B1267</f>
        <v>1</v>
      </c>
      <c r="G1296" s="59"/>
      <c r="H1296" s="64"/>
      <c r="I1296" s="106"/>
      <c r="J1296" s="105"/>
      <c r="K1296" s="106"/>
      <c r="L1296" s="105"/>
      <c r="M1296" s="106"/>
      <c r="N1296" s="105"/>
      <c r="O1296" s="106"/>
      <c r="P1296" s="105" t="s">
        <v>13</v>
      </c>
      <c r="Q1296" s="106"/>
      <c r="R1296" s="105" t="s">
        <v>13</v>
      </c>
      <c r="S1296" s="59"/>
      <c r="T1296" s="64"/>
      <c r="U1296" s="44"/>
      <c r="W1296" s="59"/>
      <c r="X1296" s="64"/>
      <c r="Y1296" s="106"/>
      <c r="Z1296" s="105" t="s">
        <v>1</v>
      </c>
      <c r="AA1296" s="106"/>
      <c r="AB1296" s="105" t="s">
        <v>1</v>
      </c>
      <c r="AC1296" s="106"/>
      <c r="AD1296" s="105" t="s">
        <v>13</v>
      </c>
      <c r="AE1296" s="106"/>
      <c r="AF1296" s="105" t="s">
        <v>13</v>
      </c>
      <c r="AG1296" s="106"/>
      <c r="AH1296" s="105" t="s">
        <v>13</v>
      </c>
      <c r="AI1296" s="59"/>
      <c r="AJ1296" s="64"/>
      <c r="AK1296" s="44"/>
      <c r="AM1296" s="49"/>
      <c r="AN1296" s="49"/>
      <c r="AO1296" s="49"/>
      <c r="AP1296" s="49"/>
      <c r="AQ1296" s="49"/>
      <c r="AR1296" s="40"/>
      <c r="AS1296" s="51"/>
      <c r="AU1296" s="49"/>
      <c r="AW1296" s="52"/>
      <c r="BA1296" s="2"/>
      <c r="BB1296" s="2"/>
      <c r="BC1296" s="101"/>
      <c r="BD1296" s="101"/>
    </row>
    <row r="1297" spans="1:56" s="84" customFormat="1" x14ac:dyDescent="0.35">
      <c r="B1297" s="30" t="str">
        <f>IF(B1223="","",B1223)</f>
        <v>Lelievre, Anik</v>
      </c>
      <c r="C1297" s="31"/>
      <c r="D1297" s="32"/>
      <c r="E1297" s="33">
        <f t="shared" si="509"/>
        <v>93513</v>
      </c>
      <c r="F1297" s="50">
        <f>B1267</f>
        <v>1</v>
      </c>
      <c r="G1297" s="69"/>
      <c r="H1297" s="70"/>
      <c r="I1297" s="104"/>
      <c r="J1297" s="103">
        <v>8</v>
      </c>
      <c r="K1297" s="104"/>
      <c r="L1297" s="103">
        <v>8</v>
      </c>
      <c r="M1297" s="104"/>
      <c r="N1297" s="103">
        <v>8</v>
      </c>
      <c r="O1297" s="104"/>
      <c r="P1297" s="103">
        <v>8</v>
      </c>
      <c r="Q1297" s="104"/>
      <c r="R1297" s="103">
        <v>8</v>
      </c>
      <c r="S1297" s="69"/>
      <c r="T1297" s="70"/>
      <c r="U1297" s="71">
        <f t="shared" ref="U1297" si="521">SUM(G1297:T1297)</f>
        <v>40</v>
      </c>
      <c r="V1297" s="72"/>
      <c r="W1297" s="69"/>
      <c r="X1297" s="70"/>
      <c r="Y1297" s="104"/>
      <c r="Z1297" s="103">
        <v>8</v>
      </c>
      <c r="AA1297" s="104"/>
      <c r="AB1297" s="103">
        <v>8</v>
      </c>
      <c r="AC1297" s="104"/>
      <c r="AD1297" s="103">
        <v>8</v>
      </c>
      <c r="AE1297" s="104"/>
      <c r="AF1297" s="103">
        <v>8</v>
      </c>
      <c r="AG1297" s="104"/>
      <c r="AH1297" s="103">
        <v>8</v>
      </c>
      <c r="AI1297" s="69"/>
      <c r="AJ1297" s="70"/>
      <c r="AK1297" s="71">
        <f>SUM(W1297:AJ1297)</f>
        <v>40</v>
      </c>
      <c r="AL1297" s="72"/>
      <c r="AM1297" s="73">
        <f>SUMIF($G1296:$T1296,"",$G1297:$T1297)+SUMIF($W1296:$AJ1296,"",$W1297:$AJ1297)-AN1297</f>
        <v>24</v>
      </c>
      <c r="AN1297" s="88">
        <f>IF(SUMIF($G1296:$T1296,"",$G1297:$T1297)+SUMIF($G1296:$T1296,"F",$G1297:$T1297)+SUMIF($G1296:$T1296,"V",$G1297:$T1297)-40&lt;0,0,SUMIF($G1296:$T1296,"",$G1297:$T1297)+SUMIF($G1296:$T1296,"F",$G1297:$T1297)+SUMIF($G1296:$T1296,"V",$G1297:$T1297)-($U$9/2))+IF(SUMIF($W1296:$AJ1296,"",$W1297:$AJ1297)+SUMIF($W1296:$AJ1296,"F",$W1297:$AJ1297)+SUMIF($W1296:$AJ1296,"V",$W1297:$AJ1297)-40&lt;0,0,SUMIF($W1296:$AJ1296,"",$W1297:$AJ1297)+SUMIF($W1296:$AJ1296,"F",$W1297:$AJ1297)+SUMIF($W1296:$AJ1296,"V",$W1297:$AJ1297)-($U$9/2))</f>
        <v>0</v>
      </c>
      <c r="AO1297" s="73">
        <f>SUMIF($G1296:$T1296,"M",$G1297:$T1297)+SUMIF($W1296:$AJ1296,"M",$W1297:$AJ1297)</f>
        <v>0</v>
      </c>
      <c r="AP1297" s="73">
        <f>SUMIF($G1296:$T1296,"F",$G1297:$T1297)+SUMIF($W1296:$AJ1296,"F",$W1297:$AJ1297)</f>
        <v>40</v>
      </c>
      <c r="AQ1297" s="73">
        <f>SUMIF($G1296:$T1296,"V",$G1297:$T1297)+SUMIF($W1296:$AJ1296,"V",$W1297:$AJ1297)</f>
        <v>16</v>
      </c>
      <c r="AR1297" s="74">
        <f>SUMIF($G1296:$T1296,"O",$G1297:$T1297)+SUMIF($W1296:$AJ1296,"O",$W1297:$AJ1297)</f>
        <v>0</v>
      </c>
      <c r="AS1297" s="75">
        <f>SUM(AM1297:AR1297)</f>
        <v>80</v>
      </c>
      <c r="AT1297" s="72"/>
      <c r="AU1297" s="73">
        <f>SUMIF($G1296:$T1296,"A",$G1297:$T1297)+SUMIF($W1296:$AJ1296,"A",$W1297:$AJ1297)</f>
        <v>0</v>
      </c>
      <c r="AV1297" s="72"/>
      <c r="AW1297" s="76">
        <f>IF(B1297="",0,IF($U$9="",0,$U$9))</f>
        <v>80</v>
      </c>
      <c r="BA1297" s="2"/>
      <c r="BB1297" s="2"/>
      <c r="BC1297" s="101"/>
      <c r="BD1297" s="101"/>
    </row>
    <row r="1298" spans="1:56" s="84" customFormat="1" x14ac:dyDescent="0.35">
      <c r="B1298" s="26"/>
      <c r="C1298" s="27"/>
      <c r="D1298" s="28">
        <f>IF(D1224="","",D1224)</f>
        <v>81042</v>
      </c>
      <c r="E1298" s="29" t="str">
        <f t="shared" si="509"/>
        <v/>
      </c>
      <c r="F1298" s="50">
        <f>B1267</f>
        <v>1</v>
      </c>
      <c r="G1298" s="59"/>
      <c r="H1298" s="64"/>
      <c r="I1298" s="106"/>
      <c r="J1298" s="105"/>
      <c r="K1298" s="106"/>
      <c r="L1298" s="105"/>
      <c r="M1298" s="106"/>
      <c r="N1298" s="105"/>
      <c r="O1298" s="106"/>
      <c r="P1298" s="105" t="s">
        <v>13</v>
      </c>
      <c r="Q1298" s="106"/>
      <c r="R1298" s="105" t="s">
        <v>13</v>
      </c>
      <c r="S1298" s="59"/>
      <c r="T1298" s="64"/>
      <c r="U1298" s="44"/>
      <c r="W1298" s="59"/>
      <c r="X1298" s="64"/>
      <c r="Y1298" s="106"/>
      <c r="Z1298" s="105" t="s">
        <v>1</v>
      </c>
      <c r="AA1298" s="106"/>
      <c r="AB1298" s="105" t="s">
        <v>1</v>
      </c>
      <c r="AC1298" s="106"/>
      <c r="AD1298" s="105" t="s">
        <v>13</v>
      </c>
      <c r="AE1298" s="106"/>
      <c r="AF1298" s="105" t="s">
        <v>13</v>
      </c>
      <c r="AG1298" s="106"/>
      <c r="AH1298" s="105" t="s">
        <v>13</v>
      </c>
      <c r="AI1298" s="59"/>
      <c r="AJ1298" s="64"/>
      <c r="AK1298" s="44"/>
      <c r="AM1298" s="49"/>
      <c r="AN1298" s="49"/>
      <c r="AO1298" s="49"/>
      <c r="AP1298" s="49"/>
      <c r="AQ1298" s="49"/>
      <c r="AR1298" s="40"/>
      <c r="AS1298" s="51"/>
      <c r="AU1298" s="49"/>
      <c r="AW1298" s="52"/>
      <c r="BA1298" s="2"/>
      <c r="BB1298" s="2"/>
      <c r="BC1298" s="101"/>
      <c r="BD1298" s="101"/>
    </row>
    <row r="1299" spans="1:56" s="84" customFormat="1" x14ac:dyDescent="0.35">
      <c r="B1299" s="30" t="str">
        <f>IF(B1225="","",B1225)</f>
        <v>Letarte, Martin</v>
      </c>
      <c r="C1299" s="31"/>
      <c r="D1299" s="32"/>
      <c r="E1299" s="33">
        <f t="shared" si="509"/>
        <v>93545</v>
      </c>
      <c r="F1299" s="50">
        <f>B1267</f>
        <v>1</v>
      </c>
      <c r="G1299" s="69"/>
      <c r="H1299" s="70"/>
      <c r="I1299" s="104"/>
      <c r="J1299" s="103">
        <v>8</v>
      </c>
      <c r="K1299" s="104"/>
      <c r="L1299" s="103">
        <v>8</v>
      </c>
      <c r="M1299" s="104"/>
      <c r="N1299" s="103">
        <v>8</v>
      </c>
      <c r="O1299" s="104"/>
      <c r="P1299" s="103">
        <v>8</v>
      </c>
      <c r="Q1299" s="104"/>
      <c r="R1299" s="103">
        <v>8</v>
      </c>
      <c r="S1299" s="69"/>
      <c r="T1299" s="70"/>
      <c r="U1299" s="71">
        <f t="shared" ref="U1299" si="522">SUM(G1299:T1299)</f>
        <v>40</v>
      </c>
      <c r="V1299" s="72"/>
      <c r="W1299" s="69"/>
      <c r="X1299" s="70"/>
      <c r="Y1299" s="104"/>
      <c r="Z1299" s="103">
        <v>8</v>
      </c>
      <c r="AA1299" s="104"/>
      <c r="AB1299" s="103">
        <v>8</v>
      </c>
      <c r="AC1299" s="104"/>
      <c r="AD1299" s="103">
        <v>8</v>
      </c>
      <c r="AE1299" s="104"/>
      <c r="AF1299" s="103">
        <v>8</v>
      </c>
      <c r="AG1299" s="104"/>
      <c r="AH1299" s="103">
        <v>8</v>
      </c>
      <c r="AI1299" s="69"/>
      <c r="AJ1299" s="70"/>
      <c r="AK1299" s="71">
        <f>SUM(W1299:AJ1299)</f>
        <v>40</v>
      </c>
      <c r="AL1299" s="72"/>
      <c r="AM1299" s="73">
        <f>SUMIF($G1298:$T1298,"",$G1299:$T1299)+SUMIF($W1298:$AJ1298,"",$W1299:$AJ1299)-AN1299</f>
        <v>24</v>
      </c>
      <c r="AN1299" s="88">
        <f>IF(SUMIF($G1298:$T1298,"",$G1299:$T1299)+SUMIF($G1298:$T1298,"F",$G1299:$T1299)+SUMIF($G1298:$T1298,"V",$G1299:$T1299)-40&lt;0,0,SUMIF($G1298:$T1298,"",$G1299:$T1299)+SUMIF($G1298:$T1298,"F",$G1299:$T1299)+SUMIF($G1298:$T1298,"V",$G1299:$T1299)-($U$9/2))+IF(SUMIF($W1298:$AJ1298,"",$W1299:$AJ1299)+SUMIF($W1298:$AJ1298,"F",$W1299:$AJ1299)+SUMIF($W1298:$AJ1298,"V",$W1299:$AJ1299)-40&lt;0,0,SUMIF($W1298:$AJ1298,"",$W1299:$AJ1299)+SUMIF($W1298:$AJ1298,"F",$W1299:$AJ1299)+SUMIF($W1298:$AJ1298,"V",$W1299:$AJ1299)-($U$9/2))</f>
        <v>0</v>
      </c>
      <c r="AO1299" s="73">
        <f>SUMIF($G1298:$T1298,"M",$G1299:$T1299)+SUMIF($W1298:$AJ1298,"M",$W1299:$AJ1299)</f>
        <v>0</v>
      </c>
      <c r="AP1299" s="73">
        <f>SUMIF($G1298:$T1298,"F",$G1299:$T1299)+SUMIF($W1298:$AJ1298,"F",$W1299:$AJ1299)</f>
        <v>40</v>
      </c>
      <c r="AQ1299" s="73">
        <f>SUMIF($G1298:$T1298,"V",$G1299:$T1299)+SUMIF($W1298:$AJ1298,"V",$W1299:$AJ1299)</f>
        <v>16</v>
      </c>
      <c r="AR1299" s="74">
        <f>SUMIF($G1298:$T1298,"O",$G1299:$T1299)+SUMIF($W1298:$AJ1298,"O",$W1299:$AJ1299)</f>
        <v>0</v>
      </c>
      <c r="AS1299" s="75">
        <f>SUM(AM1299:AR1299)</f>
        <v>80</v>
      </c>
      <c r="AT1299" s="72"/>
      <c r="AU1299" s="73">
        <f>SUMIF($G1298:$T1298,"A",$G1299:$T1299)+SUMIF($W1298:$AJ1298,"A",$W1299:$AJ1299)</f>
        <v>0</v>
      </c>
      <c r="AV1299" s="72"/>
      <c r="AW1299" s="76">
        <f>IF(B1299="",0,IF($U$9="",0,$U$9))</f>
        <v>80</v>
      </c>
      <c r="BA1299" s="2"/>
      <c r="BB1299" s="2"/>
      <c r="BC1299" s="101"/>
      <c r="BD1299" s="101"/>
    </row>
    <row r="1300" spans="1:56" s="84" customFormat="1" x14ac:dyDescent="0.35">
      <c r="B1300" s="26"/>
      <c r="C1300" s="27"/>
      <c r="D1300" s="28" t="str">
        <f>IF(D1226="","",D1226)</f>
        <v/>
      </c>
      <c r="E1300" s="29" t="str">
        <f t="shared" si="509"/>
        <v/>
      </c>
      <c r="F1300" s="50">
        <f>B1267</f>
        <v>1</v>
      </c>
      <c r="G1300" s="59"/>
      <c r="H1300" s="64"/>
      <c r="I1300" s="106"/>
      <c r="J1300" s="105"/>
      <c r="K1300" s="106"/>
      <c r="L1300" s="105"/>
      <c r="M1300" s="106"/>
      <c r="N1300" s="105"/>
      <c r="O1300" s="106"/>
      <c r="P1300" s="105"/>
      <c r="Q1300" s="106"/>
      <c r="R1300" s="105"/>
      <c r="S1300" s="59"/>
      <c r="T1300" s="64"/>
      <c r="U1300" s="44"/>
      <c r="W1300" s="59"/>
      <c r="X1300" s="64"/>
      <c r="Y1300" s="106"/>
      <c r="Z1300" s="105"/>
      <c r="AA1300" s="106"/>
      <c r="AB1300" s="105"/>
      <c r="AC1300" s="106"/>
      <c r="AD1300" s="105"/>
      <c r="AE1300" s="106"/>
      <c r="AF1300" s="105"/>
      <c r="AG1300" s="106"/>
      <c r="AH1300" s="105"/>
      <c r="AI1300" s="59"/>
      <c r="AJ1300" s="64"/>
      <c r="AK1300" s="44"/>
      <c r="AM1300" s="49"/>
      <c r="AN1300" s="49"/>
      <c r="AO1300" s="49"/>
      <c r="AP1300" s="49"/>
      <c r="AQ1300" s="49"/>
      <c r="AR1300" s="40"/>
      <c r="AS1300" s="51"/>
      <c r="AU1300" s="49"/>
      <c r="AW1300" s="52"/>
      <c r="BA1300" s="2"/>
      <c r="BB1300" s="2"/>
      <c r="BC1300" s="101"/>
      <c r="BD1300" s="101"/>
    </row>
    <row r="1301" spans="1:56" s="84" customFormat="1" x14ac:dyDescent="0.35">
      <c r="B1301" s="30" t="str">
        <f>IF(B1227="","",B1227)</f>
        <v/>
      </c>
      <c r="C1301" s="31"/>
      <c r="D1301" s="32"/>
      <c r="E1301" s="33" t="str">
        <f t="shared" si="509"/>
        <v/>
      </c>
      <c r="F1301" s="50">
        <f>B1267</f>
        <v>1</v>
      </c>
      <c r="G1301" s="69"/>
      <c r="H1301" s="70"/>
      <c r="I1301" s="104"/>
      <c r="J1301" s="103"/>
      <c r="K1301" s="104"/>
      <c r="L1301" s="103"/>
      <c r="M1301" s="104"/>
      <c r="N1301" s="103"/>
      <c r="O1301" s="104"/>
      <c r="P1301" s="103"/>
      <c r="Q1301" s="104"/>
      <c r="R1301" s="103"/>
      <c r="S1301" s="69"/>
      <c r="T1301" s="70"/>
      <c r="U1301" s="71">
        <f t="shared" ref="U1301" si="523">SUM(G1301:T1301)</f>
        <v>0</v>
      </c>
      <c r="V1301" s="72"/>
      <c r="W1301" s="69"/>
      <c r="X1301" s="70"/>
      <c r="Y1301" s="104"/>
      <c r="Z1301" s="103"/>
      <c r="AA1301" s="104"/>
      <c r="AB1301" s="103"/>
      <c r="AC1301" s="104"/>
      <c r="AD1301" s="103"/>
      <c r="AE1301" s="104"/>
      <c r="AF1301" s="103"/>
      <c r="AG1301" s="104"/>
      <c r="AH1301" s="103"/>
      <c r="AI1301" s="69"/>
      <c r="AJ1301" s="70"/>
      <c r="AK1301" s="71">
        <f>SUM(W1301:AJ1301)</f>
        <v>0</v>
      </c>
      <c r="AL1301" s="72"/>
      <c r="AM1301" s="73">
        <f>SUMIF($G1300:$T1300,"",$G1301:$T1301)+SUMIF($W1300:$AJ1300,"",$W1301:$AJ1301)-AN1301</f>
        <v>0</v>
      </c>
      <c r="AN1301" s="88">
        <f>IF(SUMIF($G1300:$T1300,"",$G1301:$T1301)+SUMIF($G1300:$T1300,"F",$G1301:$T1301)+SUMIF($G1300:$T1300,"V",$G1301:$T1301)-40&lt;0,0,SUMIF($G1300:$T1300,"",$G1301:$T1301)+SUMIF($G1300:$T1300,"F",$G1301:$T1301)+SUMIF($G1300:$T1300,"V",$G1301:$T1301)-($U$9/2))+IF(SUMIF($W1300:$AJ1300,"",$W1301:$AJ1301)+SUMIF($W1300:$AJ1300,"F",$W1301:$AJ1301)+SUMIF($W1300:$AJ1300,"V",$W1301:$AJ1301)-40&lt;0,0,SUMIF($W1300:$AJ1300,"",$W1301:$AJ1301)+SUMIF($W1300:$AJ1300,"F",$W1301:$AJ1301)+SUMIF($W1300:$AJ1300,"V",$W1301:$AJ1301)-($U$9/2))</f>
        <v>0</v>
      </c>
      <c r="AO1301" s="73">
        <f>SUMIF($G1300:$T1300,"M",$G1301:$T1301)+SUMIF($W1300:$AJ1300,"M",$W1301:$AJ1301)</f>
        <v>0</v>
      </c>
      <c r="AP1301" s="73">
        <f>SUMIF($G1300:$T1300,"F",$G1301:$T1301)+SUMIF($W1300:$AJ1300,"F",$W1301:$AJ1301)</f>
        <v>0</v>
      </c>
      <c r="AQ1301" s="73">
        <f>SUMIF($G1300:$T1300,"V",$G1301:$T1301)+SUMIF($W1300:$AJ1300,"V",$W1301:$AJ1301)</f>
        <v>0</v>
      </c>
      <c r="AR1301" s="74">
        <f>SUMIF($G1300:$T1300,"O",$G1301:$T1301)+SUMIF($W1300:$AJ1300,"O",$W1301:$AJ1301)</f>
        <v>0</v>
      </c>
      <c r="AS1301" s="75">
        <f>SUM(AM1301:AR1301)</f>
        <v>0</v>
      </c>
      <c r="AT1301" s="72"/>
      <c r="AU1301" s="73">
        <f>SUMIF($G1300:$T1300,"A",$G1301:$T1301)+SUMIF($W1300:$AJ1300,"A",$W1301:$AJ1301)</f>
        <v>0</v>
      </c>
      <c r="AV1301" s="72"/>
      <c r="AW1301" s="76">
        <f>IF(B1301="",0,IF($U$9="",0,$U$9))</f>
        <v>0</v>
      </c>
      <c r="BA1301" s="2"/>
      <c r="BB1301" s="2"/>
      <c r="BC1301" s="101"/>
      <c r="BD1301" s="101"/>
    </row>
    <row r="1302" spans="1:56" s="84" customFormat="1" x14ac:dyDescent="0.35">
      <c r="B1302" s="26"/>
      <c r="C1302" s="27"/>
      <c r="D1302" s="28">
        <f>IF(D1228="","",D1228)</f>
        <v>11792</v>
      </c>
      <c r="E1302" s="29" t="str">
        <f t="shared" si="509"/>
        <v/>
      </c>
      <c r="F1302" s="50">
        <f>B1267</f>
        <v>1</v>
      </c>
      <c r="G1302" s="59"/>
      <c r="H1302" s="64"/>
      <c r="I1302" s="106"/>
      <c r="J1302" s="105"/>
      <c r="K1302" s="106"/>
      <c r="L1302" s="105"/>
      <c r="M1302" s="106"/>
      <c r="N1302" s="105"/>
      <c r="O1302" s="106"/>
      <c r="P1302" s="105" t="s">
        <v>13</v>
      </c>
      <c r="Q1302" s="106"/>
      <c r="R1302" s="105" t="s">
        <v>13</v>
      </c>
      <c r="S1302" s="59"/>
      <c r="T1302" s="64"/>
      <c r="U1302" s="44"/>
      <c r="W1302" s="59"/>
      <c r="X1302" s="64"/>
      <c r="Y1302" s="106"/>
      <c r="Z1302" s="105" t="s">
        <v>1</v>
      </c>
      <c r="AA1302" s="106"/>
      <c r="AB1302" s="105" t="s">
        <v>1</v>
      </c>
      <c r="AC1302" s="106"/>
      <c r="AD1302" s="105" t="s">
        <v>13</v>
      </c>
      <c r="AE1302" s="106"/>
      <c r="AF1302" s="105" t="s">
        <v>13</v>
      </c>
      <c r="AG1302" s="106"/>
      <c r="AH1302" s="105" t="s">
        <v>13</v>
      </c>
      <c r="AI1302" s="59"/>
      <c r="AJ1302" s="64"/>
      <c r="AK1302" s="44"/>
      <c r="AM1302" s="49"/>
      <c r="AN1302" s="49"/>
      <c r="AO1302" s="49"/>
      <c r="AP1302" s="49"/>
      <c r="AQ1302" s="49"/>
      <c r="AR1302" s="40"/>
      <c r="AS1302" s="51"/>
      <c r="AU1302" s="49"/>
      <c r="AW1302" s="52"/>
      <c r="BA1302" s="2"/>
      <c r="BB1302" s="2"/>
      <c r="BC1302" s="101"/>
      <c r="BD1302" s="101"/>
    </row>
    <row r="1303" spans="1:56" s="84" customFormat="1" x14ac:dyDescent="0.35">
      <c r="B1303" s="30" t="str">
        <f>IF(B1229="","",B1229)</f>
        <v>Pellerin, Pierre</v>
      </c>
      <c r="C1303" s="31"/>
      <c r="D1303" s="32"/>
      <c r="E1303" s="33">
        <f t="shared" si="509"/>
        <v>93595935</v>
      </c>
      <c r="F1303" s="50">
        <f>B1267</f>
        <v>1</v>
      </c>
      <c r="G1303" s="69"/>
      <c r="H1303" s="70"/>
      <c r="I1303" s="104"/>
      <c r="J1303" s="103">
        <v>8</v>
      </c>
      <c r="K1303" s="104"/>
      <c r="L1303" s="103">
        <v>8</v>
      </c>
      <c r="M1303" s="104"/>
      <c r="N1303" s="103">
        <v>8</v>
      </c>
      <c r="O1303" s="104"/>
      <c r="P1303" s="103">
        <v>8</v>
      </c>
      <c r="Q1303" s="104"/>
      <c r="R1303" s="103">
        <v>8</v>
      </c>
      <c r="S1303" s="69"/>
      <c r="T1303" s="70"/>
      <c r="U1303" s="71">
        <f t="shared" ref="U1303" si="524">SUM(G1303:T1303)</f>
        <v>40</v>
      </c>
      <c r="V1303" s="72"/>
      <c r="W1303" s="69"/>
      <c r="X1303" s="70"/>
      <c r="Y1303" s="104"/>
      <c r="Z1303" s="103">
        <v>8</v>
      </c>
      <c r="AA1303" s="104"/>
      <c r="AB1303" s="103">
        <v>8</v>
      </c>
      <c r="AC1303" s="104"/>
      <c r="AD1303" s="103">
        <v>8</v>
      </c>
      <c r="AE1303" s="104"/>
      <c r="AF1303" s="103">
        <v>8</v>
      </c>
      <c r="AG1303" s="104"/>
      <c r="AH1303" s="103">
        <v>8</v>
      </c>
      <c r="AI1303" s="69"/>
      <c r="AJ1303" s="70"/>
      <c r="AK1303" s="71">
        <f>SUM(Z1303:AH1303)</f>
        <v>40</v>
      </c>
      <c r="AL1303" s="72"/>
      <c r="AM1303" s="73">
        <f>SUMIF($G1302:$T1302,"",$G1303:$T1303)+SUMIF($W1302:$AJ1302,"",$W1303:$AJ1303)-AN1303</f>
        <v>24</v>
      </c>
      <c r="AN1303" s="88">
        <f>IF(SUMIF($G1302:$T1302,"",$G1303:$T1303)+SUMIF($G1302:$T1302,"F",$G1303:$T1303)+SUMIF($G1302:$T1302,"V",$G1303:$T1303)-40&lt;0,0,SUMIF($G1302:$T1302,"",$G1303:$T1303)+SUMIF($G1302:$T1302,"F",$G1303:$T1303)+SUMIF($G1302:$T1302,"V",$G1303:$T1303)-($U$9/2))+IF(SUMIF($W1302:$AJ1302,"",$W1303:$AJ1303)+SUMIF($W1302:$AJ1302,"F",$W1303:$AJ1303)+SUMIF($W1302:$AJ1302,"V",$W1303:$AJ1303)-40&lt;0,0,SUMIF($W1302:$AJ1302,"",$W1303:$AJ1303)+SUMIF($W1302:$AJ1302,"F",$W1303:$AJ1303)+SUMIF($W1302:$AJ1302,"V",$W1303:$AJ1303)-($U$9/2))</f>
        <v>0</v>
      </c>
      <c r="AO1303" s="73">
        <f>SUMIF($G1302:$T1302,"M",$G1303:$T1303)+SUMIF($W1302:$AJ1302,"M",$W1303:$AJ1303)</f>
        <v>0</v>
      </c>
      <c r="AP1303" s="73">
        <f>SUMIF($G1302:$T1302,"F",$G1303:$T1303)+SUMIF($W1302:$AJ1302,"F",$W1303:$AJ1303)</f>
        <v>40</v>
      </c>
      <c r="AQ1303" s="73">
        <f>SUMIF($G1302:$T1302,"V",$G1303:$T1303)+SUMIF($W1302:$AJ1302,"V",$W1303:$AJ1303)</f>
        <v>16</v>
      </c>
      <c r="AR1303" s="74">
        <f>SUMIF($G1302:$T1302,"O",$G1303:$T1303)+SUMIF($W1302:$AJ1302,"O",$W1303:$AJ1303)</f>
        <v>0</v>
      </c>
      <c r="AS1303" s="75">
        <f>SUM(AM1303:AR1303)</f>
        <v>80</v>
      </c>
      <c r="AT1303" s="72"/>
      <c r="AU1303" s="73">
        <f>SUMIF($G1302:$T1302,"A",$G1303:$T1303)+SUMIF($W1302:$AJ1302,"A",$W1303:$AJ1303)</f>
        <v>0</v>
      </c>
      <c r="AV1303" s="72"/>
      <c r="AW1303" s="76">
        <f>IF(B1303="",0,IF($U$9="",0,$U$9))</f>
        <v>80</v>
      </c>
      <c r="BA1303" s="2"/>
      <c r="BB1303" s="2"/>
      <c r="BC1303" s="101"/>
      <c r="BD1303" s="101"/>
    </row>
    <row r="1304" spans="1:56" s="84" customFormat="1" x14ac:dyDescent="0.35">
      <c r="B1304" s="26"/>
      <c r="C1304" s="27"/>
      <c r="D1304" s="28">
        <f>IF(D1230="","",D1230)</f>
        <v>81043</v>
      </c>
      <c r="E1304" s="29" t="str">
        <f t="shared" si="509"/>
        <v/>
      </c>
      <c r="F1304" s="50">
        <f>B1267</f>
        <v>1</v>
      </c>
      <c r="G1304" s="59"/>
      <c r="H1304" s="64"/>
      <c r="I1304" s="106"/>
      <c r="J1304" s="105"/>
      <c r="K1304" s="106"/>
      <c r="L1304" s="105"/>
      <c r="M1304" s="106"/>
      <c r="N1304" s="105"/>
      <c r="O1304" s="106"/>
      <c r="P1304" s="105" t="s">
        <v>13</v>
      </c>
      <c r="Q1304" s="106"/>
      <c r="R1304" s="105" t="s">
        <v>13</v>
      </c>
      <c r="S1304" s="59"/>
      <c r="T1304" s="64"/>
      <c r="U1304" s="44"/>
      <c r="W1304" s="59"/>
      <c r="X1304" s="64"/>
      <c r="Y1304" s="106"/>
      <c r="Z1304" s="105" t="s">
        <v>1</v>
      </c>
      <c r="AA1304" s="106"/>
      <c r="AB1304" s="105" t="s">
        <v>1</v>
      </c>
      <c r="AC1304" s="106"/>
      <c r="AD1304" s="105" t="s">
        <v>13</v>
      </c>
      <c r="AE1304" s="106"/>
      <c r="AF1304" s="105" t="s">
        <v>13</v>
      </c>
      <c r="AG1304" s="106"/>
      <c r="AH1304" s="105" t="s">
        <v>13</v>
      </c>
      <c r="AI1304" s="59"/>
      <c r="AJ1304" s="64"/>
      <c r="AK1304" s="44"/>
      <c r="AM1304" s="49"/>
      <c r="AN1304" s="49"/>
      <c r="AO1304" s="49"/>
      <c r="AP1304" s="49"/>
      <c r="AQ1304" s="49"/>
      <c r="AR1304" s="40"/>
      <c r="AS1304" s="51"/>
      <c r="AU1304" s="49"/>
      <c r="AW1304" s="52"/>
      <c r="BA1304" s="2"/>
      <c r="BB1304" s="2"/>
      <c r="BC1304" s="101"/>
      <c r="BD1304" s="101"/>
    </row>
    <row r="1305" spans="1:56" s="84" customFormat="1" x14ac:dyDescent="0.35">
      <c r="B1305" s="30" t="str">
        <f>IF(B1231="","",B1231)</f>
        <v>Rodrigue, Frank</v>
      </c>
      <c r="C1305" s="31"/>
      <c r="D1305" s="32"/>
      <c r="E1305" s="33">
        <f t="shared" ref="E1305:E1321" si="525">IF(E1231="","",E1231)</f>
        <v>93545</v>
      </c>
      <c r="F1305" s="50">
        <f>B1267</f>
        <v>1</v>
      </c>
      <c r="G1305" s="69"/>
      <c r="H1305" s="70"/>
      <c r="I1305" s="104"/>
      <c r="J1305" s="103">
        <v>8</v>
      </c>
      <c r="K1305" s="104"/>
      <c r="L1305" s="103">
        <v>8</v>
      </c>
      <c r="M1305" s="104"/>
      <c r="N1305" s="103">
        <v>8</v>
      </c>
      <c r="O1305" s="104"/>
      <c r="P1305" s="103">
        <v>8</v>
      </c>
      <c r="Q1305" s="104"/>
      <c r="R1305" s="103">
        <v>8</v>
      </c>
      <c r="S1305" s="69"/>
      <c r="T1305" s="70"/>
      <c r="U1305" s="71">
        <f t="shared" ref="U1305" si="526">SUM(G1305:T1305)</f>
        <v>40</v>
      </c>
      <c r="V1305" s="72"/>
      <c r="W1305" s="69"/>
      <c r="X1305" s="70"/>
      <c r="Y1305" s="104"/>
      <c r="Z1305" s="103">
        <v>8</v>
      </c>
      <c r="AA1305" s="104"/>
      <c r="AB1305" s="103">
        <v>8</v>
      </c>
      <c r="AC1305" s="104"/>
      <c r="AD1305" s="103">
        <v>8</v>
      </c>
      <c r="AE1305" s="104"/>
      <c r="AF1305" s="103">
        <v>8</v>
      </c>
      <c r="AG1305" s="104"/>
      <c r="AH1305" s="103">
        <v>8</v>
      </c>
      <c r="AI1305" s="69"/>
      <c r="AJ1305" s="70"/>
      <c r="AK1305" s="71">
        <f>SUM(W1305:AJ1305)</f>
        <v>40</v>
      </c>
      <c r="AL1305" s="72"/>
      <c r="AM1305" s="73">
        <f>SUMIF($G1304:$T1304,"",$G1305:$T1305)+SUMIF($W1304:$AJ1304,"",$W1305:$AJ1305)-AN1305</f>
        <v>24</v>
      </c>
      <c r="AN1305" s="88">
        <f>IF(SUMIF($G1304:$T1304,"",$G1305:$T1305)+SUMIF($G1304:$T1304,"F",$G1305:$T1305)+SUMIF($G1304:$T1304,"V",$G1305:$T1305)-40&lt;0,0,SUMIF($G1304:$T1304,"",$G1305:$T1305)+SUMIF($G1304:$T1304,"F",$G1305:$T1305)+SUMIF($G1304:$T1304,"V",$G1305:$T1305)-($U$9/2))+IF(SUMIF($W1304:$AJ1304,"",$W1305:$AJ1305)+SUMIF($W1304:$AJ1304,"F",$W1305:$AJ1305)+SUMIF($W1304:$AJ1304,"V",$W1305:$AJ1305)-40&lt;0,0,SUMIF($W1304:$AJ1304,"",$W1305:$AJ1305)+SUMIF($W1304:$AJ1304,"F",$W1305:$AJ1305)+SUMIF($W1304:$AJ1304,"V",$W1305:$AJ1305)-($U$9/2))</f>
        <v>0</v>
      </c>
      <c r="AO1305" s="73">
        <f>SUMIF($G1304:$T1304,"M",$G1305:$T1305)+SUMIF($W1304:$AJ1304,"M",$W1305:$AJ1305)</f>
        <v>0</v>
      </c>
      <c r="AP1305" s="73">
        <f>SUMIF($G1304:$T1304,"F",$G1305:$T1305)+SUMIF($W1304:$AJ1304,"F",$W1305:$AJ1305)</f>
        <v>40</v>
      </c>
      <c r="AQ1305" s="73">
        <f>SUMIF($G1304:$T1304,"V",$G1305:$T1305)+SUMIF($W1304:$AJ1304,"V",$W1305:$AJ1305)</f>
        <v>16</v>
      </c>
      <c r="AR1305" s="74">
        <f>SUMIF($G1304:$T1304,"O",$G1305:$T1305)+SUMIF($W1304:$AJ1304,"O",$W1305:$AJ1305)</f>
        <v>0</v>
      </c>
      <c r="AS1305" s="75">
        <f>SUM(AM1305:AR1305)</f>
        <v>80</v>
      </c>
      <c r="AT1305" s="72"/>
      <c r="AU1305" s="73">
        <f>SUMIF($G1304:$T1304,"A",$G1305:$T1305)+SUMIF($W1304:$AJ1304,"A",$W1305:$AJ1305)</f>
        <v>0</v>
      </c>
      <c r="AV1305" s="72"/>
      <c r="AW1305" s="76">
        <f>IF(B1305="",0,IF($U$9="",0,$U$9))</f>
        <v>80</v>
      </c>
      <c r="BA1305" s="2"/>
      <c r="BB1305" s="2"/>
      <c r="BC1305" s="101"/>
      <c r="BD1305" s="101"/>
    </row>
    <row r="1306" spans="1:56" s="84" customFormat="1" x14ac:dyDescent="0.35">
      <c r="B1306" s="26"/>
      <c r="C1306" s="27"/>
      <c r="D1306" s="28">
        <f>IF(D1232="","",D1232)</f>
        <v>72673</v>
      </c>
      <c r="E1306" s="29" t="str">
        <f t="shared" si="525"/>
        <v/>
      </c>
      <c r="F1306" s="50">
        <f>B1267</f>
        <v>1</v>
      </c>
      <c r="G1306" s="59"/>
      <c r="H1306" s="64"/>
      <c r="I1306" s="106"/>
      <c r="J1306" s="105"/>
      <c r="K1306" s="106"/>
      <c r="L1306" s="105"/>
      <c r="M1306" s="106"/>
      <c r="N1306" s="105"/>
      <c r="O1306" s="106"/>
      <c r="P1306" s="105"/>
      <c r="Q1306" s="106"/>
      <c r="R1306" s="105"/>
      <c r="S1306" s="59"/>
      <c r="T1306" s="64"/>
      <c r="U1306" s="44"/>
      <c r="W1306" s="59"/>
      <c r="X1306" s="64"/>
      <c r="Y1306" s="106"/>
      <c r="Z1306" s="105"/>
      <c r="AA1306" s="106"/>
      <c r="AB1306" s="105"/>
      <c r="AC1306" s="106"/>
      <c r="AD1306" s="105"/>
      <c r="AE1306" s="106"/>
      <c r="AF1306" s="105"/>
      <c r="AG1306" s="106"/>
      <c r="AH1306" s="105"/>
      <c r="AI1306" s="59"/>
      <c r="AJ1306" s="64"/>
      <c r="AK1306" s="44"/>
      <c r="AM1306" s="49"/>
      <c r="AN1306" s="49"/>
      <c r="AO1306" s="49"/>
      <c r="AP1306" s="49"/>
      <c r="AQ1306" s="49"/>
      <c r="AR1306" s="40"/>
      <c r="AS1306" s="51"/>
      <c r="AU1306" s="49"/>
      <c r="AW1306" s="52"/>
      <c r="BA1306" s="2"/>
      <c r="BB1306" s="2"/>
      <c r="BC1306" s="101"/>
      <c r="BD1306" s="101"/>
    </row>
    <row r="1307" spans="1:56" s="84" customFormat="1" x14ac:dyDescent="0.35">
      <c r="B1307" s="30" t="str">
        <f>IF(B1233="","",B1233)</f>
        <v>St-Georges, Manuel (avance $2,000)</v>
      </c>
      <c r="C1307" s="31"/>
      <c r="D1307" s="32"/>
      <c r="E1307" s="33">
        <f t="shared" si="525"/>
        <v>93595935</v>
      </c>
      <c r="F1307" s="50">
        <f>B1267</f>
        <v>1</v>
      </c>
      <c r="G1307" s="69"/>
      <c r="H1307" s="70"/>
      <c r="I1307" s="104"/>
      <c r="J1307" s="103" t="s">
        <v>69</v>
      </c>
      <c r="K1307" s="104"/>
      <c r="L1307" s="103" t="s">
        <v>69</v>
      </c>
      <c r="M1307" s="104"/>
      <c r="N1307" s="103" t="s">
        <v>69</v>
      </c>
      <c r="O1307" s="104"/>
      <c r="P1307" s="103" t="s">
        <v>69</v>
      </c>
      <c r="Q1307" s="104"/>
      <c r="R1307" s="103" t="s">
        <v>69</v>
      </c>
      <c r="S1307" s="69"/>
      <c r="T1307" s="70"/>
      <c r="U1307" s="71">
        <f t="shared" ref="U1307" si="527">SUM(G1307:T1307)</f>
        <v>0</v>
      </c>
      <c r="V1307" s="72"/>
      <c r="W1307" s="69"/>
      <c r="X1307" s="70"/>
      <c r="Y1307" s="104"/>
      <c r="Z1307" s="103" t="s">
        <v>69</v>
      </c>
      <c r="AA1307" s="104"/>
      <c r="AB1307" s="103" t="s">
        <v>69</v>
      </c>
      <c r="AC1307" s="104"/>
      <c r="AD1307" s="103" t="s">
        <v>69</v>
      </c>
      <c r="AE1307" s="104"/>
      <c r="AF1307" s="103" t="s">
        <v>69</v>
      </c>
      <c r="AG1307" s="104"/>
      <c r="AH1307" s="103" t="s">
        <v>69</v>
      </c>
      <c r="AI1307" s="69"/>
      <c r="AJ1307" s="70"/>
      <c r="AK1307" s="71">
        <f>SUM(W1307:AJ1307)</f>
        <v>0</v>
      </c>
      <c r="AL1307" s="72"/>
      <c r="AM1307" s="73">
        <f>SUMIF($G1306:$T1306,"",$G1307:$T1307)+SUMIF($W1306:$AJ1306,"",$W1307:$AJ1307)-AN1307</f>
        <v>0</v>
      </c>
      <c r="AN1307" s="88">
        <f>IF(SUMIF($G1306:$T1306,"",$G1307:$T1307)+SUMIF($G1306:$T1306,"F",$G1307:$T1307)+SUMIF($G1306:$T1306,"V",$G1307:$T1307)-40&lt;0,0,SUMIF($G1306:$T1306,"",$G1307:$T1307)+SUMIF($G1306:$T1306,"F",$G1307:$T1307)+SUMIF($G1306:$T1306,"V",$G1307:$T1307)-($U$9/2))+IF(SUMIF($W1306:$AJ1306,"",$W1307:$AJ1307)+SUMIF($W1306:$AJ1306,"F",$W1307:$AJ1307)+SUMIF($W1306:$AJ1306,"V",$W1307:$AJ1307)-40&lt;0,0,SUMIF($W1306:$AJ1306,"",$W1307:$AJ1307)+SUMIF($W1306:$AJ1306,"F",$W1307:$AJ1307)+SUMIF($W1306:$AJ1306,"V",$W1307:$AJ1307)-($U$9/2))</f>
        <v>0</v>
      </c>
      <c r="AO1307" s="73">
        <f>SUMIF($G1306:$T1306,"M",$G1307:$T1307)+SUMIF($W1306:$AJ1306,"M",$W1307:$AJ1307)</f>
        <v>0</v>
      </c>
      <c r="AP1307" s="73">
        <f>SUMIF($G1306:$T1306,"F",$G1307:$T1307)+SUMIF($W1306:$AJ1306,"F",$W1307:$AJ1307)</f>
        <v>0</v>
      </c>
      <c r="AQ1307" s="73">
        <f>SUMIF($G1306:$T1306,"V",$G1307:$T1307)+SUMIF($W1306:$AJ1306,"V",$W1307:$AJ1307)</f>
        <v>0</v>
      </c>
      <c r="AR1307" s="74">
        <f>SUMIF($G1306:$T1306,"O",$G1307:$T1307)+SUMIF($W1306:$AJ1306,"O",$W1307:$AJ1307)</f>
        <v>0</v>
      </c>
      <c r="AS1307" s="75">
        <f>SUM(AM1307:AR1307)</f>
        <v>0</v>
      </c>
      <c r="AT1307" s="72"/>
      <c r="AU1307" s="73">
        <f>SUMIF($G1306:$T1306,"A",$G1307:$T1307)+SUMIF($W1306:$AJ1306,"A",$W1307:$AJ1307)</f>
        <v>0</v>
      </c>
      <c r="AV1307" s="72"/>
      <c r="AW1307" s="76">
        <f>IF(B1307="",0,IF($U$9="",0,$U$9))</f>
        <v>80</v>
      </c>
      <c r="BA1307" s="2"/>
      <c r="BB1307" s="2"/>
      <c r="BC1307" s="101"/>
      <c r="BD1307" s="101"/>
    </row>
    <row r="1308" spans="1:56" s="84" customFormat="1" x14ac:dyDescent="0.35">
      <c r="B1308" s="26"/>
      <c r="C1308" s="27"/>
      <c r="D1308" s="28" t="str">
        <f>IF(D1234="","",D1234)</f>
        <v/>
      </c>
      <c r="E1308" s="29" t="str">
        <f t="shared" si="525"/>
        <v/>
      </c>
      <c r="F1308" s="50">
        <f>B1267</f>
        <v>1</v>
      </c>
      <c r="G1308" s="59"/>
      <c r="H1308" s="64"/>
      <c r="I1308" s="106"/>
      <c r="J1308" s="105"/>
      <c r="K1308" s="106"/>
      <c r="L1308" s="105"/>
      <c r="M1308" s="106"/>
      <c r="N1308" s="105"/>
      <c r="O1308" s="106"/>
      <c r="P1308" s="105"/>
      <c r="Q1308" s="106"/>
      <c r="R1308" s="105"/>
      <c r="S1308" s="59"/>
      <c r="T1308" s="64"/>
      <c r="U1308" s="44"/>
      <c r="W1308" s="59"/>
      <c r="X1308" s="64"/>
      <c r="Y1308" s="106"/>
      <c r="Z1308" s="105"/>
      <c r="AA1308" s="106"/>
      <c r="AB1308" s="105"/>
      <c r="AC1308" s="106"/>
      <c r="AD1308" s="105"/>
      <c r="AE1308" s="106"/>
      <c r="AF1308" s="105"/>
      <c r="AG1308" s="106"/>
      <c r="AH1308" s="105"/>
      <c r="AI1308" s="59"/>
      <c r="AJ1308" s="64"/>
      <c r="AK1308" s="44"/>
      <c r="AM1308" s="49"/>
      <c r="AN1308" s="49"/>
      <c r="AO1308" s="49"/>
      <c r="AP1308" s="49"/>
      <c r="AQ1308" s="49"/>
      <c r="AR1308" s="40"/>
      <c r="AS1308" s="51"/>
      <c r="AU1308" s="49"/>
      <c r="AW1308" s="52"/>
      <c r="BA1308" s="2"/>
      <c r="BB1308" s="2"/>
      <c r="BC1308" s="101"/>
      <c r="BD1308" s="101"/>
    </row>
    <row r="1309" spans="1:56" s="84" customFormat="1" x14ac:dyDescent="0.35">
      <c r="B1309" s="30" t="str">
        <f>IF(B1235="","",B1235)</f>
        <v/>
      </c>
      <c r="C1309" s="31"/>
      <c r="D1309" s="32"/>
      <c r="E1309" s="33" t="str">
        <f t="shared" si="525"/>
        <v/>
      </c>
      <c r="F1309" s="50">
        <f>B1267</f>
        <v>1</v>
      </c>
      <c r="G1309" s="69"/>
      <c r="H1309" s="70"/>
      <c r="I1309" s="104"/>
      <c r="J1309" s="103"/>
      <c r="K1309" s="104"/>
      <c r="L1309" s="103"/>
      <c r="M1309" s="104"/>
      <c r="N1309" s="103"/>
      <c r="O1309" s="104"/>
      <c r="P1309" s="103"/>
      <c r="Q1309" s="104"/>
      <c r="R1309" s="103"/>
      <c r="S1309" s="69"/>
      <c r="T1309" s="70"/>
      <c r="U1309" s="71">
        <f t="shared" ref="U1309" si="528">SUM(G1309:T1309)</f>
        <v>0</v>
      </c>
      <c r="V1309" s="72"/>
      <c r="W1309" s="69"/>
      <c r="X1309" s="70"/>
      <c r="Y1309" s="104"/>
      <c r="Z1309" s="103"/>
      <c r="AA1309" s="104"/>
      <c r="AB1309" s="103"/>
      <c r="AC1309" s="104"/>
      <c r="AD1309" s="103"/>
      <c r="AE1309" s="104"/>
      <c r="AF1309" s="103"/>
      <c r="AG1309" s="104"/>
      <c r="AH1309" s="103"/>
      <c r="AI1309" s="69"/>
      <c r="AJ1309" s="70"/>
      <c r="AK1309" s="71">
        <f>SUM(W1309:AJ1309)</f>
        <v>0</v>
      </c>
      <c r="AL1309" s="72"/>
      <c r="AM1309" s="73">
        <f>SUMIF($G1308:$T1308,"",$G1309:$T1309)+SUMIF($W1308:$AJ1308,"",$W1309:$AJ1309)-AN1309</f>
        <v>0</v>
      </c>
      <c r="AN1309" s="88">
        <f>IF(SUMIF($G1308:$T1308,"",$G1309:$T1309)+SUMIF($G1308:$T1308,"F",$G1309:$T1309)+SUMIF($G1308:$T1308,"V",$G1309:$T1309)-40&lt;0,0,SUMIF($G1308:$T1308,"",$G1309:$T1309)+SUMIF($G1308:$T1308,"F",$G1309:$T1309)+SUMIF($G1308:$T1308,"V",$G1309:$T1309)-($U$9/2))+IF(SUMIF($W1308:$AJ1308,"",$W1309:$AJ1309)+SUMIF($W1308:$AJ1308,"F",$W1309:$AJ1309)+SUMIF($W1308:$AJ1308,"V",$W1309:$AJ1309)-40&lt;0,0,SUMIF($W1308:$AJ1308,"",$W1309:$AJ1309)+SUMIF($W1308:$AJ1308,"F",$W1309:$AJ1309)+SUMIF($W1308:$AJ1308,"V",$W1309:$AJ1309)-($U$9/2))</f>
        <v>0</v>
      </c>
      <c r="AO1309" s="73">
        <f>SUMIF($G1308:$T1308,"M",$G1309:$T1309)+SUMIF($W1308:$AJ1308,"M",$W1309:$AJ1309)</f>
        <v>0</v>
      </c>
      <c r="AP1309" s="73">
        <f>SUMIF($G1308:$T1308,"F",$G1309:$T1309)+SUMIF($W1308:$AJ1308,"F",$W1309:$AJ1309)</f>
        <v>0</v>
      </c>
      <c r="AQ1309" s="73">
        <f>SUMIF($G1308:$T1308,"V",$G1309:$T1309)+SUMIF($W1308:$AJ1308,"V",$W1309:$AJ1309)</f>
        <v>0</v>
      </c>
      <c r="AR1309" s="74">
        <f>SUMIF($G1308:$T1308,"O",$G1309:$T1309)+SUMIF($W1308:$AJ1308,"O",$W1309:$AJ1309)</f>
        <v>0</v>
      </c>
      <c r="AS1309" s="75">
        <f>SUM(AM1309:AR1309)</f>
        <v>0</v>
      </c>
      <c r="AT1309" s="72"/>
      <c r="AU1309" s="73">
        <f>SUMIF($G1308:$T1308,"A",$G1309:$T1309)+SUMIF($W1308:$AJ1308,"A",$W1309:$AJ1309)</f>
        <v>0</v>
      </c>
      <c r="AV1309" s="72"/>
      <c r="AW1309" s="76">
        <f>IF(B1309="",0,IF($U$9="",0,$U$9))</f>
        <v>0</v>
      </c>
      <c r="BA1309" s="2"/>
      <c r="BB1309" s="2"/>
      <c r="BC1309" s="101"/>
      <c r="BD1309" s="101"/>
    </row>
    <row r="1310" spans="1:56" s="84" customFormat="1" x14ac:dyDescent="0.35">
      <c r="B1310" s="26"/>
      <c r="C1310" s="27"/>
      <c r="D1310" s="28">
        <f>IF(D1236="","",D1236)</f>
        <v>23736</v>
      </c>
      <c r="E1310" s="29" t="str">
        <f t="shared" si="525"/>
        <v/>
      </c>
      <c r="F1310" s="50">
        <f>B1267</f>
        <v>1</v>
      </c>
      <c r="G1310" s="59"/>
      <c r="H1310" s="64"/>
      <c r="I1310" s="106"/>
      <c r="J1310" s="105"/>
      <c r="K1310" s="106"/>
      <c r="L1310" s="105"/>
      <c r="M1310" s="106"/>
      <c r="N1310" s="105"/>
      <c r="O1310" s="106"/>
      <c r="P1310" s="105" t="s">
        <v>13</v>
      </c>
      <c r="Q1310" s="106"/>
      <c r="R1310" s="105" t="s">
        <v>13</v>
      </c>
      <c r="S1310" s="59"/>
      <c r="T1310" s="64"/>
      <c r="U1310" s="44"/>
      <c r="W1310" s="59"/>
      <c r="X1310" s="64"/>
      <c r="Y1310" s="106"/>
      <c r="Z1310" s="105" t="s">
        <v>1</v>
      </c>
      <c r="AA1310" s="106"/>
      <c r="AB1310" s="105" t="s">
        <v>1</v>
      </c>
      <c r="AC1310" s="106"/>
      <c r="AD1310" s="105" t="s">
        <v>13</v>
      </c>
      <c r="AE1310" s="106"/>
      <c r="AF1310" s="105" t="s">
        <v>13</v>
      </c>
      <c r="AG1310" s="106"/>
      <c r="AH1310" s="105" t="s">
        <v>13</v>
      </c>
      <c r="AI1310" s="59"/>
      <c r="AJ1310" s="64"/>
      <c r="AK1310" s="44"/>
      <c r="AM1310" s="49"/>
      <c r="AN1310" s="49"/>
      <c r="AO1310" s="49"/>
      <c r="AP1310" s="49"/>
      <c r="AQ1310" s="49"/>
      <c r="AR1310" s="40"/>
      <c r="AS1310" s="51"/>
      <c r="AU1310" s="49"/>
      <c r="AW1310" s="52"/>
      <c r="BA1310" s="2"/>
      <c r="BB1310" s="2"/>
      <c r="BC1310" s="101"/>
      <c r="BD1310" s="101"/>
    </row>
    <row r="1311" spans="1:56" s="84" customFormat="1" x14ac:dyDescent="0.35">
      <c r="B1311" s="30" t="str">
        <f>IF(B1237="","",B1237)</f>
        <v>Voster, Jean-Michel</v>
      </c>
      <c r="C1311" s="31"/>
      <c r="D1311" s="32"/>
      <c r="E1311" s="33">
        <f t="shared" si="525"/>
        <v>93545</v>
      </c>
      <c r="F1311" s="50">
        <f>B1267</f>
        <v>1</v>
      </c>
      <c r="G1311" s="69"/>
      <c r="H1311" s="70"/>
      <c r="I1311" s="104"/>
      <c r="J1311" s="103">
        <v>8</v>
      </c>
      <c r="K1311" s="104"/>
      <c r="L1311" s="103">
        <v>8</v>
      </c>
      <c r="M1311" s="104"/>
      <c r="N1311" s="103">
        <v>8</v>
      </c>
      <c r="O1311" s="104"/>
      <c r="P1311" s="103">
        <v>8</v>
      </c>
      <c r="Q1311" s="104"/>
      <c r="R1311" s="103">
        <v>8</v>
      </c>
      <c r="S1311" s="69"/>
      <c r="T1311" s="70"/>
      <c r="U1311" s="71">
        <f t="shared" ref="U1311" si="529">SUM(G1311:T1311)</f>
        <v>40</v>
      </c>
      <c r="V1311" s="72"/>
      <c r="W1311" s="69"/>
      <c r="X1311" s="70"/>
      <c r="Y1311" s="104"/>
      <c r="Z1311" s="103">
        <v>8</v>
      </c>
      <c r="AA1311" s="104"/>
      <c r="AB1311" s="103">
        <v>8</v>
      </c>
      <c r="AC1311" s="104"/>
      <c r="AD1311" s="103">
        <v>8</v>
      </c>
      <c r="AE1311" s="104"/>
      <c r="AF1311" s="103">
        <v>8</v>
      </c>
      <c r="AG1311" s="104"/>
      <c r="AH1311" s="103">
        <v>8</v>
      </c>
      <c r="AI1311" s="69"/>
      <c r="AJ1311" s="70"/>
      <c r="AK1311" s="71">
        <f>SUM(W1311:AJ1311)</f>
        <v>40</v>
      </c>
      <c r="AL1311" s="72"/>
      <c r="AM1311" s="73">
        <f>SUMIF($G1310:$T1310,"",$G1311:$T1311)+SUMIF($W1310:$AJ1310,"",$W1311:$AJ1311)-AN1311</f>
        <v>24</v>
      </c>
      <c r="AN1311" s="88">
        <f>IF(SUMIF($G1310:$T1310,"",$G1311:$T1311)+SUMIF($G1310:$T1310,"F",$G1311:$T1311)+SUMIF($G1310:$T1310,"V",$G1311:$T1311)-40&lt;0,0,SUMIF($G1310:$T1310,"",$G1311:$T1311)+SUMIF($G1310:$T1310,"F",$G1311:$T1311)+SUMIF($G1310:$T1310,"V",$G1311:$T1311)-($U$9/2))+IF(SUMIF($W1310:$AJ1310,"",$W1311:$AJ1311)+SUMIF($W1310:$AJ1310,"F",$W1311:$AJ1311)+SUMIF($W1310:$AJ1310,"V",$W1311:$AJ1311)-40&lt;0,0,SUMIF($W1310:$AJ1310,"",$W1311:$AJ1311)+SUMIF($W1310:$AJ1310,"F",$W1311:$AJ1311)+SUMIF($W1310:$AJ1310,"V",$W1311:$AJ1311)-($U$9/2))</f>
        <v>0</v>
      </c>
      <c r="AO1311" s="73">
        <f>SUMIF($G1310:$T1310,"M",$G1311:$T1311)+SUMIF($W1310:$AJ1310,"M",$W1311:$AJ1311)</f>
        <v>0</v>
      </c>
      <c r="AP1311" s="73">
        <f>SUMIF($G1310:$T1310,"F",$G1311:$T1311)+SUMIF($W1310:$AJ1310,"F",$W1311:$AJ1311)</f>
        <v>40</v>
      </c>
      <c r="AQ1311" s="73">
        <f>SUMIF($G1310:$T1310,"V",$G1311:$T1311)+SUMIF($W1310:$AJ1310,"V",$W1311:$AJ1311)</f>
        <v>16</v>
      </c>
      <c r="AR1311" s="74">
        <f>SUMIF($G1310:$T1310,"O",$G1311:$T1311)+SUMIF($W1310:$AJ1310,"O",$W1311:$AJ1311)</f>
        <v>0</v>
      </c>
      <c r="AS1311" s="75">
        <f>SUM(AM1311:AR1311)</f>
        <v>80</v>
      </c>
      <c r="AT1311" s="72"/>
      <c r="AU1311" s="73">
        <f>SUMIF($G1310:$T1310,"A",$G1311:$T1311)+SUMIF($W1310:$AJ1310,"A",$W1311:$AJ1311)</f>
        <v>0</v>
      </c>
      <c r="AV1311" s="72"/>
      <c r="AW1311" s="76">
        <f>IF(B1311="",0,IF($U$9="",0,$U$9))</f>
        <v>80</v>
      </c>
      <c r="BA1311" s="2"/>
      <c r="BB1311" s="2"/>
      <c r="BC1311" s="101"/>
      <c r="BD1311" s="101"/>
    </row>
    <row r="1312" spans="1:56" s="53" customFormat="1" ht="15" customHeight="1" x14ac:dyDescent="0.35">
      <c r="A1312" s="84"/>
      <c r="B1312" s="26"/>
      <c r="C1312" s="27"/>
      <c r="D1312" s="28" t="str">
        <f>IF(D1238="","",D1238)</f>
        <v/>
      </c>
      <c r="E1312" s="29" t="str">
        <f t="shared" si="525"/>
        <v/>
      </c>
      <c r="F1312" s="50">
        <f>B1267</f>
        <v>1</v>
      </c>
      <c r="G1312" s="59"/>
      <c r="H1312" s="64"/>
      <c r="I1312" s="106"/>
      <c r="J1312" s="105"/>
      <c r="K1312" s="106"/>
      <c r="L1312" s="105"/>
      <c r="M1312" s="106"/>
      <c r="N1312" s="105"/>
      <c r="O1312" s="106"/>
      <c r="P1312" s="105"/>
      <c r="Q1312" s="106"/>
      <c r="R1312" s="105"/>
      <c r="S1312" s="59"/>
      <c r="T1312" s="64"/>
      <c r="U1312" s="44"/>
      <c r="V1312" s="84"/>
      <c r="W1312" s="59"/>
      <c r="X1312" s="64"/>
      <c r="Y1312" s="106"/>
      <c r="Z1312" s="105"/>
      <c r="AA1312" s="106"/>
      <c r="AB1312" s="105"/>
      <c r="AC1312" s="106"/>
      <c r="AD1312" s="105"/>
      <c r="AE1312" s="106"/>
      <c r="AF1312" s="105"/>
      <c r="AG1312" s="106"/>
      <c r="AH1312" s="105"/>
      <c r="AI1312" s="59"/>
      <c r="AJ1312" s="64"/>
      <c r="AK1312" s="44"/>
      <c r="AL1312" s="84"/>
      <c r="AM1312" s="49"/>
      <c r="AN1312" s="49"/>
      <c r="AO1312" s="49"/>
      <c r="AP1312" s="49"/>
      <c r="AQ1312" s="49"/>
      <c r="AR1312" s="40"/>
      <c r="AS1312" s="51"/>
      <c r="AT1312" s="84"/>
      <c r="AU1312" s="49"/>
      <c r="AV1312" s="84"/>
      <c r="AW1312" s="52"/>
      <c r="AX1312" s="84"/>
      <c r="BA1312" s="2"/>
      <c r="BB1312" s="2"/>
      <c r="BC1312" s="101"/>
      <c r="BD1312" s="101"/>
    </row>
    <row r="1313" spans="1:56" s="57" customFormat="1" ht="15" customHeight="1" x14ac:dyDescent="0.35">
      <c r="A1313" s="84"/>
      <c r="B1313" s="30"/>
      <c r="C1313" s="31"/>
      <c r="D1313" s="32"/>
      <c r="E1313" s="33" t="str">
        <f t="shared" si="525"/>
        <v/>
      </c>
      <c r="F1313" s="50">
        <f>B1267</f>
        <v>1</v>
      </c>
      <c r="G1313" s="69"/>
      <c r="H1313" s="70"/>
      <c r="I1313" s="104"/>
      <c r="J1313" s="103"/>
      <c r="K1313" s="104"/>
      <c r="L1313" s="103"/>
      <c r="M1313" s="104"/>
      <c r="N1313" s="103"/>
      <c r="O1313" s="104"/>
      <c r="P1313" s="103"/>
      <c r="Q1313" s="104"/>
      <c r="R1313" s="103"/>
      <c r="S1313" s="69"/>
      <c r="T1313" s="70"/>
      <c r="U1313" s="71">
        <f t="shared" ref="U1313" si="530">SUM(G1313:T1313)</f>
        <v>0</v>
      </c>
      <c r="V1313" s="72"/>
      <c r="W1313" s="69"/>
      <c r="X1313" s="70"/>
      <c r="Y1313" s="104"/>
      <c r="Z1313" s="103"/>
      <c r="AA1313" s="104"/>
      <c r="AB1313" s="103"/>
      <c r="AC1313" s="104"/>
      <c r="AD1313" s="103"/>
      <c r="AE1313" s="104"/>
      <c r="AF1313" s="103"/>
      <c r="AG1313" s="104"/>
      <c r="AH1313" s="103"/>
      <c r="AI1313" s="69"/>
      <c r="AJ1313" s="70"/>
      <c r="AK1313" s="71">
        <f>SUM(W1313:AJ1313)</f>
        <v>0</v>
      </c>
      <c r="AL1313" s="72"/>
      <c r="AM1313" s="73">
        <f>SUMIF($G1312:$T1312,"",$G1313:$T1313)+SUMIF($W1312:$AJ1312,"",$W1313:$AJ1313)-AN1313</f>
        <v>0</v>
      </c>
      <c r="AN1313" s="88">
        <f>IF(SUMIF($G1312:$T1312,"",$G1313:$T1313)+SUMIF($G1312:$T1312,"F",$G1313:$T1313)+SUMIF($G1312:$T1312,"V",$G1313:$T1313)-40&lt;0,0,SUMIF($G1312:$T1312,"",$G1313:$T1313)+SUMIF($G1312:$T1312,"F",$G1313:$T1313)+SUMIF($G1312:$T1312,"V",$G1313:$T1313)-($U$9/2))+IF(SUMIF($W1312:$AJ1312,"",$W1313:$AJ1313)+SUMIF($W1312:$AJ1312,"F",$W1313:$AJ1313)+SUMIF($W1312:$AJ1312,"V",$W1313:$AJ1313)-40&lt;0,0,SUMIF($W1312:$AJ1312,"",$W1313:$AJ1313)+SUMIF($W1312:$AJ1312,"F",$W1313:$AJ1313)+SUMIF($W1312:$AJ1312,"V",$W1313:$AJ1313)-($U$9/2))</f>
        <v>0</v>
      </c>
      <c r="AO1313" s="73">
        <f>SUMIF($G1312:$T1312,"M",$G1313:$T1313)+SUMIF($W1312:$AJ1312,"M",$W1313:$AJ1313)</f>
        <v>0</v>
      </c>
      <c r="AP1313" s="73">
        <f>SUMIF($G1312:$T1312,"F",$G1313:$T1313)+SUMIF($W1312:$AJ1312,"F",$W1313:$AJ1313)</f>
        <v>0</v>
      </c>
      <c r="AQ1313" s="73">
        <f>SUMIF($G1312:$T1312,"V",$G1313:$T1313)+SUMIF($W1312:$AJ1312,"V",$W1313:$AJ1313)</f>
        <v>0</v>
      </c>
      <c r="AR1313" s="74">
        <f>SUMIF($G1312:$T1312,"O",$G1313:$T1313)+SUMIF($W1312:$AJ1312,"O",$W1313:$AJ1313)</f>
        <v>0</v>
      </c>
      <c r="AS1313" s="75">
        <f>SUM(AM1313:AR1313)</f>
        <v>0</v>
      </c>
      <c r="AT1313" s="72"/>
      <c r="AU1313" s="73">
        <f>SUMIF($G1312:$T1312,"A",$G1313:$T1313)+SUMIF($W1312:$AJ1312,"A",$W1313:$AJ1313)</f>
        <v>0</v>
      </c>
      <c r="AV1313" s="72"/>
      <c r="AW1313" s="76">
        <f>IF(B1313="",0,IF($U$9="",0,$U$9))</f>
        <v>0</v>
      </c>
      <c r="AX1313" s="84"/>
      <c r="BA1313" s="2"/>
      <c r="BB1313" s="2"/>
      <c r="BC1313" s="101"/>
      <c r="BD1313" s="101"/>
    </row>
    <row r="1314" spans="1:56" s="53" customFormat="1" ht="15" customHeight="1" x14ac:dyDescent="0.35">
      <c r="A1314" s="84"/>
      <c r="B1314" s="26"/>
      <c r="C1314" s="27"/>
      <c r="D1314" s="28" t="str">
        <f>IF(D1240="","",D1240)</f>
        <v/>
      </c>
      <c r="E1314" s="29" t="str">
        <f t="shared" si="525"/>
        <v/>
      </c>
      <c r="F1314" s="50">
        <f>B1267</f>
        <v>1</v>
      </c>
      <c r="G1314" s="59"/>
      <c r="H1314" s="64"/>
      <c r="I1314" s="106"/>
      <c r="J1314" s="105"/>
      <c r="K1314" s="106"/>
      <c r="L1314" s="105"/>
      <c r="M1314" s="106"/>
      <c r="N1314" s="105"/>
      <c r="O1314" s="106"/>
      <c r="P1314" s="105"/>
      <c r="Q1314" s="106"/>
      <c r="R1314" s="105"/>
      <c r="S1314" s="59"/>
      <c r="T1314" s="64"/>
      <c r="U1314" s="44"/>
      <c r="V1314" s="84"/>
      <c r="W1314" s="59"/>
      <c r="X1314" s="64"/>
      <c r="Y1314" s="106"/>
      <c r="Z1314" s="105"/>
      <c r="AA1314" s="106"/>
      <c r="AB1314" s="105"/>
      <c r="AC1314" s="106"/>
      <c r="AD1314" s="105"/>
      <c r="AE1314" s="106"/>
      <c r="AF1314" s="105"/>
      <c r="AG1314" s="106"/>
      <c r="AH1314" s="105"/>
      <c r="AI1314" s="59"/>
      <c r="AJ1314" s="64"/>
      <c r="AK1314" s="44"/>
      <c r="AL1314" s="84"/>
      <c r="AM1314" s="49"/>
      <c r="AN1314" s="49"/>
      <c r="AO1314" s="49"/>
      <c r="AP1314" s="49"/>
      <c r="AQ1314" s="49"/>
      <c r="AR1314" s="40"/>
      <c r="AS1314" s="51"/>
      <c r="AT1314" s="84"/>
      <c r="AU1314" s="49"/>
      <c r="AV1314" s="84"/>
      <c r="AW1314" s="52"/>
      <c r="AX1314" s="84"/>
      <c r="BA1314" s="2"/>
      <c r="BB1314" s="2"/>
      <c r="BC1314" s="101"/>
      <c r="BD1314" s="101"/>
    </row>
    <row r="1315" spans="1:56" s="53" customFormat="1" x14ac:dyDescent="0.35">
      <c r="A1315" s="84"/>
      <c r="B1315" s="30" t="str">
        <f>IF(B1241="","",B1241)</f>
        <v/>
      </c>
      <c r="C1315" s="31"/>
      <c r="D1315" s="32"/>
      <c r="E1315" s="33" t="str">
        <f t="shared" si="525"/>
        <v/>
      </c>
      <c r="F1315" s="50">
        <f>B1267</f>
        <v>1</v>
      </c>
      <c r="G1315" s="69"/>
      <c r="H1315" s="70"/>
      <c r="I1315" s="104"/>
      <c r="J1315" s="103"/>
      <c r="K1315" s="104"/>
      <c r="L1315" s="103"/>
      <c r="M1315" s="104"/>
      <c r="N1315" s="103"/>
      <c r="O1315" s="104"/>
      <c r="P1315" s="103"/>
      <c r="Q1315" s="104"/>
      <c r="R1315" s="103"/>
      <c r="S1315" s="69"/>
      <c r="T1315" s="70"/>
      <c r="U1315" s="71">
        <f t="shared" ref="U1315" si="531">SUM(G1315:T1315)</f>
        <v>0</v>
      </c>
      <c r="V1315" s="72"/>
      <c r="W1315" s="69"/>
      <c r="X1315" s="70"/>
      <c r="Y1315" s="104"/>
      <c r="Z1315" s="103"/>
      <c r="AA1315" s="104"/>
      <c r="AB1315" s="103"/>
      <c r="AC1315" s="104"/>
      <c r="AD1315" s="103"/>
      <c r="AE1315" s="104"/>
      <c r="AF1315" s="103"/>
      <c r="AG1315" s="104"/>
      <c r="AH1315" s="103"/>
      <c r="AI1315" s="69"/>
      <c r="AJ1315" s="70"/>
      <c r="AK1315" s="71">
        <f>SUM(W1315:AJ1315)</f>
        <v>0</v>
      </c>
      <c r="AL1315" s="72"/>
      <c r="AM1315" s="73">
        <f>SUMIF($G1314:$T1314,"",$G1315:$T1315)+SUMIF($W1314:$AJ1314,"",$W1315:$AJ1315)-AN1315</f>
        <v>0</v>
      </c>
      <c r="AN1315" s="88">
        <f>IF(SUMIF($G1314:$T1314,"",$G1315:$T1315)+SUMIF($G1314:$T1314,"F",$G1315:$T1315)+SUMIF($G1314:$T1314,"V",$G1315:$T1315)-40&lt;0,0,SUMIF($G1314:$T1314,"",$G1315:$T1315)+SUMIF($G1314:$T1314,"F",$G1315:$T1315)+SUMIF($G1314:$T1314,"V",$G1315:$T1315)-($U$9/2))+IF(SUMIF($W1314:$AJ1314,"",$W1315:$AJ1315)+SUMIF($W1314:$AJ1314,"F",$W1315:$AJ1315)+SUMIF($W1314:$AJ1314,"V",$W1315:$AJ1315)-40&lt;0,0,SUMIF($W1314:$AJ1314,"",$W1315:$AJ1315)+SUMIF($W1314:$AJ1314,"F",$W1315:$AJ1315)+SUMIF($W1314:$AJ1314,"V",$W1315:$AJ1315)-($U$9/2))</f>
        <v>0</v>
      </c>
      <c r="AO1315" s="73">
        <f>SUMIF($G1314:$T1314,"M",$G1315:$T1315)+SUMIF($W1314:$AJ1314,"M",$W1315:$AJ1315)</f>
        <v>0</v>
      </c>
      <c r="AP1315" s="73">
        <f>SUMIF($G1314:$T1314,"F",$G1315:$T1315)+SUMIF($W1314:$AJ1314,"F",$W1315:$AJ1315)</f>
        <v>0</v>
      </c>
      <c r="AQ1315" s="73">
        <f>SUMIF($G1314:$T1314,"V",$G1315:$T1315)+SUMIF($W1314:$AJ1314,"V",$W1315:$AJ1315)</f>
        <v>0</v>
      </c>
      <c r="AR1315" s="74">
        <f>SUMIF($G1314:$T1314,"O",$G1315:$T1315)+SUMIF($W1314:$AJ1314,"O",$W1315:$AJ1315)</f>
        <v>0</v>
      </c>
      <c r="AS1315" s="75">
        <f>SUM(AM1315:AR1315)</f>
        <v>0</v>
      </c>
      <c r="AT1315" s="72"/>
      <c r="AU1315" s="73">
        <f>SUMIF($G1314:$T1314,"A",$G1315:$T1315)+SUMIF($W1314:$AJ1314,"A",$W1315:$AJ1315)</f>
        <v>0</v>
      </c>
      <c r="AV1315" s="72"/>
      <c r="AW1315" s="76">
        <f>IF(B1315="",0,IF($U$9="",0,$U$9))</f>
        <v>0</v>
      </c>
      <c r="AX1315" s="84"/>
      <c r="BA1315" s="2"/>
      <c r="BB1315" s="2"/>
      <c r="BC1315" s="101"/>
      <c r="BD1315" s="101"/>
    </row>
    <row r="1316" spans="1:56" s="53" customFormat="1" x14ac:dyDescent="0.35">
      <c r="A1316" s="84"/>
      <c r="B1316" s="26"/>
      <c r="C1316" s="27"/>
      <c r="D1316" s="28" t="str">
        <f>IF(D1242="","",D1242)</f>
        <v/>
      </c>
      <c r="E1316" s="29" t="str">
        <f t="shared" si="525"/>
        <v/>
      </c>
      <c r="F1316" s="50">
        <f>B1267</f>
        <v>1</v>
      </c>
      <c r="G1316" s="59"/>
      <c r="H1316" s="64"/>
      <c r="I1316" s="58"/>
      <c r="J1316" s="65"/>
      <c r="K1316" s="58"/>
      <c r="L1316" s="65"/>
      <c r="M1316" s="58"/>
      <c r="N1316" s="65"/>
      <c r="O1316" s="58"/>
      <c r="P1316" s="65"/>
      <c r="Q1316" s="58"/>
      <c r="R1316" s="65"/>
      <c r="S1316" s="59"/>
      <c r="T1316" s="64"/>
      <c r="U1316" s="44"/>
      <c r="V1316" s="84"/>
      <c r="W1316" s="59"/>
      <c r="X1316" s="64"/>
      <c r="Y1316" s="58"/>
      <c r="Z1316" s="65"/>
      <c r="AA1316" s="58"/>
      <c r="AB1316" s="65"/>
      <c r="AC1316" s="58"/>
      <c r="AD1316" s="65"/>
      <c r="AE1316" s="58"/>
      <c r="AF1316" s="65"/>
      <c r="AG1316" s="58"/>
      <c r="AH1316" s="65"/>
      <c r="AI1316" s="59"/>
      <c r="AJ1316" s="64"/>
      <c r="AK1316" s="44"/>
      <c r="AL1316" s="84"/>
      <c r="AM1316" s="49"/>
      <c r="AN1316" s="49"/>
      <c r="AO1316" s="49"/>
      <c r="AP1316" s="49"/>
      <c r="AQ1316" s="49"/>
      <c r="AR1316" s="40"/>
      <c r="AS1316" s="51"/>
      <c r="AT1316" s="84"/>
      <c r="AU1316" s="49"/>
      <c r="AV1316" s="84"/>
      <c r="AW1316" s="52"/>
      <c r="AX1316" s="84"/>
      <c r="BA1316" s="2"/>
      <c r="BB1316" s="2"/>
      <c r="BC1316" s="101"/>
      <c r="BD1316" s="101"/>
    </row>
    <row r="1317" spans="1:56" s="53" customFormat="1" x14ac:dyDescent="0.35">
      <c r="A1317" s="84"/>
      <c r="B1317" s="30" t="str">
        <f>IF(B1243="","",B1243)</f>
        <v/>
      </c>
      <c r="C1317" s="31"/>
      <c r="D1317" s="32"/>
      <c r="E1317" s="33" t="str">
        <f t="shared" si="525"/>
        <v/>
      </c>
      <c r="F1317" s="50">
        <f>B1267</f>
        <v>1</v>
      </c>
      <c r="G1317" s="69"/>
      <c r="H1317" s="70"/>
      <c r="I1317" s="67"/>
      <c r="J1317" s="68"/>
      <c r="K1317" s="67"/>
      <c r="L1317" s="68"/>
      <c r="M1317" s="67"/>
      <c r="N1317" s="68"/>
      <c r="O1317" s="67"/>
      <c r="P1317" s="68"/>
      <c r="Q1317" s="67"/>
      <c r="R1317" s="68"/>
      <c r="S1317" s="69"/>
      <c r="T1317" s="70"/>
      <c r="U1317" s="71">
        <f t="shared" ref="U1317" si="532">SUM(G1317:T1317)</f>
        <v>0</v>
      </c>
      <c r="V1317" s="72"/>
      <c r="W1317" s="69"/>
      <c r="X1317" s="70"/>
      <c r="Y1317" s="67"/>
      <c r="Z1317" s="68"/>
      <c r="AA1317" s="67"/>
      <c r="AB1317" s="68"/>
      <c r="AC1317" s="67"/>
      <c r="AD1317" s="68"/>
      <c r="AE1317" s="67"/>
      <c r="AF1317" s="68"/>
      <c r="AG1317" s="67"/>
      <c r="AH1317" s="68"/>
      <c r="AI1317" s="69"/>
      <c r="AJ1317" s="70"/>
      <c r="AK1317" s="71">
        <v>0</v>
      </c>
      <c r="AL1317" s="72"/>
      <c r="AM1317" s="73">
        <f>SUMIF($G1316:$T1316,"",$G1317:$T1317)+SUMIF($W1316:$AJ1316,"",$W1317:$AJ1317)-AN1317</f>
        <v>0</v>
      </c>
      <c r="AN1317" s="88">
        <f>IF(SUMIF($G1316:$T1316,"",$G1317:$T1317)+SUMIF($G1316:$T1316,"F",$G1317:$T1317)+SUMIF($G1316:$T1316,"V",$G1317:$T1317)-40&lt;0,0,SUMIF($G1316:$T1316,"",$G1317:$T1317)+SUMIF($G1316:$T1316,"F",$G1317:$T1317)+SUMIF($G1316:$T1316,"V",$G1317:$T1317)-($U$9/2))+IF(SUMIF($W1316:$AJ1316,"",$W1317:$AJ1317)+SUMIF($W1316:$AJ1316,"F",$W1317:$AJ1317)+SUMIF($W1316:$AJ1316,"V",$W1317:$AJ1317)-40&lt;0,0,SUMIF($W1316:$AJ1316,"",$W1317:$AJ1317)+SUMIF($W1316:$AJ1316,"F",$W1317:$AJ1317)+SUMIF($W1316:$AJ1316,"V",$W1317:$AJ1317)-($U$9/2))</f>
        <v>0</v>
      </c>
      <c r="AO1317" s="73">
        <f>SUMIF($G1316:$T1316,"M",$G1317:$T1317)+SUMIF($W1316:$AJ1316,"M",$W1317:$AJ1317)</f>
        <v>0</v>
      </c>
      <c r="AP1317" s="73">
        <f>SUMIF($G1316:$T1316,"F",$G1317:$T1317)+SUMIF($W1316:$AJ1316,"F",$W1317:$AJ1317)</f>
        <v>0</v>
      </c>
      <c r="AQ1317" s="73">
        <f>SUMIF($G1316:$T1316,"V",$G1317:$T1317)+SUMIF($W1316:$AJ1316,"V",$W1317:$AJ1317)</f>
        <v>0</v>
      </c>
      <c r="AR1317" s="74">
        <f>SUMIF($G1316:$T1316,"O",$G1317:$T1317)+SUMIF($W1316:$AJ1316,"O",$W1317:$AJ1317)</f>
        <v>0</v>
      </c>
      <c r="AS1317" s="75">
        <f>SUM(AM1317:AR1317)</f>
        <v>0</v>
      </c>
      <c r="AT1317" s="72"/>
      <c r="AU1317" s="73">
        <f>SUMIF($G1316:$T1316,"A",$G1317:$T1317)+SUMIF($W1316:$AJ1316,"A",$W1317:$AJ1317)</f>
        <v>0</v>
      </c>
      <c r="AV1317" s="72"/>
      <c r="AW1317" s="76">
        <f>IF(B1317="",0,IF($U$9="",0,$U$9))</f>
        <v>0</v>
      </c>
      <c r="AX1317" s="84"/>
      <c r="BA1317" s="2"/>
      <c r="BB1317" s="2"/>
      <c r="BC1317" s="101"/>
      <c r="BD1317" s="101"/>
    </row>
    <row r="1318" spans="1:56" s="53" customFormat="1" x14ac:dyDescent="0.35">
      <c r="A1318" s="84"/>
      <c r="B1318" s="26"/>
      <c r="C1318" s="27"/>
      <c r="D1318" s="28" t="str">
        <f>IF(D1244="","",D1244)</f>
        <v/>
      </c>
      <c r="E1318" s="29" t="str">
        <f t="shared" si="525"/>
        <v/>
      </c>
      <c r="F1318" s="50">
        <f>B1267</f>
        <v>1</v>
      </c>
      <c r="G1318" s="59"/>
      <c r="H1318" s="64"/>
      <c r="I1318" s="58"/>
      <c r="J1318" s="65"/>
      <c r="K1318" s="58"/>
      <c r="L1318" s="65"/>
      <c r="M1318" s="58"/>
      <c r="N1318" s="65"/>
      <c r="O1318" s="58"/>
      <c r="P1318" s="65"/>
      <c r="Q1318" s="58"/>
      <c r="R1318" s="65"/>
      <c r="S1318" s="59"/>
      <c r="T1318" s="64"/>
      <c r="U1318" s="44"/>
      <c r="V1318" s="84"/>
      <c r="W1318" s="59"/>
      <c r="X1318" s="64"/>
      <c r="Y1318" s="58"/>
      <c r="Z1318" s="65"/>
      <c r="AA1318" s="58"/>
      <c r="AB1318" s="65"/>
      <c r="AC1318" s="58"/>
      <c r="AD1318" s="65"/>
      <c r="AE1318" s="58"/>
      <c r="AF1318" s="65"/>
      <c r="AG1318" s="58"/>
      <c r="AH1318" s="65"/>
      <c r="AI1318" s="59"/>
      <c r="AJ1318" s="64"/>
      <c r="AK1318" s="44"/>
      <c r="AL1318" s="84"/>
      <c r="AM1318" s="49"/>
      <c r="AN1318" s="49"/>
      <c r="AO1318" s="49"/>
      <c r="AP1318" s="49"/>
      <c r="AQ1318" s="49"/>
      <c r="AR1318" s="40"/>
      <c r="AS1318" s="51"/>
      <c r="AT1318" s="84"/>
      <c r="AU1318" s="49"/>
      <c r="AV1318" s="84"/>
      <c r="AW1318" s="52"/>
      <c r="AX1318" s="84"/>
      <c r="BA1318" s="2"/>
      <c r="BB1318" s="2"/>
      <c r="BC1318" s="101"/>
      <c r="BD1318" s="101"/>
    </row>
    <row r="1319" spans="1:56" s="53" customFormat="1" x14ac:dyDescent="0.35">
      <c r="A1319" s="84"/>
      <c r="B1319" s="30" t="str">
        <f>IF(B1245="","",B1245)</f>
        <v/>
      </c>
      <c r="C1319" s="31"/>
      <c r="D1319" s="32"/>
      <c r="E1319" s="33" t="str">
        <f t="shared" si="525"/>
        <v/>
      </c>
      <c r="F1319" s="50">
        <f>B1267</f>
        <v>1</v>
      </c>
      <c r="G1319" s="69"/>
      <c r="H1319" s="70"/>
      <c r="I1319" s="67"/>
      <c r="J1319" s="68"/>
      <c r="K1319" s="67"/>
      <c r="L1319" s="68"/>
      <c r="M1319" s="67"/>
      <c r="N1319" s="68"/>
      <c r="O1319" s="67"/>
      <c r="P1319" s="68"/>
      <c r="Q1319" s="67"/>
      <c r="R1319" s="68"/>
      <c r="S1319" s="69"/>
      <c r="T1319" s="70"/>
      <c r="U1319" s="71">
        <f t="shared" ref="U1319" si="533">SUM(G1319:T1319)</f>
        <v>0</v>
      </c>
      <c r="V1319" s="72"/>
      <c r="W1319" s="69"/>
      <c r="X1319" s="70"/>
      <c r="Y1319" s="67"/>
      <c r="Z1319" s="68"/>
      <c r="AA1319" s="67"/>
      <c r="AB1319" s="68"/>
      <c r="AC1319" s="67"/>
      <c r="AD1319" s="68"/>
      <c r="AE1319" s="67"/>
      <c r="AF1319" s="68"/>
      <c r="AG1319" s="67"/>
      <c r="AH1319" s="68"/>
      <c r="AI1319" s="69"/>
      <c r="AJ1319" s="70"/>
      <c r="AK1319" s="71">
        <v>0</v>
      </c>
      <c r="AL1319" s="72"/>
      <c r="AM1319" s="73">
        <v>0</v>
      </c>
      <c r="AN1319" s="88">
        <v>0</v>
      </c>
      <c r="AO1319" s="73">
        <v>0</v>
      </c>
      <c r="AP1319" s="73">
        <v>0</v>
      </c>
      <c r="AQ1319" s="73">
        <v>0</v>
      </c>
      <c r="AR1319" s="74">
        <v>0</v>
      </c>
      <c r="AS1319" s="75">
        <v>0</v>
      </c>
      <c r="AT1319" s="72"/>
      <c r="AU1319" s="73">
        <f>SUMIF($G1318:$T1318,"A",$G1319:$T1319)+SUMIF($W1318:$AJ1318,"A",$W1319:$AJ1319)</f>
        <v>0</v>
      </c>
      <c r="AV1319" s="72"/>
      <c r="AW1319" s="76">
        <f>IF(B1319="",0,IF($U$9="",0,$U$9))</f>
        <v>0</v>
      </c>
      <c r="AX1319" s="84"/>
      <c r="BA1319" s="2"/>
      <c r="BB1319" s="2"/>
      <c r="BC1319" s="101"/>
      <c r="BD1319" s="101"/>
    </row>
    <row r="1320" spans="1:56" s="53" customFormat="1" x14ac:dyDescent="0.35">
      <c r="A1320" s="84"/>
      <c r="B1320" s="26"/>
      <c r="C1320" s="27"/>
      <c r="D1320" s="28" t="str">
        <f>IF(D1246="","",D1246)</f>
        <v/>
      </c>
      <c r="E1320" s="29" t="str">
        <f t="shared" si="525"/>
        <v/>
      </c>
      <c r="F1320" s="50">
        <f>B1267</f>
        <v>1</v>
      </c>
      <c r="G1320" s="59"/>
      <c r="H1320" s="64"/>
      <c r="I1320" s="58"/>
      <c r="J1320" s="65"/>
      <c r="K1320" s="58"/>
      <c r="L1320" s="65"/>
      <c r="M1320" s="58"/>
      <c r="N1320" s="65"/>
      <c r="O1320" s="58"/>
      <c r="P1320" s="65"/>
      <c r="Q1320" s="58"/>
      <c r="R1320" s="65"/>
      <c r="S1320" s="59"/>
      <c r="T1320" s="64"/>
      <c r="U1320" s="44"/>
      <c r="V1320" s="84"/>
      <c r="W1320" s="59"/>
      <c r="X1320" s="64"/>
      <c r="Y1320" s="58"/>
      <c r="Z1320" s="65"/>
      <c r="AA1320" s="58"/>
      <c r="AB1320" s="65"/>
      <c r="AC1320" s="58"/>
      <c r="AD1320" s="65"/>
      <c r="AE1320" s="58"/>
      <c r="AF1320" s="65"/>
      <c r="AG1320" s="58"/>
      <c r="AH1320" s="65"/>
      <c r="AI1320" s="59"/>
      <c r="AJ1320" s="64"/>
      <c r="AK1320" s="44"/>
      <c r="AL1320" s="84"/>
      <c r="AM1320" s="49"/>
      <c r="AN1320" s="49"/>
      <c r="AO1320" s="49"/>
      <c r="AP1320" s="49"/>
      <c r="AQ1320" s="49"/>
      <c r="AR1320" s="40"/>
      <c r="AS1320" s="51"/>
      <c r="AT1320" s="84"/>
      <c r="AU1320" s="49"/>
      <c r="AV1320" s="84"/>
      <c r="AW1320" s="52"/>
      <c r="AX1320" s="84"/>
      <c r="BA1320" s="2"/>
      <c r="BB1320" s="2"/>
      <c r="BC1320" s="101"/>
      <c r="BD1320" s="101"/>
    </row>
    <row r="1321" spans="1:56" s="53" customFormat="1" ht="15" thickBot="1" x14ac:dyDescent="0.4">
      <c r="A1321" s="84"/>
      <c r="B1321" s="30" t="str">
        <f>IF(B1247="","",B1247)</f>
        <v/>
      </c>
      <c r="C1321" s="31"/>
      <c r="D1321" s="32"/>
      <c r="E1321" s="33" t="str">
        <f t="shared" si="525"/>
        <v/>
      </c>
      <c r="F1321" s="50">
        <f>B1267</f>
        <v>1</v>
      </c>
      <c r="G1321" s="69"/>
      <c r="H1321" s="70"/>
      <c r="I1321" s="67"/>
      <c r="J1321" s="68"/>
      <c r="K1321" s="67"/>
      <c r="L1321" s="68"/>
      <c r="M1321" s="67"/>
      <c r="N1321" s="68"/>
      <c r="O1321" s="67"/>
      <c r="P1321" s="68"/>
      <c r="Q1321" s="67"/>
      <c r="R1321" s="68"/>
      <c r="S1321" s="69"/>
      <c r="T1321" s="70"/>
      <c r="U1321" s="71">
        <f t="shared" ref="U1321" si="534">SUM(G1321:T1321)</f>
        <v>0</v>
      </c>
      <c r="V1321" s="72"/>
      <c r="W1321" s="69"/>
      <c r="X1321" s="70"/>
      <c r="Y1321" s="67"/>
      <c r="Z1321" s="68"/>
      <c r="AA1321" s="67"/>
      <c r="AB1321" s="68"/>
      <c r="AC1321" s="67"/>
      <c r="AD1321" s="68"/>
      <c r="AE1321" s="67"/>
      <c r="AF1321" s="68"/>
      <c r="AG1321" s="67"/>
      <c r="AH1321" s="68"/>
      <c r="AI1321" s="69"/>
      <c r="AJ1321" s="70"/>
      <c r="AK1321" s="71">
        <v>0</v>
      </c>
      <c r="AL1321" s="72"/>
      <c r="AM1321" s="73">
        <v>0</v>
      </c>
      <c r="AN1321" s="88">
        <v>0</v>
      </c>
      <c r="AO1321" s="73">
        <v>0</v>
      </c>
      <c r="AP1321" s="73">
        <v>0</v>
      </c>
      <c r="AQ1321" s="73">
        <v>0</v>
      </c>
      <c r="AR1321" s="74">
        <v>0</v>
      </c>
      <c r="AS1321" s="75">
        <v>0</v>
      </c>
      <c r="AT1321" s="72"/>
      <c r="AU1321" s="73">
        <f>SUMIF($G1320:$T1320,"A",$G1321:$T1321)+SUMIF($W1320:$AJ1320,"A",$W1321:$AJ1321)</f>
        <v>0</v>
      </c>
      <c r="AV1321" s="72"/>
      <c r="AW1321" s="76">
        <f>IF(B1321="",0,IF($U$9="",0,$U$9))</f>
        <v>0</v>
      </c>
      <c r="AX1321" s="84"/>
      <c r="BA1321" s="2"/>
      <c r="BB1321" s="2"/>
      <c r="BC1321" s="101"/>
      <c r="BD1321" s="101"/>
    </row>
    <row r="1322" spans="1:56" s="53" customFormat="1" ht="27.75" customHeight="1" thickBot="1" x14ac:dyDescent="0.4">
      <c r="A1322" s="84"/>
      <c r="B1322" s="149" t="s">
        <v>7</v>
      </c>
      <c r="C1322" s="150"/>
      <c r="D1322" s="150"/>
      <c r="E1322" s="151"/>
      <c r="F1322" s="97"/>
      <c r="G1322" s="152">
        <f>SUM(G1272:H1321)</f>
        <v>0</v>
      </c>
      <c r="H1322" s="152"/>
      <c r="I1322" s="152">
        <f>SUM(I1272:J1321)</f>
        <v>105.5</v>
      </c>
      <c r="J1322" s="152"/>
      <c r="K1322" s="152">
        <f>SUM(K1272:L1321)</f>
        <v>105.5</v>
      </c>
      <c r="L1322" s="152"/>
      <c r="M1322" s="152">
        <f>SUM(M1272:N1321)</f>
        <v>105.5</v>
      </c>
      <c r="N1322" s="152"/>
      <c r="O1322" s="152">
        <f>SUM(O1272:P1321)</f>
        <v>112</v>
      </c>
      <c r="P1322" s="152"/>
      <c r="Q1322" s="152">
        <f>SUM(Q1272:R1321)</f>
        <v>112</v>
      </c>
      <c r="R1322" s="152"/>
      <c r="S1322" s="152">
        <f>SUM(S1272:T1321)</f>
        <v>0</v>
      </c>
      <c r="T1322" s="153"/>
      <c r="U1322" s="77">
        <f>SUM(U1272:U1321)</f>
        <v>540.5</v>
      </c>
      <c r="V1322" s="78"/>
      <c r="W1322" s="152">
        <f>SUM(W1272:X1321)</f>
        <v>0</v>
      </c>
      <c r="X1322" s="152"/>
      <c r="Y1322" s="152">
        <f>SUM(Y1272:Z1321)</f>
        <v>112</v>
      </c>
      <c r="Z1322" s="152"/>
      <c r="AA1322" s="152">
        <f>SUM(AA1272:AB1321)</f>
        <v>112</v>
      </c>
      <c r="AB1322" s="152"/>
      <c r="AC1322" s="152">
        <f>SUM(AC1272:AD1321)</f>
        <v>112</v>
      </c>
      <c r="AD1322" s="152"/>
      <c r="AE1322" s="152">
        <f>SUM(AE1272:AF1321)</f>
        <v>112</v>
      </c>
      <c r="AF1322" s="152"/>
      <c r="AG1322" s="152">
        <f>SUM(AG1272:AH1321)</f>
        <v>112</v>
      </c>
      <c r="AH1322" s="152"/>
      <c r="AI1322" s="152">
        <f>SUM(AI1272:AJ1321)</f>
        <v>0</v>
      </c>
      <c r="AJ1322" s="152"/>
      <c r="AK1322" s="77">
        <f>SUM(AK1272:AK1321)</f>
        <v>560</v>
      </c>
      <c r="AL1322" s="78"/>
      <c r="AM1322" s="79">
        <f t="shared" ref="AM1322:AS1322" si="535">SUM(AM1272:AM1321)</f>
        <v>240</v>
      </c>
      <c r="AN1322" s="79">
        <f t="shared" si="535"/>
        <v>4.5</v>
      </c>
      <c r="AO1322" s="79">
        <f t="shared" si="535"/>
        <v>24</v>
      </c>
      <c r="AP1322" s="79">
        <f t="shared" si="535"/>
        <v>560</v>
      </c>
      <c r="AQ1322" s="79">
        <f t="shared" si="535"/>
        <v>272</v>
      </c>
      <c r="AR1322" s="80">
        <f t="shared" si="535"/>
        <v>0</v>
      </c>
      <c r="AS1322" s="81">
        <f t="shared" si="535"/>
        <v>1100.5</v>
      </c>
      <c r="AT1322" s="78"/>
      <c r="AU1322" s="82">
        <f>SUM(AU1272:AU1321)</f>
        <v>0</v>
      </c>
      <c r="AV1322" s="78"/>
      <c r="AW1322" s="83">
        <f>SUM(AW1272:AW1321)</f>
        <v>1360</v>
      </c>
      <c r="AX1322" s="84"/>
      <c r="BA1322" s="2"/>
      <c r="BB1322" s="2"/>
      <c r="BC1322" s="101"/>
      <c r="BD1322" s="101"/>
    </row>
    <row r="1323" spans="1:56" s="53" customFormat="1" ht="15" thickTop="1" x14ac:dyDescent="0.35">
      <c r="B1323" s="54"/>
      <c r="F1323" s="98"/>
      <c r="G1323" s="55"/>
      <c r="H1323" s="55"/>
      <c r="I1323" s="55"/>
      <c r="J1323" s="55"/>
      <c r="K1323" s="55"/>
      <c r="L1323" s="55"/>
      <c r="M1323" s="55"/>
      <c r="N1323" s="55"/>
      <c r="O1323" s="55"/>
      <c r="P1323" s="55"/>
      <c r="Q1323" s="55"/>
      <c r="R1323" s="55"/>
      <c r="S1323" s="55"/>
      <c r="T1323" s="55"/>
      <c r="U1323" s="56"/>
      <c r="V1323" s="55"/>
      <c r="W1323" s="55"/>
      <c r="X1323" s="55"/>
      <c r="Y1323" s="55"/>
      <c r="Z1323" s="55"/>
      <c r="AA1323" s="55"/>
      <c r="AB1323" s="55"/>
      <c r="AC1323" s="55"/>
      <c r="AD1323" s="55"/>
      <c r="AE1323" s="55"/>
      <c r="AF1323" s="55"/>
      <c r="AG1323" s="55"/>
      <c r="AH1323" s="55"/>
      <c r="AI1323" s="55"/>
      <c r="AJ1323" s="55"/>
      <c r="AK1323" s="56"/>
      <c r="AL1323" s="55"/>
      <c r="AM1323" s="55"/>
      <c r="AN1323" s="55"/>
      <c r="AO1323" s="55"/>
      <c r="AP1323" s="55"/>
      <c r="AQ1323" s="55"/>
      <c r="AR1323" s="55"/>
      <c r="AS1323" s="55"/>
      <c r="AT1323" s="55"/>
      <c r="AU1323" s="55"/>
      <c r="AV1323" s="55"/>
      <c r="AW1323" s="55"/>
      <c r="BA1323" s="2"/>
      <c r="BB1323" s="2"/>
      <c r="BC1323" s="101"/>
      <c r="BD1323" s="101"/>
    </row>
    <row r="1324" spans="1:56" s="53" customFormat="1" x14ac:dyDescent="0.35">
      <c r="B1324" s="54" t="s">
        <v>52</v>
      </c>
      <c r="D1324" s="141" t="s">
        <v>101</v>
      </c>
      <c r="E1324" s="141"/>
      <c r="F1324" s="141"/>
      <c r="G1324" s="141"/>
      <c r="H1324" s="141"/>
      <c r="I1324" s="141"/>
      <c r="J1324" s="141"/>
      <c r="K1324" s="141"/>
      <c r="L1324" s="141"/>
      <c r="M1324" s="141"/>
      <c r="N1324" s="141"/>
      <c r="O1324" s="141"/>
      <c r="P1324" s="141"/>
      <c r="Q1324" s="141"/>
      <c r="R1324" s="141"/>
      <c r="S1324" s="141"/>
      <c r="T1324" s="141"/>
      <c r="U1324" s="141"/>
      <c r="V1324" s="141"/>
      <c r="W1324" s="141"/>
      <c r="X1324" s="141"/>
      <c r="Y1324" s="141"/>
      <c r="Z1324" s="141"/>
      <c r="AA1324" s="141"/>
      <c r="AB1324" s="141"/>
      <c r="AC1324" s="141"/>
      <c r="AD1324" s="141"/>
      <c r="AE1324" s="141"/>
      <c r="AF1324" s="141"/>
      <c r="AG1324" s="141"/>
      <c r="AH1324" s="141"/>
      <c r="AI1324" s="141"/>
      <c r="AJ1324" s="141"/>
      <c r="AK1324" s="56"/>
      <c r="AL1324" s="55"/>
      <c r="AM1324" s="55"/>
      <c r="AN1324" s="55"/>
      <c r="AO1324" s="55"/>
      <c r="AP1324" s="55"/>
      <c r="AQ1324" s="55"/>
      <c r="AR1324" s="55"/>
      <c r="AS1324" s="55"/>
      <c r="AT1324" s="55"/>
      <c r="AU1324" s="55"/>
      <c r="AV1324" s="55"/>
      <c r="AW1324" s="55"/>
      <c r="BA1324" s="2"/>
      <c r="BB1324" s="2"/>
      <c r="BC1324" s="101"/>
      <c r="BD1324" s="101"/>
    </row>
    <row r="1325" spans="1:56" s="84" customFormat="1" x14ac:dyDescent="0.35">
      <c r="A1325" s="53"/>
      <c r="B1325" s="54"/>
      <c r="C1325" s="53"/>
      <c r="D1325" s="141" t="s">
        <v>102</v>
      </c>
      <c r="E1325" s="141"/>
      <c r="F1325" s="141"/>
      <c r="G1325" s="141"/>
      <c r="H1325" s="141"/>
      <c r="I1325" s="141"/>
      <c r="J1325" s="141"/>
      <c r="K1325" s="141"/>
      <c r="L1325" s="141"/>
      <c r="M1325" s="141"/>
      <c r="N1325" s="141"/>
      <c r="O1325" s="141"/>
      <c r="P1325" s="141"/>
      <c r="Q1325" s="141"/>
      <c r="R1325" s="141"/>
      <c r="S1325" s="141"/>
      <c r="T1325" s="141"/>
      <c r="U1325" s="141"/>
      <c r="V1325" s="141"/>
      <c r="W1325" s="141"/>
      <c r="X1325" s="141"/>
      <c r="Y1325" s="141"/>
      <c r="Z1325" s="141"/>
      <c r="AA1325" s="141"/>
      <c r="AB1325" s="141"/>
      <c r="AC1325" s="141"/>
      <c r="AD1325" s="141"/>
      <c r="AE1325" s="141"/>
      <c r="AF1325" s="141"/>
      <c r="AG1325" s="141"/>
      <c r="AH1325" s="141"/>
      <c r="AI1325" s="141"/>
      <c r="AJ1325" s="141"/>
      <c r="AK1325" s="56"/>
      <c r="AL1325" s="55"/>
      <c r="AM1325" s="55"/>
      <c r="AN1325" s="55"/>
      <c r="AO1325" s="55"/>
      <c r="AP1325" s="55"/>
      <c r="AQ1325" s="55"/>
      <c r="AR1325" s="55"/>
      <c r="AS1325" s="55"/>
      <c r="AT1325" s="55"/>
      <c r="AU1325" s="55"/>
      <c r="AV1325" s="55"/>
      <c r="AW1325" s="55"/>
      <c r="AX1325" s="53"/>
      <c r="BA1325" s="2"/>
      <c r="BB1325" s="2"/>
      <c r="BC1325" s="101"/>
      <c r="BD1325" s="101"/>
    </row>
    <row r="1326" spans="1:56" s="84" customFormat="1" x14ac:dyDescent="0.35">
      <c r="A1326" s="53"/>
      <c r="B1326" s="54"/>
      <c r="C1326" s="53"/>
      <c r="D1326" s="141"/>
      <c r="E1326" s="141"/>
      <c r="F1326" s="141"/>
      <c r="G1326" s="141"/>
      <c r="H1326" s="141"/>
      <c r="I1326" s="141"/>
      <c r="J1326" s="141"/>
      <c r="K1326" s="141"/>
      <c r="L1326" s="141"/>
      <c r="M1326" s="141"/>
      <c r="N1326" s="141"/>
      <c r="O1326" s="141"/>
      <c r="P1326" s="141"/>
      <c r="Q1326" s="141"/>
      <c r="R1326" s="141"/>
      <c r="S1326" s="141"/>
      <c r="T1326" s="141"/>
      <c r="U1326" s="141"/>
      <c r="V1326" s="141"/>
      <c r="W1326" s="141"/>
      <c r="X1326" s="141"/>
      <c r="Y1326" s="141"/>
      <c r="Z1326" s="141"/>
      <c r="AA1326" s="141"/>
      <c r="AB1326" s="141"/>
      <c r="AC1326" s="141"/>
      <c r="AD1326" s="141"/>
      <c r="AE1326" s="141"/>
      <c r="AF1326" s="141"/>
      <c r="AG1326" s="141"/>
      <c r="AH1326" s="141"/>
      <c r="AI1326" s="141"/>
      <c r="AJ1326" s="141"/>
      <c r="AK1326" s="56"/>
      <c r="AL1326" s="55"/>
      <c r="AM1326" s="55"/>
      <c r="AN1326" s="55"/>
      <c r="AO1326" s="55"/>
      <c r="AP1326" s="55"/>
      <c r="AQ1326" s="55"/>
      <c r="AR1326" s="55"/>
      <c r="AS1326" s="55"/>
      <c r="AT1326" s="55"/>
      <c r="AU1326" s="55"/>
      <c r="AV1326" s="55"/>
      <c r="AW1326" s="55"/>
      <c r="AX1326" s="53"/>
      <c r="BA1326" s="2"/>
      <c r="BB1326" s="2"/>
      <c r="BC1326" s="101"/>
      <c r="BD1326" s="101"/>
    </row>
    <row r="1327" spans="1:56" s="84" customFormat="1" ht="15" customHeight="1" x14ac:dyDescent="0.35">
      <c r="A1327" s="53"/>
      <c r="B1327" s="54"/>
      <c r="C1327" s="53"/>
      <c r="D1327" s="53"/>
      <c r="E1327" s="53"/>
      <c r="F1327" s="98"/>
      <c r="G1327" s="55"/>
      <c r="H1327" s="55"/>
      <c r="I1327" s="55"/>
      <c r="J1327" s="55"/>
      <c r="K1327" s="55"/>
      <c r="L1327" s="55"/>
      <c r="M1327" s="55"/>
      <c r="N1327" s="55"/>
      <c r="O1327" s="55"/>
      <c r="P1327" s="55"/>
      <c r="Q1327" s="55"/>
      <c r="R1327" s="55"/>
      <c r="S1327" s="55"/>
      <c r="T1327" s="55"/>
      <c r="U1327" s="56"/>
      <c r="V1327" s="55"/>
      <c r="W1327" s="55"/>
      <c r="X1327" s="55"/>
      <c r="Y1327" s="55"/>
      <c r="Z1327" s="55"/>
      <c r="AA1327" s="55"/>
      <c r="AB1327" s="55"/>
      <c r="AC1327" s="55"/>
      <c r="AD1327" s="55"/>
      <c r="AE1327" s="55"/>
      <c r="AF1327" s="55"/>
      <c r="AG1327" s="55"/>
      <c r="AH1327" s="55"/>
      <c r="AI1327" s="55"/>
      <c r="AJ1327" s="55"/>
      <c r="AK1327" s="56"/>
      <c r="AL1327" s="55"/>
      <c r="AM1327" s="55"/>
      <c r="AN1327" s="55"/>
      <c r="AO1327" s="55"/>
      <c r="AP1327" s="55"/>
      <c r="AQ1327" s="55"/>
      <c r="AR1327" s="55"/>
      <c r="AS1327" s="55"/>
      <c r="AT1327" s="55"/>
      <c r="AU1327" s="55"/>
      <c r="AV1327" s="55"/>
      <c r="AW1327" s="55"/>
      <c r="AX1327" s="53"/>
      <c r="BA1327" s="2"/>
      <c r="BB1327" s="2"/>
      <c r="BC1327" s="101"/>
      <c r="BD1327" s="101"/>
    </row>
    <row r="1328" spans="1:56" s="84" customFormat="1" ht="15" customHeight="1" x14ac:dyDescent="0.35">
      <c r="A1328" s="53"/>
      <c r="B1328" s="54" t="s">
        <v>53</v>
      </c>
      <c r="C1328" s="53"/>
      <c r="D1328" s="31" t="s">
        <v>74</v>
      </c>
      <c r="E1328" s="34"/>
      <c r="F1328" s="99"/>
      <c r="G1328" s="34"/>
      <c r="H1328" s="34"/>
      <c r="I1328" s="34"/>
      <c r="J1328" s="34"/>
      <c r="K1328" s="53"/>
      <c r="L1328" s="55" t="s">
        <v>8</v>
      </c>
      <c r="M1328" s="53"/>
      <c r="N1328" s="142">
        <f ca="1">NOW()</f>
        <v>44720.650928935182</v>
      </c>
      <c r="O1328" s="142"/>
      <c r="P1328" s="142"/>
      <c r="Q1328" s="53"/>
      <c r="R1328" s="53"/>
      <c r="S1328" s="53"/>
      <c r="T1328" s="53"/>
      <c r="U1328" s="53"/>
      <c r="V1328" s="55"/>
      <c r="W1328" s="55"/>
      <c r="X1328" s="55"/>
      <c r="Y1328" s="55"/>
      <c r="Z1328" s="55"/>
      <c r="AA1328" s="55"/>
      <c r="AB1328" s="55"/>
      <c r="AC1328" s="55"/>
      <c r="AD1328" s="55"/>
      <c r="AE1328" s="55"/>
      <c r="AF1328" s="55"/>
      <c r="AG1328" s="55"/>
      <c r="AH1328" s="55"/>
      <c r="AI1328" s="55"/>
      <c r="AJ1328" s="55"/>
      <c r="AK1328" s="56"/>
      <c r="AL1328" s="55"/>
      <c r="AM1328" s="55"/>
      <c r="AN1328" s="55"/>
      <c r="AO1328" s="55"/>
      <c r="AP1328" s="55"/>
      <c r="AQ1328" s="55"/>
      <c r="AR1328" s="55"/>
      <c r="AS1328" s="55"/>
      <c r="AT1328" s="55"/>
      <c r="AU1328" s="55"/>
      <c r="AV1328" s="55"/>
      <c r="AW1328" s="55"/>
      <c r="AX1328" s="53"/>
      <c r="BA1328" s="2"/>
      <c r="BB1328" s="2"/>
      <c r="BC1328" s="101"/>
      <c r="BD1328" s="101"/>
    </row>
    <row r="1329" spans="1:56" s="84" customFormat="1" x14ac:dyDescent="0.35">
      <c r="A1329" s="53"/>
      <c r="B1329" s="54"/>
      <c r="C1329" s="53"/>
      <c r="D1329" s="53"/>
      <c r="E1329" s="53"/>
      <c r="F1329" s="98"/>
      <c r="G1329" s="55"/>
      <c r="H1329" s="55"/>
      <c r="I1329" s="55"/>
      <c r="J1329" s="55"/>
      <c r="K1329" s="53"/>
      <c r="L1329" s="55"/>
      <c r="M1329" s="53"/>
      <c r="N1329" s="55"/>
      <c r="O1329" s="56"/>
      <c r="P1329" s="53"/>
      <c r="Q1329" s="53"/>
      <c r="R1329" s="53"/>
      <c r="S1329" s="53"/>
      <c r="T1329" s="53"/>
      <c r="U1329" s="53"/>
      <c r="V1329" s="55"/>
      <c r="W1329" s="55"/>
      <c r="X1329" s="55"/>
      <c r="Y1329" s="55"/>
      <c r="Z1329" s="55"/>
      <c r="AA1329" s="55"/>
      <c r="AB1329" s="55"/>
      <c r="AC1329" s="55"/>
      <c r="AD1329" s="55"/>
      <c r="AE1329" s="55"/>
      <c r="AF1329" s="55"/>
      <c r="AG1329" s="55"/>
      <c r="AH1329" s="55"/>
      <c r="AI1329" s="55"/>
      <c r="AJ1329" s="55"/>
      <c r="AK1329" s="56"/>
      <c r="AL1329" s="55"/>
      <c r="AM1329" s="55"/>
      <c r="AN1329" s="55"/>
      <c r="AO1329" s="55"/>
      <c r="AP1329" s="55"/>
      <c r="AQ1329" s="55"/>
      <c r="AR1329" s="55"/>
      <c r="AS1329" s="55"/>
      <c r="AT1329" s="55"/>
      <c r="AU1329" s="55"/>
      <c r="AV1329" s="55"/>
      <c r="AW1329" s="55"/>
      <c r="AX1329" s="53"/>
      <c r="BA1329" s="2"/>
      <c r="BB1329" s="2"/>
      <c r="BC1329" s="101"/>
      <c r="BD1329" s="101"/>
    </row>
    <row r="1330" spans="1:56" s="84" customFormat="1" x14ac:dyDescent="0.35">
      <c r="A1330" s="53"/>
      <c r="B1330" s="54" t="s">
        <v>54</v>
      </c>
      <c r="C1330" s="53"/>
      <c r="D1330" s="31"/>
      <c r="E1330" s="34"/>
      <c r="F1330" s="99"/>
      <c r="G1330" s="34"/>
      <c r="H1330" s="34"/>
      <c r="I1330" s="34"/>
      <c r="J1330" s="34"/>
      <c r="K1330" s="53"/>
      <c r="L1330" s="55" t="s">
        <v>8</v>
      </c>
      <c r="M1330" s="53"/>
      <c r="N1330" s="142">
        <f ca="1">NOW()</f>
        <v>44720.650928935182</v>
      </c>
      <c r="O1330" s="142"/>
      <c r="P1330" s="142"/>
      <c r="Q1330" s="53"/>
      <c r="R1330" s="53"/>
      <c r="S1330" s="53"/>
      <c r="T1330" s="53"/>
      <c r="U1330" s="53"/>
      <c r="V1330" s="55"/>
      <c r="W1330" s="55"/>
      <c r="X1330" s="55"/>
      <c r="Y1330" s="55"/>
      <c r="Z1330" s="55"/>
      <c r="AA1330" s="55"/>
      <c r="AB1330" s="55"/>
      <c r="AC1330" s="55"/>
      <c r="AD1330" s="55"/>
      <c r="AE1330" s="55"/>
      <c r="AF1330" s="55"/>
      <c r="AG1330" s="55"/>
      <c r="AH1330" s="55"/>
      <c r="AI1330" s="55"/>
      <c r="AJ1330" s="55"/>
      <c r="AK1330" s="56"/>
      <c r="AL1330" s="55"/>
      <c r="AM1330" s="55"/>
      <c r="AN1330" s="55"/>
      <c r="AO1330" s="55"/>
      <c r="AP1330" s="55"/>
      <c r="AQ1330" s="55"/>
      <c r="AR1330" s="55"/>
      <c r="AS1330" s="55"/>
      <c r="AT1330" s="55"/>
      <c r="AU1330" s="55"/>
      <c r="AV1330" s="55"/>
      <c r="AW1330" s="55"/>
      <c r="AX1330" s="53"/>
      <c r="BA1330" s="2"/>
      <c r="BB1330" s="2"/>
      <c r="BC1330" s="101"/>
      <c r="BD1330" s="101"/>
    </row>
    <row r="1331" spans="1:56" s="84" customFormat="1" x14ac:dyDescent="0.35">
      <c r="A1331" s="53"/>
      <c r="B1331" s="54"/>
      <c r="C1331" s="53"/>
      <c r="D1331" s="53"/>
      <c r="E1331" s="53"/>
      <c r="F1331" s="98"/>
      <c r="G1331" s="55"/>
      <c r="H1331" s="55"/>
      <c r="I1331" s="55"/>
      <c r="J1331" s="55"/>
      <c r="K1331" s="55"/>
      <c r="L1331" s="55"/>
      <c r="M1331" s="55"/>
      <c r="N1331" s="55"/>
      <c r="O1331" s="55"/>
      <c r="P1331" s="55"/>
      <c r="Q1331" s="55"/>
      <c r="R1331" s="55"/>
      <c r="S1331" s="55"/>
      <c r="T1331" s="55"/>
      <c r="U1331" s="56"/>
      <c r="V1331" s="55"/>
      <c r="W1331" s="55"/>
      <c r="X1331" s="55"/>
      <c r="Y1331" s="55"/>
      <c r="Z1331" s="55"/>
      <c r="AA1331" s="55"/>
      <c r="AB1331" s="55"/>
      <c r="AC1331" s="55"/>
      <c r="AD1331" s="55"/>
      <c r="AE1331" s="55"/>
      <c r="AF1331" s="55"/>
      <c r="AG1331" s="55"/>
      <c r="AH1331" s="55"/>
      <c r="AI1331" s="55"/>
      <c r="AJ1331" s="55"/>
      <c r="AK1331" s="56"/>
      <c r="AL1331" s="55"/>
      <c r="AM1331" s="55"/>
      <c r="AN1331" s="55"/>
      <c r="AO1331" s="55"/>
      <c r="AP1331" s="55"/>
      <c r="AQ1331" s="55"/>
      <c r="AR1331" s="55"/>
      <c r="AS1331" s="55"/>
      <c r="AT1331" s="55"/>
      <c r="AU1331" s="55"/>
      <c r="AV1331" s="55"/>
      <c r="AW1331" s="55"/>
      <c r="AX1331" s="53"/>
      <c r="BA1331" s="2"/>
      <c r="BB1331" s="2"/>
      <c r="BC1331" s="101"/>
      <c r="BD1331" s="101"/>
    </row>
    <row r="1332" spans="1:56" s="84" customFormat="1" x14ac:dyDescent="0.35">
      <c r="A1332" s="53"/>
      <c r="B1332" s="54" t="s">
        <v>9</v>
      </c>
      <c r="C1332" s="53"/>
      <c r="D1332" s="53"/>
      <c r="E1332" s="53"/>
      <c r="F1332" s="98"/>
      <c r="G1332" s="55"/>
      <c r="H1332" s="55"/>
      <c r="I1332" s="55"/>
      <c r="J1332" s="55"/>
      <c r="K1332" s="55"/>
      <c r="L1332" s="55"/>
      <c r="M1332" s="55"/>
      <c r="N1332" s="55"/>
      <c r="O1332" s="55"/>
      <c r="P1332" s="55"/>
      <c r="Q1332" s="55"/>
      <c r="R1332" s="55"/>
      <c r="S1332" s="55"/>
      <c r="T1332" s="55"/>
      <c r="U1332" s="56"/>
      <c r="V1332" s="55"/>
      <c r="W1332" s="55"/>
      <c r="X1332" s="55"/>
      <c r="Y1332" s="55"/>
      <c r="Z1332" s="55"/>
      <c r="AA1332" s="55"/>
      <c r="AB1332" s="55"/>
      <c r="AC1332" s="55"/>
      <c r="AD1332" s="55"/>
      <c r="AE1332" s="55"/>
      <c r="AF1332" s="55"/>
      <c r="AG1332" s="55"/>
      <c r="AH1332" s="55"/>
      <c r="AI1332" s="55"/>
      <c r="AJ1332" s="55"/>
      <c r="AK1332" s="56"/>
      <c r="AL1332" s="55"/>
      <c r="AM1332" s="55"/>
      <c r="AN1332" s="55"/>
      <c r="AO1332" s="55"/>
      <c r="AP1332" s="55"/>
      <c r="AQ1332" s="55"/>
      <c r="AR1332" s="55"/>
      <c r="AS1332" s="55"/>
      <c r="AT1332" s="55"/>
      <c r="AU1332" s="55"/>
      <c r="AV1332" s="55"/>
      <c r="AW1332" s="55"/>
      <c r="AX1332" s="53"/>
      <c r="BA1332" s="2"/>
      <c r="BB1332" s="2"/>
      <c r="BC1332" s="101"/>
      <c r="BD1332" s="101"/>
    </row>
    <row r="1333" spans="1:56" x14ac:dyDescent="0.35">
      <c r="BA1333" s="2"/>
      <c r="BB1333" s="2"/>
      <c r="BC1333" s="101"/>
      <c r="BD1333" s="101"/>
    </row>
    <row r="1334" spans="1:56" x14ac:dyDescent="0.35">
      <c r="BA1334" s="2"/>
      <c r="BB1334" s="2"/>
      <c r="BC1334" s="101"/>
      <c r="BD1334" s="101"/>
    </row>
    <row r="1335" spans="1:56" s="84" customFormat="1" ht="28.5" x14ac:dyDescent="0.65">
      <c r="F1335" s="50"/>
      <c r="G1335" s="143" t="s">
        <v>10</v>
      </c>
      <c r="H1335" s="143"/>
      <c r="I1335" s="143"/>
      <c r="J1335" s="143"/>
      <c r="K1335" s="143"/>
      <c r="L1335" s="143"/>
      <c r="M1335" s="143"/>
      <c r="N1335" s="143"/>
      <c r="O1335" s="143"/>
      <c r="P1335" s="143"/>
      <c r="Q1335" s="143"/>
      <c r="R1335" s="143"/>
      <c r="S1335" s="143"/>
      <c r="T1335" s="143"/>
      <c r="U1335" s="143"/>
      <c r="W1335" s="37" t="s">
        <v>12</v>
      </c>
      <c r="X1335" s="86" t="s">
        <v>11</v>
      </c>
      <c r="BA1335" s="2"/>
      <c r="BB1335" s="2"/>
      <c r="BC1335" s="101"/>
      <c r="BD1335" s="101"/>
    </row>
    <row r="1336" spans="1:56" s="84" customFormat="1" x14ac:dyDescent="0.35">
      <c r="F1336" s="50"/>
      <c r="G1336" s="84" t="s">
        <v>0</v>
      </c>
      <c r="W1336" s="37" t="s">
        <v>13</v>
      </c>
      <c r="X1336" s="86" t="s">
        <v>14</v>
      </c>
      <c r="BA1336" s="2"/>
      <c r="BB1336" s="2"/>
      <c r="BC1336" s="101"/>
      <c r="BD1336" s="101"/>
    </row>
    <row r="1337" spans="1:56" s="84" customFormat="1" x14ac:dyDescent="0.35">
      <c r="F1337" s="50"/>
      <c r="W1337" s="37" t="s">
        <v>1</v>
      </c>
      <c r="X1337" s="86" t="s">
        <v>15</v>
      </c>
      <c r="BA1337" s="2"/>
      <c r="BB1337" s="2"/>
      <c r="BC1337" s="101"/>
      <c r="BD1337" s="101"/>
    </row>
    <row r="1338" spans="1:56" s="84" customFormat="1" x14ac:dyDescent="0.35">
      <c r="F1338" s="50"/>
      <c r="W1338" s="37" t="s">
        <v>2</v>
      </c>
      <c r="X1338" s="86" t="s">
        <v>16</v>
      </c>
      <c r="BA1338" s="2"/>
      <c r="BB1338" s="2"/>
      <c r="BC1338" s="101"/>
      <c r="BD1338" s="101"/>
    </row>
    <row r="1339" spans="1:56" s="84" customFormat="1" ht="15" customHeight="1" x14ac:dyDescent="0.35">
      <c r="B1339" s="154" t="s">
        <v>35</v>
      </c>
      <c r="F1339" s="50"/>
      <c r="G1339" s="154" t="s">
        <v>36</v>
      </c>
      <c r="H1339" s="154"/>
      <c r="I1339" s="154"/>
      <c r="K1339" s="154" t="s">
        <v>36</v>
      </c>
      <c r="L1339" s="154"/>
      <c r="M1339" s="154"/>
      <c r="W1339" s="37" t="s">
        <v>3</v>
      </c>
      <c r="X1339" s="86" t="s">
        <v>17</v>
      </c>
      <c r="BA1339" s="2"/>
      <c r="BB1339" s="2"/>
      <c r="BC1339" s="101"/>
      <c r="BD1339" s="101"/>
    </row>
    <row r="1340" spans="1:56" s="84" customFormat="1" x14ac:dyDescent="0.35">
      <c r="B1340" s="155"/>
      <c r="D1340" s="37" t="s">
        <v>34</v>
      </c>
      <c r="F1340" s="50"/>
      <c r="G1340" s="154"/>
      <c r="H1340" s="154"/>
      <c r="I1340" s="154"/>
      <c r="K1340" s="154"/>
      <c r="L1340" s="154"/>
      <c r="M1340" s="154"/>
      <c r="W1340" s="38"/>
      <c r="BA1340" s="2"/>
      <c r="BB1340" s="2"/>
      <c r="BC1340" s="101"/>
      <c r="BD1340" s="101"/>
    </row>
    <row r="1341" spans="1:56" s="84" customFormat="1" x14ac:dyDescent="0.35">
      <c r="B1341" s="100">
        <f>B1267+1</f>
        <v>2</v>
      </c>
      <c r="D1341" s="100">
        <f>D1267</f>
        <v>2022</v>
      </c>
      <c r="E1341" s="87" t="s">
        <v>38</v>
      </c>
      <c r="F1341" s="50"/>
      <c r="G1341" s="156">
        <f>K1267+1</f>
        <v>44563</v>
      </c>
      <c r="H1341" s="157"/>
      <c r="I1341" s="158"/>
      <c r="J1341" s="37" t="s">
        <v>37</v>
      </c>
      <c r="K1341" s="156">
        <f>IF(G1341="","",G1341+13)</f>
        <v>44576</v>
      </c>
      <c r="L1341" s="157"/>
      <c r="M1341" s="158"/>
      <c r="P1341" s="159" t="s">
        <v>39</v>
      </c>
      <c r="Q1341" s="160"/>
      <c r="R1341" s="160"/>
      <c r="S1341" s="160"/>
      <c r="T1341" s="161"/>
      <c r="U1341" s="24">
        <v>80</v>
      </c>
      <c r="BA1341" s="2"/>
      <c r="BB1341" s="2"/>
      <c r="BC1341" s="101"/>
      <c r="BD1341" s="101"/>
    </row>
    <row r="1342" spans="1:56" s="84" customFormat="1" x14ac:dyDescent="0.35">
      <c r="F1342" s="50"/>
      <c r="AM1342" s="144" t="s">
        <v>4</v>
      </c>
      <c r="AN1342" s="144"/>
      <c r="AO1342" s="144"/>
      <c r="AP1342" s="144"/>
      <c r="AQ1342" s="144"/>
      <c r="AR1342" s="144"/>
      <c r="AS1342" s="144"/>
      <c r="AU1342" s="100" t="s">
        <v>4</v>
      </c>
      <c r="BA1342" s="2"/>
      <c r="BB1342" s="2"/>
      <c r="BC1342" s="101"/>
      <c r="BD1342" s="101"/>
    </row>
    <row r="1343" spans="1:56" s="84" customFormat="1" ht="15" customHeight="1" x14ac:dyDescent="0.35">
      <c r="B1343" s="40"/>
      <c r="C1343" s="41"/>
      <c r="D1343" s="42" t="s">
        <v>32</v>
      </c>
      <c r="E1343" s="43" t="s">
        <v>5</v>
      </c>
      <c r="F1343" s="50"/>
      <c r="G1343" s="162">
        <f>G1341</f>
        <v>44563</v>
      </c>
      <c r="H1343" s="163"/>
      <c r="I1343" s="162">
        <f>IF(G1343="","",G1343+1)</f>
        <v>44564</v>
      </c>
      <c r="J1343" s="163"/>
      <c r="K1343" s="162">
        <f>IF(I1343="","",I1343+1)</f>
        <v>44565</v>
      </c>
      <c r="L1343" s="163"/>
      <c r="M1343" s="162">
        <f>IF(K1343="","",K1343+1)</f>
        <v>44566</v>
      </c>
      <c r="N1343" s="163"/>
      <c r="O1343" s="162">
        <f>IF(M1343="","",M1343+1)</f>
        <v>44567</v>
      </c>
      <c r="P1343" s="163"/>
      <c r="Q1343" s="162">
        <f>IF(O1343="","",O1343+1)</f>
        <v>44568</v>
      </c>
      <c r="R1343" s="163"/>
      <c r="S1343" s="162">
        <f>IF(Q1343="","",Q1343+1)</f>
        <v>44569</v>
      </c>
      <c r="T1343" s="164"/>
      <c r="U1343" s="44"/>
      <c r="W1343" s="162">
        <f>IF(S1343="","",S1343+1)</f>
        <v>44570</v>
      </c>
      <c r="X1343" s="163"/>
      <c r="Y1343" s="162">
        <f>IF(W1343="","",W1343+1)</f>
        <v>44571</v>
      </c>
      <c r="Z1343" s="163"/>
      <c r="AA1343" s="162">
        <f>IF(Y1343="","",Y1343+1)</f>
        <v>44572</v>
      </c>
      <c r="AB1343" s="163"/>
      <c r="AC1343" s="162">
        <f>IF(AA1343="","",AA1343+1)</f>
        <v>44573</v>
      </c>
      <c r="AD1343" s="163"/>
      <c r="AE1343" s="162">
        <f>IF(AC1343="","",AC1343+1)</f>
        <v>44574</v>
      </c>
      <c r="AF1343" s="163"/>
      <c r="AG1343" s="162">
        <f>IF(AE1343="","",AE1343+1)</f>
        <v>44575</v>
      </c>
      <c r="AH1343" s="163"/>
      <c r="AI1343" s="162">
        <f>IF(AG1343="","",AG1343+1)</f>
        <v>44576</v>
      </c>
      <c r="AJ1343" s="164"/>
      <c r="AK1343" s="44"/>
      <c r="AM1343" s="145" t="s">
        <v>18</v>
      </c>
      <c r="AN1343" s="165" t="s">
        <v>55</v>
      </c>
      <c r="AO1343" s="145" t="s">
        <v>19</v>
      </c>
      <c r="AP1343" s="145" t="s">
        <v>20</v>
      </c>
      <c r="AQ1343" s="145" t="s">
        <v>21</v>
      </c>
      <c r="AR1343" s="166" t="s">
        <v>22</v>
      </c>
      <c r="AS1343" s="167" t="s">
        <v>23</v>
      </c>
      <c r="AU1343" s="144" t="s">
        <v>6</v>
      </c>
      <c r="AW1343" s="145" t="s">
        <v>24</v>
      </c>
      <c r="BA1343" s="2"/>
      <c r="BB1343" s="2"/>
      <c r="BC1343" s="101"/>
      <c r="BD1343" s="101"/>
    </row>
    <row r="1344" spans="1:56" s="84" customFormat="1" x14ac:dyDescent="0.35">
      <c r="B1344" s="45" t="s">
        <v>33</v>
      </c>
      <c r="C1344" s="46"/>
      <c r="D1344" s="47"/>
      <c r="E1344" s="47"/>
      <c r="F1344" s="50"/>
      <c r="G1344" s="146" t="s">
        <v>25</v>
      </c>
      <c r="H1344" s="147"/>
      <c r="I1344" s="146" t="s">
        <v>26</v>
      </c>
      <c r="J1344" s="147"/>
      <c r="K1344" s="146" t="s">
        <v>27</v>
      </c>
      <c r="L1344" s="147"/>
      <c r="M1344" s="146" t="s">
        <v>28</v>
      </c>
      <c r="N1344" s="147"/>
      <c r="O1344" s="146" t="s">
        <v>29</v>
      </c>
      <c r="P1344" s="147"/>
      <c r="Q1344" s="146" t="s">
        <v>30</v>
      </c>
      <c r="R1344" s="147"/>
      <c r="S1344" s="146" t="s">
        <v>31</v>
      </c>
      <c r="T1344" s="148"/>
      <c r="U1344" s="48" t="s">
        <v>7</v>
      </c>
      <c r="W1344" s="146" t="s">
        <v>25</v>
      </c>
      <c r="X1344" s="147"/>
      <c r="Y1344" s="146" t="s">
        <v>26</v>
      </c>
      <c r="Z1344" s="147"/>
      <c r="AA1344" s="146" t="s">
        <v>27</v>
      </c>
      <c r="AB1344" s="147"/>
      <c r="AC1344" s="146" t="s">
        <v>28</v>
      </c>
      <c r="AD1344" s="147"/>
      <c r="AE1344" s="146" t="s">
        <v>29</v>
      </c>
      <c r="AF1344" s="147"/>
      <c r="AG1344" s="146" t="s">
        <v>30</v>
      </c>
      <c r="AH1344" s="147"/>
      <c r="AI1344" s="146" t="s">
        <v>31</v>
      </c>
      <c r="AJ1344" s="148"/>
      <c r="AK1344" s="48" t="s">
        <v>7</v>
      </c>
      <c r="AM1344" s="145"/>
      <c r="AN1344" s="165"/>
      <c r="AO1344" s="145"/>
      <c r="AP1344" s="145"/>
      <c r="AQ1344" s="145"/>
      <c r="AR1344" s="166"/>
      <c r="AS1344" s="167"/>
      <c r="AU1344" s="144"/>
      <c r="AW1344" s="145"/>
      <c r="BA1344" s="2"/>
      <c r="BB1344" s="2"/>
      <c r="BC1344" s="101"/>
      <c r="BD1344" s="101"/>
    </row>
    <row r="1345" spans="2:56" s="84" customFormat="1" x14ac:dyDescent="0.35">
      <c r="B1345" s="63"/>
      <c r="C1345" s="25"/>
      <c r="D1345" s="25"/>
      <c r="E1345" s="25"/>
      <c r="F1345" s="50"/>
      <c r="BA1345" s="2"/>
      <c r="BB1345" s="2"/>
      <c r="BC1345" s="101"/>
      <c r="BD1345" s="101"/>
    </row>
    <row r="1346" spans="2:56" s="84" customFormat="1" x14ac:dyDescent="0.35">
      <c r="B1346" s="26"/>
      <c r="C1346" s="27"/>
      <c r="D1346" s="28">
        <f>IF(D1272="","",D1272)</f>
        <v>31428</v>
      </c>
      <c r="E1346" s="29" t="str">
        <f>IF(E1272="","",E1272)</f>
        <v/>
      </c>
      <c r="F1346" s="50">
        <f>B1341</f>
        <v>2</v>
      </c>
      <c r="G1346" s="59"/>
      <c r="H1346" s="64"/>
      <c r="I1346" s="106"/>
      <c r="J1346" s="105"/>
      <c r="K1346" s="106"/>
      <c r="L1346" s="105"/>
      <c r="M1346" s="106"/>
      <c r="N1346" s="105"/>
      <c r="O1346" s="106"/>
      <c r="P1346" s="105"/>
      <c r="Q1346" s="106"/>
      <c r="R1346" s="105"/>
      <c r="S1346" s="59"/>
      <c r="T1346" s="64"/>
      <c r="U1346" s="44"/>
      <c r="W1346" s="59"/>
      <c r="X1346" s="64"/>
      <c r="Y1346" s="106"/>
      <c r="Z1346" s="105"/>
      <c r="AA1346" s="106"/>
      <c r="AB1346" s="105"/>
      <c r="AC1346" s="106"/>
      <c r="AD1346" s="105"/>
      <c r="AE1346" s="106"/>
      <c r="AF1346" s="105"/>
      <c r="AG1346" s="106"/>
      <c r="AH1346" s="105"/>
      <c r="AI1346" s="59"/>
      <c r="AJ1346" s="64"/>
      <c r="AK1346" s="44"/>
      <c r="AM1346" s="49"/>
      <c r="AN1346" s="49"/>
      <c r="AO1346" s="49"/>
      <c r="AP1346" s="49"/>
      <c r="AQ1346" s="49"/>
      <c r="AR1346" s="40"/>
      <c r="AS1346" s="51"/>
      <c r="AU1346" s="49"/>
      <c r="AW1346" s="52"/>
      <c r="BA1346" s="2"/>
      <c r="BB1346" s="2"/>
      <c r="BC1346" s="101"/>
      <c r="BD1346" s="101"/>
    </row>
    <row r="1347" spans="2:56" s="84" customFormat="1" x14ac:dyDescent="0.35">
      <c r="B1347" s="30" t="str">
        <f>IF(B1273="","",B1273)</f>
        <v>Gaulin, Francis</v>
      </c>
      <c r="C1347" s="31"/>
      <c r="D1347" s="32"/>
      <c r="E1347" s="33">
        <f t="shared" ref="E1347:E1378" si="536">IF(E1273="","",E1273)</f>
        <v>93542</v>
      </c>
      <c r="F1347" s="50">
        <f>B1341</f>
        <v>2</v>
      </c>
      <c r="G1347" s="95"/>
      <c r="H1347" s="70"/>
      <c r="I1347" s="104"/>
      <c r="J1347" s="103">
        <v>8.5</v>
      </c>
      <c r="K1347" s="104"/>
      <c r="L1347" s="103">
        <v>8.5</v>
      </c>
      <c r="M1347" s="104"/>
      <c r="N1347" s="103">
        <v>8.5</v>
      </c>
      <c r="O1347" s="104"/>
      <c r="P1347" s="103">
        <v>8.5</v>
      </c>
      <c r="Q1347" s="104"/>
      <c r="R1347" s="103">
        <v>8</v>
      </c>
      <c r="S1347" s="69"/>
      <c r="T1347" s="70"/>
      <c r="U1347" s="71">
        <f>SUM(G1347:T1347)</f>
        <v>42</v>
      </c>
      <c r="V1347" s="72"/>
      <c r="W1347" s="69"/>
      <c r="X1347" s="70"/>
      <c r="Y1347" s="104"/>
      <c r="Z1347" s="103">
        <v>8.25</v>
      </c>
      <c r="AA1347" s="104"/>
      <c r="AB1347" s="103">
        <v>8.5</v>
      </c>
      <c r="AC1347" s="104"/>
      <c r="AD1347" s="103">
        <v>8.5</v>
      </c>
      <c r="AE1347" s="104"/>
      <c r="AF1347" s="103">
        <v>8.5</v>
      </c>
      <c r="AG1347" s="104"/>
      <c r="AH1347" s="103">
        <v>8</v>
      </c>
      <c r="AI1347" s="69"/>
      <c r="AJ1347" s="70"/>
      <c r="AK1347" s="71">
        <f>SUM(W1347:AJ1347)</f>
        <v>41.75</v>
      </c>
      <c r="AL1347" s="72"/>
      <c r="AM1347" s="73">
        <f>SUMIF($G1346:$T1346,"",$G1347:$T1347)+SUMIF($W1346:$AJ1346,"",$W1347:$AJ1347)-AN1347</f>
        <v>80</v>
      </c>
      <c r="AN1347" s="88">
        <f>IF(SUMIF($G1346:$T1346,"",$G1347:$T1347)+SUMIF($G1346:$T1346,"F",$G1347:$T1347)+SUMIF($G1346:$T1346,"V",$G1347:$T1347)-40&lt;0,0,SUMIF($G1346:$T1346,"",$G1347:$T1347)+SUMIF($G1346:$T1346,"F",$G1347:$T1347)+SUMIF($G1346:$T1346,"V",$G1347:$T1347)-($U$9/2))+IF(SUMIF($W1346:$AJ1346,"",$W1347:$AJ1347)+SUMIF($W1346:$AJ1346,"F",$W1347:$AJ1347)+SUMIF($W1346:$AJ1346,"V",$W1347:$AJ1347)-40&lt;0,0,SUMIF($W1346:$AJ1346,"",$W1347:$AJ1347)+SUMIF($W1346:$AJ1346,"F",$W1347:$AJ1347)+SUMIF($W1346:$AJ1346,"V",$W1347:$AJ1347)-($U$9/2))</f>
        <v>3.75</v>
      </c>
      <c r="AO1347" s="73">
        <f>SUMIF($G1346:$T1346,"M",$G1347:$T1347)+SUMIF($W1346:$AJ1346,"M",$W1347:$AJ1347)</f>
        <v>0</v>
      </c>
      <c r="AP1347" s="73">
        <f>SUMIF($G1346:$T1346,"F",$G1347:$T1347)+SUMIF($W1346:$AJ1346,"F",$W1347:$AJ1347)</f>
        <v>0</v>
      </c>
      <c r="AQ1347" s="73">
        <f>SUMIF($G1346:$T1346,"V",$G1347:$T1347)+SUMIF($W1346:$AJ1346,"V",$W1347:$AJ1347)</f>
        <v>0</v>
      </c>
      <c r="AR1347" s="74">
        <f>SUMIF($G1346:$T1346,"O",$G1347:$T1347)+SUMIF($W1346:$AJ1346,"O",$W1347:$AJ1347)</f>
        <v>0</v>
      </c>
      <c r="AS1347" s="75">
        <f>SUM(AM1347:AR1347)</f>
        <v>83.75</v>
      </c>
      <c r="AT1347" s="72"/>
      <c r="AU1347" s="73">
        <f>SUMIF($G1346:$T1346,"A",$G1347:$T1347)+SUMIF($W1346:$AJ1346,"A",$W1347:$AJ1347)</f>
        <v>0</v>
      </c>
      <c r="AV1347" s="72"/>
      <c r="AW1347" s="76">
        <f>IF(B1347="",0,IF($U$9="",0,$U$9))</f>
        <v>80</v>
      </c>
      <c r="BA1347" s="2"/>
      <c r="BB1347" s="2"/>
      <c r="BC1347" s="101"/>
      <c r="BD1347" s="101"/>
    </row>
    <row r="1348" spans="2:56" s="84" customFormat="1" x14ac:dyDescent="0.35">
      <c r="B1348" s="26"/>
      <c r="C1348" s="27"/>
      <c r="D1348" s="28">
        <f>IF(D1274="","",D1274)</f>
        <v>24287</v>
      </c>
      <c r="E1348" s="29" t="str">
        <f t="shared" si="536"/>
        <v/>
      </c>
      <c r="F1348" s="50">
        <f>B1341</f>
        <v>2</v>
      </c>
      <c r="G1348" s="59"/>
      <c r="H1348" s="64"/>
      <c r="I1348" s="106"/>
      <c r="J1348" s="105"/>
      <c r="K1348" s="106"/>
      <c r="L1348" s="105"/>
      <c r="M1348" s="106"/>
      <c r="N1348" s="105"/>
      <c r="O1348" s="106"/>
      <c r="P1348" s="105"/>
      <c r="Q1348" s="106"/>
      <c r="R1348" s="105"/>
      <c r="S1348" s="59"/>
      <c r="T1348" s="64"/>
      <c r="U1348" s="44"/>
      <c r="W1348" s="59"/>
      <c r="X1348" s="64"/>
      <c r="Y1348" s="106"/>
      <c r="Z1348" s="105"/>
      <c r="AA1348" s="106"/>
      <c r="AB1348" s="105"/>
      <c r="AC1348" s="106"/>
      <c r="AD1348" s="105"/>
      <c r="AE1348" s="106"/>
      <c r="AF1348" s="105"/>
      <c r="AG1348" s="106"/>
      <c r="AH1348" s="105"/>
      <c r="AI1348" s="59"/>
      <c r="AJ1348" s="64"/>
      <c r="AK1348" s="44"/>
      <c r="AM1348" s="49"/>
      <c r="AN1348" s="49"/>
      <c r="AO1348" s="49"/>
      <c r="AP1348" s="49"/>
      <c r="AQ1348" s="49"/>
      <c r="AR1348" s="40"/>
      <c r="AS1348" s="51"/>
      <c r="AU1348" s="49"/>
      <c r="AW1348" s="52"/>
      <c r="BA1348" s="2"/>
      <c r="BB1348" s="2"/>
      <c r="BC1348" s="101"/>
      <c r="BD1348" s="101"/>
    </row>
    <row r="1349" spans="2:56" s="84" customFormat="1" x14ac:dyDescent="0.35">
      <c r="B1349" s="30" t="str">
        <f>IF(B1275="","",B1275)</f>
        <v>Barrata, Dominic(Avance $500.00)</v>
      </c>
      <c r="C1349" s="31"/>
      <c r="D1349" s="32"/>
      <c r="E1349" s="33">
        <f t="shared" si="536"/>
        <v>93595935</v>
      </c>
      <c r="F1349" s="50">
        <f>B1341</f>
        <v>2</v>
      </c>
      <c r="G1349" s="69"/>
      <c r="H1349" s="70"/>
      <c r="I1349" s="104"/>
      <c r="J1349" s="103" t="s">
        <v>69</v>
      </c>
      <c r="K1349" s="104"/>
      <c r="L1349" s="103" t="s">
        <v>69</v>
      </c>
      <c r="M1349" s="104"/>
      <c r="N1349" s="103" t="s">
        <v>69</v>
      </c>
      <c r="O1349" s="104"/>
      <c r="P1349" s="103" t="s">
        <v>69</v>
      </c>
      <c r="Q1349" s="104"/>
      <c r="R1349" s="103" t="s">
        <v>69</v>
      </c>
      <c r="S1349" s="69"/>
      <c r="T1349" s="70"/>
      <c r="U1349" s="71">
        <f t="shared" ref="U1349" si="537">SUM(G1349:T1349)</f>
        <v>0</v>
      </c>
      <c r="V1349" s="72"/>
      <c r="W1349" s="69"/>
      <c r="X1349" s="70"/>
      <c r="Y1349" s="104"/>
      <c r="Z1349" s="103" t="s">
        <v>69</v>
      </c>
      <c r="AA1349" s="104"/>
      <c r="AB1349" s="103" t="s">
        <v>69</v>
      </c>
      <c r="AC1349" s="104"/>
      <c r="AD1349" s="103" t="s">
        <v>69</v>
      </c>
      <c r="AE1349" s="104"/>
      <c r="AF1349" s="103" t="s">
        <v>69</v>
      </c>
      <c r="AG1349" s="104"/>
      <c r="AH1349" s="103" t="s">
        <v>69</v>
      </c>
      <c r="AI1349" s="69"/>
      <c r="AJ1349" s="70"/>
      <c r="AK1349" s="71">
        <f>SUM(W1349:AJ1349)</f>
        <v>0</v>
      </c>
      <c r="AL1349" s="72"/>
      <c r="AM1349" s="73">
        <f>SUMIF($G1348:$T1348,"",$G1349:$T1349)+SUMIF($W1348:$AJ1348,"",$W1349:$AJ1349)-AN1349</f>
        <v>0</v>
      </c>
      <c r="AN1349" s="88">
        <f>IF(SUMIF($G1348:$T1348,"",$G1349:$T1349)+SUMIF($G1348:$T1348,"F",$G1349:$T1349)+SUMIF($G1348:$T1348,"V",$G1349:$T1349)-40&lt;0,0,SUMIF($G1348:$T1348,"",$G1349:$T1349)+SUMIF($G1348:$T1348,"F",$G1349:$T1349)+SUMIF($G1348:$T1348,"V",$G1349:$T1349)-($U$9/2))+IF(SUMIF($W1348:$AJ1348,"",$W1349:$AJ1349)+SUMIF($W1348:$AJ1348,"F",$W1349:$AJ1349)+SUMIF($W1348:$AJ1348,"V",$W1349:$AJ1349)-40&lt;0,0,SUMIF($W1348:$AJ1348,"",$W1349:$AJ1349)+SUMIF($W1348:$AJ1348,"F",$W1349:$AJ1349)+SUMIF($W1348:$AJ1348,"V",$W1349:$AJ1349)-($U$9/2))</f>
        <v>0</v>
      </c>
      <c r="AO1349" s="73">
        <f>SUMIF($G1348:$T1348,"M",$G1349:$T1349)+SUMIF($W1348:$AJ1348,"M",$W1349:$AJ1349)</f>
        <v>0</v>
      </c>
      <c r="AP1349" s="73">
        <f>SUMIF($G1348:$T1348,"F",$G1349:$T1349)+SUMIF($W1348:$AJ1348,"F",$W1349:$AJ1349)</f>
        <v>0</v>
      </c>
      <c r="AQ1349" s="73">
        <f>SUMIF($G1348:$T1348,"V",$G1349:$T1349)+SUMIF($W1348:$AJ1348,"V",$W1349:$AJ1349)</f>
        <v>0</v>
      </c>
      <c r="AR1349" s="74">
        <f>SUMIF($G1348:$T1348,"O",$G1349:$T1349)+SUMIF($W1348:$AJ1348,"O",$W1349:$AJ1349)</f>
        <v>0</v>
      </c>
      <c r="AS1349" s="75">
        <f>SUM(AM1349:AR1349)</f>
        <v>0</v>
      </c>
      <c r="AT1349" s="72"/>
      <c r="AU1349" s="73">
        <f>SUMIF($G1348:$T1348,"A",$G1349:$T1349)+SUMIF($W1348:$AJ1348,"A",$W1349:$AJ1349)</f>
        <v>0</v>
      </c>
      <c r="AV1349" s="72"/>
      <c r="AW1349" s="76">
        <f>IF(B1349="",0,IF($U$9="",0,$U$9))</f>
        <v>80</v>
      </c>
      <c r="BA1349" s="2"/>
      <c r="BB1349" s="2"/>
      <c r="BC1349" s="101"/>
      <c r="BD1349" s="101"/>
    </row>
    <row r="1350" spans="2:56" s="84" customFormat="1" x14ac:dyDescent="0.35">
      <c r="B1350" s="26"/>
      <c r="C1350" s="27"/>
      <c r="D1350" s="28">
        <f>IF(D1276="","",D1276)</f>
        <v>92032</v>
      </c>
      <c r="E1350" s="29" t="str">
        <f t="shared" si="536"/>
        <v/>
      </c>
      <c r="F1350" s="50">
        <f>B1341</f>
        <v>2</v>
      </c>
      <c r="G1350" s="59"/>
      <c r="H1350" s="64"/>
      <c r="I1350" s="106"/>
      <c r="J1350" s="105"/>
      <c r="K1350" s="106"/>
      <c r="L1350" s="105"/>
      <c r="M1350" s="106"/>
      <c r="N1350" s="105"/>
      <c r="O1350" s="106"/>
      <c r="P1350" s="105"/>
      <c r="Q1350" s="106"/>
      <c r="R1350" s="105"/>
      <c r="S1350" s="59"/>
      <c r="T1350" s="64"/>
      <c r="U1350" s="44"/>
      <c r="W1350" s="59"/>
      <c r="X1350" s="64"/>
      <c r="Y1350" s="106"/>
      <c r="Z1350" s="105"/>
      <c r="AA1350" s="106"/>
      <c r="AB1350" s="105"/>
      <c r="AC1350" s="106"/>
      <c r="AD1350" s="105"/>
      <c r="AE1350" s="106"/>
      <c r="AF1350" s="105"/>
      <c r="AG1350" s="106"/>
      <c r="AH1350" s="105"/>
      <c r="AI1350" s="59"/>
      <c r="AJ1350" s="64"/>
      <c r="AK1350" s="44"/>
      <c r="AM1350" s="49"/>
      <c r="AN1350" s="49"/>
      <c r="AO1350" s="49"/>
      <c r="AP1350" s="49"/>
      <c r="AQ1350" s="49"/>
      <c r="AR1350" s="40"/>
      <c r="AS1350" s="51"/>
      <c r="AU1350" s="49"/>
      <c r="AW1350" s="52"/>
      <c r="BA1350" s="2"/>
      <c r="BB1350" s="2"/>
      <c r="BC1350" s="101"/>
      <c r="BD1350" s="101"/>
    </row>
    <row r="1351" spans="2:56" s="84" customFormat="1" x14ac:dyDescent="0.35">
      <c r="B1351" s="30" t="str">
        <f>IF(B1277="","",B1277)</f>
        <v>Benoit, Jean-Paul(Avance $1,600.00)</v>
      </c>
      <c r="C1351" s="31"/>
      <c r="D1351" s="32"/>
      <c r="E1351" s="33">
        <f t="shared" si="536"/>
        <v>93595935</v>
      </c>
      <c r="F1351" s="50">
        <f>B1341</f>
        <v>2</v>
      </c>
      <c r="G1351" s="69"/>
      <c r="H1351" s="70"/>
      <c r="I1351" s="104"/>
      <c r="J1351" s="103" t="s">
        <v>69</v>
      </c>
      <c r="K1351" s="104"/>
      <c r="L1351" s="103" t="s">
        <v>69</v>
      </c>
      <c r="M1351" s="104"/>
      <c r="N1351" s="103" t="s">
        <v>69</v>
      </c>
      <c r="O1351" s="104"/>
      <c r="P1351" s="103" t="s">
        <v>69</v>
      </c>
      <c r="Q1351" s="104"/>
      <c r="R1351" s="103" t="s">
        <v>69</v>
      </c>
      <c r="S1351" s="69"/>
      <c r="T1351" s="70"/>
      <c r="U1351" s="71">
        <f t="shared" ref="U1351" si="538">SUM(G1351:T1351)</f>
        <v>0</v>
      </c>
      <c r="V1351" s="72"/>
      <c r="W1351" s="69"/>
      <c r="X1351" s="70"/>
      <c r="Y1351" s="104"/>
      <c r="Z1351" s="103" t="s">
        <v>69</v>
      </c>
      <c r="AA1351" s="104"/>
      <c r="AB1351" s="103" t="s">
        <v>69</v>
      </c>
      <c r="AC1351" s="104"/>
      <c r="AD1351" s="103" t="s">
        <v>69</v>
      </c>
      <c r="AE1351" s="104"/>
      <c r="AF1351" s="103" t="s">
        <v>69</v>
      </c>
      <c r="AG1351" s="104"/>
      <c r="AH1351" s="103" t="s">
        <v>69</v>
      </c>
      <c r="AI1351" s="69"/>
      <c r="AJ1351" s="70"/>
      <c r="AK1351" s="71">
        <f>SUM(W1351:AJ1351)</f>
        <v>0</v>
      </c>
      <c r="AL1351" s="72"/>
      <c r="AM1351" s="73">
        <f>SUMIF($G1350:$T1350,"",$G1351:$T1351)+SUMIF($W1350:$AJ1350,"",$W1351:$AJ1351)-AN1351</f>
        <v>0</v>
      </c>
      <c r="AN1351" s="88">
        <f>IF(SUMIF($G1350:$T1350,"",$G1351:$T1351)+SUMIF($G1350:$T1350,"F",$G1351:$T1351)+SUMIF($G1350:$T1350,"V",$G1351:$T1351)-40&lt;0,0,SUMIF($G1350:$T1350,"",$G1351:$T1351)+SUMIF($G1350:$T1350,"F",$G1351:$T1351)+SUMIF($G1350:$T1350,"V",$G1351:$T1351)-($U$9/2))+IF(SUMIF($W1350:$AJ1350,"",$W1351:$AJ1351)+SUMIF($W1350:$AJ1350,"F",$W1351:$AJ1351)+SUMIF($W1350:$AJ1350,"V",$W1351:$AJ1351)-40&lt;0,0,SUMIF($W1350:$AJ1350,"",$W1351:$AJ1351)+SUMIF($W1350:$AJ1350,"F",$W1351:$AJ1351)+SUMIF($W1350:$AJ1350,"V",$W1351:$AJ1351)-($U$9/2))</f>
        <v>0</v>
      </c>
      <c r="AO1351" s="73">
        <f>SUMIF($G1350:$T1350,"M",$G1351:$T1351)+SUMIF($W1350:$AJ1350,"M",$W1351:$AJ1351)</f>
        <v>0</v>
      </c>
      <c r="AP1351" s="73">
        <f>SUMIF($G1350:$T1350,"F",$G1351:$T1351)+SUMIF($W1350:$AJ1350,"F",$W1351:$AJ1351)</f>
        <v>0</v>
      </c>
      <c r="AQ1351" s="73">
        <f>SUMIF($G1350:$T1350,"V",$G1351:$T1351)+SUMIF($W1350:$AJ1350,"V",$W1351:$AJ1351)</f>
        <v>0</v>
      </c>
      <c r="AR1351" s="74">
        <f>SUMIF($G1350:$T1350,"O",$G1351:$T1351)+SUMIF($W1350:$AJ1350,"O",$W1351:$AJ1351)</f>
        <v>0</v>
      </c>
      <c r="AS1351" s="75">
        <f>SUM(AM1351:AR1351)</f>
        <v>0</v>
      </c>
      <c r="AT1351" s="72"/>
      <c r="AU1351" s="73">
        <f>SUMIF($G1350:$T1350,"A",$G1351:$T1351)+SUMIF($W1350:$AJ1350,"A",$W1351:$AJ1351)</f>
        <v>0</v>
      </c>
      <c r="AV1351" s="72"/>
      <c r="AW1351" s="76">
        <f>IF(B1351="",0,IF($U$9="",0,$U$9))</f>
        <v>80</v>
      </c>
      <c r="BA1351" s="2"/>
      <c r="BB1351" s="2"/>
      <c r="BC1351" s="101"/>
      <c r="BD1351" s="101"/>
    </row>
    <row r="1352" spans="2:56" s="84" customFormat="1" x14ac:dyDescent="0.35">
      <c r="B1352" s="26"/>
      <c r="C1352" s="27"/>
      <c r="D1352" s="28">
        <f>IF(D1278="","",D1278)</f>
        <v>81077</v>
      </c>
      <c r="E1352" s="29" t="str">
        <f t="shared" si="536"/>
        <v/>
      </c>
      <c r="F1352" s="50">
        <f>B1341</f>
        <v>2</v>
      </c>
      <c r="G1352" s="93"/>
      <c r="H1352" s="94"/>
      <c r="I1352" s="106"/>
      <c r="J1352" s="105" t="s">
        <v>1</v>
      </c>
      <c r="K1352" s="106"/>
      <c r="L1352" s="105" t="s">
        <v>1</v>
      </c>
      <c r="M1352" s="106"/>
      <c r="N1352" s="105" t="s">
        <v>1</v>
      </c>
      <c r="O1352" s="106"/>
      <c r="P1352" s="105" t="s">
        <v>1</v>
      </c>
      <c r="Q1352" s="106"/>
      <c r="R1352" s="105" t="s">
        <v>1</v>
      </c>
      <c r="S1352" s="59"/>
      <c r="T1352" s="64"/>
      <c r="U1352" s="44"/>
      <c r="W1352" s="59"/>
      <c r="X1352" s="64"/>
      <c r="Y1352" s="106"/>
      <c r="Z1352" s="105" t="s">
        <v>1</v>
      </c>
      <c r="AA1352" s="106"/>
      <c r="AB1352" s="105"/>
      <c r="AC1352" s="106"/>
      <c r="AD1352" s="105"/>
      <c r="AE1352" s="106"/>
      <c r="AF1352" s="105"/>
      <c r="AG1352" s="106"/>
      <c r="AH1352" s="105"/>
      <c r="AI1352" s="59"/>
      <c r="AJ1352" s="64"/>
      <c r="AK1352" s="44"/>
      <c r="AM1352" s="49"/>
      <c r="AN1352" s="49"/>
      <c r="AO1352" s="49"/>
      <c r="AP1352" s="49"/>
      <c r="AQ1352" s="49"/>
      <c r="AR1352" s="40"/>
      <c r="AS1352" s="51"/>
      <c r="AU1352" s="49"/>
      <c r="AW1352" s="52"/>
      <c r="BA1352" s="2"/>
      <c r="BB1352" s="2"/>
      <c r="BC1352" s="101"/>
      <c r="BD1352" s="101"/>
    </row>
    <row r="1353" spans="2:56" s="84" customFormat="1" x14ac:dyDescent="0.35">
      <c r="B1353" s="30" t="str">
        <f>IF(B1279="","",B1279)</f>
        <v>Bourassa, Julie</v>
      </c>
      <c r="C1353" s="31"/>
      <c r="D1353" s="32"/>
      <c r="E1353" s="33">
        <f t="shared" si="536"/>
        <v>93540</v>
      </c>
      <c r="F1353" s="50">
        <f>B1341</f>
        <v>2</v>
      </c>
      <c r="G1353" s="93"/>
      <c r="H1353" s="94"/>
      <c r="I1353" s="104"/>
      <c r="J1353" s="103">
        <v>8</v>
      </c>
      <c r="K1353" s="104"/>
      <c r="L1353" s="103">
        <v>8</v>
      </c>
      <c r="M1353" s="104"/>
      <c r="N1353" s="103">
        <v>8</v>
      </c>
      <c r="O1353" s="104"/>
      <c r="P1353" s="103">
        <v>8</v>
      </c>
      <c r="Q1353" s="104"/>
      <c r="R1353" s="103">
        <v>8</v>
      </c>
      <c r="S1353" s="69"/>
      <c r="T1353" s="70"/>
      <c r="U1353" s="71">
        <f t="shared" ref="U1353" si="539">SUM(G1353:T1353)</f>
        <v>40</v>
      </c>
      <c r="V1353" s="72"/>
      <c r="W1353" s="69"/>
      <c r="X1353" s="70"/>
      <c r="Y1353" s="104"/>
      <c r="Z1353" s="103">
        <v>8</v>
      </c>
      <c r="AA1353" s="104"/>
      <c r="AB1353" s="103">
        <v>8</v>
      </c>
      <c r="AC1353" s="104"/>
      <c r="AD1353" s="103">
        <v>8</v>
      </c>
      <c r="AE1353" s="104"/>
      <c r="AF1353" s="103">
        <v>8</v>
      </c>
      <c r="AG1353" s="104"/>
      <c r="AH1353" s="103">
        <v>8</v>
      </c>
      <c r="AI1353" s="69"/>
      <c r="AJ1353" s="70"/>
      <c r="AK1353" s="71">
        <f>SUM(W1353:AJ1353)</f>
        <v>40</v>
      </c>
      <c r="AL1353" s="72"/>
      <c r="AM1353" s="73">
        <f>SUMIF($G1352:$T1352,"",$G1353:$T1353)+SUMIF($W1352:$AJ1352,"",$W1353:$AJ1353)-AN1353</f>
        <v>32</v>
      </c>
      <c r="AN1353" s="88">
        <f>IF(SUMIF($G1352:$T1352,"",$G1353:$T1353)+SUMIF($G1352:$T1352,"F",$G1353:$T1353)+SUMIF($G1352:$T1352,"V",$G1353:$T1353)-40&lt;0,0,SUMIF($G1352:$T1352,"",$G1353:$T1353)+SUMIF($G1352:$T1352,"F",$G1353:$T1353)+SUMIF($G1352:$T1352,"V",$G1353:$T1353)-($U$9/2))+IF(SUMIF($W1352:$AJ1352,"",$W1353:$AJ1353)+SUMIF($W1352:$AJ1352,"F",$W1353:$AJ1353)+SUMIF($W1352:$AJ1352,"V",$W1353:$AJ1353)-40&lt;0,0,SUMIF($W1352:$AJ1352,"",$W1353:$AJ1353)+SUMIF($W1352:$AJ1352,"F",$W1353:$AJ1353)+SUMIF($W1352:$AJ1352,"V",$W1353:$AJ1353)-($U$9/2))</f>
        <v>0</v>
      </c>
      <c r="AO1353" s="73">
        <f>SUMIF($G1352:$T1352,"M",$G1353:$T1353)+SUMIF($W1352:$AJ1352,"M",$W1353:$AJ1353)</f>
        <v>0</v>
      </c>
      <c r="AP1353" s="73">
        <f>SUMIF($G1352:$T1352,"F",$G1353:$T1353)+SUMIF($W1352:$AJ1352,"F",$W1353:$AJ1353)</f>
        <v>0</v>
      </c>
      <c r="AQ1353" s="73">
        <f>SUMIF($G1352:$T1352,"V",$G1353:$T1353)+SUMIF($W1352:$AJ1352,"V",$W1353:$AJ1353)</f>
        <v>48</v>
      </c>
      <c r="AR1353" s="74">
        <f>SUMIF($G1352:$T1352,"O",$G1353:$T1353)+SUMIF($W1352:$AJ1352,"O",$W1353:$AJ1353)</f>
        <v>0</v>
      </c>
      <c r="AS1353" s="75">
        <f>SUM(AM1353:AR1353)</f>
        <v>80</v>
      </c>
      <c r="AT1353" s="72"/>
      <c r="AU1353" s="73">
        <f>SUMIF($G1352:$T1352,"A",$G1353:$T1353)+SUMIF($W1352:$AJ1352,"A",$W1353:$AJ1353)</f>
        <v>0</v>
      </c>
      <c r="AV1353" s="72"/>
      <c r="AW1353" s="76">
        <f>IF(B1353="",0,IF($U$9="",0,$U$9))</f>
        <v>80</v>
      </c>
      <c r="BA1353" s="2"/>
      <c r="BB1353" s="2"/>
      <c r="BC1353" s="101"/>
      <c r="BD1353" s="101"/>
    </row>
    <row r="1354" spans="2:56" s="84" customFormat="1" x14ac:dyDescent="0.35">
      <c r="B1354" s="26"/>
      <c r="C1354" s="27"/>
      <c r="D1354" s="28">
        <f>IF(D1280="","",D1280)</f>
        <v>78475</v>
      </c>
      <c r="E1354" s="29" t="str">
        <f t="shared" si="536"/>
        <v/>
      </c>
      <c r="F1354" s="50">
        <f>B1341</f>
        <v>2</v>
      </c>
      <c r="G1354" s="59"/>
      <c r="H1354" s="64"/>
      <c r="I1354" s="106"/>
      <c r="J1354" s="105"/>
      <c r="K1354" s="106"/>
      <c r="L1354" s="105"/>
      <c r="M1354" s="106"/>
      <c r="N1354" s="105"/>
      <c r="O1354" s="106"/>
      <c r="P1354" s="105"/>
      <c r="Q1354" s="106"/>
      <c r="R1354" s="105"/>
      <c r="S1354" s="59"/>
      <c r="T1354" s="64"/>
      <c r="U1354" s="44"/>
      <c r="W1354" s="59"/>
      <c r="X1354" s="64"/>
      <c r="Y1354" s="106"/>
      <c r="Z1354" s="105"/>
      <c r="AA1354" s="106"/>
      <c r="AB1354" s="105"/>
      <c r="AC1354" s="106"/>
      <c r="AD1354" s="105"/>
      <c r="AE1354" s="106"/>
      <c r="AF1354" s="105"/>
      <c r="AG1354" s="106"/>
      <c r="AH1354" s="105"/>
      <c r="AI1354" s="59"/>
      <c r="AJ1354" s="64"/>
      <c r="AK1354" s="44"/>
      <c r="AM1354" s="49"/>
      <c r="AN1354" s="49"/>
      <c r="AO1354" s="49"/>
      <c r="AP1354" s="49"/>
      <c r="AQ1354" s="49"/>
      <c r="AR1354" s="40"/>
      <c r="AS1354" s="51"/>
      <c r="AU1354" s="49"/>
      <c r="AW1354" s="52"/>
      <c r="BA1354" s="2"/>
      <c r="BB1354" s="2"/>
      <c r="BC1354" s="101"/>
      <c r="BD1354" s="101"/>
    </row>
    <row r="1355" spans="2:56" s="84" customFormat="1" x14ac:dyDescent="0.35">
      <c r="B1355" s="30" t="str">
        <f>IF(B1281="","",B1281)</f>
        <v>Charbonneau, Samuel</v>
      </c>
      <c r="C1355" s="31"/>
      <c r="D1355" s="32"/>
      <c r="E1355" s="33">
        <f t="shared" si="536"/>
        <v>93540</v>
      </c>
      <c r="F1355" s="50">
        <f>B1341</f>
        <v>2</v>
      </c>
      <c r="G1355" s="69"/>
      <c r="H1355" s="70"/>
      <c r="I1355" s="104"/>
      <c r="J1355" s="103">
        <v>8</v>
      </c>
      <c r="K1355" s="104"/>
      <c r="L1355" s="103">
        <v>8</v>
      </c>
      <c r="M1355" s="104"/>
      <c r="N1355" s="103">
        <v>8</v>
      </c>
      <c r="O1355" s="104"/>
      <c r="P1355" s="103">
        <v>8</v>
      </c>
      <c r="Q1355" s="104"/>
      <c r="R1355" s="103">
        <v>8</v>
      </c>
      <c r="S1355" s="69"/>
      <c r="T1355" s="70"/>
      <c r="U1355" s="71">
        <f t="shared" ref="U1355" si="540">SUM(G1355:T1355)</f>
        <v>40</v>
      </c>
      <c r="V1355" s="72"/>
      <c r="W1355" s="69"/>
      <c r="X1355" s="70"/>
      <c r="Y1355" s="104"/>
      <c r="Z1355" s="103">
        <v>8</v>
      </c>
      <c r="AA1355" s="104"/>
      <c r="AB1355" s="103">
        <v>8</v>
      </c>
      <c r="AC1355" s="104"/>
      <c r="AD1355" s="103">
        <v>8</v>
      </c>
      <c r="AE1355" s="104"/>
      <c r="AF1355" s="103">
        <v>8</v>
      </c>
      <c r="AG1355" s="104"/>
      <c r="AH1355" s="103">
        <v>8</v>
      </c>
      <c r="AI1355" s="69"/>
      <c r="AJ1355" s="70"/>
      <c r="AK1355" s="71">
        <f>SUM(W1355:AJ1355)</f>
        <v>40</v>
      </c>
      <c r="AL1355" s="72"/>
      <c r="AM1355" s="73">
        <f>SUMIF($G1354:$T1354,"",$G1355:$T1355)+SUMIF($W1354:$AJ1354,"",$W1355:$AJ1355)-AN1355</f>
        <v>80</v>
      </c>
      <c r="AN1355" s="88">
        <f>IF(SUMIF($G1354:$T1354,"",$G1355:$T1355)+SUMIF($G1354:$T1354,"F",$G1355:$T1355)+SUMIF($G1354:$T1354,"V",$G1355:$T1355)-40&lt;0,0,SUMIF($G1354:$T1354,"",$G1355:$T1355)+SUMIF($G1354:$T1354,"F",$G1355:$T1355)+SUMIF($G1354:$T1354,"V",$G1355:$T1355)-($U$9/2))+IF(SUMIF($W1354:$AJ1354,"",$W1355:$AJ1355)+SUMIF($W1354:$AJ1354,"F",$W1355:$AJ1355)+SUMIF($W1354:$AJ1354,"V",$W1355:$AJ1355)-40&lt;0,0,SUMIF($W1354:$AJ1354,"",$W1355:$AJ1355)+SUMIF($W1354:$AJ1354,"F",$W1355:$AJ1355)+SUMIF($W1354:$AJ1354,"V",$W1355:$AJ1355)-($U$9/2))</f>
        <v>0</v>
      </c>
      <c r="AO1355" s="73">
        <f>SUMIF($G1354:$T1354,"M",$G1355:$T1355)+SUMIF($W1354:$AJ1354,"M",$W1355:$AJ1355)</f>
        <v>0</v>
      </c>
      <c r="AP1355" s="73">
        <f>SUMIF($G1354:$T1354,"F",$G1355:$T1355)+SUMIF($W1354:$AJ1354,"F",$W1355:$AJ1355)</f>
        <v>0</v>
      </c>
      <c r="AQ1355" s="73">
        <f>SUMIF($G1354:$T1354,"V",$G1355:$T1355)+SUMIF($W1354:$AJ1354,"V",$W1355:$AJ1355)</f>
        <v>0</v>
      </c>
      <c r="AR1355" s="74">
        <f>SUMIF($G1354:$T1354,"O",$G1355:$T1355)+SUMIF($W1354:$AJ1354,"O",$W1355:$AJ1355)</f>
        <v>0</v>
      </c>
      <c r="AS1355" s="75">
        <f>SUM(AM1355:AR1355)</f>
        <v>80</v>
      </c>
      <c r="AT1355" s="72"/>
      <c r="AU1355" s="73">
        <f>SUMIF($G1354:$T1354,"A",$G1355:$T1355)+SUMIF($W1354:$AJ1354,"A",$W1355:$AJ1355)</f>
        <v>0</v>
      </c>
      <c r="AV1355" s="72"/>
      <c r="AW1355" s="76">
        <f>IF(B1355="",0,IF($U$9="",0,$U$9))</f>
        <v>80</v>
      </c>
      <c r="BA1355" s="2"/>
      <c r="BB1355" s="2"/>
      <c r="BC1355" s="101"/>
      <c r="BD1355" s="101"/>
    </row>
    <row r="1356" spans="2:56" s="84" customFormat="1" x14ac:dyDescent="0.35">
      <c r="B1356" s="26"/>
      <c r="C1356" s="27"/>
      <c r="D1356" s="28" t="str">
        <f>IF(D1282="","",D1282)</f>
        <v/>
      </c>
      <c r="E1356" s="29" t="str">
        <f t="shared" si="536"/>
        <v/>
      </c>
      <c r="F1356" s="50">
        <f>B1341</f>
        <v>2</v>
      </c>
      <c r="G1356" s="59"/>
      <c r="H1356" s="64"/>
      <c r="I1356" s="106"/>
      <c r="J1356" s="105"/>
      <c r="K1356" s="106"/>
      <c r="L1356" s="105"/>
      <c r="M1356" s="106"/>
      <c r="N1356" s="105"/>
      <c r="O1356" s="106"/>
      <c r="P1356" s="105"/>
      <c r="Q1356" s="106"/>
      <c r="R1356" s="105"/>
      <c r="S1356" s="59"/>
      <c r="T1356" s="64"/>
      <c r="U1356" s="44"/>
      <c r="W1356" s="59"/>
      <c r="X1356" s="64"/>
      <c r="Y1356" s="106"/>
      <c r="Z1356" s="105"/>
      <c r="AA1356" s="106"/>
      <c r="AB1356" s="105"/>
      <c r="AC1356" s="106"/>
      <c r="AD1356" s="105"/>
      <c r="AE1356" s="106"/>
      <c r="AF1356" s="105"/>
      <c r="AG1356" s="106"/>
      <c r="AH1356" s="105"/>
      <c r="AI1356" s="59"/>
      <c r="AJ1356" s="64"/>
      <c r="AK1356" s="44"/>
      <c r="AM1356" s="49"/>
      <c r="AN1356" s="49"/>
      <c r="AO1356" s="49"/>
      <c r="AP1356" s="49"/>
      <c r="AQ1356" s="49"/>
      <c r="AR1356" s="40"/>
      <c r="AS1356" s="51"/>
      <c r="AU1356" s="49"/>
      <c r="AW1356" s="52"/>
      <c r="BA1356" s="2"/>
      <c r="BB1356" s="2"/>
      <c r="BC1356" s="101"/>
      <c r="BD1356" s="101"/>
    </row>
    <row r="1357" spans="2:56" s="84" customFormat="1" x14ac:dyDescent="0.35">
      <c r="B1357" s="30" t="str">
        <f>IF(B1283="","",B1283)</f>
        <v/>
      </c>
      <c r="C1357" s="31"/>
      <c r="D1357" s="32"/>
      <c r="E1357" s="33" t="str">
        <f t="shared" si="536"/>
        <v/>
      </c>
      <c r="F1357" s="50">
        <f>B1341</f>
        <v>2</v>
      </c>
      <c r="G1357" s="69"/>
      <c r="H1357" s="70"/>
      <c r="I1357" s="104"/>
      <c r="J1357" s="103"/>
      <c r="K1357" s="104"/>
      <c r="L1357" s="103"/>
      <c r="M1357" s="104"/>
      <c r="N1357" s="103"/>
      <c r="O1357" s="104"/>
      <c r="P1357" s="103"/>
      <c r="Q1357" s="104"/>
      <c r="R1357" s="103"/>
      <c r="S1357" s="69"/>
      <c r="T1357" s="70"/>
      <c r="U1357" s="71">
        <f t="shared" ref="U1357" si="541">SUM(G1357:T1357)</f>
        <v>0</v>
      </c>
      <c r="V1357" s="72"/>
      <c r="W1357" s="69"/>
      <c r="X1357" s="70"/>
      <c r="Y1357" s="104"/>
      <c r="Z1357" s="103"/>
      <c r="AA1357" s="104"/>
      <c r="AB1357" s="103"/>
      <c r="AC1357" s="104"/>
      <c r="AD1357" s="103"/>
      <c r="AE1357" s="104"/>
      <c r="AF1357" s="103"/>
      <c r="AG1357" s="104"/>
      <c r="AH1357" s="103"/>
      <c r="AI1357" s="69"/>
      <c r="AJ1357" s="70"/>
      <c r="AK1357" s="71">
        <f>SUM(W1357:AJ1357)</f>
        <v>0</v>
      </c>
      <c r="AL1357" s="72"/>
      <c r="AM1357" s="73">
        <f>SUMIF($G1356:$T1356,"",$G1357:$T1357)+SUMIF($W1356:$AJ1356,"",$W1357:$AJ1357)-AN1357</f>
        <v>0</v>
      </c>
      <c r="AN1357" s="88">
        <f>IF(SUMIF($G1356:$T1356,"",$G1357:$T1357)+SUMIF($G1356:$T1356,"F",$G1357:$T1357)+SUMIF($G1356:$T1356,"V",$G1357:$T1357)-40&lt;0,0,SUMIF($G1356:$T1356,"",$G1357:$T1357)+SUMIF($G1356:$T1356,"F",$G1357:$T1357)+SUMIF($G1356:$T1356,"V",$G1357:$T1357)-($U$9/2))+IF(SUMIF($W1356:$AJ1356,"",$W1357:$AJ1357)+SUMIF($W1356:$AJ1356,"F",$W1357:$AJ1357)+SUMIF($W1356:$AJ1356,"V",$W1357:$AJ1357)-40&lt;0,0,SUMIF($W1356:$AJ1356,"",$W1357:$AJ1357)+SUMIF($W1356:$AJ1356,"F",$W1357:$AJ1357)+SUMIF($W1356:$AJ1356,"V",$W1357:$AJ1357)-($U$9/2))</f>
        <v>0</v>
      </c>
      <c r="AO1357" s="73">
        <f>SUMIF($G1356:$T1356,"M",$G1357:$T1357)+SUMIF($W1356:$AJ1356,"M",$W1357:$AJ1357)</f>
        <v>0</v>
      </c>
      <c r="AP1357" s="73">
        <f>SUMIF($G1356:$T1356,"F",$G1357:$T1357)+SUMIF($W1356:$AJ1356,"F",$W1357:$AJ1357)</f>
        <v>0</v>
      </c>
      <c r="AQ1357" s="73">
        <f>SUMIF($G1356:$T1356,"V",$G1357:$T1357)+SUMIF($W1356:$AJ1356,"V",$W1357:$AJ1357)</f>
        <v>0</v>
      </c>
      <c r="AR1357" s="74">
        <f>SUMIF($G1356:$T1356,"O",$G1357:$T1357)+SUMIF($W1356:$AJ1356,"O",$W1357:$AJ1357)</f>
        <v>0</v>
      </c>
      <c r="AS1357" s="75">
        <f>SUM(AM1357:AR1357)</f>
        <v>0</v>
      </c>
      <c r="AT1357" s="72"/>
      <c r="AU1357" s="73">
        <f>SUMIF($G1356:$T1356,"A",$G1357:$T1357)+SUMIF($W1356:$AJ1356,"A",$W1357:$AJ1357)</f>
        <v>0</v>
      </c>
      <c r="AV1357" s="72"/>
      <c r="AW1357" s="76">
        <f>IF(B1357="",0,IF($U$9="",0,$U$9))</f>
        <v>0</v>
      </c>
      <c r="BA1357" s="2"/>
      <c r="BB1357" s="2"/>
      <c r="BC1357" s="101"/>
      <c r="BD1357" s="101"/>
    </row>
    <row r="1358" spans="2:56" s="84" customFormat="1" x14ac:dyDescent="0.35">
      <c r="B1358" s="26"/>
      <c r="C1358" s="27"/>
      <c r="D1358" s="28">
        <f>IF(D1284="","",D1284)</f>
        <v>79709</v>
      </c>
      <c r="E1358" s="29" t="str">
        <f t="shared" si="536"/>
        <v/>
      </c>
      <c r="F1358" s="50">
        <f>B1341</f>
        <v>2</v>
      </c>
      <c r="G1358" s="59"/>
      <c r="H1358" s="64"/>
      <c r="I1358" s="106"/>
      <c r="J1358" s="105" t="s">
        <v>1</v>
      </c>
      <c r="K1358" s="106"/>
      <c r="L1358" s="105" t="s">
        <v>1</v>
      </c>
      <c r="M1358" s="106"/>
      <c r="N1358" s="105" t="s">
        <v>1</v>
      </c>
      <c r="O1358" s="106"/>
      <c r="P1358" s="105"/>
      <c r="Q1358" s="106"/>
      <c r="R1358" s="105"/>
      <c r="S1358" s="59"/>
      <c r="T1358" s="64"/>
      <c r="U1358" s="44"/>
      <c r="W1358" s="59"/>
      <c r="X1358" s="64"/>
      <c r="Y1358" s="106"/>
      <c r="Z1358" s="105"/>
      <c r="AA1358" s="106"/>
      <c r="AB1358" s="105"/>
      <c r="AC1358" s="106"/>
      <c r="AD1358" s="105"/>
      <c r="AE1358" s="106"/>
      <c r="AF1358" s="105"/>
      <c r="AG1358" s="106"/>
      <c r="AH1358" s="105"/>
      <c r="AI1358" s="59"/>
      <c r="AJ1358" s="64"/>
      <c r="AK1358" s="44"/>
      <c r="AM1358" s="49"/>
      <c r="AN1358" s="49"/>
      <c r="AO1358" s="49"/>
      <c r="AP1358" s="49"/>
      <c r="AQ1358" s="49"/>
      <c r="AR1358" s="40"/>
      <c r="AS1358" s="51"/>
      <c r="AU1358" s="49"/>
      <c r="AW1358" s="52"/>
      <c r="BA1358" s="2"/>
      <c r="BB1358" s="2"/>
      <c r="BC1358" s="101"/>
      <c r="BD1358" s="101"/>
    </row>
    <row r="1359" spans="2:56" s="84" customFormat="1" x14ac:dyDescent="0.35">
      <c r="B1359" s="30" t="str">
        <f>IF(B1285="","",B1285)</f>
        <v>De Rose, Natale</v>
      </c>
      <c r="C1359" s="31"/>
      <c r="D1359" s="32"/>
      <c r="E1359" s="33">
        <f t="shared" si="536"/>
        <v>93595935</v>
      </c>
      <c r="F1359" s="50">
        <f>B1341</f>
        <v>2</v>
      </c>
      <c r="G1359" s="69"/>
      <c r="H1359" s="70"/>
      <c r="I1359" s="104"/>
      <c r="J1359" s="103">
        <v>8</v>
      </c>
      <c r="K1359" s="104"/>
      <c r="L1359" s="103">
        <v>8</v>
      </c>
      <c r="M1359" s="104"/>
      <c r="N1359" s="103">
        <v>8</v>
      </c>
      <c r="O1359" s="104"/>
      <c r="P1359" s="103">
        <v>8</v>
      </c>
      <c r="Q1359" s="104"/>
      <c r="R1359" s="103">
        <v>8</v>
      </c>
      <c r="S1359" s="69"/>
      <c r="T1359" s="70"/>
      <c r="U1359" s="71">
        <f t="shared" ref="U1359" si="542">SUM(G1359:T1359)</f>
        <v>40</v>
      </c>
      <c r="V1359" s="72"/>
      <c r="W1359" s="69"/>
      <c r="X1359" s="70"/>
      <c r="Y1359" s="104"/>
      <c r="Z1359" s="103">
        <v>8</v>
      </c>
      <c r="AA1359" s="104"/>
      <c r="AB1359" s="103">
        <v>8</v>
      </c>
      <c r="AC1359" s="104"/>
      <c r="AD1359" s="103">
        <v>8</v>
      </c>
      <c r="AE1359" s="104"/>
      <c r="AF1359" s="103">
        <v>8</v>
      </c>
      <c r="AG1359" s="104"/>
      <c r="AH1359" s="103">
        <v>8</v>
      </c>
      <c r="AI1359" s="69"/>
      <c r="AJ1359" s="70"/>
      <c r="AK1359" s="71">
        <f>SUM(W1359:AJ1359)</f>
        <v>40</v>
      </c>
      <c r="AL1359" s="72"/>
      <c r="AM1359" s="73">
        <f>SUMIF($G1358:$T1358,"",$G1359:$T1359)+SUMIF($W1358:$AJ1358,"",$W1359:$AJ1359)-AN1359</f>
        <v>56</v>
      </c>
      <c r="AN1359" s="88">
        <f>IF(SUMIF($G1358:$T1358,"",$G1359:$T1359)+SUMIF($G1358:$T1358,"F",$G1359:$T1359)+SUMIF($G1358:$T1358,"V",$G1359:$T1359)-40&lt;0,0,SUMIF($G1358:$T1358,"",$G1359:$T1359)+SUMIF($G1358:$T1358,"F",$G1359:$T1359)+SUMIF($G1358:$T1358,"V",$G1359:$T1359)-($U$9/2))+IF(SUMIF($W1358:$AJ1358,"",$W1359:$AJ1359)+SUMIF($W1358:$AJ1358,"F",$W1359:$AJ1359)+SUMIF($W1358:$AJ1358,"V",$W1359:$AJ1359)-40&lt;0,0,SUMIF($W1358:$AJ1358,"",$W1359:$AJ1359)+SUMIF($W1358:$AJ1358,"F",$W1359:$AJ1359)+SUMIF($W1358:$AJ1358,"V",$W1359:$AJ1359)-($U$9/2))</f>
        <v>0</v>
      </c>
      <c r="AO1359" s="73">
        <f>SUMIF($G1358:$T1358,"M",$G1359:$T1359)+SUMIF($W1358:$AJ1358,"M",$W1359:$AJ1359)</f>
        <v>0</v>
      </c>
      <c r="AP1359" s="73">
        <f>SUMIF($G1358:$T1358,"F",$G1359:$T1359)+SUMIF($W1358:$AJ1358,"F",$W1359:$AJ1359)</f>
        <v>0</v>
      </c>
      <c r="AQ1359" s="73">
        <f>SUMIF($G1358:$T1358,"V",$G1359:$T1359)+SUMIF($W1358:$AJ1358,"V",$W1359:$AJ1359)</f>
        <v>24</v>
      </c>
      <c r="AR1359" s="74">
        <f>SUMIF($G1358:$T1358,"O",$G1359:$T1359)+SUMIF($W1358:$AJ1358,"O",$W1359:$AJ1359)</f>
        <v>0</v>
      </c>
      <c r="AS1359" s="75">
        <f>SUM(AM1359:AR1359)</f>
        <v>80</v>
      </c>
      <c r="AT1359" s="72"/>
      <c r="AU1359" s="73">
        <f>SUMIF($G1358:$T1358,"A",$G1359:$T1359)+SUMIF($W1358:$AJ1358,"A",$W1359:$AJ1359)</f>
        <v>0</v>
      </c>
      <c r="AV1359" s="72"/>
      <c r="AW1359" s="76">
        <f>IF(B1359="",0,IF($U$9="",0,$U$9))</f>
        <v>80</v>
      </c>
      <c r="BA1359" s="2"/>
      <c r="BB1359" s="2"/>
      <c r="BC1359" s="101"/>
      <c r="BD1359" s="101"/>
    </row>
    <row r="1360" spans="2:56" s="84" customFormat="1" x14ac:dyDescent="0.35">
      <c r="B1360" s="26"/>
      <c r="C1360" s="27"/>
      <c r="D1360" s="28">
        <f>IF(D1286="","",D1286)</f>
        <v>92027</v>
      </c>
      <c r="E1360" s="29" t="str">
        <f t="shared" si="536"/>
        <v/>
      </c>
      <c r="F1360" s="50">
        <f>B1341</f>
        <v>2</v>
      </c>
      <c r="G1360" s="59"/>
      <c r="H1360" s="64"/>
      <c r="I1360" s="106"/>
      <c r="J1360" s="105" t="s">
        <v>1</v>
      </c>
      <c r="K1360" s="106"/>
      <c r="L1360" s="105" t="s">
        <v>1</v>
      </c>
      <c r="M1360" s="106"/>
      <c r="N1360" s="105" t="s">
        <v>1</v>
      </c>
      <c r="O1360" s="106"/>
      <c r="P1360" s="105"/>
      <c r="Q1360" s="106"/>
      <c r="R1360" s="105"/>
      <c r="S1360" s="59"/>
      <c r="T1360" s="64"/>
      <c r="U1360" s="44"/>
      <c r="W1360" s="59"/>
      <c r="X1360" s="64"/>
      <c r="Y1360" s="106"/>
      <c r="Z1360" s="105"/>
      <c r="AA1360" s="106"/>
      <c r="AB1360" s="105"/>
      <c r="AC1360" s="106"/>
      <c r="AD1360" s="105"/>
      <c r="AE1360" s="106"/>
      <c r="AF1360" s="105"/>
      <c r="AG1360" s="106"/>
      <c r="AH1360" s="105"/>
      <c r="AI1360" s="59"/>
      <c r="AJ1360" s="64"/>
      <c r="AK1360" s="44"/>
      <c r="AM1360" s="49"/>
      <c r="AN1360" s="49"/>
      <c r="AO1360" s="49"/>
      <c r="AP1360" s="49"/>
      <c r="AQ1360" s="49"/>
      <c r="AR1360" s="40"/>
      <c r="AS1360" s="51"/>
      <c r="AU1360" s="49"/>
      <c r="AW1360" s="52"/>
      <c r="BA1360" s="2"/>
      <c r="BB1360" s="2"/>
      <c r="BC1360" s="101"/>
      <c r="BD1360" s="101"/>
    </row>
    <row r="1361" spans="2:56" s="84" customFormat="1" x14ac:dyDescent="0.35">
      <c r="B1361" s="30" t="str">
        <f>IF(B1287="","",B1287)</f>
        <v>Descoteaux, Gerald</v>
      </c>
      <c r="C1361" s="31"/>
      <c r="D1361" s="32"/>
      <c r="E1361" s="33">
        <f t="shared" si="536"/>
        <v>93595935</v>
      </c>
      <c r="F1361" s="50">
        <f>B1341</f>
        <v>2</v>
      </c>
      <c r="G1361" s="69"/>
      <c r="H1361" s="70"/>
      <c r="I1361" s="104"/>
      <c r="J1361" s="103">
        <v>8</v>
      </c>
      <c r="K1361" s="104"/>
      <c r="L1361" s="103">
        <v>8</v>
      </c>
      <c r="M1361" s="104"/>
      <c r="N1361" s="103">
        <v>8</v>
      </c>
      <c r="O1361" s="104"/>
      <c r="P1361" s="103">
        <v>8</v>
      </c>
      <c r="Q1361" s="104"/>
      <c r="R1361" s="103">
        <v>8</v>
      </c>
      <c r="S1361" s="69"/>
      <c r="T1361" s="70"/>
      <c r="U1361" s="71">
        <f t="shared" ref="U1361" si="543">SUM(G1361:T1361)</f>
        <v>40</v>
      </c>
      <c r="V1361" s="72"/>
      <c r="W1361" s="69"/>
      <c r="X1361" s="70"/>
      <c r="Y1361" s="104"/>
      <c r="Z1361" s="103">
        <v>8</v>
      </c>
      <c r="AA1361" s="104"/>
      <c r="AB1361" s="103">
        <v>8</v>
      </c>
      <c r="AC1361" s="104"/>
      <c r="AD1361" s="103">
        <v>8</v>
      </c>
      <c r="AE1361" s="104"/>
      <c r="AF1361" s="103">
        <v>8</v>
      </c>
      <c r="AG1361" s="104"/>
      <c r="AH1361" s="103">
        <v>8</v>
      </c>
      <c r="AI1361" s="69"/>
      <c r="AJ1361" s="70"/>
      <c r="AK1361" s="71">
        <f>SUM(W1361:AJ1361)</f>
        <v>40</v>
      </c>
      <c r="AL1361" s="72"/>
      <c r="AM1361" s="73">
        <f>SUMIF($G1360:$T1360,"",$G1361:$T1361)+SUMIF($W1360:$AJ1360,"",$W1361:$AJ1361)-AN1361</f>
        <v>56</v>
      </c>
      <c r="AN1361" s="88">
        <f>IF(SUMIF($G1360:$T1360,"",$G1361:$T1361)+SUMIF($G1360:$T1360,"F",$G1361:$T1361)+SUMIF($G1360:$T1360,"V",$G1361:$T1361)-40&lt;0,0,SUMIF($G1360:$T1360,"",$G1361:$T1361)+SUMIF($G1360:$T1360,"F",$G1361:$T1361)+SUMIF($G1360:$T1360,"V",$G1361:$T1361)-($U$9/2))+IF(SUMIF($W1360:$AJ1360,"",$W1361:$AJ1361)+SUMIF($W1360:$AJ1360,"F",$W1361:$AJ1361)+SUMIF($W1360:$AJ1360,"V",$W1361:$AJ1361)-40&lt;0,0,SUMIF($W1360:$AJ1360,"",$W1361:$AJ1361)+SUMIF($W1360:$AJ1360,"F",$W1361:$AJ1361)+SUMIF($W1360:$AJ1360,"V",$W1361:$AJ1361)-($U$9/2))</f>
        <v>0</v>
      </c>
      <c r="AO1361" s="73">
        <f>SUMIF($G1360:$T1360,"M",$G1361:$T1361)+SUMIF($W1360:$AJ1360,"M",$W1361:$AJ1361)</f>
        <v>0</v>
      </c>
      <c r="AP1361" s="73">
        <f>SUMIF($G1360:$T1360,"F",$G1361:$T1361)+SUMIF($W1360:$AJ1360,"F",$W1361:$AJ1361)</f>
        <v>0</v>
      </c>
      <c r="AQ1361" s="73">
        <f>SUMIF($G1360:$T1360,"V",$G1361:$T1361)+SUMIF($W1360:$AJ1360,"V",$W1361:$AJ1361)</f>
        <v>24</v>
      </c>
      <c r="AR1361" s="74">
        <f>SUMIF($G1360:$T1360,"O",$G1361:$T1361)+SUMIF($W1360:$AJ1360,"O",$W1361:$AJ1361)</f>
        <v>0</v>
      </c>
      <c r="AS1361" s="75">
        <f>SUM(AM1361:AR1361)</f>
        <v>80</v>
      </c>
      <c r="AT1361" s="72"/>
      <c r="AU1361" s="73">
        <f>SUMIF($G1360:$T1360,"A",$G1361:$T1361)+SUMIF($W1360:$AJ1360,"A",$W1361:$AJ1361)</f>
        <v>0</v>
      </c>
      <c r="AV1361" s="72"/>
      <c r="AW1361" s="76">
        <f>IF(B1361="",0,IF($U$9="",0,$U$9))</f>
        <v>80</v>
      </c>
      <c r="BA1361" s="2"/>
      <c r="BB1361" s="2"/>
      <c r="BC1361" s="101"/>
      <c r="BD1361" s="101"/>
    </row>
    <row r="1362" spans="2:56" s="84" customFormat="1" x14ac:dyDescent="0.35">
      <c r="B1362" s="26"/>
      <c r="C1362" s="27"/>
      <c r="D1362" s="28">
        <f>IF(D1288="","",D1288)</f>
        <v>73795</v>
      </c>
      <c r="E1362" s="29" t="str">
        <f t="shared" si="536"/>
        <v/>
      </c>
      <c r="F1362" s="50">
        <f>B1341</f>
        <v>2</v>
      </c>
      <c r="G1362" s="59"/>
      <c r="H1362" s="64"/>
      <c r="I1362" s="106"/>
      <c r="J1362" s="105" t="s">
        <v>1</v>
      </c>
      <c r="K1362" s="106"/>
      <c r="L1362" s="105"/>
      <c r="M1362" s="106"/>
      <c r="N1362" s="105"/>
      <c r="O1362" s="106"/>
      <c r="P1362" s="105"/>
      <c r="Q1362" s="106"/>
      <c r="R1362" s="105"/>
      <c r="S1362" s="59"/>
      <c r="T1362" s="64"/>
      <c r="U1362" s="44"/>
      <c r="W1362" s="59"/>
      <c r="X1362" s="64"/>
      <c r="Y1362" s="106"/>
      <c r="Z1362" s="105"/>
      <c r="AA1362" s="106"/>
      <c r="AB1362" s="105"/>
      <c r="AC1362" s="106"/>
      <c r="AD1362" s="105"/>
      <c r="AE1362" s="106"/>
      <c r="AF1362" s="105"/>
      <c r="AG1362" s="106"/>
      <c r="AH1362" s="105"/>
      <c r="AI1362" s="59"/>
      <c r="AJ1362" s="64"/>
      <c r="AK1362" s="44"/>
      <c r="AM1362" s="49"/>
      <c r="AN1362" s="49"/>
      <c r="AO1362" s="49"/>
      <c r="AP1362" s="49"/>
      <c r="AQ1362" s="49"/>
      <c r="AR1362" s="40"/>
      <c r="AS1362" s="51"/>
      <c r="AU1362" s="49"/>
      <c r="AW1362" s="52"/>
      <c r="BA1362" s="2"/>
      <c r="BB1362" s="2"/>
      <c r="BC1362" s="101"/>
      <c r="BD1362" s="101"/>
    </row>
    <row r="1363" spans="2:56" s="84" customFormat="1" x14ac:dyDescent="0.35">
      <c r="B1363" s="30" t="str">
        <f>IF(B1289="","",B1289)</f>
        <v>Fortin, Veronique</v>
      </c>
      <c r="C1363" s="31"/>
      <c r="D1363" s="32"/>
      <c r="E1363" s="33">
        <f t="shared" si="536"/>
        <v>93540</v>
      </c>
      <c r="F1363" s="50">
        <f>B1341</f>
        <v>2</v>
      </c>
      <c r="G1363" s="69"/>
      <c r="H1363" s="70"/>
      <c r="I1363" s="104"/>
      <c r="J1363" s="103">
        <v>8</v>
      </c>
      <c r="K1363" s="104"/>
      <c r="L1363" s="103">
        <v>8</v>
      </c>
      <c r="M1363" s="104"/>
      <c r="N1363" s="103">
        <v>8</v>
      </c>
      <c r="O1363" s="104"/>
      <c r="P1363" s="103">
        <v>8</v>
      </c>
      <c r="Q1363" s="104"/>
      <c r="R1363" s="103">
        <v>8</v>
      </c>
      <c r="S1363" s="69"/>
      <c r="T1363" s="70"/>
      <c r="U1363" s="71">
        <f t="shared" ref="U1363" si="544">SUM(G1363:T1363)</f>
        <v>40</v>
      </c>
      <c r="V1363" s="72"/>
      <c r="W1363" s="69"/>
      <c r="X1363" s="70"/>
      <c r="Y1363" s="104"/>
      <c r="Z1363" s="103">
        <v>8</v>
      </c>
      <c r="AA1363" s="104"/>
      <c r="AB1363" s="103">
        <v>8</v>
      </c>
      <c r="AC1363" s="104"/>
      <c r="AD1363" s="103">
        <v>8</v>
      </c>
      <c r="AE1363" s="104"/>
      <c r="AF1363" s="103">
        <v>8</v>
      </c>
      <c r="AG1363" s="104"/>
      <c r="AH1363" s="103">
        <v>8</v>
      </c>
      <c r="AI1363" s="69"/>
      <c r="AJ1363" s="70"/>
      <c r="AK1363" s="71">
        <f>SUM(W1363:AJ1363)</f>
        <v>40</v>
      </c>
      <c r="AL1363" s="72"/>
      <c r="AM1363" s="73">
        <f>SUMIF($G1362:$T1362,"",$G1363:$T1363)+SUMIF($W1362:$AJ1362,"",$W1363:$AJ1363)-AN1363</f>
        <v>72</v>
      </c>
      <c r="AN1363" s="88">
        <f>IF(SUMIF($G1362:$T1362,"",$G1363:$T1363)+SUMIF($G1362:$T1362,"F",$G1363:$T1363)+SUMIF($G1362:$T1362,"V",$G1363:$T1363)-40&lt;0,0,SUMIF($G1362:$T1362,"",$G1363:$T1363)+SUMIF($G1362:$T1362,"F",$G1363:$T1363)+SUMIF($G1362:$T1362,"V",$G1363:$T1363)-($U$9/2))+IF(SUMIF($W1362:$AJ1362,"",$W1363:$AJ1363)+SUMIF($W1362:$AJ1362,"F",$W1363:$AJ1363)+SUMIF($W1362:$AJ1362,"V",$W1363:$AJ1363)-40&lt;0,0,SUMIF($W1362:$AJ1362,"",$W1363:$AJ1363)+SUMIF($W1362:$AJ1362,"F",$W1363:$AJ1363)+SUMIF($W1362:$AJ1362,"V",$W1363:$AJ1363)-($U$9/2))</f>
        <v>0</v>
      </c>
      <c r="AO1363" s="73">
        <f>SUMIF($G1362:$T1362,"M",$G1363:$T1363)+SUMIF($W1362:$AJ1362,"M",$W1363:$AJ1363)</f>
        <v>0</v>
      </c>
      <c r="AP1363" s="73">
        <f>SUMIF($G1362:$T1362,"F",$G1363:$T1363)+SUMIF($W1362:$AJ1362,"F",$W1363:$AJ1363)</f>
        <v>0</v>
      </c>
      <c r="AQ1363" s="73">
        <f>SUMIF($G1362:$T1362,"V",$G1363:$T1363)+SUMIF($W1362:$AJ1362,"V",$W1363:$AJ1363)</f>
        <v>8</v>
      </c>
      <c r="AR1363" s="74">
        <f>SUMIF($G1362:$T1362,"O",$G1363:$T1363)+SUMIF($W1362:$AJ1362,"O",$W1363:$AJ1363)</f>
        <v>0</v>
      </c>
      <c r="AS1363" s="75">
        <f>SUM(AM1363:AR1363)</f>
        <v>80</v>
      </c>
      <c r="AT1363" s="72"/>
      <c r="AU1363" s="73">
        <f>SUMIF($G1362:$T1362,"A",$G1363:$T1363)+SUMIF($W1362:$AJ1362,"A",$W1363:$AJ1363)</f>
        <v>0</v>
      </c>
      <c r="AV1363" s="72"/>
      <c r="AW1363" s="76">
        <f>IF(B1363="",0,IF($U$9="",0,$U$9))</f>
        <v>80</v>
      </c>
      <c r="BA1363" s="2"/>
      <c r="BB1363" s="2"/>
      <c r="BC1363" s="101"/>
      <c r="BD1363" s="101"/>
    </row>
    <row r="1364" spans="2:56" s="84" customFormat="1" x14ac:dyDescent="0.35">
      <c r="B1364" s="26"/>
      <c r="C1364" s="27"/>
      <c r="D1364" s="28">
        <f>IF(D1290="","",D1290)</f>
        <v>23206</v>
      </c>
      <c r="E1364" s="29" t="str">
        <f t="shared" si="536"/>
        <v/>
      </c>
      <c r="F1364" s="50">
        <f>B1341</f>
        <v>2</v>
      </c>
      <c r="G1364" s="59"/>
      <c r="H1364" s="64"/>
      <c r="I1364" s="106"/>
      <c r="J1364" s="105"/>
      <c r="K1364" s="106"/>
      <c r="L1364" s="105"/>
      <c r="M1364" s="106"/>
      <c r="N1364" s="105"/>
      <c r="O1364" s="106"/>
      <c r="P1364" s="105"/>
      <c r="Q1364" s="106"/>
      <c r="R1364" s="105"/>
      <c r="S1364" s="59"/>
      <c r="T1364" s="64"/>
      <c r="U1364" s="44"/>
      <c r="W1364" s="59"/>
      <c r="X1364" s="64"/>
      <c r="Y1364" s="106"/>
      <c r="Z1364" s="105"/>
      <c r="AA1364" s="106"/>
      <c r="AB1364" s="105"/>
      <c r="AC1364" s="106"/>
      <c r="AD1364" s="105"/>
      <c r="AE1364" s="106"/>
      <c r="AF1364" s="105"/>
      <c r="AG1364" s="106"/>
      <c r="AH1364" s="105" t="s">
        <v>2</v>
      </c>
      <c r="AI1364" s="59"/>
      <c r="AJ1364" s="64"/>
      <c r="AK1364" s="44"/>
      <c r="AM1364" s="49"/>
      <c r="AN1364" s="49"/>
      <c r="AO1364" s="49"/>
      <c r="AP1364" s="49"/>
      <c r="AQ1364" s="49"/>
      <c r="AR1364" s="40"/>
      <c r="AS1364" s="51"/>
      <c r="AU1364" s="49"/>
      <c r="AW1364" s="52"/>
      <c r="BA1364" s="2"/>
      <c r="BB1364" s="2"/>
      <c r="BC1364" s="101"/>
      <c r="BD1364" s="101"/>
    </row>
    <row r="1365" spans="2:56" s="84" customFormat="1" x14ac:dyDescent="0.35">
      <c r="B1365" s="30" t="str">
        <f>IF(B1291="","",B1291)</f>
        <v>Gadbois, Dominic</v>
      </c>
      <c r="C1365" s="31"/>
      <c r="D1365" s="32"/>
      <c r="E1365" s="33">
        <f t="shared" si="536"/>
        <v>93545</v>
      </c>
      <c r="F1365" s="50">
        <f>B1341</f>
        <v>2</v>
      </c>
      <c r="G1365" s="69"/>
      <c r="H1365" s="70"/>
      <c r="I1365" s="104"/>
      <c r="J1365" s="103">
        <v>7.75</v>
      </c>
      <c r="K1365" s="104"/>
      <c r="L1365" s="103">
        <v>7.5</v>
      </c>
      <c r="M1365" s="104"/>
      <c r="N1365" s="103">
        <v>7.25</v>
      </c>
      <c r="O1365" s="104"/>
      <c r="P1365" s="103">
        <v>7.75</v>
      </c>
      <c r="Q1365" s="104"/>
      <c r="R1365" s="103">
        <v>6.5</v>
      </c>
      <c r="S1365" s="69"/>
      <c r="T1365" s="70"/>
      <c r="U1365" s="71">
        <f t="shared" ref="U1365" si="545">SUM(G1365:T1365)</f>
        <v>36.75</v>
      </c>
      <c r="V1365" s="72"/>
      <c r="W1365" s="69"/>
      <c r="X1365" s="70"/>
      <c r="Y1365" s="104"/>
      <c r="Z1365" s="103">
        <v>8</v>
      </c>
      <c r="AA1365" s="104"/>
      <c r="AB1365" s="103">
        <v>7.75</v>
      </c>
      <c r="AC1365" s="104"/>
      <c r="AD1365" s="103">
        <v>8</v>
      </c>
      <c r="AE1365" s="104"/>
      <c r="AF1365" s="103">
        <v>7</v>
      </c>
      <c r="AG1365" s="104"/>
      <c r="AH1365" s="103">
        <v>0</v>
      </c>
      <c r="AI1365" s="69"/>
      <c r="AJ1365" s="70"/>
      <c r="AK1365" s="71">
        <f>SUM(W1365:AJ1365)</f>
        <v>30.75</v>
      </c>
      <c r="AL1365" s="72"/>
      <c r="AM1365" s="73">
        <f>SUMIF($G1364:$T1364,"",$G1365:$T1365)+SUMIF($W1364:$AJ1364,"",$W1365:$AJ1365)-AN1365</f>
        <v>67.5</v>
      </c>
      <c r="AN1365" s="88">
        <f>IF(SUMIF($G1364:$T1364,"",$G1365:$T1365)+SUMIF($G1364:$T1364,"F",$G1365:$T1365)+SUMIF($G1364:$T1364,"V",$G1365:$T1365)-40&lt;0,0,SUMIF($G1364:$T1364,"",$G1365:$T1365)+SUMIF($G1364:$T1364,"F",$G1365:$T1365)+SUMIF($G1364:$T1364,"V",$G1365:$T1365)-($U$9/2))+IF(SUMIF($W1364:$AJ1364,"",$W1365:$AJ1365)+SUMIF($W1364:$AJ1364,"F",$W1365:$AJ1365)+SUMIF($W1364:$AJ1364,"V",$W1365:$AJ1365)-40&lt;0,0,SUMIF($W1364:$AJ1364,"",$W1365:$AJ1365)+SUMIF($W1364:$AJ1364,"F",$W1365:$AJ1365)+SUMIF($W1364:$AJ1364,"V",$W1365:$AJ1365)-($U$9/2))</f>
        <v>0</v>
      </c>
      <c r="AO1365" s="73">
        <f>SUMIF($G1364:$T1364,"M",$G1365:$T1365)+SUMIF($W1364:$AJ1364,"M",$W1365:$AJ1365)</f>
        <v>0</v>
      </c>
      <c r="AP1365" s="73">
        <f>SUMIF($G1364:$T1364,"F",$G1365:$T1365)+SUMIF($W1364:$AJ1364,"F",$W1365:$AJ1365)</f>
        <v>0</v>
      </c>
      <c r="AQ1365" s="73">
        <f>SUMIF($G1364:$T1364,"V",$G1365:$T1365)+SUMIF($W1364:$AJ1364,"V",$W1365:$AJ1365)</f>
        <v>0</v>
      </c>
      <c r="AR1365" s="74">
        <f>SUMIF($G1364:$T1364,"O",$G1365:$T1365)+SUMIF($W1364:$AJ1364,"O",$W1365:$AJ1365)</f>
        <v>0</v>
      </c>
      <c r="AS1365" s="75">
        <f>SUM(AM1365:AR1365)</f>
        <v>67.5</v>
      </c>
      <c r="AT1365" s="72"/>
      <c r="AU1365" s="73">
        <f>SUMIF($G1364:$T1364,"A",$G1365:$T1365)+SUMIF($W1364:$AJ1364,"A",$W1365:$AJ1365)</f>
        <v>0</v>
      </c>
      <c r="AV1365" s="72"/>
      <c r="AW1365" s="76">
        <f>IF(B1365="",0,IF($U$9="",0,$U$9))</f>
        <v>80</v>
      </c>
      <c r="BA1365" s="2"/>
      <c r="BB1365" s="2"/>
      <c r="BC1365" s="101"/>
      <c r="BD1365" s="101"/>
    </row>
    <row r="1366" spans="2:56" s="84" customFormat="1" x14ac:dyDescent="0.35">
      <c r="B1366" s="26"/>
      <c r="C1366" s="27"/>
      <c r="D1366" s="28">
        <f>IF(D1292="","",D1292)</f>
        <v>33664</v>
      </c>
      <c r="E1366" s="29" t="str">
        <f t="shared" si="536"/>
        <v/>
      </c>
      <c r="F1366" s="50">
        <f>B1341</f>
        <v>2</v>
      </c>
      <c r="G1366" s="59"/>
      <c r="H1366" s="64"/>
      <c r="I1366" s="106"/>
      <c r="J1366" s="105"/>
      <c r="K1366" s="106"/>
      <c r="L1366" s="105"/>
      <c r="M1366" s="106"/>
      <c r="N1366" s="105"/>
      <c r="O1366" s="106"/>
      <c r="P1366" s="105"/>
      <c r="Q1366" s="106"/>
      <c r="R1366" s="105"/>
      <c r="S1366" s="59"/>
      <c r="T1366" s="64"/>
      <c r="U1366" s="44"/>
      <c r="W1366" s="59"/>
      <c r="X1366" s="64"/>
      <c r="Y1366" s="106"/>
      <c r="Z1366" s="105"/>
      <c r="AA1366" s="106"/>
      <c r="AB1366" s="105"/>
      <c r="AC1366" s="106"/>
      <c r="AD1366" s="105"/>
      <c r="AE1366" s="106"/>
      <c r="AF1366" s="105"/>
      <c r="AG1366" s="106"/>
      <c r="AH1366" s="105"/>
      <c r="AI1366" s="59"/>
      <c r="AJ1366" s="64"/>
      <c r="AK1366" s="44"/>
      <c r="AM1366" s="49"/>
      <c r="AN1366" s="49"/>
      <c r="AO1366" s="49"/>
      <c r="AP1366" s="49"/>
      <c r="AQ1366" s="49"/>
      <c r="AR1366" s="40"/>
      <c r="AS1366" s="51"/>
      <c r="AU1366" s="49"/>
      <c r="AW1366" s="52"/>
      <c r="BA1366" s="2"/>
      <c r="BB1366" s="2"/>
      <c r="BC1366" s="101"/>
      <c r="BD1366" s="101"/>
    </row>
    <row r="1367" spans="2:56" s="84" customFormat="1" x14ac:dyDescent="0.35">
      <c r="B1367" s="30" t="str">
        <f>IF(B1293="","",B1293)</f>
        <v>Knox Michaud, Jessy</v>
      </c>
      <c r="C1367" s="31"/>
      <c r="D1367" s="32"/>
      <c r="E1367" s="33">
        <f t="shared" si="536"/>
        <v>93542</v>
      </c>
      <c r="F1367" s="50">
        <f>B1341</f>
        <v>2</v>
      </c>
      <c r="G1367" s="69"/>
      <c r="H1367" s="70"/>
      <c r="I1367" s="104"/>
      <c r="J1367" s="103">
        <v>9</v>
      </c>
      <c r="K1367" s="104"/>
      <c r="L1367" s="103">
        <v>10</v>
      </c>
      <c r="M1367" s="104"/>
      <c r="N1367" s="103">
        <v>10</v>
      </c>
      <c r="O1367" s="104"/>
      <c r="P1367" s="103">
        <v>10</v>
      </c>
      <c r="Q1367" s="104"/>
      <c r="R1367" s="103">
        <v>10</v>
      </c>
      <c r="S1367" s="69"/>
      <c r="T1367" s="70"/>
      <c r="U1367" s="71">
        <f t="shared" ref="U1367" si="546">SUM(G1367:T1367)</f>
        <v>49</v>
      </c>
      <c r="V1367" s="72"/>
      <c r="W1367" s="69"/>
      <c r="X1367" s="70"/>
      <c r="Y1367" s="104"/>
      <c r="Z1367" s="103">
        <v>9</v>
      </c>
      <c r="AA1367" s="104"/>
      <c r="AB1367" s="103">
        <v>9.5</v>
      </c>
      <c r="AC1367" s="104"/>
      <c r="AD1367" s="103">
        <v>9.25</v>
      </c>
      <c r="AE1367" s="104"/>
      <c r="AF1367" s="103">
        <v>9</v>
      </c>
      <c r="AG1367" s="104"/>
      <c r="AH1367" s="103">
        <v>9</v>
      </c>
      <c r="AI1367" s="69"/>
      <c r="AJ1367" s="70"/>
      <c r="AK1367" s="71">
        <f>SUM(W1367:AJ1367)</f>
        <v>45.75</v>
      </c>
      <c r="AL1367" s="72"/>
      <c r="AM1367" s="73">
        <f>SUMIF($G1366:$T1366,"",$G1367:$T1367)+SUMIF($W1366:$AJ1366,"",$W1367:$AJ1367)-AN1367</f>
        <v>80</v>
      </c>
      <c r="AN1367" s="88">
        <f>IF(SUMIF($G1366:$T1366,"",$G1367:$T1367)+SUMIF($G1366:$T1366,"F",$G1367:$T1367)+SUMIF($G1366:$T1366,"V",$G1367:$T1367)-40&lt;0,0,SUMIF($G1366:$T1366,"",$G1367:$T1367)+SUMIF($G1366:$T1366,"F",$G1367:$T1367)+SUMIF($G1366:$T1366,"V",$G1367:$T1367)-($U$9/2))+IF(SUMIF($W1366:$AJ1366,"",$W1367:$AJ1367)+SUMIF($W1366:$AJ1366,"F",$W1367:$AJ1367)+SUMIF($W1366:$AJ1366,"V",$W1367:$AJ1367)-40&lt;0,0,SUMIF($W1366:$AJ1366,"",$W1367:$AJ1367)+SUMIF($W1366:$AJ1366,"F",$W1367:$AJ1367)+SUMIF($W1366:$AJ1366,"V",$W1367:$AJ1367)-($U$9/2))</f>
        <v>14.75</v>
      </c>
      <c r="AO1367" s="73">
        <f>SUMIF($G1366:$T1366,"M",$G1367:$T1367)+SUMIF($W1366:$AJ1366,"M",$W1367:$AJ1367)</f>
        <v>0</v>
      </c>
      <c r="AP1367" s="73">
        <f>SUMIF($G1366:$T1366,"F",$G1367:$T1367)+SUMIF($W1366:$AJ1366,"F",$W1367:$AJ1367)</f>
        <v>0</v>
      </c>
      <c r="AQ1367" s="73">
        <f>SUMIF($G1366:$T1366,"V",$G1367:$T1367)+SUMIF($W1366:$AJ1366,"V",$W1367:$AJ1367)</f>
        <v>0</v>
      </c>
      <c r="AR1367" s="74">
        <f>SUMIF($G1366:$T1366,"O",$G1367:$T1367)+SUMIF($W1366:$AJ1366,"O",$W1367:$AJ1367)</f>
        <v>0</v>
      </c>
      <c r="AS1367" s="75">
        <f>SUM(AM1367:AR1367)</f>
        <v>94.75</v>
      </c>
      <c r="AT1367" s="72"/>
      <c r="AU1367" s="73">
        <f>SUMIF($G1366:$T1366,"A",$G1367:$T1367)+SUMIF($W1366:$AJ1366,"A",$W1367:$AJ1367)</f>
        <v>0</v>
      </c>
      <c r="AV1367" s="72"/>
      <c r="AW1367" s="76">
        <f>IF(B1367="",0,IF($U$9="",0,$U$9))</f>
        <v>80</v>
      </c>
      <c r="BA1367" s="2"/>
      <c r="BB1367" s="2"/>
      <c r="BC1367" s="101"/>
      <c r="BD1367" s="101"/>
    </row>
    <row r="1368" spans="2:56" s="84" customFormat="1" x14ac:dyDescent="0.35">
      <c r="B1368" s="26"/>
      <c r="C1368" s="27"/>
      <c r="D1368" s="28">
        <f>IF(D1294="","",D1294)</f>
        <v>14206</v>
      </c>
      <c r="E1368" s="29" t="str">
        <f t="shared" si="536"/>
        <v/>
      </c>
      <c r="F1368" s="50">
        <f>B1341</f>
        <v>2</v>
      </c>
      <c r="G1368" s="59"/>
      <c r="H1368" s="64"/>
      <c r="I1368" s="106"/>
      <c r="J1368" s="105" t="s">
        <v>2</v>
      </c>
      <c r="K1368" s="106"/>
      <c r="L1368" s="105" t="s">
        <v>2</v>
      </c>
      <c r="M1368" s="106"/>
      <c r="N1368" s="105" t="s">
        <v>1</v>
      </c>
      <c r="O1368" s="106"/>
      <c r="P1368" s="105" t="s">
        <v>2</v>
      </c>
      <c r="Q1368" s="106"/>
      <c r="R1368" s="105" t="s">
        <v>2</v>
      </c>
      <c r="S1368" s="59"/>
      <c r="T1368" s="64"/>
      <c r="U1368" s="44"/>
      <c r="W1368" s="59"/>
      <c r="X1368" s="64"/>
      <c r="Y1368" s="106"/>
      <c r="Z1368" s="105"/>
      <c r="AA1368" s="106"/>
      <c r="AB1368" s="105"/>
      <c r="AC1368" s="106"/>
      <c r="AD1368" s="105"/>
      <c r="AE1368" s="106"/>
      <c r="AF1368" s="105"/>
      <c r="AG1368" s="106"/>
      <c r="AH1368" s="105"/>
      <c r="AI1368" s="59"/>
      <c r="AJ1368" s="64"/>
      <c r="AK1368" s="44"/>
      <c r="AM1368" s="49"/>
      <c r="AN1368" s="49"/>
      <c r="AO1368" s="49"/>
      <c r="AP1368" s="49"/>
      <c r="AQ1368" s="49"/>
      <c r="AR1368" s="40"/>
      <c r="AS1368" s="51"/>
      <c r="AU1368" s="49"/>
      <c r="AW1368" s="52"/>
      <c r="BA1368" s="2"/>
      <c r="BB1368" s="2"/>
      <c r="BC1368" s="101"/>
      <c r="BD1368" s="101"/>
    </row>
    <row r="1369" spans="2:56" s="84" customFormat="1" x14ac:dyDescent="0.35">
      <c r="B1369" s="30" t="str">
        <f>IF(B1295="","",B1295)</f>
        <v>Landry, Bernard</v>
      </c>
      <c r="C1369" s="31"/>
      <c r="D1369" s="32"/>
      <c r="E1369" s="33">
        <f t="shared" si="536"/>
        <v>93545</v>
      </c>
      <c r="F1369" s="50">
        <f>B1341</f>
        <v>2</v>
      </c>
      <c r="G1369" s="69"/>
      <c r="H1369" s="70"/>
      <c r="I1369" s="104"/>
      <c r="J1369" s="103">
        <v>0</v>
      </c>
      <c r="K1369" s="104"/>
      <c r="L1369" s="103">
        <v>0</v>
      </c>
      <c r="M1369" s="104"/>
      <c r="N1369" s="103">
        <v>8</v>
      </c>
      <c r="O1369" s="104"/>
      <c r="P1369" s="103">
        <v>0</v>
      </c>
      <c r="Q1369" s="104"/>
      <c r="R1369" s="103">
        <v>0</v>
      </c>
      <c r="S1369" s="69"/>
      <c r="T1369" s="70"/>
      <c r="U1369" s="71">
        <f t="shared" ref="U1369" si="547">SUM(G1369:T1369)</f>
        <v>8</v>
      </c>
      <c r="V1369" s="72"/>
      <c r="W1369" s="69"/>
      <c r="X1369" s="70"/>
      <c r="Y1369" s="104"/>
      <c r="Z1369" s="103">
        <v>8</v>
      </c>
      <c r="AA1369" s="104"/>
      <c r="AB1369" s="103">
        <v>8</v>
      </c>
      <c r="AC1369" s="104"/>
      <c r="AD1369" s="103">
        <v>8</v>
      </c>
      <c r="AE1369" s="104"/>
      <c r="AF1369" s="103">
        <v>8</v>
      </c>
      <c r="AG1369" s="104"/>
      <c r="AH1369" s="103">
        <v>8</v>
      </c>
      <c r="AI1369" s="69"/>
      <c r="AJ1369" s="70"/>
      <c r="AK1369" s="71">
        <f>SUM(W1369:AJ1369)</f>
        <v>40</v>
      </c>
      <c r="AL1369" s="72"/>
      <c r="AM1369" s="73">
        <f>SUMIF($G1368:$T1368,"",$G1369:$T1369)+SUMIF($W1368:$AJ1368,"",$W1369:$AJ1369)-AN1369</f>
        <v>40</v>
      </c>
      <c r="AN1369" s="88">
        <f>IF(SUMIF($G1368:$T1368,"",$G1369:$T1369)+SUMIF($G1368:$T1368,"F",$G1369:$T1369)+SUMIF($G1368:$T1368,"V",$G1369:$T1369)-40&lt;0,0,SUMIF($G1368:$T1368,"",$G1369:$T1369)+SUMIF($G1368:$T1368,"F",$G1369:$T1369)+SUMIF($G1368:$T1368,"V",$G1369:$T1369)-($U$9/2))+IF(SUMIF($W1368:$AJ1368,"",$W1369:$AJ1369)+SUMIF($W1368:$AJ1368,"F",$W1369:$AJ1369)+SUMIF($W1368:$AJ1368,"V",$W1369:$AJ1369)-40&lt;0,0,SUMIF($W1368:$AJ1368,"",$W1369:$AJ1369)+SUMIF($W1368:$AJ1368,"F",$W1369:$AJ1369)+SUMIF($W1368:$AJ1368,"V",$W1369:$AJ1369)-($U$9/2))</f>
        <v>0</v>
      </c>
      <c r="AO1369" s="73">
        <f>SUMIF($G1368:$T1368,"M",$G1369:$T1369)+SUMIF($W1368:$AJ1368,"M",$W1369:$AJ1369)</f>
        <v>0</v>
      </c>
      <c r="AP1369" s="73">
        <f>SUMIF($G1368:$T1368,"F",$G1369:$T1369)+SUMIF($W1368:$AJ1368,"F",$W1369:$AJ1369)</f>
        <v>0</v>
      </c>
      <c r="AQ1369" s="73">
        <f>SUMIF($G1368:$T1368,"V",$G1369:$T1369)+SUMIF($W1368:$AJ1368,"V",$W1369:$AJ1369)</f>
        <v>8</v>
      </c>
      <c r="AR1369" s="74">
        <f>SUMIF($G1368:$T1368,"O",$G1369:$T1369)+SUMIF($W1368:$AJ1368,"O",$W1369:$AJ1369)</f>
        <v>0</v>
      </c>
      <c r="AS1369" s="75">
        <f>SUM(AM1369:AR1369)</f>
        <v>48</v>
      </c>
      <c r="AT1369" s="72"/>
      <c r="AU1369" s="73">
        <f>SUMIF($G1368:$T1368,"A",$G1369:$T1369)+SUMIF($W1368:$AJ1368,"A",$W1369:$AJ1369)</f>
        <v>0</v>
      </c>
      <c r="AV1369" s="72"/>
      <c r="AW1369" s="76">
        <f>IF(B1369="",0,IF($U$9="",0,$U$9))</f>
        <v>80</v>
      </c>
      <c r="BA1369" s="2"/>
      <c r="BB1369" s="2"/>
      <c r="BC1369" s="101"/>
      <c r="BD1369" s="101"/>
    </row>
    <row r="1370" spans="2:56" s="84" customFormat="1" x14ac:dyDescent="0.35">
      <c r="B1370" s="26"/>
      <c r="C1370" s="27"/>
      <c r="D1370" s="28">
        <f>IF(D1296="","",D1296)</f>
        <v>92257</v>
      </c>
      <c r="E1370" s="29" t="str">
        <f t="shared" si="536"/>
        <v/>
      </c>
      <c r="F1370" s="50">
        <f>B1341</f>
        <v>2</v>
      </c>
      <c r="G1370" s="59"/>
      <c r="H1370" s="64"/>
      <c r="I1370" s="106"/>
      <c r="J1370" s="105" t="s">
        <v>1</v>
      </c>
      <c r="K1370" s="106"/>
      <c r="L1370" s="105" t="s">
        <v>1</v>
      </c>
      <c r="M1370" s="106"/>
      <c r="N1370" s="105" t="s">
        <v>1</v>
      </c>
      <c r="O1370" s="106"/>
      <c r="P1370" s="105"/>
      <c r="Q1370" s="106"/>
      <c r="R1370" s="105"/>
      <c r="S1370" s="59"/>
      <c r="T1370" s="64"/>
      <c r="U1370" s="44"/>
      <c r="W1370" s="59"/>
      <c r="X1370" s="64"/>
      <c r="Y1370" s="106"/>
      <c r="Z1370" s="105"/>
      <c r="AA1370" s="106"/>
      <c r="AB1370" s="105"/>
      <c r="AC1370" s="106"/>
      <c r="AD1370" s="105"/>
      <c r="AE1370" s="106"/>
      <c r="AF1370" s="105"/>
      <c r="AG1370" s="106"/>
      <c r="AH1370" s="105"/>
      <c r="AI1370" s="59"/>
      <c r="AJ1370" s="64"/>
      <c r="AK1370" s="44"/>
      <c r="AM1370" s="49"/>
      <c r="AN1370" s="49"/>
      <c r="AO1370" s="49"/>
      <c r="AP1370" s="49"/>
      <c r="AQ1370" s="49"/>
      <c r="AR1370" s="40"/>
      <c r="AS1370" s="51"/>
      <c r="AU1370" s="49"/>
      <c r="AW1370" s="52"/>
      <c r="BA1370" s="2"/>
      <c r="BB1370" s="2"/>
      <c r="BC1370" s="101"/>
      <c r="BD1370" s="101"/>
    </row>
    <row r="1371" spans="2:56" s="84" customFormat="1" x14ac:dyDescent="0.35">
      <c r="B1371" s="30" t="str">
        <f>IF(B1297="","",B1297)</f>
        <v>Lelievre, Anik</v>
      </c>
      <c r="C1371" s="31"/>
      <c r="D1371" s="32"/>
      <c r="E1371" s="33">
        <f t="shared" si="536"/>
        <v>93513</v>
      </c>
      <c r="F1371" s="50">
        <f>B1341</f>
        <v>2</v>
      </c>
      <c r="G1371" s="69"/>
      <c r="H1371" s="70"/>
      <c r="I1371" s="104"/>
      <c r="J1371" s="103">
        <v>8</v>
      </c>
      <c r="K1371" s="104"/>
      <c r="L1371" s="103">
        <v>8</v>
      </c>
      <c r="M1371" s="104"/>
      <c r="N1371" s="103">
        <v>8</v>
      </c>
      <c r="O1371" s="104"/>
      <c r="P1371" s="103">
        <v>8</v>
      </c>
      <c r="Q1371" s="104"/>
      <c r="R1371" s="103">
        <v>8</v>
      </c>
      <c r="S1371" s="69"/>
      <c r="T1371" s="70"/>
      <c r="U1371" s="71">
        <f t="shared" ref="U1371" si="548">SUM(G1371:T1371)</f>
        <v>40</v>
      </c>
      <c r="V1371" s="72"/>
      <c r="W1371" s="69"/>
      <c r="X1371" s="70"/>
      <c r="Y1371" s="104"/>
      <c r="Z1371" s="103">
        <v>8</v>
      </c>
      <c r="AA1371" s="104"/>
      <c r="AB1371" s="103">
        <v>8</v>
      </c>
      <c r="AC1371" s="104"/>
      <c r="AD1371" s="103">
        <v>8</v>
      </c>
      <c r="AE1371" s="104"/>
      <c r="AF1371" s="103">
        <v>8</v>
      </c>
      <c r="AG1371" s="104"/>
      <c r="AH1371" s="103">
        <v>8</v>
      </c>
      <c r="AI1371" s="69"/>
      <c r="AJ1371" s="70"/>
      <c r="AK1371" s="71">
        <f>SUM(W1371:AJ1371)</f>
        <v>40</v>
      </c>
      <c r="AL1371" s="72"/>
      <c r="AM1371" s="73">
        <f>SUMIF($G1370:$T1370,"",$G1371:$T1371)+SUMIF($W1370:$AJ1370,"",$W1371:$AJ1371)-AN1371</f>
        <v>56</v>
      </c>
      <c r="AN1371" s="88">
        <f>IF(SUMIF($G1370:$T1370,"",$G1371:$T1371)+SUMIF($G1370:$T1370,"F",$G1371:$T1371)+SUMIF($G1370:$T1370,"V",$G1371:$T1371)-40&lt;0,0,SUMIF($G1370:$T1370,"",$G1371:$T1371)+SUMIF($G1370:$T1370,"F",$G1371:$T1371)+SUMIF($G1370:$T1370,"V",$G1371:$T1371)-($U$9/2))+IF(SUMIF($W1370:$AJ1370,"",$W1371:$AJ1371)+SUMIF($W1370:$AJ1370,"F",$W1371:$AJ1371)+SUMIF($W1370:$AJ1370,"V",$W1371:$AJ1371)-40&lt;0,0,SUMIF($W1370:$AJ1370,"",$W1371:$AJ1371)+SUMIF($W1370:$AJ1370,"F",$W1371:$AJ1371)+SUMIF($W1370:$AJ1370,"V",$W1371:$AJ1371)-($U$9/2))</f>
        <v>0</v>
      </c>
      <c r="AO1371" s="73">
        <f>SUMIF($G1370:$T1370,"M",$G1371:$T1371)+SUMIF($W1370:$AJ1370,"M",$W1371:$AJ1371)</f>
        <v>0</v>
      </c>
      <c r="AP1371" s="73">
        <f>SUMIF($G1370:$T1370,"F",$G1371:$T1371)+SUMIF($W1370:$AJ1370,"F",$W1371:$AJ1371)</f>
        <v>0</v>
      </c>
      <c r="AQ1371" s="73">
        <f>SUMIF($G1370:$T1370,"V",$G1371:$T1371)+SUMIF($W1370:$AJ1370,"V",$W1371:$AJ1371)</f>
        <v>24</v>
      </c>
      <c r="AR1371" s="74">
        <f>SUMIF($G1370:$T1370,"O",$G1371:$T1371)+SUMIF($W1370:$AJ1370,"O",$W1371:$AJ1371)</f>
        <v>0</v>
      </c>
      <c r="AS1371" s="75">
        <f>SUM(AM1371:AR1371)</f>
        <v>80</v>
      </c>
      <c r="AT1371" s="72"/>
      <c r="AU1371" s="73">
        <f>SUMIF($G1370:$T1370,"A",$G1371:$T1371)+SUMIF($W1370:$AJ1370,"A",$W1371:$AJ1371)</f>
        <v>0</v>
      </c>
      <c r="AV1371" s="72"/>
      <c r="AW1371" s="76">
        <f>IF(B1371="",0,IF($U$9="",0,$U$9))</f>
        <v>80</v>
      </c>
      <c r="BA1371" s="2"/>
      <c r="BB1371" s="2"/>
      <c r="BC1371" s="101"/>
      <c r="BD1371" s="101"/>
    </row>
    <row r="1372" spans="2:56" s="84" customFormat="1" x14ac:dyDescent="0.35">
      <c r="B1372" s="26"/>
      <c r="C1372" s="27"/>
      <c r="D1372" s="28">
        <f>IF(D1298="","",D1298)</f>
        <v>81042</v>
      </c>
      <c r="E1372" s="29" t="str">
        <f t="shared" si="536"/>
        <v/>
      </c>
      <c r="F1372" s="50">
        <f>B1341</f>
        <v>2</v>
      </c>
      <c r="G1372" s="59"/>
      <c r="H1372" s="64"/>
      <c r="I1372" s="106"/>
      <c r="J1372" s="105"/>
      <c r="K1372" s="106"/>
      <c r="L1372" s="105"/>
      <c r="M1372" s="106"/>
      <c r="N1372" s="105"/>
      <c r="O1372" s="106"/>
      <c r="P1372" s="105"/>
      <c r="Q1372" s="106"/>
      <c r="R1372" s="105"/>
      <c r="S1372" s="59"/>
      <c r="T1372" s="64"/>
      <c r="U1372" s="44"/>
      <c r="W1372" s="59"/>
      <c r="X1372" s="64"/>
      <c r="Y1372" s="106"/>
      <c r="Z1372" s="105"/>
      <c r="AA1372" s="106"/>
      <c r="AB1372" s="105"/>
      <c r="AC1372" s="106"/>
      <c r="AD1372" s="105"/>
      <c r="AE1372" s="106"/>
      <c r="AF1372" s="105"/>
      <c r="AG1372" s="106"/>
      <c r="AH1372" s="105"/>
      <c r="AI1372" s="59"/>
      <c r="AJ1372" s="64"/>
      <c r="AK1372" s="44"/>
      <c r="AM1372" s="49"/>
      <c r="AN1372" s="49"/>
      <c r="AO1372" s="49"/>
      <c r="AP1372" s="49"/>
      <c r="AQ1372" s="49"/>
      <c r="AR1372" s="40"/>
      <c r="AS1372" s="51"/>
      <c r="AU1372" s="49"/>
      <c r="AW1372" s="52"/>
      <c r="BA1372" s="2"/>
      <c r="BB1372" s="2"/>
      <c r="BC1372" s="101"/>
      <c r="BD1372" s="101"/>
    </row>
    <row r="1373" spans="2:56" s="84" customFormat="1" x14ac:dyDescent="0.35">
      <c r="B1373" s="30" t="str">
        <f>IF(B1299="","",B1299)</f>
        <v>Letarte, Martin</v>
      </c>
      <c r="C1373" s="31"/>
      <c r="D1373" s="32"/>
      <c r="E1373" s="33">
        <f t="shared" si="536"/>
        <v>93545</v>
      </c>
      <c r="F1373" s="50">
        <f>B1341</f>
        <v>2</v>
      </c>
      <c r="G1373" s="69"/>
      <c r="H1373" s="70"/>
      <c r="I1373" s="104"/>
      <c r="J1373" s="103">
        <v>8</v>
      </c>
      <c r="K1373" s="104"/>
      <c r="L1373" s="103">
        <v>8</v>
      </c>
      <c r="M1373" s="104"/>
      <c r="N1373" s="103">
        <v>8</v>
      </c>
      <c r="O1373" s="104"/>
      <c r="P1373" s="103">
        <v>8</v>
      </c>
      <c r="Q1373" s="104"/>
      <c r="R1373" s="103">
        <v>8</v>
      </c>
      <c r="S1373" s="69"/>
      <c r="T1373" s="70"/>
      <c r="U1373" s="71">
        <f t="shared" ref="U1373" si="549">SUM(G1373:T1373)</f>
        <v>40</v>
      </c>
      <c r="V1373" s="72"/>
      <c r="W1373" s="69"/>
      <c r="X1373" s="70"/>
      <c r="Y1373" s="104"/>
      <c r="Z1373" s="103">
        <v>8</v>
      </c>
      <c r="AA1373" s="104"/>
      <c r="AB1373" s="103">
        <v>8</v>
      </c>
      <c r="AC1373" s="104"/>
      <c r="AD1373" s="103">
        <v>8</v>
      </c>
      <c r="AE1373" s="104"/>
      <c r="AF1373" s="103">
        <v>8</v>
      </c>
      <c r="AG1373" s="104"/>
      <c r="AH1373" s="103">
        <v>8</v>
      </c>
      <c r="AI1373" s="69"/>
      <c r="AJ1373" s="70"/>
      <c r="AK1373" s="71">
        <f>SUM(W1373:AJ1373)</f>
        <v>40</v>
      </c>
      <c r="AL1373" s="72"/>
      <c r="AM1373" s="73">
        <f>SUMIF($G1372:$T1372,"",$G1373:$T1373)+SUMIF($W1372:$AJ1372,"",$W1373:$AJ1373)-AN1373</f>
        <v>80</v>
      </c>
      <c r="AN1373" s="88">
        <f>IF(SUMIF($G1372:$T1372,"",$G1373:$T1373)+SUMIF($G1372:$T1372,"F",$G1373:$T1373)+SUMIF($G1372:$T1372,"V",$G1373:$T1373)-40&lt;0,0,SUMIF($G1372:$T1372,"",$G1373:$T1373)+SUMIF($G1372:$T1372,"F",$G1373:$T1373)+SUMIF($G1372:$T1372,"V",$G1373:$T1373)-($U$9/2))+IF(SUMIF($W1372:$AJ1372,"",$W1373:$AJ1373)+SUMIF($W1372:$AJ1372,"F",$W1373:$AJ1373)+SUMIF($W1372:$AJ1372,"V",$W1373:$AJ1373)-40&lt;0,0,SUMIF($W1372:$AJ1372,"",$W1373:$AJ1373)+SUMIF($W1372:$AJ1372,"F",$W1373:$AJ1373)+SUMIF($W1372:$AJ1372,"V",$W1373:$AJ1373)-($U$9/2))</f>
        <v>0</v>
      </c>
      <c r="AO1373" s="73">
        <f>SUMIF($G1372:$T1372,"M",$G1373:$T1373)+SUMIF($W1372:$AJ1372,"M",$W1373:$AJ1373)</f>
        <v>0</v>
      </c>
      <c r="AP1373" s="73">
        <f>SUMIF($G1372:$T1372,"F",$G1373:$T1373)+SUMIF($W1372:$AJ1372,"F",$W1373:$AJ1373)</f>
        <v>0</v>
      </c>
      <c r="AQ1373" s="73">
        <f>SUMIF($G1372:$T1372,"V",$G1373:$T1373)+SUMIF($W1372:$AJ1372,"V",$W1373:$AJ1373)</f>
        <v>0</v>
      </c>
      <c r="AR1373" s="74">
        <f>SUMIF($G1372:$T1372,"O",$G1373:$T1373)+SUMIF($W1372:$AJ1372,"O",$W1373:$AJ1373)</f>
        <v>0</v>
      </c>
      <c r="AS1373" s="75">
        <f>SUM(AM1373:AR1373)</f>
        <v>80</v>
      </c>
      <c r="AT1373" s="72"/>
      <c r="AU1373" s="73">
        <f>SUMIF($G1372:$T1372,"A",$G1373:$T1373)+SUMIF($W1372:$AJ1372,"A",$W1373:$AJ1373)</f>
        <v>0</v>
      </c>
      <c r="AV1373" s="72"/>
      <c r="AW1373" s="76">
        <f>IF(B1373="",0,IF($U$9="",0,$U$9))</f>
        <v>80</v>
      </c>
      <c r="BA1373" s="2"/>
      <c r="BB1373" s="2"/>
      <c r="BC1373" s="101"/>
      <c r="BD1373" s="101"/>
    </row>
    <row r="1374" spans="2:56" s="84" customFormat="1" x14ac:dyDescent="0.35">
      <c r="B1374" s="26"/>
      <c r="C1374" s="27"/>
      <c r="D1374" s="28" t="str">
        <f>IF(D1300="","",D1300)</f>
        <v/>
      </c>
      <c r="E1374" s="29" t="str">
        <f t="shared" si="536"/>
        <v/>
      </c>
      <c r="F1374" s="50">
        <f>B1341</f>
        <v>2</v>
      </c>
      <c r="G1374" s="59"/>
      <c r="H1374" s="64"/>
      <c r="I1374" s="106"/>
      <c r="J1374" s="105"/>
      <c r="K1374" s="106"/>
      <c r="L1374" s="105"/>
      <c r="M1374" s="106"/>
      <c r="N1374" s="105"/>
      <c r="O1374" s="106"/>
      <c r="P1374" s="105"/>
      <c r="Q1374" s="106"/>
      <c r="R1374" s="105"/>
      <c r="S1374" s="59"/>
      <c r="T1374" s="64"/>
      <c r="U1374" s="44"/>
      <c r="W1374" s="59"/>
      <c r="X1374" s="64"/>
      <c r="Y1374" s="106"/>
      <c r="Z1374" s="105"/>
      <c r="AA1374" s="106"/>
      <c r="AB1374" s="105"/>
      <c r="AC1374" s="106"/>
      <c r="AD1374" s="105"/>
      <c r="AE1374" s="106"/>
      <c r="AF1374" s="105"/>
      <c r="AG1374" s="106"/>
      <c r="AH1374" s="105"/>
      <c r="AI1374" s="59"/>
      <c r="AJ1374" s="64"/>
      <c r="AK1374" s="44"/>
      <c r="AM1374" s="49"/>
      <c r="AN1374" s="49"/>
      <c r="AO1374" s="49"/>
      <c r="AP1374" s="49"/>
      <c r="AQ1374" s="49"/>
      <c r="AR1374" s="40"/>
      <c r="AS1374" s="51"/>
      <c r="AU1374" s="49"/>
      <c r="AW1374" s="52"/>
      <c r="BA1374" s="2"/>
      <c r="BB1374" s="2"/>
      <c r="BC1374" s="101"/>
      <c r="BD1374" s="101"/>
    </row>
    <row r="1375" spans="2:56" s="84" customFormat="1" x14ac:dyDescent="0.35">
      <c r="B1375" s="30" t="str">
        <f>IF(B1301="","",B1301)</f>
        <v/>
      </c>
      <c r="C1375" s="31"/>
      <c r="D1375" s="32"/>
      <c r="E1375" s="33" t="str">
        <f t="shared" si="536"/>
        <v/>
      </c>
      <c r="F1375" s="50">
        <f>B1341</f>
        <v>2</v>
      </c>
      <c r="G1375" s="69"/>
      <c r="H1375" s="70"/>
      <c r="I1375" s="104"/>
      <c r="J1375" s="103"/>
      <c r="K1375" s="104"/>
      <c r="L1375" s="103"/>
      <c r="M1375" s="104"/>
      <c r="N1375" s="103"/>
      <c r="O1375" s="104"/>
      <c r="P1375" s="103"/>
      <c r="Q1375" s="104"/>
      <c r="R1375" s="103"/>
      <c r="S1375" s="69"/>
      <c r="T1375" s="70"/>
      <c r="U1375" s="71">
        <f t="shared" ref="U1375" si="550">SUM(G1375:T1375)</f>
        <v>0</v>
      </c>
      <c r="V1375" s="72"/>
      <c r="W1375" s="69"/>
      <c r="X1375" s="70"/>
      <c r="Y1375" s="104"/>
      <c r="Z1375" s="103"/>
      <c r="AA1375" s="104"/>
      <c r="AB1375" s="103"/>
      <c r="AC1375" s="104"/>
      <c r="AD1375" s="103"/>
      <c r="AE1375" s="104"/>
      <c r="AF1375" s="103"/>
      <c r="AG1375" s="104"/>
      <c r="AH1375" s="103"/>
      <c r="AI1375" s="69"/>
      <c r="AJ1375" s="70"/>
      <c r="AK1375" s="71">
        <f>SUM(W1375:AJ1375)</f>
        <v>0</v>
      </c>
      <c r="AL1375" s="72"/>
      <c r="AM1375" s="73">
        <f>SUMIF($G1374:$T1374,"",$G1375:$T1375)+SUMIF($W1374:$AJ1374,"",$W1375:$AJ1375)-AN1375</f>
        <v>0</v>
      </c>
      <c r="AN1375" s="88">
        <f>IF(SUMIF($G1374:$T1374,"",$G1375:$T1375)+SUMIF($G1374:$T1374,"F",$G1375:$T1375)+SUMIF($G1374:$T1374,"V",$G1375:$T1375)-40&lt;0,0,SUMIF($G1374:$T1374,"",$G1375:$T1375)+SUMIF($G1374:$T1374,"F",$G1375:$T1375)+SUMIF($G1374:$T1374,"V",$G1375:$T1375)-($U$9/2))+IF(SUMIF($W1374:$AJ1374,"",$W1375:$AJ1375)+SUMIF($W1374:$AJ1374,"F",$W1375:$AJ1375)+SUMIF($W1374:$AJ1374,"V",$W1375:$AJ1375)-40&lt;0,0,SUMIF($W1374:$AJ1374,"",$W1375:$AJ1375)+SUMIF($W1374:$AJ1374,"F",$W1375:$AJ1375)+SUMIF($W1374:$AJ1374,"V",$W1375:$AJ1375)-($U$9/2))</f>
        <v>0</v>
      </c>
      <c r="AO1375" s="73">
        <f>SUMIF($G1374:$T1374,"M",$G1375:$T1375)+SUMIF($W1374:$AJ1374,"M",$W1375:$AJ1375)</f>
        <v>0</v>
      </c>
      <c r="AP1375" s="73">
        <f>SUMIF($G1374:$T1374,"F",$G1375:$T1375)+SUMIF($W1374:$AJ1374,"F",$W1375:$AJ1375)</f>
        <v>0</v>
      </c>
      <c r="AQ1375" s="73">
        <f>SUMIF($G1374:$T1374,"V",$G1375:$T1375)+SUMIF($W1374:$AJ1374,"V",$W1375:$AJ1375)</f>
        <v>0</v>
      </c>
      <c r="AR1375" s="74">
        <f>SUMIF($G1374:$T1374,"O",$G1375:$T1375)+SUMIF($W1374:$AJ1374,"O",$W1375:$AJ1375)</f>
        <v>0</v>
      </c>
      <c r="AS1375" s="75">
        <f>SUM(AM1375:AR1375)</f>
        <v>0</v>
      </c>
      <c r="AT1375" s="72"/>
      <c r="AU1375" s="73">
        <f>SUMIF($G1374:$T1374,"A",$G1375:$T1375)+SUMIF($W1374:$AJ1374,"A",$W1375:$AJ1375)</f>
        <v>0</v>
      </c>
      <c r="AV1375" s="72"/>
      <c r="AW1375" s="76">
        <f>IF(B1375="",0,IF($U$9="",0,$U$9))</f>
        <v>0</v>
      </c>
      <c r="BA1375" s="2"/>
      <c r="BB1375" s="2"/>
      <c r="BC1375" s="101"/>
      <c r="BD1375" s="101"/>
    </row>
    <row r="1376" spans="2:56" s="84" customFormat="1" x14ac:dyDescent="0.35">
      <c r="B1376" s="26"/>
      <c r="C1376" s="27"/>
      <c r="D1376" s="28">
        <f>IF(D1302="","",D1302)</f>
        <v>11792</v>
      </c>
      <c r="E1376" s="29" t="str">
        <f t="shared" si="536"/>
        <v/>
      </c>
      <c r="F1376" s="50">
        <f>B1341</f>
        <v>2</v>
      </c>
      <c r="G1376" s="59"/>
      <c r="H1376" s="64"/>
      <c r="I1376" s="106"/>
      <c r="J1376" s="105" t="s">
        <v>1</v>
      </c>
      <c r="K1376" s="106"/>
      <c r="L1376" s="105" t="s">
        <v>1</v>
      </c>
      <c r="M1376" s="106"/>
      <c r="N1376" s="105" t="s">
        <v>1</v>
      </c>
      <c r="O1376" s="106"/>
      <c r="P1376" s="105"/>
      <c r="Q1376" s="106"/>
      <c r="R1376" s="105"/>
      <c r="S1376" s="59"/>
      <c r="T1376" s="64"/>
      <c r="U1376" s="44"/>
      <c r="W1376" s="59"/>
      <c r="X1376" s="64"/>
      <c r="Y1376" s="106"/>
      <c r="Z1376" s="105"/>
      <c r="AA1376" s="106"/>
      <c r="AB1376" s="105"/>
      <c r="AC1376" s="106"/>
      <c r="AD1376" s="105"/>
      <c r="AE1376" s="106"/>
      <c r="AF1376" s="105"/>
      <c r="AG1376" s="106"/>
      <c r="AH1376" s="105"/>
      <c r="AI1376" s="59"/>
      <c r="AJ1376" s="64"/>
      <c r="AK1376" s="44"/>
      <c r="AM1376" s="49"/>
      <c r="AN1376" s="49"/>
      <c r="AO1376" s="49"/>
      <c r="AP1376" s="49"/>
      <c r="AQ1376" s="49"/>
      <c r="AR1376" s="40"/>
      <c r="AS1376" s="51"/>
      <c r="AU1376" s="49"/>
      <c r="AW1376" s="52"/>
      <c r="BA1376" s="2"/>
      <c r="BB1376" s="2"/>
      <c r="BC1376" s="101"/>
      <c r="BD1376" s="101"/>
    </row>
    <row r="1377" spans="1:56" s="84" customFormat="1" x14ac:dyDescent="0.35">
      <c r="B1377" s="30" t="str">
        <f>IF(B1303="","",B1303)</f>
        <v>Pellerin, Pierre</v>
      </c>
      <c r="C1377" s="31"/>
      <c r="D1377" s="32"/>
      <c r="E1377" s="33">
        <f t="shared" si="536"/>
        <v>93595935</v>
      </c>
      <c r="F1377" s="50">
        <f>B1341</f>
        <v>2</v>
      </c>
      <c r="G1377" s="69"/>
      <c r="H1377" s="70"/>
      <c r="I1377" s="104"/>
      <c r="J1377" s="103">
        <v>8</v>
      </c>
      <c r="K1377" s="104"/>
      <c r="L1377" s="103">
        <v>8</v>
      </c>
      <c r="M1377" s="104"/>
      <c r="N1377" s="103">
        <v>8</v>
      </c>
      <c r="O1377" s="104"/>
      <c r="P1377" s="103">
        <v>8</v>
      </c>
      <c r="Q1377" s="104"/>
      <c r="R1377" s="103">
        <v>8</v>
      </c>
      <c r="S1377" s="69"/>
      <c r="T1377" s="70"/>
      <c r="U1377" s="71">
        <f t="shared" ref="U1377" si="551">SUM(G1377:T1377)</f>
        <v>40</v>
      </c>
      <c r="V1377" s="72"/>
      <c r="W1377" s="69"/>
      <c r="X1377" s="70"/>
      <c r="Y1377" s="104"/>
      <c r="Z1377" s="103">
        <v>8</v>
      </c>
      <c r="AA1377" s="104"/>
      <c r="AB1377" s="103">
        <v>8</v>
      </c>
      <c r="AC1377" s="104"/>
      <c r="AD1377" s="103">
        <v>8</v>
      </c>
      <c r="AE1377" s="104"/>
      <c r="AF1377" s="103">
        <v>8</v>
      </c>
      <c r="AG1377" s="104"/>
      <c r="AH1377" s="103">
        <v>8</v>
      </c>
      <c r="AI1377" s="69"/>
      <c r="AJ1377" s="70"/>
      <c r="AK1377" s="71">
        <f>SUM(Z1377:AH1377)</f>
        <v>40</v>
      </c>
      <c r="AL1377" s="72"/>
      <c r="AM1377" s="73">
        <f>SUMIF($G1376:$T1376,"",$G1377:$T1377)+SUMIF($W1376:$AJ1376,"",$W1377:$AJ1377)-AN1377</f>
        <v>56</v>
      </c>
      <c r="AN1377" s="88">
        <f>IF(SUMIF($G1376:$T1376,"",$G1377:$T1377)+SUMIF($G1376:$T1376,"F",$G1377:$T1377)+SUMIF($G1376:$T1376,"V",$G1377:$T1377)-40&lt;0,0,SUMIF($G1376:$T1376,"",$G1377:$T1377)+SUMIF($G1376:$T1376,"F",$G1377:$T1377)+SUMIF($G1376:$T1376,"V",$G1377:$T1377)-($U$9/2))+IF(SUMIF($W1376:$AJ1376,"",$W1377:$AJ1377)+SUMIF($W1376:$AJ1376,"F",$W1377:$AJ1377)+SUMIF($W1376:$AJ1376,"V",$W1377:$AJ1377)-40&lt;0,0,SUMIF($W1376:$AJ1376,"",$W1377:$AJ1377)+SUMIF($W1376:$AJ1376,"F",$W1377:$AJ1377)+SUMIF($W1376:$AJ1376,"V",$W1377:$AJ1377)-($U$9/2))</f>
        <v>0</v>
      </c>
      <c r="AO1377" s="73">
        <f>SUMIF($G1376:$T1376,"M",$G1377:$T1377)+SUMIF($W1376:$AJ1376,"M",$W1377:$AJ1377)</f>
        <v>0</v>
      </c>
      <c r="AP1377" s="73">
        <f>SUMIF($G1376:$T1376,"F",$G1377:$T1377)+SUMIF($W1376:$AJ1376,"F",$W1377:$AJ1377)</f>
        <v>0</v>
      </c>
      <c r="AQ1377" s="73">
        <f>SUMIF($G1376:$T1376,"V",$G1377:$T1377)+SUMIF($W1376:$AJ1376,"V",$W1377:$AJ1377)</f>
        <v>24</v>
      </c>
      <c r="AR1377" s="74">
        <f>SUMIF($G1376:$T1376,"O",$G1377:$T1377)+SUMIF($W1376:$AJ1376,"O",$W1377:$AJ1377)</f>
        <v>0</v>
      </c>
      <c r="AS1377" s="75">
        <f>SUM(AM1377:AR1377)</f>
        <v>80</v>
      </c>
      <c r="AT1377" s="72"/>
      <c r="AU1377" s="73">
        <f>SUMIF($G1376:$T1376,"A",$G1377:$T1377)+SUMIF($W1376:$AJ1376,"A",$W1377:$AJ1377)</f>
        <v>0</v>
      </c>
      <c r="AV1377" s="72"/>
      <c r="AW1377" s="76">
        <f>IF(B1377="",0,IF($U$9="",0,$U$9))</f>
        <v>80</v>
      </c>
      <c r="BA1377" s="2"/>
      <c r="BB1377" s="2"/>
      <c r="BC1377" s="101"/>
      <c r="BD1377" s="101"/>
    </row>
    <row r="1378" spans="1:56" s="84" customFormat="1" x14ac:dyDescent="0.35">
      <c r="B1378" s="26"/>
      <c r="C1378" s="27"/>
      <c r="D1378" s="28">
        <f>IF(D1304="","",D1304)</f>
        <v>81043</v>
      </c>
      <c r="E1378" s="29" t="str">
        <f t="shared" si="536"/>
        <v/>
      </c>
      <c r="F1378" s="50">
        <f>B1341</f>
        <v>2</v>
      </c>
      <c r="G1378" s="59"/>
      <c r="H1378" s="64"/>
      <c r="I1378" s="106"/>
      <c r="J1378" s="105" t="s">
        <v>1</v>
      </c>
      <c r="K1378" s="106"/>
      <c r="L1378" s="105" t="s">
        <v>1</v>
      </c>
      <c r="M1378" s="106"/>
      <c r="N1378" s="105" t="s">
        <v>1</v>
      </c>
      <c r="O1378" s="106"/>
      <c r="P1378" s="105"/>
      <c r="Q1378" s="106"/>
      <c r="R1378" s="105"/>
      <c r="S1378" s="59"/>
      <c r="T1378" s="64"/>
      <c r="U1378" s="44"/>
      <c r="W1378" s="59"/>
      <c r="X1378" s="64"/>
      <c r="Y1378" s="106"/>
      <c r="Z1378" s="105"/>
      <c r="AA1378" s="106"/>
      <c r="AB1378" s="105"/>
      <c r="AC1378" s="106"/>
      <c r="AD1378" s="105"/>
      <c r="AE1378" s="106"/>
      <c r="AF1378" s="105"/>
      <c r="AG1378" s="106"/>
      <c r="AH1378" s="105"/>
      <c r="AI1378" s="59"/>
      <c r="AJ1378" s="64"/>
      <c r="AK1378" s="44"/>
      <c r="AM1378" s="49"/>
      <c r="AN1378" s="49"/>
      <c r="AO1378" s="49"/>
      <c r="AP1378" s="49"/>
      <c r="AQ1378" s="49"/>
      <c r="AR1378" s="40"/>
      <c r="AS1378" s="51"/>
      <c r="AU1378" s="49"/>
      <c r="AW1378" s="52"/>
      <c r="BA1378" s="2"/>
      <c r="BB1378" s="2"/>
      <c r="BC1378" s="101"/>
      <c r="BD1378" s="101"/>
    </row>
    <row r="1379" spans="1:56" s="84" customFormat="1" x14ac:dyDescent="0.35">
      <c r="B1379" s="30" t="str">
        <f>IF(B1305="","",B1305)</f>
        <v>Rodrigue, Frank</v>
      </c>
      <c r="C1379" s="31"/>
      <c r="D1379" s="32"/>
      <c r="E1379" s="33">
        <f t="shared" ref="E1379:E1395" si="552">IF(E1305="","",E1305)</f>
        <v>93545</v>
      </c>
      <c r="F1379" s="50">
        <f>B1341</f>
        <v>2</v>
      </c>
      <c r="G1379" s="69"/>
      <c r="H1379" s="70"/>
      <c r="I1379" s="104"/>
      <c r="J1379" s="103">
        <v>8</v>
      </c>
      <c r="K1379" s="104"/>
      <c r="L1379" s="103">
        <v>8</v>
      </c>
      <c r="M1379" s="104"/>
      <c r="N1379" s="103">
        <v>8</v>
      </c>
      <c r="O1379" s="104"/>
      <c r="P1379" s="103">
        <v>8</v>
      </c>
      <c r="Q1379" s="104"/>
      <c r="R1379" s="103">
        <v>8</v>
      </c>
      <c r="S1379" s="69"/>
      <c r="T1379" s="70"/>
      <c r="U1379" s="71">
        <f t="shared" ref="U1379" si="553">SUM(G1379:T1379)</f>
        <v>40</v>
      </c>
      <c r="V1379" s="72"/>
      <c r="W1379" s="69"/>
      <c r="X1379" s="70"/>
      <c r="Y1379" s="104"/>
      <c r="Z1379" s="103">
        <v>8</v>
      </c>
      <c r="AA1379" s="104"/>
      <c r="AB1379" s="103">
        <v>8</v>
      </c>
      <c r="AC1379" s="104"/>
      <c r="AD1379" s="103">
        <v>8</v>
      </c>
      <c r="AE1379" s="104"/>
      <c r="AF1379" s="103">
        <v>8</v>
      </c>
      <c r="AG1379" s="104"/>
      <c r="AH1379" s="103">
        <v>8</v>
      </c>
      <c r="AI1379" s="69"/>
      <c r="AJ1379" s="70"/>
      <c r="AK1379" s="71">
        <f>SUM(W1379:AJ1379)</f>
        <v>40</v>
      </c>
      <c r="AL1379" s="72"/>
      <c r="AM1379" s="73">
        <f>SUMIF($G1378:$T1378,"",$G1379:$T1379)+SUMIF($W1378:$AJ1378,"",$W1379:$AJ1379)-AN1379</f>
        <v>56</v>
      </c>
      <c r="AN1379" s="88">
        <f>IF(SUMIF($G1378:$T1378,"",$G1379:$T1379)+SUMIF($G1378:$T1378,"F",$G1379:$T1379)+SUMIF($G1378:$T1378,"V",$G1379:$T1379)-40&lt;0,0,SUMIF($G1378:$T1378,"",$G1379:$T1379)+SUMIF($G1378:$T1378,"F",$G1379:$T1379)+SUMIF($G1378:$T1378,"V",$G1379:$T1379)-($U$9/2))+IF(SUMIF($W1378:$AJ1378,"",$W1379:$AJ1379)+SUMIF($W1378:$AJ1378,"F",$W1379:$AJ1379)+SUMIF($W1378:$AJ1378,"V",$W1379:$AJ1379)-40&lt;0,0,SUMIF($W1378:$AJ1378,"",$W1379:$AJ1379)+SUMIF($W1378:$AJ1378,"F",$W1379:$AJ1379)+SUMIF($W1378:$AJ1378,"V",$W1379:$AJ1379)-($U$9/2))</f>
        <v>0</v>
      </c>
      <c r="AO1379" s="73">
        <f>SUMIF($G1378:$T1378,"M",$G1379:$T1379)+SUMIF($W1378:$AJ1378,"M",$W1379:$AJ1379)</f>
        <v>0</v>
      </c>
      <c r="AP1379" s="73">
        <f>SUMIF($G1378:$T1378,"F",$G1379:$T1379)+SUMIF($W1378:$AJ1378,"F",$W1379:$AJ1379)</f>
        <v>0</v>
      </c>
      <c r="AQ1379" s="73">
        <f>SUMIF($G1378:$T1378,"V",$G1379:$T1379)+SUMIF($W1378:$AJ1378,"V",$W1379:$AJ1379)</f>
        <v>24</v>
      </c>
      <c r="AR1379" s="74">
        <f>SUMIF($G1378:$T1378,"O",$G1379:$T1379)+SUMIF($W1378:$AJ1378,"O",$W1379:$AJ1379)</f>
        <v>0</v>
      </c>
      <c r="AS1379" s="75">
        <f>SUM(AM1379:AR1379)</f>
        <v>80</v>
      </c>
      <c r="AT1379" s="72"/>
      <c r="AU1379" s="73">
        <f>SUMIF($G1378:$T1378,"A",$G1379:$T1379)+SUMIF($W1378:$AJ1378,"A",$W1379:$AJ1379)</f>
        <v>0</v>
      </c>
      <c r="AV1379" s="72"/>
      <c r="AW1379" s="76">
        <f>IF(B1379="",0,IF($U$9="",0,$U$9))</f>
        <v>80</v>
      </c>
      <c r="BA1379" s="2"/>
      <c r="BB1379" s="2"/>
      <c r="BC1379" s="101"/>
      <c r="BD1379" s="101"/>
    </row>
    <row r="1380" spans="1:56" s="84" customFormat="1" x14ac:dyDescent="0.35">
      <c r="B1380" s="26"/>
      <c r="C1380" s="27"/>
      <c r="D1380" s="28">
        <f>IF(D1306="","",D1306)</f>
        <v>72673</v>
      </c>
      <c r="E1380" s="29" t="str">
        <f t="shared" si="552"/>
        <v/>
      </c>
      <c r="F1380" s="50">
        <f>B1341</f>
        <v>2</v>
      </c>
      <c r="G1380" s="59"/>
      <c r="H1380" s="64"/>
      <c r="I1380" s="106"/>
      <c r="J1380" s="105"/>
      <c r="K1380" s="106"/>
      <c r="L1380" s="105"/>
      <c r="M1380" s="106"/>
      <c r="N1380" s="105"/>
      <c r="O1380" s="106"/>
      <c r="P1380" s="105"/>
      <c r="Q1380" s="106"/>
      <c r="R1380" s="105"/>
      <c r="S1380" s="59"/>
      <c r="T1380" s="64"/>
      <c r="U1380" s="44"/>
      <c r="W1380" s="59"/>
      <c r="X1380" s="64"/>
      <c r="Y1380" s="106"/>
      <c r="Z1380" s="105"/>
      <c r="AA1380" s="106"/>
      <c r="AB1380" s="105"/>
      <c r="AC1380" s="106"/>
      <c r="AD1380" s="105"/>
      <c r="AE1380" s="106"/>
      <c r="AF1380" s="105"/>
      <c r="AG1380" s="106"/>
      <c r="AH1380" s="105"/>
      <c r="AI1380" s="59"/>
      <c r="AJ1380" s="64"/>
      <c r="AK1380" s="44"/>
      <c r="AM1380" s="49"/>
      <c r="AN1380" s="49"/>
      <c r="AO1380" s="49"/>
      <c r="AP1380" s="49"/>
      <c r="AQ1380" s="49"/>
      <c r="AR1380" s="40"/>
      <c r="AS1380" s="51"/>
      <c r="AU1380" s="49"/>
      <c r="AW1380" s="52"/>
      <c r="BA1380" s="2"/>
      <c r="BB1380" s="2"/>
      <c r="BC1380" s="101"/>
      <c r="BD1380" s="101"/>
    </row>
    <row r="1381" spans="1:56" s="84" customFormat="1" x14ac:dyDescent="0.35">
      <c r="B1381" s="30" t="str">
        <f>IF(B1307="","",B1307)</f>
        <v>St-Georges, Manuel (avance $2,000)</v>
      </c>
      <c r="C1381" s="31"/>
      <c r="D1381" s="32"/>
      <c r="E1381" s="33">
        <f t="shared" si="552"/>
        <v>93595935</v>
      </c>
      <c r="F1381" s="50">
        <f>B1341</f>
        <v>2</v>
      </c>
      <c r="G1381" s="69"/>
      <c r="H1381" s="70"/>
      <c r="I1381" s="104"/>
      <c r="J1381" s="103" t="s">
        <v>69</v>
      </c>
      <c r="K1381" s="104"/>
      <c r="L1381" s="103" t="s">
        <v>69</v>
      </c>
      <c r="M1381" s="104"/>
      <c r="N1381" s="103" t="s">
        <v>69</v>
      </c>
      <c r="O1381" s="104"/>
      <c r="P1381" s="103" t="s">
        <v>69</v>
      </c>
      <c r="Q1381" s="104"/>
      <c r="R1381" s="103" t="s">
        <v>69</v>
      </c>
      <c r="S1381" s="69"/>
      <c r="T1381" s="70"/>
      <c r="U1381" s="71">
        <f t="shared" ref="U1381" si="554">SUM(G1381:T1381)</f>
        <v>0</v>
      </c>
      <c r="V1381" s="72"/>
      <c r="W1381" s="69"/>
      <c r="X1381" s="70"/>
      <c r="Y1381" s="104"/>
      <c r="Z1381" s="103" t="s">
        <v>69</v>
      </c>
      <c r="AA1381" s="104"/>
      <c r="AB1381" s="103" t="s">
        <v>69</v>
      </c>
      <c r="AC1381" s="104"/>
      <c r="AD1381" s="103" t="s">
        <v>69</v>
      </c>
      <c r="AE1381" s="104"/>
      <c r="AF1381" s="103" t="s">
        <v>69</v>
      </c>
      <c r="AG1381" s="104"/>
      <c r="AH1381" s="103" t="s">
        <v>69</v>
      </c>
      <c r="AI1381" s="69"/>
      <c r="AJ1381" s="70"/>
      <c r="AK1381" s="71">
        <f>SUM(W1381:AJ1381)</f>
        <v>0</v>
      </c>
      <c r="AL1381" s="72"/>
      <c r="AM1381" s="73">
        <f>SUMIF($G1380:$T1380,"",$G1381:$T1381)+SUMIF($W1380:$AJ1380,"",$W1381:$AJ1381)-AN1381</f>
        <v>0</v>
      </c>
      <c r="AN1381" s="88">
        <f>IF(SUMIF($G1380:$T1380,"",$G1381:$T1381)+SUMIF($G1380:$T1380,"F",$G1381:$T1381)+SUMIF($G1380:$T1380,"V",$G1381:$T1381)-40&lt;0,0,SUMIF($G1380:$T1380,"",$G1381:$T1381)+SUMIF($G1380:$T1380,"F",$G1381:$T1381)+SUMIF($G1380:$T1380,"V",$G1381:$T1381)-($U$9/2))+IF(SUMIF($W1380:$AJ1380,"",$W1381:$AJ1381)+SUMIF($W1380:$AJ1380,"F",$W1381:$AJ1381)+SUMIF($W1380:$AJ1380,"V",$W1381:$AJ1381)-40&lt;0,0,SUMIF($W1380:$AJ1380,"",$W1381:$AJ1381)+SUMIF($W1380:$AJ1380,"F",$W1381:$AJ1381)+SUMIF($W1380:$AJ1380,"V",$W1381:$AJ1381)-($U$9/2))</f>
        <v>0</v>
      </c>
      <c r="AO1381" s="73">
        <f>SUMIF($G1380:$T1380,"M",$G1381:$T1381)+SUMIF($W1380:$AJ1380,"M",$W1381:$AJ1381)</f>
        <v>0</v>
      </c>
      <c r="AP1381" s="73">
        <f>SUMIF($G1380:$T1380,"F",$G1381:$T1381)+SUMIF($W1380:$AJ1380,"F",$W1381:$AJ1381)</f>
        <v>0</v>
      </c>
      <c r="AQ1381" s="73">
        <f>SUMIF($G1380:$T1380,"V",$G1381:$T1381)+SUMIF($W1380:$AJ1380,"V",$W1381:$AJ1381)</f>
        <v>0</v>
      </c>
      <c r="AR1381" s="74">
        <f>SUMIF($G1380:$T1380,"O",$G1381:$T1381)+SUMIF($W1380:$AJ1380,"O",$W1381:$AJ1381)</f>
        <v>0</v>
      </c>
      <c r="AS1381" s="75">
        <f>SUM(AM1381:AR1381)</f>
        <v>0</v>
      </c>
      <c r="AT1381" s="72"/>
      <c r="AU1381" s="73">
        <f>SUMIF($G1380:$T1380,"A",$G1381:$T1381)+SUMIF($W1380:$AJ1380,"A",$W1381:$AJ1381)</f>
        <v>0</v>
      </c>
      <c r="AV1381" s="72"/>
      <c r="AW1381" s="76">
        <f>IF(B1381="",0,IF($U$9="",0,$U$9))</f>
        <v>80</v>
      </c>
      <c r="BA1381" s="2"/>
      <c r="BB1381" s="2"/>
      <c r="BC1381" s="101"/>
      <c r="BD1381" s="101"/>
    </row>
    <row r="1382" spans="1:56" s="84" customFormat="1" x14ac:dyDescent="0.35">
      <c r="B1382" s="26"/>
      <c r="C1382" s="27"/>
      <c r="D1382" s="28" t="str">
        <f>IF(D1308="","",D1308)</f>
        <v/>
      </c>
      <c r="E1382" s="29" t="str">
        <f t="shared" si="552"/>
        <v/>
      </c>
      <c r="F1382" s="50">
        <f>B1341</f>
        <v>2</v>
      </c>
      <c r="G1382" s="59"/>
      <c r="H1382" s="64"/>
      <c r="I1382" s="106"/>
      <c r="J1382" s="105"/>
      <c r="K1382" s="106"/>
      <c r="L1382" s="105"/>
      <c r="M1382" s="106"/>
      <c r="N1382" s="105"/>
      <c r="O1382" s="106"/>
      <c r="P1382" s="105"/>
      <c r="Q1382" s="106"/>
      <c r="R1382" s="105"/>
      <c r="S1382" s="59"/>
      <c r="T1382" s="64"/>
      <c r="U1382" s="44"/>
      <c r="W1382" s="59"/>
      <c r="X1382" s="64"/>
      <c r="Y1382" s="106"/>
      <c r="Z1382" s="105"/>
      <c r="AA1382" s="106"/>
      <c r="AB1382" s="105"/>
      <c r="AC1382" s="106"/>
      <c r="AD1382" s="105"/>
      <c r="AE1382" s="106"/>
      <c r="AF1382" s="105"/>
      <c r="AG1382" s="106"/>
      <c r="AH1382" s="105"/>
      <c r="AI1382" s="59"/>
      <c r="AJ1382" s="64"/>
      <c r="AK1382" s="44"/>
      <c r="AM1382" s="49"/>
      <c r="AN1382" s="49"/>
      <c r="AO1382" s="49"/>
      <c r="AP1382" s="49"/>
      <c r="AQ1382" s="49"/>
      <c r="AR1382" s="40"/>
      <c r="AS1382" s="51"/>
      <c r="AU1382" s="49"/>
      <c r="AW1382" s="52"/>
      <c r="BA1382" s="2"/>
      <c r="BB1382" s="2"/>
      <c r="BC1382" s="101"/>
      <c r="BD1382" s="101"/>
    </row>
    <row r="1383" spans="1:56" s="84" customFormat="1" x14ac:dyDescent="0.35">
      <c r="B1383" s="30" t="str">
        <f>IF(B1309="","",B1309)</f>
        <v/>
      </c>
      <c r="C1383" s="31"/>
      <c r="D1383" s="32"/>
      <c r="E1383" s="33" t="str">
        <f t="shared" si="552"/>
        <v/>
      </c>
      <c r="F1383" s="50">
        <f>B1341</f>
        <v>2</v>
      </c>
      <c r="G1383" s="69"/>
      <c r="H1383" s="70"/>
      <c r="I1383" s="104"/>
      <c r="J1383" s="103"/>
      <c r="K1383" s="104"/>
      <c r="L1383" s="103"/>
      <c r="M1383" s="104"/>
      <c r="N1383" s="103"/>
      <c r="O1383" s="104"/>
      <c r="P1383" s="103"/>
      <c r="Q1383" s="104"/>
      <c r="R1383" s="103"/>
      <c r="S1383" s="69"/>
      <c r="T1383" s="70"/>
      <c r="U1383" s="71">
        <f t="shared" ref="U1383" si="555">SUM(G1383:T1383)</f>
        <v>0</v>
      </c>
      <c r="V1383" s="72"/>
      <c r="W1383" s="69"/>
      <c r="X1383" s="70"/>
      <c r="Y1383" s="104"/>
      <c r="Z1383" s="103"/>
      <c r="AA1383" s="104"/>
      <c r="AB1383" s="103"/>
      <c r="AC1383" s="104"/>
      <c r="AD1383" s="103"/>
      <c r="AE1383" s="104"/>
      <c r="AF1383" s="103"/>
      <c r="AG1383" s="104"/>
      <c r="AH1383" s="103"/>
      <c r="AI1383" s="69"/>
      <c r="AJ1383" s="70"/>
      <c r="AK1383" s="71">
        <f>SUM(W1383:AJ1383)</f>
        <v>0</v>
      </c>
      <c r="AL1383" s="72"/>
      <c r="AM1383" s="73">
        <f>SUMIF($G1382:$T1382,"",$G1383:$T1383)+SUMIF($W1382:$AJ1382,"",$W1383:$AJ1383)-AN1383</f>
        <v>0</v>
      </c>
      <c r="AN1383" s="88">
        <f>IF(SUMIF($G1382:$T1382,"",$G1383:$T1383)+SUMIF($G1382:$T1382,"F",$G1383:$T1383)+SUMIF($G1382:$T1382,"V",$G1383:$T1383)-40&lt;0,0,SUMIF($G1382:$T1382,"",$G1383:$T1383)+SUMIF($G1382:$T1382,"F",$G1383:$T1383)+SUMIF($G1382:$T1382,"V",$G1383:$T1383)-($U$9/2))+IF(SUMIF($W1382:$AJ1382,"",$W1383:$AJ1383)+SUMIF($W1382:$AJ1382,"F",$W1383:$AJ1383)+SUMIF($W1382:$AJ1382,"V",$W1383:$AJ1383)-40&lt;0,0,SUMIF($W1382:$AJ1382,"",$W1383:$AJ1383)+SUMIF($W1382:$AJ1382,"F",$W1383:$AJ1383)+SUMIF($W1382:$AJ1382,"V",$W1383:$AJ1383)-($U$9/2))</f>
        <v>0</v>
      </c>
      <c r="AO1383" s="73">
        <f>SUMIF($G1382:$T1382,"M",$G1383:$T1383)+SUMIF($W1382:$AJ1382,"M",$W1383:$AJ1383)</f>
        <v>0</v>
      </c>
      <c r="AP1383" s="73">
        <f>SUMIF($G1382:$T1382,"F",$G1383:$T1383)+SUMIF($W1382:$AJ1382,"F",$W1383:$AJ1383)</f>
        <v>0</v>
      </c>
      <c r="AQ1383" s="73">
        <f>SUMIF($G1382:$T1382,"V",$G1383:$T1383)+SUMIF($W1382:$AJ1382,"V",$W1383:$AJ1383)</f>
        <v>0</v>
      </c>
      <c r="AR1383" s="74">
        <f>SUMIF($G1382:$T1382,"O",$G1383:$T1383)+SUMIF($W1382:$AJ1382,"O",$W1383:$AJ1383)</f>
        <v>0</v>
      </c>
      <c r="AS1383" s="75">
        <f>SUM(AM1383:AR1383)</f>
        <v>0</v>
      </c>
      <c r="AT1383" s="72"/>
      <c r="AU1383" s="73">
        <f>SUMIF($G1382:$T1382,"A",$G1383:$T1383)+SUMIF($W1382:$AJ1382,"A",$W1383:$AJ1383)</f>
        <v>0</v>
      </c>
      <c r="AV1383" s="72"/>
      <c r="AW1383" s="76">
        <f>IF(B1383="",0,IF($U$9="",0,$U$9))</f>
        <v>0</v>
      </c>
      <c r="BA1383" s="2"/>
      <c r="BB1383" s="2"/>
      <c r="BC1383" s="101"/>
      <c r="BD1383" s="101"/>
    </row>
    <row r="1384" spans="1:56" s="84" customFormat="1" x14ac:dyDescent="0.35">
      <c r="B1384" s="26"/>
      <c r="C1384" s="27"/>
      <c r="D1384" s="28">
        <f>IF(D1310="","",D1310)</f>
        <v>23736</v>
      </c>
      <c r="E1384" s="29" t="str">
        <f t="shared" si="552"/>
        <v/>
      </c>
      <c r="F1384" s="50">
        <f>B1341</f>
        <v>2</v>
      </c>
      <c r="G1384" s="59"/>
      <c r="H1384" s="64"/>
      <c r="I1384" s="106"/>
      <c r="J1384" s="105" t="s">
        <v>1</v>
      </c>
      <c r="K1384" s="106"/>
      <c r="L1384" s="105" t="s">
        <v>1</v>
      </c>
      <c r="M1384" s="106"/>
      <c r="N1384" s="105" t="s">
        <v>2</v>
      </c>
      <c r="O1384" s="106"/>
      <c r="P1384" s="105"/>
      <c r="Q1384" s="106"/>
      <c r="R1384" s="105"/>
      <c r="S1384" s="59"/>
      <c r="T1384" s="64"/>
      <c r="U1384" s="44"/>
      <c r="W1384" s="59"/>
      <c r="X1384" s="64"/>
      <c r="Y1384" s="106"/>
      <c r="Z1384" s="105"/>
      <c r="AA1384" s="106"/>
      <c r="AB1384" s="105"/>
      <c r="AC1384" s="106"/>
      <c r="AD1384" s="105"/>
      <c r="AE1384" s="106"/>
      <c r="AF1384" s="105"/>
      <c r="AG1384" s="106"/>
      <c r="AH1384" s="105"/>
      <c r="AI1384" s="59"/>
      <c r="AJ1384" s="64"/>
      <c r="AK1384" s="44"/>
      <c r="AM1384" s="49"/>
      <c r="AN1384" s="49"/>
      <c r="AO1384" s="49"/>
      <c r="AP1384" s="49"/>
      <c r="AQ1384" s="49"/>
      <c r="AR1384" s="40"/>
      <c r="AS1384" s="51"/>
      <c r="AU1384" s="49"/>
      <c r="AW1384" s="52"/>
      <c r="BA1384" s="2"/>
      <c r="BB1384" s="2"/>
      <c r="BC1384" s="101"/>
      <c r="BD1384" s="101"/>
    </row>
    <row r="1385" spans="1:56" s="84" customFormat="1" x14ac:dyDescent="0.35">
      <c r="B1385" s="30" t="str">
        <f>IF(B1311="","",B1311)</f>
        <v>Voster, Jean-Michel</v>
      </c>
      <c r="C1385" s="31"/>
      <c r="D1385" s="32"/>
      <c r="E1385" s="33">
        <f t="shared" si="552"/>
        <v>93545</v>
      </c>
      <c r="F1385" s="50">
        <f>B1341</f>
        <v>2</v>
      </c>
      <c r="G1385" s="69"/>
      <c r="H1385" s="70"/>
      <c r="I1385" s="104"/>
      <c r="J1385" s="103">
        <v>8</v>
      </c>
      <c r="K1385" s="104"/>
      <c r="L1385" s="103">
        <v>8</v>
      </c>
      <c r="M1385" s="104"/>
      <c r="N1385" s="103">
        <v>0</v>
      </c>
      <c r="O1385" s="104"/>
      <c r="P1385" s="103">
        <v>8</v>
      </c>
      <c r="Q1385" s="104"/>
      <c r="R1385" s="103">
        <v>7.75</v>
      </c>
      <c r="S1385" s="69"/>
      <c r="T1385" s="70"/>
      <c r="U1385" s="71">
        <f t="shared" ref="U1385" si="556">SUM(G1385:T1385)</f>
        <v>31.75</v>
      </c>
      <c r="V1385" s="72"/>
      <c r="W1385" s="69"/>
      <c r="X1385" s="70"/>
      <c r="Y1385" s="104"/>
      <c r="Z1385" s="103">
        <v>8</v>
      </c>
      <c r="AA1385" s="104"/>
      <c r="AB1385" s="103">
        <v>7.75</v>
      </c>
      <c r="AC1385" s="104"/>
      <c r="AD1385" s="103">
        <v>8</v>
      </c>
      <c r="AE1385" s="104"/>
      <c r="AF1385" s="103">
        <v>7.75</v>
      </c>
      <c r="AG1385" s="104"/>
      <c r="AH1385" s="103">
        <v>7.5</v>
      </c>
      <c r="AI1385" s="69"/>
      <c r="AJ1385" s="70"/>
      <c r="AK1385" s="71">
        <f>SUM(W1385:AJ1385)</f>
        <v>39</v>
      </c>
      <c r="AL1385" s="72"/>
      <c r="AM1385" s="73">
        <f>SUMIF($G1384:$T1384,"",$G1385:$T1385)+SUMIF($W1384:$AJ1384,"",$W1385:$AJ1385)-AN1385</f>
        <v>54.75</v>
      </c>
      <c r="AN1385" s="88">
        <f>IF(SUMIF($G1384:$T1384,"",$G1385:$T1385)+SUMIF($G1384:$T1384,"F",$G1385:$T1385)+SUMIF($G1384:$T1384,"V",$G1385:$T1385)-40&lt;0,0,SUMIF($G1384:$T1384,"",$G1385:$T1385)+SUMIF($G1384:$T1384,"F",$G1385:$T1385)+SUMIF($G1384:$T1384,"V",$G1385:$T1385)-($U$9/2))+IF(SUMIF($W1384:$AJ1384,"",$W1385:$AJ1385)+SUMIF($W1384:$AJ1384,"F",$W1385:$AJ1385)+SUMIF($W1384:$AJ1384,"V",$W1385:$AJ1385)-40&lt;0,0,SUMIF($W1384:$AJ1384,"",$W1385:$AJ1385)+SUMIF($W1384:$AJ1384,"F",$W1385:$AJ1385)+SUMIF($W1384:$AJ1384,"V",$W1385:$AJ1385)-($U$9/2))</f>
        <v>0</v>
      </c>
      <c r="AO1385" s="73">
        <f>SUMIF($G1384:$T1384,"M",$G1385:$T1385)+SUMIF($W1384:$AJ1384,"M",$W1385:$AJ1385)</f>
        <v>0</v>
      </c>
      <c r="AP1385" s="73">
        <f>SUMIF($G1384:$T1384,"F",$G1385:$T1385)+SUMIF($W1384:$AJ1384,"F",$W1385:$AJ1385)</f>
        <v>0</v>
      </c>
      <c r="AQ1385" s="73">
        <f>SUMIF($G1384:$T1384,"V",$G1385:$T1385)+SUMIF($W1384:$AJ1384,"V",$W1385:$AJ1385)</f>
        <v>16</v>
      </c>
      <c r="AR1385" s="74">
        <f>SUMIF($G1384:$T1384,"O",$G1385:$T1385)+SUMIF($W1384:$AJ1384,"O",$W1385:$AJ1385)</f>
        <v>0</v>
      </c>
      <c r="AS1385" s="75">
        <f>SUM(AM1385:AR1385)</f>
        <v>70.75</v>
      </c>
      <c r="AT1385" s="72"/>
      <c r="AU1385" s="73">
        <f>SUMIF($G1384:$T1384,"A",$G1385:$T1385)+SUMIF($W1384:$AJ1384,"A",$W1385:$AJ1385)</f>
        <v>0</v>
      </c>
      <c r="AV1385" s="72"/>
      <c r="AW1385" s="76">
        <f>IF(B1385="",0,IF($U$9="",0,$U$9))</f>
        <v>80</v>
      </c>
      <c r="BA1385" s="2"/>
      <c r="BB1385" s="2"/>
      <c r="BC1385" s="101"/>
      <c r="BD1385" s="101"/>
    </row>
    <row r="1386" spans="1:56" s="53" customFormat="1" ht="15" customHeight="1" x14ac:dyDescent="0.35">
      <c r="A1386" s="84"/>
      <c r="B1386" s="26"/>
      <c r="C1386" s="27"/>
      <c r="D1386" s="28" t="str">
        <f>IF(D1312="","",D1312)</f>
        <v/>
      </c>
      <c r="E1386" s="29" t="str">
        <f t="shared" si="552"/>
        <v/>
      </c>
      <c r="F1386" s="50">
        <f>B1341</f>
        <v>2</v>
      </c>
      <c r="G1386" s="59"/>
      <c r="H1386" s="64"/>
      <c r="I1386" s="106"/>
      <c r="J1386" s="105"/>
      <c r="K1386" s="106"/>
      <c r="L1386" s="105"/>
      <c r="M1386" s="106"/>
      <c r="N1386" s="105"/>
      <c r="O1386" s="106"/>
      <c r="P1386" s="105"/>
      <c r="Q1386" s="106"/>
      <c r="R1386" s="105"/>
      <c r="S1386" s="59"/>
      <c r="T1386" s="64"/>
      <c r="U1386" s="44"/>
      <c r="V1386" s="84"/>
      <c r="W1386" s="59"/>
      <c r="X1386" s="64"/>
      <c r="Y1386" s="106"/>
      <c r="Z1386" s="105"/>
      <c r="AA1386" s="106"/>
      <c r="AB1386" s="105"/>
      <c r="AC1386" s="106"/>
      <c r="AD1386" s="105"/>
      <c r="AE1386" s="106"/>
      <c r="AF1386" s="105"/>
      <c r="AG1386" s="106"/>
      <c r="AH1386" s="105"/>
      <c r="AI1386" s="59"/>
      <c r="AJ1386" s="64"/>
      <c r="AK1386" s="44"/>
      <c r="AL1386" s="84"/>
      <c r="AM1386" s="49"/>
      <c r="AN1386" s="49"/>
      <c r="AO1386" s="49"/>
      <c r="AP1386" s="49"/>
      <c r="AQ1386" s="49"/>
      <c r="AR1386" s="40"/>
      <c r="AS1386" s="51"/>
      <c r="AT1386" s="84"/>
      <c r="AU1386" s="49"/>
      <c r="AV1386" s="84"/>
      <c r="AW1386" s="52"/>
      <c r="AX1386" s="84"/>
      <c r="BA1386" s="2"/>
      <c r="BB1386" s="2"/>
      <c r="BC1386" s="101"/>
      <c r="BD1386" s="101"/>
    </row>
    <row r="1387" spans="1:56" s="57" customFormat="1" ht="15" customHeight="1" x14ac:dyDescent="0.35">
      <c r="A1387" s="84"/>
      <c r="B1387" s="30" t="str">
        <f>IF(B1313="","",B1313)</f>
        <v/>
      </c>
      <c r="C1387" s="31"/>
      <c r="D1387" s="32"/>
      <c r="E1387" s="33" t="str">
        <f t="shared" si="552"/>
        <v/>
      </c>
      <c r="F1387" s="50">
        <f>B1341</f>
        <v>2</v>
      </c>
      <c r="G1387" s="69"/>
      <c r="H1387" s="70"/>
      <c r="I1387" s="104"/>
      <c r="J1387" s="103"/>
      <c r="K1387" s="104"/>
      <c r="L1387" s="103"/>
      <c r="M1387" s="104"/>
      <c r="N1387" s="103"/>
      <c r="O1387" s="104"/>
      <c r="P1387" s="103"/>
      <c r="Q1387" s="104"/>
      <c r="R1387" s="103"/>
      <c r="S1387" s="69"/>
      <c r="T1387" s="70"/>
      <c r="U1387" s="71">
        <f t="shared" ref="U1387" si="557">SUM(G1387:T1387)</f>
        <v>0</v>
      </c>
      <c r="V1387" s="72"/>
      <c r="W1387" s="69"/>
      <c r="X1387" s="70"/>
      <c r="Y1387" s="104"/>
      <c r="Z1387" s="103"/>
      <c r="AA1387" s="104"/>
      <c r="AB1387" s="103"/>
      <c r="AC1387" s="104"/>
      <c r="AD1387" s="103"/>
      <c r="AE1387" s="104"/>
      <c r="AF1387" s="103"/>
      <c r="AG1387" s="104"/>
      <c r="AH1387" s="103"/>
      <c r="AI1387" s="69"/>
      <c r="AJ1387" s="70"/>
      <c r="AK1387" s="71">
        <f>SUM(W1387:AJ1387)</f>
        <v>0</v>
      </c>
      <c r="AL1387" s="72"/>
      <c r="AM1387" s="73">
        <f>SUMIF($G1386:$T1386,"",$G1387:$T1387)+SUMIF($W1386:$AJ1386,"",$W1387:$AJ1387)-AN1387</f>
        <v>0</v>
      </c>
      <c r="AN1387" s="88">
        <f>IF(SUMIF($G1386:$T1386,"",$G1387:$T1387)+SUMIF($G1386:$T1386,"F",$G1387:$T1387)+SUMIF($G1386:$T1386,"V",$G1387:$T1387)-40&lt;0,0,SUMIF($G1386:$T1386,"",$G1387:$T1387)+SUMIF($G1386:$T1386,"F",$G1387:$T1387)+SUMIF($G1386:$T1386,"V",$G1387:$T1387)-($U$9/2))+IF(SUMIF($W1386:$AJ1386,"",$W1387:$AJ1387)+SUMIF($W1386:$AJ1386,"F",$W1387:$AJ1387)+SUMIF($W1386:$AJ1386,"V",$W1387:$AJ1387)-40&lt;0,0,SUMIF($W1386:$AJ1386,"",$W1387:$AJ1387)+SUMIF($W1386:$AJ1386,"F",$W1387:$AJ1387)+SUMIF($W1386:$AJ1386,"V",$W1387:$AJ1387)-($U$9/2))</f>
        <v>0</v>
      </c>
      <c r="AO1387" s="73">
        <f>SUMIF($G1386:$T1386,"M",$G1387:$T1387)+SUMIF($W1386:$AJ1386,"M",$W1387:$AJ1387)</f>
        <v>0</v>
      </c>
      <c r="AP1387" s="73">
        <f>SUMIF($G1386:$T1386,"F",$G1387:$T1387)+SUMIF($W1386:$AJ1386,"F",$W1387:$AJ1387)</f>
        <v>0</v>
      </c>
      <c r="AQ1387" s="73">
        <f>SUMIF($G1386:$T1386,"V",$G1387:$T1387)+SUMIF($W1386:$AJ1386,"V",$W1387:$AJ1387)</f>
        <v>0</v>
      </c>
      <c r="AR1387" s="74">
        <f>SUMIF($G1386:$T1386,"O",$G1387:$T1387)+SUMIF($W1386:$AJ1386,"O",$W1387:$AJ1387)</f>
        <v>0</v>
      </c>
      <c r="AS1387" s="75">
        <f>SUM(AM1387:AR1387)</f>
        <v>0</v>
      </c>
      <c r="AT1387" s="72"/>
      <c r="AU1387" s="73">
        <f>SUMIF($G1386:$T1386,"A",$G1387:$T1387)+SUMIF($W1386:$AJ1386,"A",$W1387:$AJ1387)</f>
        <v>0</v>
      </c>
      <c r="AV1387" s="72"/>
      <c r="AW1387" s="76">
        <f>IF(B1387="",0,IF($U$9="",0,$U$9))</f>
        <v>0</v>
      </c>
      <c r="AX1387" s="84"/>
      <c r="BA1387" s="2"/>
      <c r="BB1387" s="2"/>
      <c r="BC1387" s="101"/>
      <c r="BD1387" s="101"/>
    </row>
    <row r="1388" spans="1:56" s="53" customFormat="1" ht="15" customHeight="1" x14ac:dyDescent="0.35">
      <c r="A1388" s="84"/>
      <c r="B1388" s="26"/>
      <c r="C1388" s="27"/>
      <c r="D1388" s="28" t="str">
        <f>IF(D1314="","",D1314)</f>
        <v/>
      </c>
      <c r="E1388" s="29" t="str">
        <f t="shared" si="552"/>
        <v/>
      </c>
      <c r="F1388" s="50">
        <f>B1341</f>
        <v>2</v>
      </c>
      <c r="G1388" s="59"/>
      <c r="H1388" s="64"/>
      <c r="I1388" s="106"/>
      <c r="J1388" s="105"/>
      <c r="K1388" s="106"/>
      <c r="L1388" s="105"/>
      <c r="M1388" s="106"/>
      <c r="N1388" s="105"/>
      <c r="O1388" s="106"/>
      <c r="P1388" s="105"/>
      <c r="Q1388" s="106"/>
      <c r="R1388" s="105"/>
      <c r="S1388" s="59"/>
      <c r="T1388" s="64"/>
      <c r="U1388" s="44"/>
      <c r="V1388" s="84"/>
      <c r="W1388" s="59"/>
      <c r="X1388" s="64"/>
      <c r="Y1388" s="106"/>
      <c r="Z1388" s="105"/>
      <c r="AA1388" s="106"/>
      <c r="AB1388" s="105"/>
      <c r="AC1388" s="106"/>
      <c r="AD1388" s="105"/>
      <c r="AE1388" s="106"/>
      <c r="AF1388" s="105"/>
      <c r="AG1388" s="106"/>
      <c r="AH1388" s="105"/>
      <c r="AI1388" s="59"/>
      <c r="AJ1388" s="64"/>
      <c r="AK1388" s="44"/>
      <c r="AL1388" s="84"/>
      <c r="AM1388" s="49"/>
      <c r="AN1388" s="49"/>
      <c r="AO1388" s="49"/>
      <c r="AP1388" s="49"/>
      <c r="AQ1388" s="49"/>
      <c r="AR1388" s="40"/>
      <c r="AS1388" s="51"/>
      <c r="AT1388" s="84"/>
      <c r="AU1388" s="49"/>
      <c r="AV1388" s="84"/>
      <c r="AW1388" s="52"/>
      <c r="AX1388" s="84"/>
      <c r="BA1388" s="2"/>
      <c r="BB1388" s="2"/>
      <c r="BC1388" s="101"/>
      <c r="BD1388" s="101"/>
    </row>
    <row r="1389" spans="1:56" s="53" customFormat="1" x14ac:dyDescent="0.35">
      <c r="A1389" s="84"/>
      <c r="B1389" s="30" t="str">
        <f>IF(B1315="","",B1315)</f>
        <v/>
      </c>
      <c r="C1389" s="31"/>
      <c r="D1389" s="32"/>
      <c r="E1389" s="33" t="str">
        <f t="shared" si="552"/>
        <v/>
      </c>
      <c r="F1389" s="50">
        <f>B1341</f>
        <v>2</v>
      </c>
      <c r="G1389" s="69"/>
      <c r="H1389" s="70"/>
      <c r="I1389" s="104"/>
      <c r="J1389" s="103"/>
      <c r="K1389" s="104"/>
      <c r="L1389" s="103"/>
      <c r="M1389" s="104"/>
      <c r="N1389" s="103"/>
      <c r="O1389" s="104"/>
      <c r="P1389" s="103"/>
      <c r="Q1389" s="104"/>
      <c r="R1389" s="103"/>
      <c r="S1389" s="69"/>
      <c r="T1389" s="70"/>
      <c r="U1389" s="71">
        <f t="shared" ref="U1389" si="558">SUM(G1389:T1389)</f>
        <v>0</v>
      </c>
      <c r="V1389" s="72"/>
      <c r="W1389" s="69"/>
      <c r="X1389" s="70"/>
      <c r="Y1389" s="104"/>
      <c r="Z1389" s="103"/>
      <c r="AA1389" s="104"/>
      <c r="AB1389" s="103"/>
      <c r="AC1389" s="104"/>
      <c r="AD1389" s="103"/>
      <c r="AE1389" s="104"/>
      <c r="AF1389" s="103"/>
      <c r="AG1389" s="104"/>
      <c r="AH1389" s="103"/>
      <c r="AI1389" s="69"/>
      <c r="AJ1389" s="70"/>
      <c r="AK1389" s="71">
        <f>SUM(W1389:AJ1389)</f>
        <v>0</v>
      </c>
      <c r="AL1389" s="72"/>
      <c r="AM1389" s="73">
        <f>SUMIF($G1388:$T1388,"",$G1389:$T1389)+SUMIF($W1388:$AJ1388,"",$W1389:$AJ1389)-AN1389</f>
        <v>0</v>
      </c>
      <c r="AN1389" s="88">
        <f>IF(SUMIF($G1388:$T1388,"",$G1389:$T1389)+SUMIF($G1388:$T1388,"F",$G1389:$T1389)+SUMIF($G1388:$T1388,"V",$G1389:$T1389)-40&lt;0,0,SUMIF($G1388:$T1388,"",$G1389:$T1389)+SUMIF($G1388:$T1388,"F",$G1389:$T1389)+SUMIF($G1388:$T1388,"V",$G1389:$T1389)-($U$9/2))+IF(SUMIF($W1388:$AJ1388,"",$W1389:$AJ1389)+SUMIF($W1388:$AJ1388,"F",$W1389:$AJ1389)+SUMIF($W1388:$AJ1388,"V",$W1389:$AJ1389)-40&lt;0,0,SUMIF($W1388:$AJ1388,"",$W1389:$AJ1389)+SUMIF($W1388:$AJ1388,"F",$W1389:$AJ1389)+SUMIF($W1388:$AJ1388,"V",$W1389:$AJ1389)-($U$9/2))</f>
        <v>0</v>
      </c>
      <c r="AO1389" s="73">
        <f>SUMIF($G1388:$T1388,"M",$G1389:$T1389)+SUMIF($W1388:$AJ1388,"M",$W1389:$AJ1389)</f>
        <v>0</v>
      </c>
      <c r="AP1389" s="73">
        <f>SUMIF($G1388:$T1388,"F",$G1389:$T1389)+SUMIF($W1388:$AJ1388,"F",$W1389:$AJ1389)</f>
        <v>0</v>
      </c>
      <c r="AQ1389" s="73">
        <f>SUMIF($G1388:$T1388,"V",$G1389:$T1389)+SUMIF($W1388:$AJ1388,"V",$W1389:$AJ1389)</f>
        <v>0</v>
      </c>
      <c r="AR1389" s="74">
        <f>SUMIF($G1388:$T1388,"O",$G1389:$T1389)+SUMIF($W1388:$AJ1388,"O",$W1389:$AJ1389)</f>
        <v>0</v>
      </c>
      <c r="AS1389" s="75">
        <f>SUM(AM1389:AR1389)</f>
        <v>0</v>
      </c>
      <c r="AT1389" s="72"/>
      <c r="AU1389" s="73">
        <f>SUMIF($G1388:$T1388,"A",$G1389:$T1389)+SUMIF($W1388:$AJ1388,"A",$W1389:$AJ1389)</f>
        <v>0</v>
      </c>
      <c r="AV1389" s="72"/>
      <c r="AW1389" s="76">
        <f>IF(B1389="",0,IF($U$9="",0,$U$9))</f>
        <v>0</v>
      </c>
      <c r="AX1389" s="84"/>
      <c r="BA1389" s="2"/>
      <c r="BB1389" s="2"/>
      <c r="BC1389" s="101"/>
      <c r="BD1389" s="101"/>
    </row>
    <row r="1390" spans="1:56" s="53" customFormat="1" x14ac:dyDescent="0.35">
      <c r="A1390" s="84"/>
      <c r="B1390" s="26"/>
      <c r="C1390" s="27"/>
      <c r="D1390" s="28" t="str">
        <f>IF(D1316="","",D1316)</f>
        <v/>
      </c>
      <c r="E1390" s="29" t="str">
        <f t="shared" si="552"/>
        <v/>
      </c>
      <c r="F1390" s="50">
        <f>B1341</f>
        <v>2</v>
      </c>
      <c r="G1390" s="59"/>
      <c r="H1390" s="64"/>
      <c r="I1390" s="58"/>
      <c r="J1390" s="65"/>
      <c r="K1390" s="58"/>
      <c r="L1390" s="65"/>
      <c r="M1390" s="58"/>
      <c r="N1390" s="65"/>
      <c r="O1390" s="58"/>
      <c r="P1390" s="65"/>
      <c r="Q1390" s="58"/>
      <c r="R1390" s="65"/>
      <c r="S1390" s="59"/>
      <c r="T1390" s="64"/>
      <c r="U1390" s="44"/>
      <c r="V1390" s="84"/>
      <c r="W1390" s="59"/>
      <c r="X1390" s="64"/>
      <c r="Y1390" s="58"/>
      <c r="Z1390" s="65"/>
      <c r="AA1390" s="58"/>
      <c r="AB1390" s="65"/>
      <c r="AC1390" s="58"/>
      <c r="AD1390" s="65"/>
      <c r="AE1390" s="58"/>
      <c r="AF1390" s="65"/>
      <c r="AG1390" s="58"/>
      <c r="AH1390" s="65"/>
      <c r="AI1390" s="59"/>
      <c r="AJ1390" s="64"/>
      <c r="AK1390" s="44"/>
      <c r="AL1390" s="84"/>
      <c r="AM1390" s="49"/>
      <c r="AN1390" s="49"/>
      <c r="AO1390" s="49"/>
      <c r="AP1390" s="49"/>
      <c r="AQ1390" s="49"/>
      <c r="AR1390" s="40"/>
      <c r="AS1390" s="51"/>
      <c r="AT1390" s="84"/>
      <c r="AU1390" s="49"/>
      <c r="AV1390" s="84"/>
      <c r="AW1390" s="52"/>
      <c r="AX1390" s="84"/>
      <c r="BA1390" s="2"/>
      <c r="BB1390" s="2"/>
      <c r="BC1390" s="101"/>
      <c r="BD1390" s="101"/>
    </row>
    <row r="1391" spans="1:56" s="53" customFormat="1" x14ac:dyDescent="0.35">
      <c r="A1391" s="84"/>
      <c r="B1391" s="30" t="str">
        <f>IF(B1317="","",B1317)</f>
        <v/>
      </c>
      <c r="C1391" s="31"/>
      <c r="D1391" s="32"/>
      <c r="E1391" s="33" t="str">
        <f t="shared" si="552"/>
        <v/>
      </c>
      <c r="F1391" s="50">
        <f>B1341</f>
        <v>2</v>
      </c>
      <c r="G1391" s="69"/>
      <c r="H1391" s="70"/>
      <c r="I1391" s="67"/>
      <c r="J1391" s="68"/>
      <c r="K1391" s="67"/>
      <c r="L1391" s="68"/>
      <c r="M1391" s="67"/>
      <c r="N1391" s="68"/>
      <c r="O1391" s="67"/>
      <c r="P1391" s="68"/>
      <c r="Q1391" s="67"/>
      <c r="R1391" s="68"/>
      <c r="S1391" s="69"/>
      <c r="T1391" s="70"/>
      <c r="U1391" s="71">
        <f t="shared" ref="U1391" si="559">SUM(G1391:T1391)</f>
        <v>0</v>
      </c>
      <c r="V1391" s="72"/>
      <c r="W1391" s="69"/>
      <c r="X1391" s="70"/>
      <c r="Y1391" s="67"/>
      <c r="Z1391" s="68"/>
      <c r="AA1391" s="67"/>
      <c r="AB1391" s="68"/>
      <c r="AC1391" s="67"/>
      <c r="AD1391" s="68"/>
      <c r="AE1391" s="67"/>
      <c r="AF1391" s="68"/>
      <c r="AG1391" s="67"/>
      <c r="AH1391" s="68"/>
      <c r="AI1391" s="69"/>
      <c r="AJ1391" s="70"/>
      <c r="AK1391" s="71">
        <v>0</v>
      </c>
      <c r="AL1391" s="72"/>
      <c r="AM1391" s="73">
        <f>SUMIF($G1390:$T1390,"",$G1391:$T1391)+SUMIF($W1390:$AJ1390,"",$W1391:$AJ1391)-AN1391</f>
        <v>0</v>
      </c>
      <c r="AN1391" s="88">
        <f>IF(SUMIF($G1390:$T1390,"",$G1391:$T1391)+SUMIF($G1390:$T1390,"F",$G1391:$T1391)+SUMIF($G1390:$T1390,"V",$G1391:$T1391)-40&lt;0,0,SUMIF($G1390:$T1390,"",$G1391:$T1391)+SUMIF($G1390:$T1390,"F",$G1391:$T1391)+SUMIF($G1390:$T1390,"V",$G1391:$T1391)-($U$9/2))+IF(SUMIF($W1390:$AJ1390,"",$W1391:$AJ1391)+SUMIF($W1390:$AJ1390,"F",$W1391:$AJ1391)+SUMIF($W1390:$AJ1390,"V",$W1391:$AJ1391)-40&lt;0,0,SUMIF($W1390:$AJ1390,"",$W1391:$AJ1391)+SUMIF($W1390:$AJ1390,"F",$W1391:$AJ1391)+SUMIF($W1390:$AJ1390,"V",$W1391:$AJ1391)-($U$9/2))</f>
        <v>0</v>
      </c>
      <c r="AO1391" s="73">
        <f>SUMIF($G1390:$T1390,"M",$G1391:$T1391)+SUMIF($W1390:$AJ1390,"M",$W1391:$AJ1391)</f>
        <v>0</v>
      </c>
      <c r="AP1391" s="73">
        <f>SUMIF($G1390:$T1390,"F",$G1391:$T1391)+SUMIF($W1390:$AJ1390,"F",$W1391:$AJ1391)</f>
        <v>0</v>
      </c>
      <c r="AQ1391" s="73">
        <f>SUMIF($G1390:$T1390,"V",$G1391:$T1391)+SUMIF($W1390:$AJ1390,"V",$W1391:$AJ1391)</f>
        <v>0</v>
      </c>
      <c r="AR1391" s="74">
        <f>SUMIF($G1390:$T1390,"O",$G1391:$T1391)+SUMIF($W1390:$AJ1390,"O",$W1391:$AJ1391)</f>
        <v>0</v>
      </c>
      <c r="AS1391" s="75">
        <f>SUM(AM1391:AR1391)</f>
        <v>0</v>
      </c>
      <c r="AT1391" s="72"/>
      <c r="AU1391" s="73">
        <f>SUMIF($G1390:$T1390,"A",$G1391:$T1391)+SUMIF($W1390:$AJ1390,"A",$W1391:$AJ1391)</f>
        <v>0</v>
      </c>
      <c r="AV1391" s="72"/>
      <c r="AW1391" s="76">
        <f>IF(B1391="",0,IF($U$9="",0,$U$9))</f>
        <v>0</v>
      </c>
      <c r="AX1391" s="84"/>
      <c r="BA1391" s="2"/>
      <c r="BB1391" s="2"/>
      <c r="BC1391" s="101"/>
      <c r="BD1391" s="101"/>
    </row>
    <row r="1392" spans="1:56" s="53" customFormat="1" x14ac:dyDescent="0.35">
      <c r="A1392" s="84"/>
      <c r="B1392" s="26"/>
      <c r="C1392" s="27"/>
      <c r="D1392" s="28" t="str">
        <f>IF(D1318="","",D1318)</f>
        <v/>
      </c>
      <c r="E1392" s="29" t="str">
        <f t="shared" si="552"/>
        <v/>
      </c>
      <c r="F1392" s="50">
        <f>B1341</f>
        <v>2</v>
      </c>
      <c r="G1392" s="59"/>
      <c r="H1392" s="64"/>
      <c r="I1392" s="58"/>
      <c r="J1392" s="65"/>
      <c r="K1392" s="58"/>
      <c r="L1392" s="65"/>
      <c r="M1392" s="58"/>
      <c r="N1392" s="65"/>
      <c r="O1392" s="58"/>
      <c r="P1392" s="65"/>
      <c r="Q1392" s="58"/>
      <c r="R1392" s="65"/>
      <c r="S1392" s="59"/>
      <c r="T1392" s="64"/>
      <c r="U1392" s="44"/>
      <c r="V1392" s="84"/>
      <c r="W1392" s="59"/>
      <c r="X1392" s="64"/>
      <c r="Y1392" s="58"/>
      <c r="Z1392" s="65"/>
      <c r="AA1392" s="58"/>
      <c r="AB1392" s="65"/>
      <c r="AC1392" s="58"/>
      <c r="AD1392" s="65"/>
      <c r="AE1392" s="58"/>
      <c r="AF1392" s="65"/>
      <c r="AG1392" s="58"/>
      <c r="AH1392" s="65"/>
      <c r="AI1392" s="59"/>
      <c r="AJ1392" s="64"/>
      <c r="AK1392" s="44"/>
      <c r="AL1392" s="84"/>
      <c r="AM1392" s="49"/>
      <c r="AN1392" s="49"/>
      <c r="AO1392" s="49"/>
      <c r="AP1392" s="49"/>
      <c r="AQ1392" s="49"/>
      <c r="AR1392" s="40"/>
      <c r="AS1392" s="51"/>
      <c r="AT1392" s="84"/>
      <c r="AU1392" s="49"/>
      <c r="AV1392" s="84"/>
      <c r="AW1392" s="52"/>
      <c r="AX1392" s="84"/>
      <c r="BA1392" s="2"/>
      <c r="BB1392" s="2"/>
      <c r="BC1392" s="101"/>
      <c r="BD1392" s="101"/>
    </row>
    <row r="1393" spans="1:56" s="53" customFormat="1" x14ac:dyDescent="0.35">
      <c r="A1393" s="84"/>
      <c r="B1393" s="30" t="str">
        <f>IF(B1319="","",B1319)</f>
        <v/>
      </c>
      <c r="C1393" s="31"/>
      <c r="D1393" s="32"/>
      <c r="E1393" s="33" t="str">
        <f t="shared" si="552"/>
        <v/>
      </c>
      <c r="F1393" s="50">
        <f>B1341</f>
        <v>2</v>
      </c>
      <c r="G1393" s="69"/>
      <c r="H1393" s="70"/>
      <c r="I1393" s="67"/>
      <c r="J1393" s="68"/>
      <c r="K1393" s="67"/>
      <c r="L1393" s="68"/>
      <c r="M1393" s="67"/>
      <c r="N1393" s="68"/>
      <c r="O1393" s="67"/>
      <c r="P1393" s="68"/>
      <c r="Q1393" s="67"/>
      <c r="R1393" s="68"/>
      <c r="S1393" s="69"/>
      <c r="T1393" s="70"/>
      <c r="U1393" s="71">
        <f t="shared" ref="U1393" si="560">SUM(G1393:T1393)</f>
        <v>0</v>
      </c>
      <c r="V1393" s="72"/>
      <c r="W1393" s="69"/>
      <c r="X1393" s="70"/>
      <c r="Y1393" s="67"/>
      <c r="Z1393" s="68"/>
      <c r="AA1393" s="67"/>
      <c r="AB1393" s="68"/>
      <c r="AC1393" s="67"/>
      <c r="AD1393" s="68"/>
      <c r="AE1393" s="67"/>
      <c r="AF1393" s="68"/>
      <c r="AG1393" s="67"/>
      <c r="AH1393" s="68"/>
      <c r="AI1393" s="69"/>
      <c r="AJ1393" s="70"/>
      <c r="AK1393" s="71">
        <v>0</v>
      </c>
      <c r="AL1393" s="72"/>
      <c r="AM1393" s="73">
        <v>0</v>
      </c>
      <c r="AN1393" s="88">
        <v>0</v>
      </c>
      <c r="AO1393" s="73">
        <v>0</v>
      </c>
      <c r="AP1393" s="73">
        <v>0</v>
      </c>
      <c r="AQ1393" s="73">
        <v>0</v>
      </c>
      <c r="AR1393" s="74">
        <v>0</v>
      </c>
      <c r="AS1393" s="75">
        <v>0</v>
      </c>
      <c r="AT1393" s="72"/>
      <c r="AU1393" s="73">
        <f>SUMIF($G1392:$T1392,"A",$G1393:$T1393)+SUMIF($W1392:$AJ1392,"A",$W1393:$AJ1393)</f>
        <v>0</v>
      </c>
      <c r="AV1393" s="72"/>
      <c r="AW1393" s="76">
        <f>IF(B1393="",0,IF($U$9="",0,$U$9))</f>
        <v>0</v>
      </c>
      <c r="AX1393" s="84"/>
      <c r="BA1393" s="2"/>
      <c r="BB1393" s="2"/>
      <c r="BC1393" s="101"/>
      <c r="BD1393" s="101"/>
    </row>
    <row r="1394" spans="1:56" s="53" customFormat="1" x14ac:dyDescent="0.35">
      <c r="A1394" s="84"/>
      <c r="B1394" s="26"/>
      <c r="C1394" s="27"/>
      <c r="D1394" s="28" t="str">
        <f>IF(D1320="","",D1320)</f>
        <v/>
      </c>
      <c r="E1394" s="29" t="str">
        <f t="shared" si="552"/>
        <v/>
      </c>
      <c r="F1394" s="50">
        <f>B1341</f>
        <v>2</v>
      </c>
      <c r="G1394" s="59"/>
      <c r="H1394" s="64"/>
      <c r="I1394" s="58"/>
      <c r="J1394" s="65"/>
      <c r="K1394" s="58"/>
      <c r="L1394" s="65"/>
      <c r="M1394" s="58"/>
      <c r="N1394" s="65"/>
      <c r="O1394" s="58"/>
      <c r="P1394" s="65"/>
      <c r="Q1394" s="58"/>
      <c r="R1394" s="65"/>
      <c r="S1394" s="59"/>
      <c r="T1394" s="64"/>
      <c r="U1394" s="44"/>
      <c r="V1394" s="84"/>
      <c r="W1394" s="59"/>
      <c r="X1394" s="64"/>
      <c r="Y1394" s="58"/>
      <c r="Z1394" s="65"/>
      <c r="AA1394" s="58"/>
      <c r="AB1394" s="65"/>
      <c r="AC1394" s="58"/>
      <c r="AD1394" s="65"/>
      <c r="AE1394" s="58"/>
      <c r="AF1394" s="65"/>
      <c r="AG1394" s="58"/>
      <c r="AH1394" s="65"/>
      <c r="AI1394" s="59"/>
      <c r="AJ1394" s="64"/>
      <c r="AK1394" s="44"/>
      <c r="AL1394" s="84"/>
      <c r="AM1394" s="49"/>
      <c r="AN1394" s="49"/>
      <c r="AO1394" s="49"/>
      <c r="AP1394" s="49"/>
      <c r="AQ1394" s="49"/>
      <c r="AR1394" s="40"/>
      <c r="AS1394" s="51"/>
      <c r="AT1394" s="84"/>
      <c r="AU1394" s="49"/>
      <c r="AV1394" s="84"/>
      <c r="AW1394" s="52"/>
      <c r="AX1394" s="84"/>
      <c r="BA1394" s="2"/>
      <c r="BB1394" s="2"/>
      <c r="BC1394" s="101"/>
      <c r="BD1394" s="101"/>
    </row>
    <row r="1395" spans="1:56" s="53" customFormat="1" ht="15" thickBot="1" x14ac:dyDescent="0.4">
      <c r="A1395" s="84"/>
      <c r="B1395" s="30" t="str">
        <f>IF(B1321="","",B1321)</f>
        <v/>
      </c>
      <c r="C1395" s="31"/>
      <c r="D1395" s="32"/>
      <c r="E1395" s="33" t="str">
        <f t="shared" si="552"/>
        <v/>
      </c>
      <c r="F1395" s="50">
        <f>B1341</f>
        <v>2</v>
      </c>
      <c r="G1395" s="69"/>
      <c r="H1395" s="70"/>
      <c r="I1395" s="67"/>
      <c r="J1395" s="68"/>
      <c r="K1395" s="67"/>
      <c r="L1395" s="68"/>
      <c r="M1395" s="67"/>
      <c r="N1395" s="68"/>
      <c r="O1395" s="67"/>
      <c r="P1395" s="68"/>
      <c r="Q1395" s="67"/>
      <c r="R1395" s="68"/>
      <c r="S1395" s="69"/>
      <c r="T1395" s="70"/>
      <c r="U1395" s="71">
        <f t="shared" ref="U1395" si="561">SUM(G1395:T1395)</f>
        <v>0</v>
      </c>
      <c r="V1395" s="72"/>
      <c r="W1395" s="69"/>
      <c r="X1395" s="70"/>
      <c r="Y1395" s="67"/>
      <c r="Z1395" s="68"/>
      <c r="AA1395" s="67"/>
      <c r="AB1395" s="68"/>
      <c r="AC1395" s="67"/>
      <c r="AD1395" s="68"/>
      <c r="AE1395" s="67"/>
      <c r="AF1395" s="68"/>
      <c r="AG1395" s="67"/>
      <c r="AH1395" s="68"/>
      <c r="AI1395" s="69"/>
      <c r="AJ1395" s="70"/>
      <c r="AK1395" s="71">
        <v>0</v>
      </c>
      <c r="AL1395" s="72"/>
      <c r="AM1395" s="73">
        <v>0</v>
      </c>
      <c r="AN1395" s="88">
        <v>0</v>
      </c>
      <c r="AO1395" s="73">
        <v>0</v>
      </c>
      <c r="AP1395" s="73">
        <v>0</v>
      </c>
      <c r="AQ1395" s="73">
        <v>0</v>
      </c>
      <c r="AR1395" s="74">
        <v>0</v>
      </c>
      <c r="AS1395" s="75">
        <v>0</v>
      </c>
      <c r="AT1395" s="72"/>
      <c r="AU1395" s="73">
        <f>SUMIF($G1394:$T1394,"A",$G1395:$T1395)+SUMIF($W1394:$AJ1394,"A",$W1395:$AJ1395)</f>
        <v>0</v>
      </c>
      <c r="AV1395" s="72"/>
      <c r="AW1395" s="76">
        <f>IF(B1395="",0,IF($U$9="",0,$U$9))</f>
        <v>0</v>
      </c>
      <c r="AX1395" s="84"/>
      <c r="BA1395" s="2"/>
      <c r="BB1395" s="2"/>
      <c r="BC1395" s="101"/>
      <c r="BD1395" s="101"/>
    </row>
    <row r="1396" spans="1:56" s="53" customFormat="1" ht="27.75" customHeight="1" thickBot="1" x14ac:dyDescent="0.4">
      <c r="A1396" s="84"/>
      <c r="B1396" s="149" t="s">
        <v>7</v>
      </c>
      <c r="C1396" s="150"/>
      <c r="D1396" s="150"/>
      <c r="E1396" s="151"/>
      <c r="F1396" s="97"/>
      <c r="G1396" s="152">
        <f>SUM(G1346:H1395)</f>
        <v>0</v>
      </c>
      <c r="H1396" s="152"/>
      <c r="I1396" s="152">
        <f>SUM(I1346:J1395)</f>
        <v>105.25</v>
      </c>
      <c r="J1396" s="152"/>
      <c r="K1396" s="152">
        <f>SUM(K1346:L1395)</f>
        <v>106</v>
      </c>
      <c r="L1396" s="152"/>
      <c r="M1396" s="152">
        <f>SUM(M1346:N1395)</f>
        <v>105.75</v>
      </c>
      <c r="N1396" s="152"/>
      <c r="O1396" s="152">
        <f>SUM(O1346:P1395)</f>
        <v>106.25</v>
      </c>
      <c r="P1396" s="152"/>
      <c r="Q1396" s="152">
        <f>SUM(Q1346:R1395)</f>
        <v>104.25</v>
      </c>
      <c r="R1396" s="152"/>
      <c r="S1396" s="152">
        <f>SUM(S1346:T1395)</f>
        <v>0</v>
      </c>
      <c r="T1396" s="153"/>
      <c r="U1396" s="77">
        <f>SUM(U1346:U1395)</f>
        <v>527.5</v>
      </c>
      <c r="V1396" s="78"/>
      <c r="W1396" s="152">
        <f>SUM(W1346:X1395)</f>
        <v>0</v>
      </c>
      <c r="X1396" s="152"/>
      <c r="Y1396" s="152">
        <f>SUM(Y1346:Z1395)</f>
        <v>113.25</v>
      </c>
      <c r="Z1396" s="152"/>
      <c r="AA1396" s="152">
        <f>SUM(AA1346:AB1395)</f>
        <v>113.5</v>
      </c>
      <c r="AB1396" s="152"/>
      <c r="AC1396" s="152">
        <f>SUM(AC1346:AD1395)</f>
        <v>113.75</v>
      </c>
      <c r="AD1396" s="152"/>
      <c r="AE1396" s="152">
        <f>SUM(AE1346:AF1395)</f>
        <v>112.25</v>
      </c>
      <c r="AF1396" s="152"/>
      <c r="AG1396" s="152">
        <f>SUM(AG1346:AH1395)</f>
        <v>104.5</v>
      </c>
      <c r="AH1396" s="152"/>
      <c r="AI1396" s="152">
        <f>SUM(AI1346:AJ1395)</f>
        <v>0</v>
      </c>
      <c r="AJ1396" s="152"/>
      <c r="AK1396" s="77">
        <f>SUM(AK1346:AK1395)</f>
        <v>557.25</v>
      </c>
      <c r="AL1396" s="78"/>
      <c r="AM1396" s="79">
        <f t="shared" ref="AM1396:AS1396" si="562">SUM(AM1346:AM1395)</f>
        <v>866.25</v>
      </c>
      <c r="AN1396" s="79">
        <f t="shared" si="562"/>
        <v>18.5</v>
      </c>
      <c r="AO1396" s="79">
        <f t="shared" si="562"/>
        <v>0</v>
      </c>
      <c r="AP1396" s="79">
        <f t="shared" si="562"/>
        <v>0</v>
      </c>
      <c r="AQ1396" s="79">
        <f t="shared" si="562"/>
        <v>200</v>
      </c>
      <c r="AR1396" s="80">
        <f t="shared" si="562"/>
        <v>0</v>
      </c>
      <c r="AS1396" s="81">
        <f t="shared" si="562"/>
        <v>1084.75</v>
      </c>
      <c r="AT1396" s="78"/>
      <c r="AU1396" s="82">
        <f>SUM(AU1346:AU1395)</f>
        <v>0</v>
      </c>
      <c r="AV1396" s="78"/>
      <c r="AW1396" s="83">
        <f>SUM(AW1346:AW1395)</f>
        <v>1360</v>
      </c>
      <c r="AX1396" s="84"/>
      <c r="BA1396" s="2"/>
      <c r="BB1396" s="2"/>
      <c r="BC1396" s="101"/>
      <c r="BD1396" s="101"/>
    </row>
    <row r="1397" spans="1:56" s="53" customFormat="1" ht="15" thickTop="1" x14ac:dyDescent="0.35">
      <c r="B1397" s="54"/>
      <c r="F1397" s="98"/>
      <c r="G1397" s="55"/>
      <c r="H1397" s="55"/>
      <c r="I1397" s="55"/>
      <c r="J1397" s="55"/>
      <c r="K1397" s="55"/>
      <c r="L1397" s="55"/>
      <c r="M1397" s="55"/>
      <c r="N1397" s="55"/>
      <c r="O1397" s="55"/>
      <c r="P1397" s="55"/>
      <c r="Q1397" s="55"/>
      <c r="R1397" s="55"/>
      <c r="S1397" s="55"/>
      <c r="T1397" s="55"/>
      <c r="U1397" s="56"/>
      <c r="V1397" s="55"/>
      <c r="W1397" s="55"/>
      <c r="X1397" s="55"/>
      <c r="Y1397" s="55"/>
      <c r="Z1397" s="55"/>
      <c r="AA1397" s="55"/>
      <c r="AB1397" s="55"/>
      <c r="AC1397" s="55"/>
      <c r="AD1397" s="55"/>
      <c r="AE1397" s="55"/>
      <c r="AF1397" s="55"/>
      <c r="AG1397" s="55"/>
      <c r="AH1397" s="55"/>
      <c r="AI1397" s="55"/>
      <c r="AJ1397" s="55"/>
      <c r="AK1397" s="56"/>
      <c r="AL1397" s="55"/>
      <c r="AM1397" s="55"/>
      <c r="AN1397" s="55"/>
      <c r="AO1397" s="55"/>
      <c r="AP1397" s="55"/>
      <c r="AQ1397" s="55"/>
      <c r="AR1397" s="55"/>
      <c r="AS1397" s="55"/>
      <c r="AT1397" s="55"/>
      <c r="AU1397" s="55"/>
      <c r="AV1397" s="55"/>
      <c r="AW1397" s="55"/>
      <c r="BA1397" s="2"/>
      <c r="BB1397" s="2"/>
      <c r="BC1397" s="101"/>
      <c r="BD1397" s="101"/>
    </row>
    <row r="1398" spans="1:56" s="53" customFormat="1" x14ac:dyDescent="0.35">
      <c r="B1398" s="54" t="s">
        <v>52</v>
      </c>
      <c r="D1398" s="141"/>
      <c r="E1398" s="141"/>
      <c r="F1398" s="141"/>
      <c r="G1398" s="141"/>
      <c r="H1398" s="141"/>
      <c r="I1398" s="141"/>
      <c r="J1398" s="141"/>
      <c r="K1398" s="141"/>
      <c r="L1398" s="141"/>
      <c r="M1398" s="141"/>
      <c r="N1398" s="141"/>
      <c r="O1398" s="141"/>
      <c r="P1398" s="141"/>
      <c r="Q1398" s="141"/>
      <c r="R1398" s="141"/>
      <c r="S1398" s="141"/>
      <c r="T1398" s="141"/>
      <c r="U1398" s="141"/>
      <c r="V1398" s="141"/>
      <c r="W1398" s="141"/>
      <c r="X1398" s="141"/>
      <c r="Y1398" s="141"/>
      <c r="Z1398" s="141"/>
      <c r="AA1398" s="141"/>
      <c r="AB1398" s="141"/>
      <c r="AC1398" s="141"/>
      <c r="AD1398" s="141"/>
      <c r="AE1398" s="141"/>
      <c r="AF1398" s="141"/>
      <c r="AG1398" s="141"/>
      <c r="AH1398" s="141"/>
      <c r="AI1398" s="141"/>
      <c r="AJ1398" s="141"/>
      <c r="AK1398" s="56"/>
      <c r="AL1398" s="55"/>
      <c r="AM1398" s="55"/>
      <c r="AN1398" s="55"/>
      <c r="AO1398" s="55"/>
      <c r="AP1398" s="55"/>
      <c r="AQ1398" s="55"/>
      <c r="AR1398" s="55"/>
      <c r="AS1398" s="55"/>
      <c r="AT1398" s="55"/>
      <c r="AU1398" s="55"/>
      <c r="AV1398" s="55"/>
      <c r="AW1398" s="55"/>
      <c r="BA1398" s="2"/>
      <c r="BB1398" s="2"/>
      <c r="BC1398" s="101"/>
      <c r="BD1398" s="101"/>
    </row>
    <row r="1399" spans="1:56" s="84" customFormat="1" x14ac:dyDescent="0.35">
      <c r="A1399" s="53"/>
      <c r="B1399" s="54"/>
      <c r="C1399" s="53"/>
      <c r="D1399" s="141"/>
      <c r="E1399" s="141"/>
      <c r="F1399" s="141"/>
      <c r="G1399" s="141"/>
      <c r="H1399" s="141"/>
      <c r="I1399" s="141"/>
      <c r="J1399" s="141"/>
      <c r="K1399" s="141"/>
      <c r="L1399" s="141"/>
      <c r="M1399" s="141"/>
      <c r="N1399" s="141"/>
      <c r="O1399" s="141"/>
      <c r="P1399" s="141"/>
      <c r="Q1399" s="141"/>
      <c r="R1399" s="141"/>
      <c r="S1399" s="141"/>
      <c r="T1399" s="141"/>
      <c r="U1399" s="141"/>
      <c r="V1399" s="141"/>
      <c r="W1399" s="141"/>
      <c r="X1399" s="141"/>
      <c r="Y1399" s="141"/>
      <c r="Z1399" s="141"/>
      <c r="AA1399" s="141"/>
      <c r="AB1399" s="141"/>
      <c r="AC1399" s="141"/>
      <c r="AD1399" s="141"/>
      <c r="AE1399" s="141"/>
      <c r="AF1399" s="141"/>
      <c r="AG1399" s="141"/>
      <c r="AH1399" s="141"/>
      <c r="AI1399" s="141"/>
      <c r="AJ1399" s="141"/>
      <c r="AK1399" s="56"/>
      <c r="AL1399" s="55"/>
      <c r="AM1399" s="55"/>
      <c r="AN1399" s="55"/>
      <c r="AO1399" s="55"/>
      <c r="AP1399" s="55"/>
      <c r="AQ1399" s="55"/>
      <c r="AR1399" s="55"/>
      <c r="AS1399" s="55"/>
      <c r="AT1399" s="55"/>
      <c r="AU1399" s="55"/>
      <c r="AV1399" s="55"/>
      <c r="AW1399" s="55"/>
      <c r="AX1399" s="53"/>
      <c r="BA1399" s="2"/>
      <c r="BB1399" s="2"/>
      <c r="BC1399" s="101"/>
      <c r="BD1399" s="101"/>
    </row>
    <row r="1400" spans="1:56" s="84" customFormat="1" x14ac:dyDescent="0.35">
      <c r="A1400" s="53"/>
      <c r="B1400" s="54"/>
      <c r="C1400" s="53"/>
      <c r="D1400" s="141"/>
      <c r="E1400" s="141"/>
      <c r="F1400" s="141"/>
      <c r="G1400" s="141"/>
      <c r="H1400" s="141"/>
      <c r="I1400" s="141"/>
      <c r="J1400" s="141"/>
      <c r="K1400" s="141"/>
      <c r="L1400" s="141"/>
      <c r="M1400" s="141"/>
      <c r="N1400" s="141"/>
      <c r="O1400" s="141"/>
      <c r="P1400" s="141"/>
      <c r="Q1400" s="141"/>
      <c r="R1400" s="141"/>
      <c r="S1400" s="141"/>
      <c r="T1400" s="141"/>
      <c r="U1400" s="141"/>
      <c r="V1400" s="141"/>
      <c r="W1400" s="141"/>
      <c r="X1400" s="141"/>
      <c r="Y1400" s="141"/>
      <c r="Z1400" s="141"/>
      <c r="AA1400" s="141"/>
      <c r="AB1400" s="141"/>
      <c r="AC1400" s="141"/>
      <c r="AD1400" s="141"/>
      <c r="AE1400" s="141"/>
      <c r="AF1400" s="141"/>
      <c r="AG1400" s="141"/>
      <c r="AH1400" s="141"/>
      <c r="AI1400" s="141"/>
      <c r="AJ1400" s="141"/>
      <c r="AK1400" s="56"/>
      <c r="AL1400" s="55"/>
      <c r="AM1400" s="55"/>
      <c r="AN1400" s="55"/>
      <c r="AO1400" s="55"/>
      <c r="AP1400" s="55"/>
      <c r="AQ1400" s="55"/>
      <c r="AR1400" s="55"/>
      <c r="AS1400" s="55"/>
      <c r="AT1400" s="55"/>
      <c r="AU1400" s="55"/>
      <c r="AV1400" s="55"/>
      <c r="AW1400" s="55"/>
      <c r="AX1400" s="53"/>
      <c r="BA1400" s="2"/>
      <c r="BB1400" s="2"/>
      <c r="BC1400" s="101"/>
      <c r="BD1400" s="101"/>
    </row>
    <row r="1401" spans="1:56" s="84" customFormat="1" ht="15" customHeight="1" x14ac:dyDescent="0.35">
      <c r="A1401" s="53"/>
      <c r="B1401" s="54"/>
      <c r="C1401" s="53"/>
      <c r="D1401" s="53"/>
      <c r="E1401" s="53"/>
      <c r="F1401" s="98"/>
      <c r="G1401" s="55"/>
      <c r="H1401" s="55"/>
      <c r="I1401" s="55"/>
      <c r="J1401" s="55"/>
      <c r="K1401" s="55"/>
      <c r="L1401" s="55"/>
      <c r="M1401" s="55"/>
      <c r="N1401" s="55"/>
      <c r="O1401" s="55"/>
      <c r="P1401" s="55"/>
      <c r="Q1401" s="55"/>
      <c r="R1401" s="55"/>
      <c r="S1401" s="55"/>
      <c r="T1401" s="55"/>
      <c r="U1401" s="56"/>
      <c r="V1401" s="55"/>
      <c r="W1401" s="55"/>
      <c r="X1401" s="55"/>
      <c r="Y1401" s="55"/>
      <c r="Z1401" s="55"/>
      <c r="AA1401" s="55"/>
      <c r="AB1401" s="55"/>
      <c r="AC1401" s="55"/>
      <c r="AD1401" s="55"/>
      <c r="AE1401" s="55"/>
      <c r="AF1401" s="55"/>
      <c r="AG1401" s="55"/>
      <c r="AH1401" s="55"/>
      <c r="AI1401" s="55"/>
      <c r="AJ1401" s="55"/>
      <c r="AK1401" s="56"/>
      <c r="AL1401" s="55"/>
      <c r="AM1401" s="55"/>
      <c r="AN1401" s="55"/>
      <c r="AO1401" s="55"/>
      <c r="AP1401" s="55"/>
      <c r="AQ1401" s="55"/>
      <c r="AR1401" s="55"/>
      <c r="AS1401" s="55"/>
      <c r="AT1401" s="55"/>
      <c r="AU1401" s="55"/>
      <c r="AV1401" s="55"/>
      <c r="AW1401" s="55"/>
      <c r="AX1401" s="53"/>
      <c r="BA1401" s="2"/>
      <c r="BB1401" s="2"/>
      <c r="BC1401" s="101"/>
      <c r="BD1401" s="101"/>
    </row>
    <row r="1402" spans="1:56" s="84" customFormat="1" ht="15" customHeight="1" x14ac:dyDescent="0.35">
      <c r="A1402" s="53"/>
      <c r="B1402" s="54" t="s">
        <v>53</v>
      </c>
      <c r="C1402" s="53"/>
      <c r="D1402" s="31" t="s">
        <v>86</v>
      </c>
      <c r="E1402" s="34"/>
      <c r="F1402" s="99"/>
      <c r="G1402" s="34"/>
      <c r="H1402" s="34"/>
      <c r="I1402" s="34"/>
      <c r="J1402" s="34"/>
      <c r="K1402" s="53"/>
      <c r="L1402" s="55" t="s">
        <v>8</v>
      </c>
      <c r="M1402" s="53"/>
      <c r="N1402" s="142">
        <f ca="1">NOW()</f>
        <v>44720.650928935182</v>
      </c>
      <c r="O1402" s="142"/>
      <c r="P1402" s="142"/>
      <c r="Q1402" s="53"/>
      <c r="R1402" s="53"/>
      <c r="S1402" s="53"/>
      <c r="T1402" s="53"/>
      <c r="U1402" s="53"/>
      <c r="V1402" s="55"/>
      <c r="W1402" s="55"/>
      <c r="X1402" s="55"/>
      <c r="Y1402" s="55"/>
      <c r="Z1402" s="55"/>
      <c r="AA1402" s="55"/>
      <c r="AB1402" s="55"/>
      <c r="AC1402" s="55"/>
      <c r="AD1402" s="55"/>
      <c r="AE1402" s="55"/>
      <c r="AF1402" s="55"/>
      <c r="AG1402" s="55"/>
      <c r="AH1402" s="55"/>
      <c r="AI1402" s="55"/>
      <c r="AJ1402" s="55"/>
      <c r="AK1402" s="56"/>
      <c r="AL1402" s="55"/>
      <c r="AM1402" s="55"/>
      <c r="AN1402" s="55"/>
      <c r="AO1402" s="55"/>
      <c r="AP1402" s="55"/>
      <c r="AQ1402" s="55"/>
      <c r="AR1402" s="55"/>
      <c r="AS1402" s="55"/>
      <c r="AT1402" s="55"/>
      <c r="AU1402" s="55"/>
      <c r="AV1402" s="55"/>
      <c r="AW1402" s="55"/>
      <c r="AX1402" s="53"/>
      <c r="BA1402" s="2"/>
      <c r="BB1402" s="2"/>
      <c r="BC1402" s="101"/>
      <c r="BD1402" s="101"/>
    </row>
    <row r="1403" spans="1:56" s="84" customFormat="1" x14ac:dyDescent="0.35">
      <c r="A1403" s="53"/>
      <c r="B1403" s="54"/>
      <c r="C1403" s="53"/>
      <c r="D1403" s="53"/>
      <c r="E1403" s="53"/>
      <c r="F1403" s="98"/>
      <c r="G1403" s="55"/>
      <c r="H1403" s="55"/>
      <c r="I1403" s="55"/>
      <c r="J1403" s="55"/>
      <c r="K1403" s="53"/>
      <c r="L1403" s="55"/>
      <c r="M1403" s="53"/>
      <c r="N1403" s="55"/>
      <c r="O1403" s="56"/>
      <c r="P1403" s="53"/>
      <c r="Q1403" s="53"/>
      <c r="R1403" s="53"/>
      <c r="S1403" s="53"/>
      <c r="T1403" s="53"/>
      <c r="U1403" s="53"/>
      <c r="V1403" s="55"/>
      <c r="W1403" s="55"/>
      <c r="X1403" s="55"/>
      <c r="Y1403" s="55"/>
      <c r="Z1403" s="55"/>
      <c r="AA1403" s="55"/>
      <c r="AB1403" s="55"/>
      <c r="AC1403" s="55"/>
      <c r="AD1403" s="55"/>
      <c r="AE1403" s="55"/>
      <c r="AF1403" s="55"/>
      <c r="AG1403" s="55"/>
      <c r="AH1403" s="55"/>
      <c r="AI1403" s="55"/>
      <c r="AJ1403" s="55"/>
      <c r="AK1403" s="56"/>
      <c r="AL1403" s="55"/>
      <c r="AM1403" s="55"/>
      <c r="AN1403" s="55"/>
      <c r="AO1403" s="55"/>
      <c r="AP1403" s="55"/>
      <c r="AQ1403" s="55"/>
      <c r="AR1403" s="55"/>
      <c r="AS1403" s="55"/>
      <c r="AT1403" s="55"/>
      <c r="AU1403" s="55"/>
      <c r="AV1403" s="55"/>
      <c r="AW1403" s="55"/>
      <c r="AX1403" s="53"/>
      <c r="BA1403" s="2"/>
      <c r="BB1403" s="2"/>
      <c r="BC1403" s="101"/>
      <c r="BD1403" s="101"/>
    </row>
    <row r="1404" spans="1:56" s="84" customFormat="1" x14ac:dyDescent="0.35">
      <c r="A1404" s="53"/>
      <c r="B1404" s="54" t="s">
        <v>54</v>
      </c>
      <c r="C1404" s="53"/>
      <c r="D1404" s="31"/>
      <c r="E1404" s="34"/>
      <c r="F1404" s="99"/>
      <c r="G1404" s="34"/>
      <c r="H1404" s="34"/>
      <c r="I1404" s="34"/>
      <c r="J1404" s="34"/>
      <c r="K1404" s="53"/>
      <c r="L1404" s="55" t="s">
        <v>8</v>
      </c>
      <c r="M1404" s="53"/>
      <c r="N1404" s="142">
        <f ca="1">NOW()</f>
        <v>44720.650928935182</v>
      </c>
      <c r="O1404" s="142"/>
      <c r="P1404" s="142"/>
      <c r="Q1404" s="53"/>
      <c r="R1404" s="53"/>
      <c r="S1404" s="53"/>
      <c r="T1404" s="53"/>
      <c r="U1404" s="53"/>
      <c r="V1404" s="55"/>
      <c r="W1404" s="55"/>
      <c r="X1404" s="55"/>
      <c r="Y1404" s="55"/>
      <c r="Z1404" s="55"/>
      <c r="AA1404" s="55"/>
      <c r="AB1404" s="55"/>
      <c r="AC1404" s="55"/>
      <c r="AD1404" s="55"/>
      <c r="AE1404" s="55"/>
      <c r="AF1404" s="55"/>
      <c r="AG1404" s="55"/>
      <c r="AH1404" s="55"/>
      <c r="AI1404" s="55"/>
      <c r="AJ1404" s="55"/>
      <c r="AK1404" s="56"/>
      <c r="AL1404" s="55"/>
      <c r="AM1404" s="55"/>
      <c r="AN1404" s="55"/>
      <c r="AO1404" s="55"/>
      <c r="AP1404" s="55"/>
      <c r="AQ1404" s="55"/>
      <c r="AR1404" s="55"/>
      <c r="AS1404" s="55"/>
      <c r="AT1404" s="55"/>
      <c r="AU1404" s="55"/>
      <c r="AV1404" s="55"/>
      <c r="AW1404" s="55"/>
      <c r="AX1404" s="53"/>
      <c r="BA1404" s="2"/>
      <c r="BB1404" s="2"/>
      <c r="BC1404" s="101"/>
      <c r="BD1404" s="101"/>
    </row>
    <row r="1405" spans="1:56" s="84" customFormat="1" x14ac:dyDescent="0.35">
      <c r="A1405" s="53"/>
      <c r="B1405" s="54"/>
      <c r="C1405" s="53"/>
      <c r="D1405" s="53"/>
      <c r="E1405" s="53"/>
      <c r="F1405" s="98"/>
      <c r="G1405" s="55"/>
      <c r="H1405" s="55"/>
      <c r="I1405" s="55"/>
      <c r="J1405" s="55"/>
      <c r="K1405" s="55"/>
      <c r="L1405" s="55"/>
      <c r="M1405" s="55"/>
      <c r="N1405" s="55"/>
      <c r="O1405" s="55"/>
      <c r="P1405" s="55"/>
      <c r="Q1405" s="55"/>
      <c r="R1405" s="55"/>
      <c r="S1405" s="55"/>
      <c r="T1405" s="55"/>
      <c r="U1405" s="56"/>
      <c r="V1405" s="55"/>
      <c r="W1405" s="55"/>
      <c r="X1405" s="55"/>
      <c r="Y1405" s="55"/>
      <c r="Z1405" s="55"/>
      <c r="AA1405" s="55"/>
      <c r="AB1405" s="55"/>
      <c r="AC1405" s="55"/>
      <c r="AD1405" s="55"/>
      <c r="AE1405" s="55"/>
      <c r="AF1405" s="55"/>
      <c r="AG1405" s="55"/>
      <c r="AH1405" s="55"/>
      <c r="AI1405" s="55"/>
      <c r="AJ1405" s="55"/>
      <c r="AK1405" s="56"/>
      <c r="AL1405" s="55"/>
      <c r="AM1405" s="55"/>
      <c r="AN1405" s="55"/>
      <c r="AO1405" s="55"/>
      <c r="AP1405" s="55"/>
      <c r="AQ1405" s="55"/>
      <c r="AR1405" s="55"/>
      <c r="AS1405" s="55"/>
      <c r="AT1405" s="55"/>
      <c r="AU1405" s="55"/>
      <c r="AV1405" s="55"/>
      <c r="AW1405" s="55"/>
      <c r="AX1405" s="53"/>
      <c r="BA1405" s="2"/>
      <c r="BB1405" s="2"/>
      <c r="BC1405" s="101"/>
      <c r="BD1405" s="101"/>
    </row>
    <row r="1406" spans="1:56" s="84" customFormat="1" x14ac:dyDescent="0.35">
      <c r="A1406" s="53"/>
      <c r="B1406" s="54" t="s">
        <v>9</v>
      </c>
      <c r="C1406" s="53"/>
      <c r="D1406" s="53"/>
      <c r="E1406" s="53"/>
      <c r="F1406" s="98"/>
      <c r="G1406" s="55"/>
      <c r="H1406" s="55"/>
      <c r="I1406" s="55"/>
      <c r="J1406" s="55"/>
      <c r="K1406" s="55"/>
      <c r="L1406" s="55"/>
      <c r="M1406" s="55"/>
      <c r="N1406" s="55"/>
      <c r="O1406" s="55"/>
      <c r="P1406" s="55"/>
      <c r="Q1406" s="55"/>
      <c r="R1406" s="55"/>
      <c r="S1406" s="55"/>
      <c r="T1406" s="55"/>
      <c r="U1406" s="56"/>
      <c r="V1406" s="55"/>
      <c r="W1406" s="55"/>
      <c r="X1406" s="55"/>
      <c r="Y1406" s="55"/>
      <c r="Z1406" s="55"/>
      <c r="AA1406" s="55"/>
      <c r="AB1406" s="55"/>
      <c r="AC1406" s="55"/>
      <c r="AD1406" s="55"/>
      <c r="AE1406" s="55"/>
      <c r="AF1406" s="55"/>
      <c r="AG1406" s="55"/>
      <c r="AH1406" s="55"/>
      <c r="AI1406" s="55"/>
      <c r="AJ1406" s="55"/>
      <c r="AK1406" s="56"/>
      <c r="AL1406" s="55"/>
      <c r="AM1406" s="55"/>
      <c r="AN1406" s="55"/>
      <c r="AO1406" s="55"/>
      <c r="AP1406" s="55"/>
      <c r="AQ1406" s="55"/>
      <c r="AR1406" s="55"/>
      <c r="AS1406" s="55"/>
      <c r="AT1406" s="55"/>
      <c r="AU1406" s="55"/>
      <c r="AV1406" s="55"/>
      <c r="AW1406" s="55"/>
      <c r="AX1406" s="53"/>
      <c r="BA1406" s="2"/>
      <c r="BB1406" s="2"/>
      <c r="BC1406" s="101"/>
      <c r="BD1406" s="101"/>
    </row>
    <row r="1407" spans="1:56" x14ac:dyDescent="0.35">
      <c r="BA1407" s="2"/>
      <c r="BB1407" s="2"/>
      <c r="BC1407" s="101"/>
      <c r="BD1407" s="101"/>
    </row>
    <row r="1408" spans="1:56" x14ac:dyDescent="0.35">
      <c r="BA1408" s="2"/>
      <c r="BB1408" s="2"/>
      <c r="BC1408" s="101"/>
      <c r="BD1408" s="101"/>
    </row>
    <row r="1409" spans="2:56" s="84" customFormat="1" ht="28.5" x14ac:dyDescent="0.65">
      <c r="F1409" s="50"/>
      <c r="G1409" s="143" t="s">
        <v>10</v>
      </c>
      <c r="H1409" s="143"/>
      <c r="I1409" s="143"/>
      <c r="J1409" s="143"/>
      <c r="K1409" s="143"/>
      <c r="L1409" s="143"/>
      <c r="M1409" s="143"/>
      <c r="N1409" s="143"/>
      <c r="O1409" s="143"/>
      <c r="P1409" s="143"/>
      <c r="Q1409" s="143"/>
      <c r="R1409" s="143"/>
      <c r="S1409" s="143"/>
      <c r="T1409" s="143"/>
      <c r="U1409" s="143"/>
      <c r="W1409" s="37" t="s">
        <v>12</v>
      </c>
      <c r="X1409" s="86" t="s">
        <v>11</v>
      </c>
      <c r="BA1409" s="2"/>
      <c r="BB1409" s="2"/>
      <c r="BC1409" s="101"/>
      <c r="BD1409" s="101"/>
    </row>
    <row r="1410" spans="2:56" s="84" customFormat="1" x14ac:dyDescent="0.35">
      <c r="F1410" s="50"/>
      <c r="G1410" s="84" t="s">
        <v>0</v>
      </c>
      <c r="W1410" s="37" t="s">
        <v>13</v>
      </c>
      <c r="X1410" s="86" t="s">
        <v>14</v>
      </c>
      <c r="BA1410" s="2"/>
      <c r="BB1410" s="2"/>
      <c r="BC1410" s="101"/>
      <c r="BD1410" s="101"/>
    </row>
    <row r="1411" spans="2:56" s="84" customFormat="1" x14ac:dyDescent="0.35">
      <c r="F1411" s="50"/>
      <c r="W1411" s="37" t="s">
        <v>1</v>
      </c>
      <c r="X1411" s="86" t="s">
        <v>15</v>
      </c>
      <c r="BA1411" s="2"/>
      <c r="BB1411" s="2"/>
      <c r="BC1411" s="101"/>
      <c r="BD1411" s="101"/>
    </row>
    <row r="1412" spans="2:56" s="84" customFormat="1" x14ac:dyDescent="0.35">
      <c r="F1412" s="50"/>
      <c r="W1412" s="37" t="s">
        <v>2</v>
      </c>
      <c r="X1412" s="86" t="s">
        <v>16</v>
      </c>
      <c r="BA1412" s="2"/>
      <c r="BB1412" s="2"/>
      <c r="BC1412" s="101"/>
      <c r="BD1412" s="101"/>
    </row>
    <row r="1413" spans="2:56" s="84" customFormat="1" ht="15" customHeight="1" x14ac:dyDescent="0.35">
      <c r="B1413" s="154" t="s">
        <v>35</v>
      </c>
      <c r="F1413" s="50"/>
      <c r="G1413" s="154" t="s">
        <v>36</v>
      </c>
      <c r="H1413" s="154"/>
      <c r="I1413" s="154"/>
      <c r="K1413" s="154" t="s">
        <v>36</v>
      </c>
      <c r="L1413" s="154"/>
      <c r="M1413" s="154"/>
      <c r="W1413" s="37" t="s">
        <v>3</v>
      </c>
      <c r="X1413" s="86" t="s">
        <v>17</v>
      </c>
      <c r="BA1413" s="2"/>
      <c r="BB1413" s="2"/>
      <c r="BC1413" s="101"/>
      <c r="BD1413" s="101"/>
    </row>
    <row r="1414" spans="2:56" s="84" customFormat="1" x14ac:dyDescent="0.35">
      <c r="B1414" s="155"/>
      <c r="D1414" s="37" t="s">
        <v>34</v>
      </c>
      <c r="F1414" s="50"/>
      <c r="G1414" s="154"/>
      <c r="H1414" s="154"/>
      <c r="I1414" s="154"/>
      <c r="K1414" s="154"/>
      <c r="L1414" s="154"/>
      <c r="M1414" s="154"/>
      <c r="W1414" s="38"/>
      <c r="BA1414" s="2"/>
      <c r="BB1414" s="2"/>
      <c r="BC1414" s="101"/>
      <c r="BD1414" s="101"/>
    </row>
    <row r="1415" spans="2:56" s="84" customFormat="1" x14ac:dyDescent="0.35">
      <c r="B1415" s="100">
        <f>B1341+1</f>
        <v>3</v>
      </c>
      <c r="D1415" s="100">
        <f>D1341</f>
        <v>2022</v>
      </c>
      <c r="E1415" s="87" t="s">
        <v>38</v>
      </c>
      <c r="F1415" s="50"/>
      <c r="G1415" s="156">
        <f>K1341+1</f>
        <v>44577</v>
      </c>
      <c r="H1415" s="157"/>
      <c r="I1415" s="158"/>
      <c r="J1415" s="37" t="s">
        <v>37</v>
      </c>
      <c r="K1415" s="156">
        <f>IF(G1415="","",G1415+13)</f>
        <v>44590</v>
      </c>
      <c r="L1415" s="157"/>
      <c r="M1415" s="158"/>
      <c r="P1415" s="159" t="s">
        <v>39</v>
      </c>
      <c r="Q1415" s="160"/>
      <c r="R1415" s="160"/>
      <c r="S1415" s="160"/>
      <c r="T1415" s="161"/>
      <c r="U1415" s="24">
        <v>80</v>
      </c>
      <c r="BA1415" s="2"/>
      <c r="BB1415" s="2"/>
      <c r="BC1415" s="101"/>
      <c r="BD1415" s="101"/>
    </row>
    <row r="1416" spans="2:56" s="84" customFormat="1" x14ac:dyDescent="0.35">
      <c r="F1416" s="50"/>
      <c r="AM1416" s="144" t="s">
        <v>4</v>
      </c>
      <c r="AN1416" s="144"/>
      <c r="AO1416" s="144"/>
      <c r="AP1416" s="144"/>
      <c r="AQ1416" s="144"/>
      <c r="AR1416" s="144"/>
      <c r="AS1416" s="144"/>
      <c r="AU1416" s="100" t="s">
        <v>4</v>
      </c>
      <c r="BA1416" s="2"/>
      <c r="BB1416" s="2"/>
      <c r="BC1416" s="101"/>
      <c r="BD1416" s="101"/>
    </row>
    <row r="1417" spans="2:56" s="84" customFormat="1" ht="15" customHeight="1" x14ac:dyDescent="0.35">
      <c r="B1417" s="40"/>
      <c r="C1417" s="41"/>
      <c r="D1417" s="42" t="s">
        <v>32</v>
      </c>
      <c r="E1417" s="43" t="s">
        <v>5</v>
      </c>
      <c r="F1417" s="50"/>
      <c r="G1417" s="162">
        <f>G1415</f>
        <v>44577</v>
      </c>
      <c r="H1417" s="163"/>
      <c r="I1417" s="162">
        <f>IF(G1417="","",G1417+1)</f>
        <v>44578</v>
      </c>
      <c r="J1417" s="163"/>
      <c r="K1417" s="162">
        <f>IF(I1417="","",I1417+1)</f>
        <v>44579</v>
      </c>
      <c r="L1417" s="163"/>
      <c r="M1417" s="162">
        <f>IF(K1417="","",K1417+1)</f>
        <v>44580</v>
      </c>
      <c r="N1417" s="163"/>
      <c r="O1417" s="162">
        <f>IF(M1417="","",M1417+1)</f>
        <v>44581</v>
      </c>
      <c r="P1417" s="163"/>
      <c r="Q1417" s="162">
        <f>IF(O1417="","",O1417+1)</f>
        <v>44582</v>
      </c>
      <c r="R1417" s="163"/>
      <c r="S1417" s="162">
        <f>IF(Q1417="","",Q1417+1)</f>
        <v>44583</v>
      </c>
      <c r="T1417" s="164"/>
      <c r="U1417" s="44"/>
      <c r="W1417" s="162">
        <f>IF(S1417="","",S1417+1)</f>
        <v>44584</v>
      </c>
      <c r="X1417" s="163"/>
      <c r="Y1417" s="162">
        <f>IF(W1417="","",W1417+1)</f>
        <v>44585</v>
      </c>
      <c r="Z1417" s="163"/>
      <c r="AA1417" s="162">
        <f>IF(Y1417="","",Y1417+1)</f>
        <v>44586</v>
      </c>
      <c r="AB1417" s="163"/>
      <c r="AC1417" s="162">
        <f>IF(AA1417="","",AA1417+1)</f>
        <v>44587</v>
      </c>
      <c r="AD1417" s="163"/>
      <c r="AE1417" s="162">
        <f>IF(AC1417="","",AC1417+1)</f>
        <v>44588</v>
      </c>
      <c r="AF1417" s="163"/>
      <c r="AG1417" s="162">
        <f>IF(AE1417="","",AE1417+1)</f>
        <v>44589</v>
      </c>
      <c r="AH1417" s="163"/>
      <c r="AI1417" s="162">
        <f>IF(AG1417="","",AG1417+1)</f>
        <v>44590</v>
      </c>
      <c r="AJ1417" s="164"/>
      <c r="AK1417" s="44"/>
      <c r="AM1417" s="145" t="s">
        <v>18</v>
      </c>
      <c r="AN1417" s="165" t="s">
        <v>55</v>
      </c>
      <c r="AO1417" s="145" t="s">
        <v>19</v>
      </c>
      <c r="AP1417" s="145" t="s">
        <v>20</v>
      </c>
      <c r="AQ1417" s="145" t="s">
        <v>21</v>
      </c>
      <c r="AR1417" s="166" t="s">
        <v>22</v>
      </c>
      <c r="AS1417" s="167" t="s">
        <v>23</v>
      </c>
      <c r="AU1417" s="144" t="s">
        <v>6</v>
      </c>
      <c r="AW1417" s="145" t="s">
        <v>24</v>
      </c>
      <c r="BA1417" s="2"/>
      <c r="BB1417" s="2"/>
      <c r="BC1417" s="101"/>
      <c r="BD1417" s="101"/>
    </row>
    <row r="1418" spans="2:56" s="84" customFormat="1" x14ac:dyDescent="0.35">
      <c r="B1418" s="45" t="s">
        <v>33</v>
      </c>
      <c r="C1418" s="46"/>
      <c r="D1418" s="47"/>
      <c r="E1418" s="47"/>
      <c r="F1418" s="50"/>
      <c r="G1418" s="146" t="s">
        <v>25</v>
      </c>
      <c r="H1418" s="147"/>
      <c r="I1418" s="146" t="s">
        <v>26</v>
      </c>
      <c r="J1418" s="147"/>
      <c r="K1418" s="146" t="s">
        <v>27</v>
      </c>
      <c r="L1418" s="147"/>
      <c r="M1418" s="146" t="s">
        <v>28</v>
      </c>
      <c r="N1418" s="147"/>
      <c r="O1418" s="146" t="s">
        <v>29</v>
      </c>
      <c r="P1418" s="147"/>
      <c r="Q1418" s="146" t="s">
        <v>30</v>
      </c>
      <c r="R1418" s="147"/>
      <c r="S1418" s="146" t="s">
        <v>31</v>
      </c>
      <c r="T1418" s="148"/>
      <c r="U1418" s="48" t="s">
        <v>7</v>
      </c>
      <c r="W1418" s="146" t="s">
        <v>25</v>
      </c>
      <c r="X1418" s="147"/>
      <c r="Y1418" s="146" t="s">
        <v>26</v>
      </c>
      <c r="Z1418" s="147"/>
      <c r="AA1418" s="146" t="s">
        <v>27</v>
      </c>
      <c r="AB1418" s="147"/>
      <c r="AC1418" s="146" t="s">
        <v>28</v>
      </c>
      <c r="AD1418" s="147"/>
      <c r="AE1418" s="146" t="s">
        <v>29</v>
      </c>
      <c r="AF1418" s="147"/>
      <c r="AG1418" s="146" t="s">
        <v>30</v>
      </c>
      <c r="AH1418" s="147"/>
      <c r="AI1418" s="146" t="s">
        <v>31</v>
      </c>
      <c r="AJ1418" s="148"/>
      <c r="AK1418" s="48" t="s">
        <v>7</v>
      </c>
      <c r="AM1418" s="145"/>
      <c r="AN1418" s="165"/>
      <c r="AO1418" s="145"/>
      <c r="AP1418" s="145"/>
      <c r="AQ1418" s="145"/>
      <c r="AR1418" s="166"/>
      <c r="AS1418" s="167"/>
      <c r="AU1418" s="144"/>
      <c r="AW1418" s="145"/>
      <c r="BA1418" s="2"/>
      <c r="BB1418" s="2"/>
      <c r="BC1418" s="101"/>
      <c r="BD1418" s="101"/>
    </row>
    <row r="1419" spans="2:56" s="84" customFormat="1" x14ac:dyDescent="0.35">
      <c r="B1419" s="63"/>
      <c r="C1419" s="25"/>
      <c r="D1419" s="25"/>
      <c r="E1419" s="25"/>
      <c r="F1419" s="50"/>
      <c r="BA1419" s="2"/>
      <c r="BB1419" s="2"/>
      <c r="BC1419" s="101"/>
      <c r="BD1419" s="101"/>
    </row>
    <row r="1420" spans="2:56" s="84" customFormat="1" x14ac:dyDescent="0.35">
      <c r="B1420" s="26"/>
      <c r="C1420" s="27"/>
      <c r="D1420" s="28">
        <f>IF(D1346="","",D1346)</f>
        <v>31428</v>
      </c>
      <c r="E1420" s="29" t="str">
        <f>IF(E1346="","",E1346)</f>
        <v/>
      </c>
      <c r="F1420" s="50">
        <f>B1415</f>
        <v>3</v>
      </c>
      <c r="G1420" s="59"/>
      <c r="H1420" s="64"/>
      <c r="I1420" s="106"/>
      <c r="J1420" s="105"/>
      <c r="K1420" s="106"/>
      <c r="L1420" s="105"/>
      <c r="M1420" s="106"/>
      <c r="N1420" s="105"/>
      <c r="O1420" s="106"/>
      <c r="P1420" s="105"/>
      <c r="Q1420" s="106"/>
      <c r="R1420" s="105"/>
      <c r="S1420" s="59"/>
      <c r="T1420" s="64"/>
      <c r="U1420" s="44"/>
      <c r="W1420" s="59"/>
      <c r="X1420" s="64"/>
      <c r="Y1420" s="106"/>
      <c r="Z1420" s="130" t="s">
        <v>12</v>
      </c>
      <c r="AA1420" s="106"/>
      <c r="AB1420" s="105"/>
      <c r="AC1420" s="106"/>
      <c r="AD1420" s="105"/>
      <c r="AE1420" s="106"/>
      <c r="AF1420" s="105"/>
      <c r="AG1420" s="106"/>
      <c r="AH1420" s="105"/>
      <c r="AI1420" s="59"/>
      <c r="AJ1420" s="64"/>
      <c r="AK1420" s="44"/>
      <c r="AM1420" s="49"/>
      <c r="AN1420" s="49"/>
      <c r="AO1420" s="49"/>
      <c r="AP1420" s="49"/>
      <c r="AQ1420" s="49"/>
      <c r="AR1420" s="40"/>
      <c r="AS1420" s="51"/>
      <c r="AU1420" s="49"/>
      <c r="AW1420" s="52"/>
      <c r="BA1420" s="2"/>
      <c r="BB1420" s="2"/>
      <c r="BC1420" s="101"/>
      <c r="BD1420" s="101"/>
    </row>
    <row r="1421" spans="2:56" s="84" customFormat="1" x14ac:dyDescent="0.35">
      <c r="B1421" s="30" t="str">
        <f>IF(B1347="","",B1347)</f>
        <v>Gaulin, Francis</v>
      </c>
      <c r="C1421" s="31"/>
      <c r="D1421" s="32"/>
      <c r="E1421" s="33">
        <f t="shared" ref="E1421:E1452" si="563">IF(E1347="","",E1347)</f>
        <v>93542</v>
      </c>
      <c r="F1421" s="50">
        <f>B1415</f>
        <v>3</v>
      </c>
      <c r="G1421" s="95"/>
      <c r="H1421" s="70"/>
      <c r="I1421" s="104"/>
      <c r="J1421" s="103">
        <v>8</v>
      </c>
      <c r="K1421" s="104"/>
      <c r="L1421" s="103">
        <v>8</v>
      </c>
      <c r="M1421" s="104"/>
      <c r="N1421" s="103">
        <v>8</v>
      </c>
      <c r="O1421" s="104"/>
      <c r="P1421" s="103">
        <v>8</v>
      </c>
      <c r="Q1421" s="104"/>
      <c r="R1421" s="103">
        <v>7.5</v>
      </c>
      <c r="S1421" s="69"/>
      <c r="T1421" s="70"/>
      <c r="U1421" s="71">
        <f>SUM(G1421:T1421)</f>
        <v>39.5</v>
      </c>
      <c r="V1421" s="72"/>
      <c r="W1421" s="69"/>
      <c r="X1421" s="70"/>
      <c r="Y1421" s="104"/>
      <c r="Z1421" s="103">
        <v>8</v>
      </c>
      <c r="AA1421" s="104"/>
      <c r="AB1421" s="103">
        <v>8</v>
      </c>
      <c r="AC1421" s="104"/>
      <c r="AD1421" s="103">
        <v>8</v>
      </c>
      <c r="AE1421" s="104"/>
      <c r="AF1421" s="103">
        <v>8</v>
      </c>
      <c r="AG1421" s="104"/>
      <c r="AH1421" s="103">
        <v>7.5</v>
      </c>
      <c r="AI1421" s="69"/>
      <c r="AJ1421" s="70"/>
      <c r="AK1421" s="71">
        <f>SUM(W1421:AJ1421)</f>
        <v>39.5</v>
      </c>
      <c r="AL1421" s="72"/>
      <c r="AM1421" s="73">
        <f>SUMIF($G1420:$T1420,"",$G1421:$T1421)+SUMIF($W1420:$AJ1420,"",$W1421:$AJ1421)-AN1421</f>
        <v>71</v>
      </c>
      <c r="AN1421" s="88">
        <f>IF(SUMIF($G1420:$T1420,"",$G1421:$T1421)+SUMIF($G1420:$T1420,"F",$G1421:$T1421)+SUMIF($G1420:$T1420,"V",$G1421:$T1421)-40&lt;0,0,SUMIF($G1420:$T1420,"",$G1421:$T1421)+SUMIF($G1420:$T1420,"F",$G1421:$T1421)+SUMIF($G1420:$T1420,"V",$G1421:$T1421)-($U$9/2))+IF(SUMIF($W1420:$AJ1420,"",$W1421:$AJ1421)+SUMIF($W1420:$AJ1420,"F",$W1421:$AJ1421)+SUMIF($W1420:$AJ1420,"V",$W1421:$AJ1421)-40&lt;0,0,SUMIF($W1420:$AJ1420,"",$W1421:$AJ1421)+SUMIF($W1420:$AJ1420,"F",$W1421:$AJ1421)+SUMIF($W1420:$AJ1420,"V",$W1421:$AJ1421)-($U$9/2))</f>
        <v>0</v>
      </c>
      <c r="AO1421" s="73">
        <f>SUMIF($G1420:$T1420,"M",$G1421:$T1421)+SUMIF($W1420:$AJ1420,"M",$W1421:$AJ1421)</f>
        <v>8</v>
      </c>
      <c r="AP1421" s="73">
        <f>SUMIF($G1420:$T1420,"F",$G1421:$T1421)+SUMIF($W1420:$AJ1420,"F",$W1421:$AJ1421)</f>
        <v>0</v>
      </c>
      <c r="AQ1421" s="73">
        <f>SUMIF($G1420:$T1420,"V",$G1421:$T1421)+SUMIF($W1420:$AJ1420,"V",$W1421:$AJ1421)</f>
        <v>0</v>
      </c>
      <c r="AR1421" s="74">
        <f>SUMIF($G1420:$T1420,"O",$G1421:$T1421)+SUMIF($W1420:$AJ1420,"O",$W1421:$AJ1421)</f>
        <v>0</v>
      </c>
      <c r="AS1421" s="75">
        <f>SUM(AM1421:AR1421)</f>
        <v>79</v>
      </c>
      <c r="AT1421" s="72"/>
      <c r="AU1421" s="73">
        <f>SUMIF($G1420:$T1420,"A",$G1421:$T1421)+SUMIF($W1420:$AJ1420,"A",$W1421:$AJ1421)</f>
        <v>0</v>
      </c>
      <c r="AV1421" s="72"/>
      <c r="AW1421" s="76">
        <f>IF(B1421="",0,IF($U$9="",0,$U$9))</f>
        <v>80</v>
      </c>
      <c r="BA1421" s="2"/>
      <c r="BB1421" s="2"/>
      <c r="BC1421" s="101"/>
      <c r="BD1421" s="101"/>
    </row>
    <row r="1422" spans="2:56" s="84" customFormat="1" x14ac:dyDescent="0.35">
      <c r="B1422" s="26"/>
      <c r="C1422" s="27"/>
      <c r="D1422" s="28">
        <f>IF(D1348="","",D1348)</f>
        <v>24287</v>
      </c>
      <c r="E1422" s="29" t="str">
        <f t="shared" si="563"/>
        <v/>
      </c>
      <c r="F1422" s="50">
        <f>B1415</f>
        <v>3</v>
      </c>
      <c r="G1422" s="59"/>
      <c r="H1422" s="64"/>
      <c r="I1422" s="106"/>
      <c r="J1422" s="105"/>
      <c r="K1422" s="106"/>
      <c r="L1422" s="105"/>
      <c r="M1422" s="106"/>
      <c r="N1422" s="105"/>
      <c r="O1422" s="106"/>
      <c r="P1422" s="105"/>
      <c r="Q1422" s="106"/>
      <c r="R1422" s="105"/>
      <c r="S1422" s="59"/>
      <c r="T1422" s="64"/>
      <c r="U1422" s="44"/>
      <c r="W1422" s="59"/>
      <c r="X1422" s="64"/>
      <c r="Y1422" s="106"/>
      <c r="Z1422" s="105"/>
      <c r="AA1422" s="106"/>
      <c r="AB1422" s="105"/>
      <c r="AC1422" s="106"/>
      <c r="AD1422" s="105"/>
      <c r="AE1422" s="106"/>
      <c r="AF1422" s="105"/>
      <c r="AG1422" s="106"/>
      <c r="AH1422" s="105"/>
      <c r="AI1422" s="59"/>
      <c r="AJ1422" s="64"/>
      <c r="AK1422" s="44"/>
      <c r="AM1422" s="49"/>
      <c r="AN1422" s="49"/>
      <c r="AO1422" s="49"/>
      <c r="AP1422" s="49"/>
      <c r="AQ1422" s="49"/>
      <c r="AR1422" s="40"/>
      <c r="AS1422" s="51"/>
      <c r="AU1422" s="49"/>
      <c r="AW1422" s="52"/>
      <c r="BA1422" s="2"/>
      <c r="BB1422" s="2"/>
      <c r="BC1422" s="101"/>
      <c r="BD1422" s="101"/>
    </row>
    <row r="1423" spans="2:56" s="84" customFormat="1" x14ac:dyDescent="0.35">
      <c r="B1423" s="30" t="str">
        <f>IF(B1349="","",B1349)</f>
        <v>Barrata, Dominic(Avance $500.00)</v>
      </c>
      <c r="C1423" s="31"/>
      <c r="D1423" s="32"/>
      <c r="E1423" s="33">
        <f t="shared" si="563"/>
        <v>93595935</v>
      </c>
      <c r="F1423" s="50">
        <f>B1415</f>
        <v>3</v>
      </c>
      <c r="G1423" s="69"/>
      <c r="H1423" s="70"/>
      <c r="I1423" s="104"/>
      <c r="J1423" s="103" t="s">
        <v>69</v>
      </c>
      <c r="K1423" s="104"/>
      <c r="L1423" s="103" t="s">
        <v>69</v>
      </c>
      <c r="M1423" s="104"/>
      <c r="N1423" s="103" t="s">
        <v>69</v>
      </c>
      <c r="O1423" s="104"/>
      <c r="P1423" s="103" t="s">
        <v>69</v>
      </c>
      <c r="Q1423" s="104"/>
      <c r="R1423" s="103" t="s">
        <v>69</v>
      </c>
      <c r="S1423" s="69"/>
      <c r="T1423" s="70"/>
      <c r="U1423" s="71">
        <f t="shared" ref="U1423" si="564">SUM(G1423:T1423)</f>
        <v>0</v>
      </c>
      <c r="V1423" s="72"/>
      <c r="W1423" s="69"/>
      <c r="X1423" s="70"/>
      <c r="Y1423" s="104"/>
      <c r="Z1423" s="103" t="s">
        <v>69</v>
      </c>
      <c r="AA1423" s="104"/>
      <c r="AB1423" s="103" t="s">
        <v>69</v>
      </c>
      <c r="AC1423" s="104"/>
      <c r="AD1423" s="103" t="s">
        <v>69</v>
      </c>
      <c r="AE1423" s="104"/>
      <c r="AF1423" s="103" t="s">
        <v>69</v>
      </c>
      <c r="AG1423" s="104"/>
      <c r="AH1423" s="103" t="s">
        <v>69</v>
      </c>
      <c r="AI1423" s="69"/>
      <c r="AJ1423" s="70"/>
      <c r="AK1423" s="71">
        <f>SUM(W1423:AJ1423)</f>
        <v>0</v>
      </c>
      <c r="AL1423" s="72"/>
      <c r="AM1423" s="73">
        <f>SUMIF($G1422:$T1422,"",$G1423:$T1423)+SUMIF($W1422:$AJ1422,"",$W1423:$AJ1423)-AN1423</f>
        <v>0</v>
      </c>
      <c r="AN1423" s="88">
        <f>IF(SUMIF($G1422:$T1422,"",$G1423:$T1423)+SUMIF($G1422:$T1422,"F",$G1423:$T1423)+SUMIF($G1422:$T1422,"V",$G1423:$T1423)-40&lt;0,0,SUMIF($G1422:$T1422,"",$G1423:$T1423)+SUMIF($G1422:$T1422,"F",$G1423:$T1423)+SUMIF($G1422:$T1422,"V",$G1423:$T1423)-($U$9/2))+IF(SUMIF($W1422:$AJ1422,"",$W1423:$AJ1423)+SUMIF($W1422:$AJ1422,"F",$W1423:$AJ1423)+SUMIF($W1422:$AJ1422,"V",$W1423:$AJ1423)-40&lt;0,0,SUMIF($W1422:$AJ1422,"",$W1423:$AJ1423)+SUMIF($W1422:$AJ1422,"F",$W1423:$AJ1423)+SUMIF($W1422:$AJ1422,"V",$W1423:$AJ1423)-($U$9/2))</f>
        <v>0</v>
      </c>
      <c r="AO1423" s="73">
        <f>SUMIF($G1422:$T1422,"M",$G1423:$T1423)+SUMIF($W1422:$AJ1422,"M",$W1423:$AJ1423)</f>
        <v>0</v>
      </c>
      <c r="AP1423" s="73">
        <f>SUMIF($G1422:$T1422,"F",$G1423:$T1423)+SUMIF($W1422:$AJ1422,"F",$W1423:$AJ1423)</f>
        <v>0</v>
      </c>
      <c r="AQ1423" s="73">
        <f>SUMIF($G1422:$T1422,"V",$G1423:$T1423)+SUMIF($W1422:$AJ1422,"V",$W1423:$AJ1423)</f>
        <v>0</v>
      </c>
      <c r="AR1423" s="74">
        <f>SUMIF($G1422:$T1422,"O",$G1423:$T1423)+SUMIF($W1422:$AJ1422,"O",$W1423:$AJ1423)</f>
        <v>0</v>
      </c>
      <c r="AS1423" s="75">
        <f>SUM(AM1423:AR1423)</f>
        <v>0</v>
      </c>
      <c r="AT1423" s="72"/>
      <c r="AU1423" s="73">
        <f>SUMIF($G1422:$T1422,"A",$G1423:$T1423)+SUMIF($W1422:$AJ1422,"A",$W1423:$AJ1423)</f>
        <v>0</v>
      </c>
      <c r="AV1423" s="72"/>
      <c r="AW1423" s="76">
        <f>IF(B1423="",0,IF($U$9="",0,$U$9))</f>
        <v>80</v>
      </c>
      <c r="BA1423" s="2"/>
      <c r="BB1423" s="2"/>
      <c r="BC1423" s="101"/>
      <c r="BD1423" s="101"/>
    </row>
    <row r="1424" spans="2:56" s="84" customFormat="1" x14ac:dyDescent="0.35">
      <c r="B1424" s="26"/>
      <c r="C1424" s="27"/>
      <c r="D1424" s="28">
        <f>IF(D1350="","",D1350)</f>
        <v>92032</v>
      </c>
      <c r="E1424" s="29" t="str">
        <f t="shared" si="563"/>
        <v/>
      </c>
      <c r="F1424" s="50">
        <f>B1415</f>
        <v>3</v>
      </c>
      <c r="G1424" s="59"/>
      <c r="H1424" s="64"/>
      <c r="I1424" s="106"/>
      <c r="J1424" s="105"/>
      <c r="K1424" s="106"/>
      <c r="L1424" s="105"/>
      <c r="M1424" s="106"/>
      <c r="N1424" s="105"/>
      <c r="O1424" s="106"/>
      <c r="P1424" s="105"/>
      <c r="Q1424" s="106"/>
      <c r="R1424" s="105"/>
      <c r="S1424" s="59"/>
      <c r="T1424" s="64"/>
      <c r="U1424" s="44"/>
      <c r="W1424" s="59"/>
      <c r="X1424" s="64"/>
      <c r="Y1424" s="106"/>
      <c r="Z1424" s="105"/>
      <c r="AA1424" s="106"/>
      <c r="AB1424" s="105"/>
      <c r="AC1424" s="106"/>
      <c r="AD1424" s="105"/>
      <c r="AE1424" s="106"/>
      <c r="AF1424" s="105"/>
      <c r="AG1424" s="106"/>
      <c r="AH1424" s="105"/>
      <c r="AI1424" s="59"/>
      <c r="AJ1424" s="64"/>
      <c r="AK1424" s="44"/>
      <c r="AM1424" s="49"/>
      <c r="AN1424" s="49"/>
      <c r="AO1424" s="49"/>
      <c r="AP1424" s="49"/>
      <c r="AQ1424" s="49"/>
      <c r="AR1424" s="40"/>
      <c r="AS1424" s="51"/>
      <c r="AU1424" s="49"/>
      <c r="AW1424" s="52"/>
      <c r="BA1424" s="2"/>
      <c r="BB1424" s="2"/>
      <c r="BC1424" s="101"/>
      <c r="BD1424" s="101"/>
    </row>
    <row r="1425" spans="2:56" s="84" customFormat="1" x14ac:dyDescent="0.35">
      <c r="B1425" s="30" t="str">
        <f>IF(B1351="","",B1351)</f>
        <v>Benoit, Jean-Paul(Avance $1,600.00)</v>
      </c>
      <c r="C1425" s="31"/>
      <c r="D1425" s="32"/>
      <c r="E1425" s="33">
        <f t="shared" si="563"/>
        <v>93595935</v>
      </c>
      <c r="F1425" s="50">
        <f>B1415</f>
        <v>3</v>
      </c>
      <c r="G1425" s="69"/>
      <c r="H1425" s="70"/>
      <c r="I1425" s="104"/>
      <c r="J1425" s="103" t="s">
        <v>69</v>
      </c>
      <c r="K1425" s="104"/>
      <c r="L1425" s="103" t="s">
        <v>69</v>
      </c>
      <c r="M1425" s="104"/>
      <c r="N1425" s="103" t="s">
        <v>69</v>
      </c>
      <c r="O1425" s="104"/>
      <c r="P1425" s="103" t="s">
        <v>69</v>
      </c>
      <c r="Q1425" s="104"/>
      <c r="R1425" s="103" t="s">
        <v>69</v>
      </c>
      <c r="S1425" s="69"/>
      <c r="T1425" s="70"/>
      <c r="U1425" s="71">
        <f t="shared" ref="U1425" si="565">SUM(G1425:T1425)</f>
        <v>0</v>
      </c>
      <c r="V1425" s="72"/>
      <c r="W1425" s="69"/>
      <c r="X1425" s="70"/>
      <c r="Y1425" s="104"/>
      <c r="Z1425" s="103" t="s">
        <v>69</v>
      </c>
      <c r="AA1425" s="104"/>
      <c r="AB1425" s="103" t="s">
        <v>69</v>
      </c>
      <c r="AC1425" s="104"/>
      <c r="AD1425" s="103" t="s">
        <v>69</v>
      </c>
      <c r="AE1425" s="104"/>
      <c r="AF1425" s="103" t="s">
        <v>69</v>
      </c>
      <c r="AG1425" s="104"/>
      <c r="AH1425" s="103" t="s">
        <v>69</v>
      </c>
      <c r="AI1425" s="69"/>
      <c r="AJ1425" s="70"/>
      <c r="AK1425" s="71">
        <f>SUM(W1425:AJ1425)</f>
        <v>0</v>
      </c>
      <c r="AL1425" s="72"/>
      <c r="AM1425" s="73">
        <f>SUMIF($G1424:$T1424,"",$G1425:$T1425)+SUMIF($W1424:$AJ1424,"",$W1425:$AJ1425)-AN1425</f>
        <v>0</v>
      </c>
      <c r="AN1425" s="88">
        <f>IF(SUMIF($G1424:$T1424,"",$G1425:$T1425)+SUMIF($G1424:$T1424,"F",$G1425:$T1425)+SUMIF($G1424:$T1424,"V",$G1425:$T1425)-40&lt;0,0,SUMIF($G1424:$T1424,"",$G1425:$T1425)+SUMIF($G1424:$T1424,"F",$G1425:$T1425)+SUMIF($G1424:$T1424,"V",$G1425:$T1425)-($U$9/2))+IF(SUMIF($W1424:$AJ1424,"",$W1425:$AJ1425)+SUMIF($W1424:$AJ1424,"F",$W1425:$AJ1425)+SUMIF($W1424:$AJ1424,"V",$W1425:$AJ1425)-40&lt;0,0,SUMIF($W1424:$AJ1424,"",$W1425:$AJ1425)+SUMIF($W1424:$AJ1424,"F",$W1425:$AJ1425)+SUMIF($W1424:$AJ1424,"V",$W1425:$AJ1425)-($U$9/2))</f>
        <v>0</v>
      </c>
      <c r="AO1425" s="73">
        <f>SUMIF($G1424:$T1424,"M",$G1425:$T1425)+SUMIF($W1424:$AJ1424,"M",$W1425:$AJ1425)</f>
        <v>0</v>
      </c>
      <c r="AP1425" s="73">
        <f>SUMIF($G1424:$T1424,"F",$G1425:$T1425)+SUMIF($W1424:$AJ1424,"F",$W1425:$AJ1425)</f>
        <v>0</v>
      </c>
      <c r="AQ1425" s="73">
        <f>SUMIF($G1424:$T1424,"V",$G1425:$T1425)+SUMIF($W1424:$AJ1424,"V",$W1425:$AJ1425)</f>
        <v>0</v>
      </c>
      <c r="AR1425" s="74">
        <f>SUMIF($G1424:$T1424,"O",$G1425:$T1425)+SUMIF($W1424:$AJ1424,"O",$W1425:$AJ1425)</f>
        <v>0</v>
      </c>
      <c r="AS1425" s="75">
        <f>SUM(AM1425:AR1425)</f>
        <v>0</v>
      </c>
      <c r="AT1425" s="72"/>
      <c r="AU1425" s="73">
        <f>SUMIF($G1424:$T1424,"A",$G1425:$T1425)+SUMIF($W1424:$AJ1424,"A",$W1425:$AJ1425)</f>
        <v>0</v>
      </c>
      <c r="AV1425" s="72"/>
      <c r="AW1425" s="76">
        <f>IF(B1425="",0,IF($U$9="",0,$U$9))</f>
        <v>80</v>
      </c>
      <c r="BA1425" s="2"/>
      <c r="BB1425" s="2"/>
      <c r="BC1425" s="101"/>
      <c r="BD1425" s="101"/>
    </row>
    <row r="1426" spans="2:56" s="84" customFormat="1" x14ac:dyDescent="0.35">
      <c r="B1426" s="26"/>
      <c r="C1426" s="27"/>
      <c r="D1426" s="28">
        <f>IF(D1352="","",D1352)</f>
        <v>81077</v>
      </c>
      <c r="E1426" s="29" t="str">
        <f t="shared" si="563"/>
        <v/>
      </c>
      <c r="F1426" s="50">
        <f>B1415</f>
        <v>3</v>
      </c>
      <c r="G1426" s="93"/>
      <c r="H1426" s="94"/>
      <c r="I1426" s="106"/>
      <c r="J1426" s="105"/>
      <c r="K1426" s="106"/>
      <c r="L1426" s="105"/>
      <c r="M1426" s="106"/>
      <c r="N1426" s="105"/>
      <c r="O1426" s="106"/>
      <c r="P1426" s="105"/>
      <c r="Q1426" s="106"/>
      <c r="R1426" s="105"/>
      <c r="S1426" s="59"/>
      <c r="T1426" s="64"/>
      <c r="U1426" s="44"/>
      <c r="W1426" s="59"/>
      <c r="X1426" s="64"/>
      <c r="Y1426" s="106"/>
      <c r="Z1426" s="105"/>
      <c r="AA1426" s="106"/>
      <c r="AB1426" s="105"/>
      <c r="AC1426" s="106"/>
      <c r="AD1426" s="105"/>
      <c r="AE1426" s="106"/>
      <c r="AF1426" s="105"/>
      <c r="AG1426" s="106"/>
      <c r="AH1426" s="105"/>
      <c r="AI1426" s="59"/>
      <c r="AJ1426" s="64"/>
      <c r="AK1426" s="44"/>
      <c r="AM1426" s="49"/>
      <c r="AN1426" s="49"/>
      <c r="AO1426" s="49"/>
      <c r="AP1426" s="49"/>
      <c r="AQ1426" s="49"/>
      <c r="AR1426" s="40"/>
      <c r="AS1426" s="51"/>
      <c r="AU1426" s="49"/>
      <c r="AW1426" s="52"/>
      <c r="BA1426" s="2"/>
      <c r="BB1426" s="2"/>
      <c r="BC1426" s="101"/>
      <c r="BD1426" s="101"/>
    </row>
    <row r="1427" spans="2:56" s="84" customFormat="1" x14ac:dyDescent="0.35">
      <c r="B1427" s="30" t="str">
        <f>IF(B1353="","",B1353)</f>
        <v>Bourassa, Julie</v>
      </c>
      <c r="C1427" s="31"/>
      <c r="D1427" s="32"/>
      <c r="E1427" s="33">
        <f t="shared" si="563"/>
        <v>93540</v>
      </c>
      <c r="F1427" s="50">
        <f>B1415</f>
        <v>3</v>
      </c>
      <c r="G1427" s="93"/>
      <c r="H1427" s="94"/>
      <c r="I1427" s="104"/>
      <c r="J1427" s="103">
        <v>8</v>
      </c>
      <c r="K1427" s="104"/>
      <c r="L1427" s="103">
        <v>8</v>
      </c>
      <c r="M1427" s="104"/>
      <c r="N1427" s="103">
        <v>8</v>
      </c>
      <c r="O1427" s="104"/>
      <c r="P1427" s="103">
        <v>8</v>
      </c>
      <c r="Q1427" s="104"/>
      <c r="R1427" s="103">
        <v>7.5</v>
      </c>
      <c r="S1427" s="69"/>
      <c r="T1427" s="70"/>
      <c r="U1427" s="71">
        <f t="shared" ref="U1427" si="566">SUM(G1427:T1427)</f>
        <v>39.5</v>
      </c>
      <c r="V1427" s="72"/>
      <c r="W1427" s="69"/>
      <c r="X1427" s="70"/>
      <c r="Y1427" s="104"/>
      <c r="Z1427" s="103">
        <v>8</v>
      </c>
      <c r="AA1427" s="104"/>
      <c r="AB1427" s="103">
        <v>8</v>
      </c>
      <c r="AC1427" s="104"/>
      <c r="AD1427" s="103">
        <v>8</v>
      </c>
      <c r="AE1427" s="104"/>
      <c r="AF1427" s="103">
        <v>8</v>
      </c>
      <c r="AG1427" s="104"/>
      <c r="AH1427" s="103">
        <v>7.5</v>
      </c>
      <c r="AI1427" s="69"/>
      <c r="AJ1427" s="70"/>
      <c r="AK1427" s="71">
        <f>SUM(W1427:AJ1427)</f>
        <v>39.5</v>
      </c>
      <c r="AL1427" s="72"/>
      <c r="AM1427" s="73">
        <f>SUMIF($G1426:$T1426,"",$G1427:$T1427)+SUMIF($W1426:$AJ1426,"",$W1427:$AJ1427)-AN1427</f>
        <v>79</v>
      </c>
      <c r="AN1427" s="88">
        <f>IF(SUMIF($G1426:$T1426,"",$G1427:$T1427)+SUMIF($G1426:$T1426,"F",$G1427:$T1427)+SUMIF($G1426:$T1426,"V",$G1427:$T1427)-40&lt;0,0,SUMIF($G1426:$T1426,"",$G1427:$T1427)+SUMIF($G1426:$T1426,"F",$G1427:$T1427)+SUMIF($G1426:$T1426,"V",$G1427:$T1427)-($U$9/2))+IF(SUMIF($W1426:$AJ1426,"",$W1427:$AJ1427)+SUMIF($W1426:$AJ1426,"F",$W1427:$AJ1427)+SUMIF($W1426:$AJ1426,"V",$W1427:$AJ1427)-40&lt;0,0,SUMIF($W1426:$AJ1426,"",$W1427:$AJ1427)+SUMIF($W1426:$AJ1426,"F",$W1427:$AJ1427)+SUMIF($W1426:$AJ1426,"V",$W1427:$AJ1427)-($U$9/2))</f>
        <v>0</v>
      </c>
      <c r="AO1427" s="73">
        <f>SUMIF($G1426:$T1426,"M",$G1427:$T1427)+SUMIF($W1426:$AJ1426,"M",$W1427:$AJ1427)</f>
        <v>0</v>
      </c>
      <c r="AP1427" s="73">
        <f>SUMIF($G1426:$T1426,"F",$G1427:$T1427)+SUMIF($W1426:$AJ1426,"F",$W1427:$AJ1427)</f>
        <v>0</v>
      </c>
      <c r="AQ1427" s="73">
        <f>SUMIF($G1426:$T1426,"V",$G1427:$T1427)+SUMIF($W1426:$AJ1426,"V",$W1427:$AJ1427)</f>
        <v>0</v>
      </c>
      <c r="AR1427" s="74">
        <f>SUMIF($G1426:$T1426,"O",$G1427:$T1427)+SUMIF($W1426:$AJ1426,"O",$W1427:$AJ1427)</f>
        <v>0</v>
      </c>
      <c r="AS1427" s="75">
        <f>SUM(AM1427:AR1427)</f>
        <v>79</v>
      </c>
      <c r="AT1427" s="72"/>
      <c r="AU1427" s="73">
        <f>SUMIF($G1426:$T1426,"A",$G1427:$T1427)+SUMIF($W1426:$AJ1426,"A",$W1427:$AJ1427)</f>
        <v>0</v>
      </c>
      <c r="AV1427" s="72"/>
      <c r="AW1427" s="76">
        <f>IF(B1427="",0,IF($U$9="",0,$U$9))</f>
        <v>80</v>
      </c>
      <c r="BA1427" s="2"/>
      <c r="BB1427" s="2"/>
      <c r="BC1427" s="101"/>
      <c r="BD1427" s="101"/>
    </row>
    <row r="1428" spans="2:56" s="84" customFormat="1" x14ac:dyDescent="0.35">
      <c r="B1428" s="26"/>
      <c r="C1428" s="27"/>
      <c r="D1428" s="28">
        <f>IF(D1354="","",D1354)</f>
        <v>78475</v>
      </c>
      <c r="E1428" s="29" t="str">
        <f t="shared" si="563"/>
        <v/>
      </c>
      <c r="F1428" s="50">
        <f>B1415</f>
        <v>3</v>
      </c>
      <c r="G1428" s="59"/>
      <c r="H1428" s="64"/>
      <c r="I1428" s="106"/>
      <c r="J1428" s="105"/>
      <c r="K1428" s="106"/>
      <c r="L1428" s="105"/>
      <c r="M1428" s="106"/>
      <c r="N1428" s="105"/>
      <c r="O1428" s="106"/>
      <c r="P1428" s="105"/>
      <c r="Q1428" s="106"/>
      <c r="R1428" s="105"/>
      <c r="S1428" s="59"/>
      <c r="T1428" s="64"/>
      <c r="U1428" s="44"/>
      <c r="W1428" s="59"/>
      <c r="X1428" s="64"/>
      <c r="Y1428" s="106"/>
      <c r="Z1428" s="105"/>
      <c r="AA1428" s="106"/>
      <c r="AB1428" s="105"/>
      <c r="AC1428" s="106"/>
      <c r="AD1428" s="105"/>
      <c r="AE1428" s="106"/>
      <c r="AF1428" s="105"/>
      <c r="AG1428" s="106"/>
      <c r="AH1428" s="105"/>
      <c r="AI1428" s="59"/>
      <c r="AJ1428" s="64"/>
      <c r="AK1428" s="44"/>
      <c r="AM1428" s="49"/>
      <c r="AN1428" s="49"/>
      <c r="AO1428" s="49"/>
      <c r="AP1428" s="49"/>
      <c r="AQ1428" s="49"/>
      <c r="AR1428" s="40"/>
      <c r="AS1428" s="51"/>
      <c r="AU1428" s="49"/>
      <c r="AW1428" s="52"/>
      <c r="BA1428" s="2"/>
      <c r="BB1428" s="2"/>
      <c r="BC1428" s="101"/>
      <c r="BD1428" s="101"/>
    </row>
    <row r="1429" spans="2:56" s="84" customFormat="1" x14ac:dyDescent="0.35">
      <c r="B1429" s="30" t="str">
        <f>IF(B1355="","",B1355)</f>
        <v>Charbonneau, Samuel</v>
      </c>
      <c r="C1429" s="31"/>
      <c r="D1429" s="32"/>
      <c r="E1429" s="33">
        <f t="shared" si="563"/>
        <v>93540</v>
      </c>
      <c r="F1429" s="50">
        <f>B1415</f>
        <v>3</v>
      </c>
      <c r="G1429" s="69"/>
      <c r="H1429" s="70"/>
      <c r="I1429" s="104"/>
      <c r="J1429" s="103">
        <v>8</v>
      </c>
      <c r="K1429" s="104"/>
      <c r="L1429" s="103">
        <v>8</v>
      </c>
      <c r="M1429" s="104"/>
      <c r="N1429" s="103">
        <v>8</v>
      </c>
      <c r="O1429" s="104"/>
      <c r="P1429" s="103">
        <v>8</v>
      </c>
      <c r="Q1429" s="104"/>
      <c r="R1429" s="103">
        <v>8</v>
      </c>
      <c r="S1429" s="69"/>
      <c r="T1429" s="70"/>
      <c r="U1429" s="71">
        <f t="shared" ref="U1429" si="567">SUM(G1429:T1429)</f>
        <v>40</v>
      </c>
      <c r="V1429" s="72"/>
      <c r="W1429" s="69"/>
      <c r="X1429" s="70"/>
      <c r="Y1429" s="104"/>
      <c r="Z1429" s="103">
        <v>8</v>
      </c>
      <c r="AA1429" s="104"/>
      <c r="AB1429" s="103">
        <v>8</v>
      </c>
      <c r="AC1429" s="104"/>
      <c r="AD1429" s="103">
        <v>8</v>
      </c>
      <c r="AE1429" s="104"/>
      <c r="AF1429" s="103">
        <v>8</v>
      </c>
      <c r="AG1429" s="104"/>
      <c r="AH1429" s="103">
        <v>8</v>
      </c>
      <c r="AI1429" s="69"/>
      <c r="AJ1429" s="70"/>
      <c r="AK1429" s="71">
        <f>SUM(W1429:AJ1429)</f>
        <v>40</v>
      </c>
      <c r="AL1429" s="72"/>
      <c r="AM1429" s="73">
        <f>SUMIF($G1428:$T1428,"",$G1429:$T1429)+SUMIF($W1428:$AJ1428,"",$W1429:$AJ1429)-AN1429</f>
        <v>80</v>
      </c>
      <c r="AN1429" s="88">
        <f>IF(SUMIF($G1428:$T1428,"",$G1429:$T1429)+SUMIF($G1428:$T1428,"F",$G1429:$T1429)+SUMIF($G1428:$T1428,"V",$G1429:$T1429)-40&lt;0,0,SUMIF($G1428:$T1428,"",$G1429:$T1429)+SUMIF($G1428:$T1428,"F",$G1429:$T1429)+SUMIF($G1428:$T1428,"V",$G1429:$T1429)-($U$9/2))+IF(SUMIF($W1428:$AJ1428,"",$W1429:$AJ1429)+SUMIF($W1428:$AJ1428,"F",$W1429:$AJ1429)+SUMIF($W1428:$AJ1428,"V",$W1429:$AJ1429)-40&lt;0,0,SUMIF($W1428:$AJ1428,"",$W1429:$AJ1429)+SUMIF($W1428:$AJ1428,"F",$W1429:$AJ1429)+SUMIF($W1428:$AJ1428,"V",$W1429:$AJ1429)-($U$9/2))</f>
        <v>0</v>
      </c>
      <c r="AO1429" s="73">
        <f>SUMIF($G1428:$T1428,"M",$G1429:$T1429)+SUMIF($W1428:$AJ1428,"M",$W1429:$AJ1429)</f>
        <v>0</v>
      </c>
      <c r="AP1429" s="73">
        <f>SUMIF($G1428:$T1428,"F",$G1429:$T1429)+SUMIF($W1428:$AJ1428,"F",$W1429:$AJ1429)</f>
        <v>0</v>
      </c>
      <c r="AQ1429" s="73">
        <f>SUMIF($G1428:$T1428,"V",$G1429:$T1429)+SUMIF($W1428:$AJ1428,"V",$W1429:$AJ1429)</f>
        <v>0</v>
      </c>
      <c r="AR1429" s="74">
        <f>SUMIF($G1428:$T1428,"O",$G1429:$T1429)+SUMIF($W1428:$AJ1428,"O",$W1429:$AJ1429)</f>
        <v>0</v>
      </c>
      <c r="AS1429" s="75">
        <f>SUM(AM1429:AR1429)</f>
        <v>80</v>
      </c>
      <c r="AT1429" s="72"/>
      <c r="AU1429" s="73">
        <f>SUMIF($G1428:$T1428,"A",$G1429:$T1429)+SUMIF($W1428:$AJ1428,"A",$W1429:$AJ1429)</f>
        <v>0</v>
      </c>
      <c r="AV1429" s="72"/>
      <c r="AW1429" s="76">
        <f>IF(B1429="",0,IF($U$9="",0,$U$9))</f>
        <v>80</v>
      </c>
      <c r="BA1429" s="2"/>
      <c r="BB1429" s="2"/>
      <c r="BC1429" s="101"/>
      <c r="BD1429" s="101"/>
    </row>
    <row r="1430" spans="2:56" s="84" customFormat="1" x14ac:dyDescent="0.35">
      <c r="B1430" s="26"/>
      <c r="C1430" s="27"/>
      <c r="D1430" s="28" t="str">
        <f>IF(D1356="","",D1356)</f>
        <v/>
      </c>
      <c r="E1430" s="29" t="str">
        <f t="shared" si="563"/>
        <v/>
      </c>
      <c r="F1430" s="50">
        <f>B1415</f>
        <v>3</v>
      </c>
      <c r="G1430" s="59"/>
      <c r="H1430" s="64"/>
      <c r="I1430" s="106"/>
      <c r="J1430" s="105"/>
      <c r="K1430" s="106"/>
      <c r="L1430" s="105"/>
      <c r="M1430" s="106"/>
      <c r="N1430" s="105"/>
      <c r="O1430" s="106"/>
      <c r="P1430" s="105"/>
      <c r="Q1430" s="106"/>
      <c r="R1430" s="105"/>
      <c r="S1430" s="59"/>
      <c r="T1430" s="64"/>
      <c r="U1430" s="44"/>
      <c r="W1430" s="59"/>
      <c r="X1430" s="64"/>
      <c r="Y1430" s="106"/>
      <c r="Z1430" s="105"/>
      <c r="AA1430" s="106"/>
      <c r="AB1430" s="105"/>
      <c r="AC1430" s="106"/>
      <c r="AD1430" s="105"/>
      <c r="AE1430" s="106"/>
      <c r="AF1430" s="105"/>
      <c r="AG1430" s="106"/>
      <c r="AH1430" s="105"/>
      <c r="AI1430" s="59"/>
      <c r="AJ1430" s="64"/>
      <c r="AK1430" s="44"/>
      <c r="AM1430" s="49"/>
      <c r="AN1430" s="49"/>
      <c r="AO1430" s="49"/>
      <c r="AP1430" s="49"/>
      <c r="AQ1430" s="49"/>
      <c r="AR1430" s="40"/>
      <c r="AS1430" s="51"/>
      <c r="AU1430" s="49"/>
      <c r="AW1430" s="52"/>
      <c r="BA1430" s="2"/>
      <c r="BB1430" s="2"/>
      <c r="BC1430" s="101"/>
      <c r="BD1430" s="101"/>
    </row>
    <row r="1431" spans="2:56" s="84" customFormat="1" x14ac:dyDescent="0.35">
      <c r="B1431" s="30" t="str">
        <f>IF(B1357="","",B1357)</f>
        <v/>
      </c>
      <c r="C1431" s="31"/>
      <c r="D1431" s="32"/>
      <c r="E1431" s="33" t="str">
        <f t="shared" si="563"/>
        <v/>
      </c>
      <c r="F1431" s="50">
        <f>B1415</f>
        <v>3</v>
      </c>
      <c r="G1431" s="69"/>
      <c r="H1431" s="70"/>
      <c r="I1431" s="104"/>
      <c r="J1431" s="103"/>
      <c r="K1431" s="104"/>
      <c r="L1431" s="103"/>
      <c r="M1431" s="104"/>
      <c r="N1431" s="103"/>
      <c r="O1431" s="104"/>
      <c r="P1431" s="103"/>
      <c r="Q1431" s="104"/>
      <c r="R1431" s="103"/>
      <c r="S1431" s="69"/>
      <c r="T1431" s="70"/>
      <c r="U1431" s="71">
        <f t="shared" ref="U1431" si="568">SUM(G1431:T1431)</f>
        <v>0</v>
      </c>
      <c r="V1431" s="72"/>
      <c r="W1431" s="69"/>
      <c r="X1431" s="70"/>
      <c r="Y1431" s="104"/>
      <c r="Z1431" s="103"/>
      <c r="AA1431" s="104"/>
      <c r="AB1431" s="103"/>
      <c r="AC1431" s="104"/>
      <c r="AD1431" s="103"/>
      <c r="AE1431" s="104"/>
      <c r="AF1431" s="103"/>
      <c r="AG1431" s="104"/>
      <c r="AH1431" s="103"/>
      <c r="AI1431" s="69"/>
      <c r="AJ1431" s="70"/>
      <c r="AK1431" s="71">
        <f>SUM(W1431:AJ1431)</f>
        <v>0</v>
      </c>
      <c r="AL1431" s="72"/>
      <c r="AM1431" s="73">
        <f>SUMIF($G1430:$T1430,"",$G1431:$T1431)+SUMIF($W1430:$AJ1430,"",$W1431:$AJ1431)-AN1431</f>
        <v>0</v>
      </c>
      <c r="AN1431" s="88">
        <f>IF(SUMIF($G1430:$T1430,"",$G1431:$T1431)+SUMIF($G1430:$T1430,"F",$G1431:$T1431)+SUMIF($G1430:$T1430,"V",$G1431:$T1431)-40&lt;0,0,SUMIF($G1430:$T1430,"",$G1431:$T1431)+SUMIF($G1430:$T1430,"F",$G1431:$T1431)+SUMIF($G1430:$T1430,"V",$G1431:$T1431)-($U$9/2))+IF(SUMIF($W1430:$AJ1430,"",$W1431:$AJ1431)+SUMIF($W1430:$AJ1430,"F",$W1431:$AJ1431)+SUMIF($W1430:$AJ1430,"V",$W1431:$AJ1431)-40&lt;0,0,SUMIF($W1430:$AJ1430,"",$W1431:$AJ1431)+SUMIF($W1430:$AJ1430,"F",$W1431:$AJ1431)+SUMIF($W1430:$AJ1430,"V",$W1431:$AJ1431)-($U$9/2))</f>
        <v>0</v>
      </c>
      <c r="AO1431" s="73">
        <f>SUMIF($G1430:$T1430,"M",$G1431:$T1431)+SUMIF($W1430:$AJ1430,"M",$W1431:$AJ1431)</f>
        <v>0</v>
      </c>
      <c r="AP1431" s="73">
        <f>SUMIF($G1430:$T1430,"F",$G1431:$T1431)+SUMIF($W1430:$AJ1430,"F",$W1431:$AJ1431)</f>
        <v>0</v>
      </c>
      <c r="AQ1431" s="73">
        <f>SUMIF($G1430:$T1430,"V",$G1431:$T1431)+SUMIF($W1430:$AJ1430,"V",$W1431:$AJ1431)</f>
        <v>0</v>
      </c>
      <c r="AR1431" s="74">
        <f>SUMIF($G1430:$T1430,"O",$G1431:$T1431)+SUMIF($W1430:$AJ1430,"O",$W1431:$AJ1431)</f>
        <v>0</v>
      </c>
      <c r="AS1431" s="75">
        <f>SUM(AM1431:AR1431)</f>
        <v>0</v>
      </c>
      <c r="AT1431" s="72"/>
      <c r="AU1431" s="73">
        <f>SUMIF($G1430:$T1430,"A",$G1431:$T1431)+SUMIF($W1430:$AJ1430,"A",$W1431:$AJ1431)</f>
        <v>0</v>
      </c>
      <c r="AV1431" s="72"/>
      <c r="AW1431" s="76">
        <f>IF(B1431="",0,IF($U$9="",0,$U$9))</f>
        <v>0</v>
      </c>
      <c r="BA1431" s="2"/>
      <c r="BB1431" s="2"/>
      <c r="BC1431" s="101"/>
      <c r="BD1431" s="101"/>
    </row>
    <row r="1432" spans="2:56" s="84" customFormat="1" x14ac:dyDescent="0.35">
      <c r="B1432" s="26"/>
      <c r="C1432" s="27"/>
      <c r="D1432" s="28">
        <f>IF(D1358="","",D1358)</f>
        <v>79709</v>
      </c>
      <c r="E1432" s="29" t="str">
        <f t="shared" si="563"/>
        <v/>
      </c>
      <c r="F1432" s="50">
        <f>B1415</f>
        <v>3</v>
      </c>
      <c r="G1432" s="59"/>
      <c r="H1432" s="64"/>
      <c r="I1432" s="106"/>
      <c r="J1432" s="105"/>
      <c r="K1432" s="106"/>
      <c r="L1432" s="105"/>
      <c r="M1432" s="106"/>
      <c r="N1432" s="105"/>
      <c r="O1432" s="106"/>
      <c r="P1432" s="105"/>
      <c r="Q1432" s="106"/>
      <c r="R1432" s="105"/>
      <c r="S1432" s="59"/>
      <c r="T1432" s="64"/>
      <c r="U1432" s="44"/>
      <c r="W1432" s="59"/>
      <c r="X1432" s="64"/>
      <c r="Y1432" s="106"/>
      <c r="Z1432" s="105"/>
      <c r="AA1432" s="106"/>
      <c r="AB1432" s="105"/>
      <c r="AC1432" s="106"/>
      <c r="AD1432" s="105"/>
      <c r="AE1432" s="106"/>
      <c r="AF1432" s="105"/>
      <c r="AG1432" s="106"/>
      <c r="AH1432" s="105"/>
      <c r="AI1432" s="59"/>
      <c r="AJ1432" s="64"/>
      <c r="AK1432" s="44"/>
      <c r="AM1432" s="49"/>
      <c r="AN1432" s="49"/>
      <c r="AO1432" s="49"/>
      <c r="AP1432" s="49"/>
      <c r="AQ1432" s="49"/>
      <c r="AR1432" s="40"/>
      <c r="AS1432" s="51"/>
      <c r="AU1432" s="49"/>
      <c r="AW1432" s="52"/>
      <c r="BA1432" s="2"/>
      <c r="BB1432" s="2"/>
      <c r="BC1432" s="101"/>
      <c r="BD1432" s="101"/>
    </row>
    <row r="1433" spans="2:56" s="84" customFormat="1" x14ac:dyDescent="0.35">
      <c r="B1433" s="30" t="str">
        <f>IF(B1359="","",B1359)</f>
        <v>De Rose, Natale</v>
      </c>
      <c r="C1433" s="31"/>
      <c r="D1433" s="32"/>
      <c r="E1433" s="33">
        <f t="shared" si="563"/>
        <v>93595935</v>
      </c>
      <c r="F1433" s="50">
        <f>B1415</f>
        <v>3</v>
      </c>
      <c r="G1433" s="69"/>
      <c r="H1433" s="70"/>
      <c r="I1433" s="104"/>
      <c r="J1433" s="103">
        <v>8</v>
      </c>
      <c r="K1433" s="104"/>
      <c r="L1433" s="103">
        <v>8</v>
      </c>
      <c r="M1433" s="104"/>
      <c r="N1433" s="103">
        <v>8</v>
      </c>
      <c r="O1433" s="104"/>
      <c r="P1433" s="103">
        <v>8</v>
      </c>
      <c r="Q1433" s="104"/>
      <c r="R1433" s="103">
        <v>8</v>
      </c>
      <c r="S1433" s="69"/>
      <c r="T1433" s="70"/>
      <c r="U1433" s="71">
        <f t="shared" ref="U1433" si="569">SUM(G1433:T1433)</f>
        <v>40</v>
      </c>
      <c r="V1433" s="72"/>
      <c r="W1433" s="69"/>
      <c r="X1433" s="70"/>
      <c r="Y1433" s="104"/>
      <c r="Z1433" s="103">
        <v>8</v>
      </c>
      <c r="AA1433" s="104"/>
      <c r="AB1433" s="103">
        <v>8</v>
      </c>
      <c r="AC1433" s="104"/>
      <c r="AD1433" s="103">
        <v>8</v>
      </c>
      <c r="AE1433" s="104"/>
      <c r="AF1433" s="103">
        <v>8</v>
      </c>
      <c r="AG1433" s="104"/>
      <c r="AH1433" s="103">
        <v>8</v>
      </c>
      <c r="AI1433" s="69"/>
      <c r="AJ1433" s="70"/>
      <c r="AK1433" s="71">
        <f>SUM(W1433:AJ1433)</f>
        <v>40</v>
      </c>
      <c r="AL1433" s="72"/>
      <c r="AM1433" s="73">
        <f>SUMIF($G1432:$T1432,"",$G1433:$T1433)+SUMIF($W1432:$AJ1432,"",$W1433:$AJ1433)-AN1433</f>
        <v>80</v>
      </c>
      <c r="AN1433" s="88">
        <f>IF(SUMIF($G1432:$T1432,"",$G1433:$T1433)+SUMIF($G1432:$T1432,"F",$G1433:$T1433)+SUMIF($G1432:$T1432,"V",$G1433:$T1433)-40&lt;0,0,SUMIF($G1432:$T1432,"",$G1433:$T1433)+SUMIF($G1432:$T1432,"F",$G1433:$T1433)+SUMIF($G1432:$T1432,"V",$G1433:$T1433)-($U$9/2))+IF(SUMIF($W1432:$AJ1432,"",$W1433:$AJ1433)+SUMIF($W1432:$AJ1432,"F",$W1433:$AJ1433)+SUMIF($W1432:$AJ1432,"V",$W1433:$AJ1433)-40&lt;0,0,SUMIF($W1432:$AJ1432,"",$W1433:$AJ1433)+SUMIF($W1432:$AJ1432,"F",$W1433:$AJ1433)+SUMIF($W1432:$AJ1432,"V",$W1433:$AJ1433)-($U$9/2))</f>
        <v>0</v>
      </c>
      <c r="AO1433" s="73">
        <f>SUMIF($G1432:$T1432,"M",$G1433:$T1433)+SUMIF($W1432:$AJ1432,"M",$W1433:$AJ1433)</f>
        <v>0</v>
      </c>
      <c r="AP1433" s="73">
        <f>SUMIF($G1432:$T1432,"F",$G1433:$T1433)+SUMIF($W1432:$AJ1432,"F",$W1433:$AJ1433)</f>
        <v>0</v>
      </c>
      <c r="AQ1433" s="73">
        <f>SUMIF($G1432:$T1432,"V",$G1433:$T1433)+SUMIF($W1432:$AJ1432,"V",$W1433:$AJ1433)</f>
        <v>0</v>
      </c>
      <c r="AR1433" s="74">
        <f>SUMIF($G1432:$T1432,"O",$G1433:$T1433)+SUMIF($W1432:$AJ1432,"O",$W1433:$AJ1433)</f>
        <v>0</v>
      </c>
      <c r="AS1433" s="75">
        <f>SUM(AM1433:AR1433)</f>
        <v>80</v>
      </c>
      <c r="AT1433" s="72"/>
      <c r="AU1433" s="73">
        <f>SUMIF($G1432:$T1432,"A",$G1433:$T1433)+SUMIF($W1432:$AJ1432,"A",$W1433:$AJ1433)</f>
        <v>0</v>
      </c>
      <c r="AV1433" s="72"/>
      <c r="AW1433" s="76">
        <f>IF(B1433="",0,IF($U$9="",0,$U$9))</f>
        <v>80</v>
      </c>
      <c r="BA1433" s="2"/>
      <c r="BB1433" s="2"/>
      <c r="BC1433" s="101"/>
      <c r="BD1433" s="101"/>
    </row>
    <row r="1434" spans="2:56" s="84" customFormat="1" x14ac:dyDescent="0.35">
      <c r="B1434" s="26"/>
      <c r="C1434" s="27"/>
      <c r="D1434" s="28">
        <f>IF(D1360="","",D1360)</f>
        <v>92027</v>
      </c>
      <c r="E1434" s="29" t="str">
        <f t="shared" si="563"/>
        <v/>
      </c>
      <c r="F1434" s="50">
        <f>B1415</f>
        <v>3</v>
      </c>
      <c r="G1434" s="59"/>
      <c r="H1434" s="64"/>
      <c r="I1434" s="106"/>
      <c r="J1434" s="105"/>
      <c r="K1434" s="106"/>
      <c r="L1434" s="105"/>
      <c r="M1434" s="106"/>
      <c r="N1434" s="105"/>
      <c r="O1434" s="106"/>
      <c r="P1434" s="105"/>
      <c r="Q1434" s="106"/>
      <c r="R1434" s="105"/>
      <c r="S1434" s="59"/>
      <c r="T1434" s="64"/>
      <c r="U1434" s="44"/>
      <c r="W1434" s="59"/>
      <c r="X1434" s="64"/>
      <c r="Y1434" s="106"/>
      <c r="Z1434" s="105"/>
      <c r="AA1434" s="106"/>
      <c r="AB1434" s="105"/>
      <c r="AC1434" s="106"/>
      <c r="AD1434" s="105"/>
      <c r="AE1434" s="106"/>
      <c r="AF1434" s="105"/>
      <c r="AG1434" s="106"/>
      <c r="AH1434" s="105"/>
      <c r="AI1434" s="59"/>
      <c r="AJ1434" s="64"/>
      <c r="AK1434" s="44"/>
      <c r="AM1434" s="49"/>
      <c r="AN1434" s="49"/>
      <c r="AO1434" s="49"/>
      <c r="AP1434" s="49"/>
      <c r="AQ1434" s="49"/>
      <c r="AR1434" s="40"/>
      <c r="AS1434" s="51"/>
      <c r="AU1434" s="49"/>
      <c r="AW1434" s="52"/>
      <c r="BA1434" s="2"/>
      <c r="BB1434" s="2"/>
      <c r="BC1434" s="101"/>
      <c r="BD1434" s="101"/>
    </row>
    <row r="1435" spans="2:56" s="84" customFormat="1" x14ac:dyDescent="0.35">
      <c r="B1435" s="30" t="str">
        <f>IF(B1361="","",B1361)</f>
        <v>Descoteaux, Gerald</v>
      </c>
      <c r="C1435" s="31"/>
      <c r="D1435" s="32"/>
      <c r="E1435" s="33">
        <f t="shared" si="563"/>
        <v>93595935</v>
      </c>
      <c r="F1435" s="50">
        <f>B1415</f>
        <v>3</v>
      </c>
      <c r="G1435" s="69"/>
      <c r="H1435" s="70"/>
      <c r="I1435" s="104"/>
      <c r="J1435" s="103">
        <v>8</v>
      </c>
      <c r="K1435" s="104"/>
      <c r="L1435" s="103">
        <v>8</v>
      </c>
      <c r="M1435" s="104"/>
      <c r="N1435" s="103">
        <v>8</v>
      </c>
      <c r="O1435" s="104"/>
      <c r="P1435" s="103">
        <v>8</v>
      </c>
      <c r="Q1435" s="104"/>
      <c r="R1435" s="103">
        <v>8</v>
      </c>
      <c r="S1435" s="69"/>
      <c r="T1435" s="70"/>
      <c r="U1435" s="71">
        <f t="shared" ref="U1435" si="570">SUM(G1435:T1435)</f>
        <v>40</v>
      </c>
      <c r="V1435" s="72"/>
      <c r="W1435" s="69"/>
      <c r="X1435" s="70"/>
      <c r="Y1435" s="104"/>
      <c r="Z1435" s="103">
        <v>8</v>
      </c>
      <c r="AA1435" s="104"/>
      <c r="AB1435" s="103">
        <v>8</v>
      </c>
      <c r="AC1435" s="104"/>
      <c r="AD1435" s="103">
        <v>8</v>
      </c>
      <c r="AE1435" s="104"/>
      <c r="AF1435" s="103">
        <v>8</v>
      </c>
      <c r="AG1435" s="104"/>
      <c r="AH1435" s="103">
        <v>8</v>
      </c>
      <c r="AI1435" s="69"/>
      <c r="AJ1435" s="70"/>
      <c r="AK1435" s="71">
        <f>SUM(W1435:AJ1435)</f>
        <v>40</v>
      </c>
      <c r="AL1435" s="72"/>
      <c r="AM1435" s="73">
        <f>SUMIF($G1434:$T1434,"",$G1435:$T1435)+SUMIF($W1434:$AJ1434,"",$W1435:$AJ1435)-AN1435</f>
        <v>80</v>
      </c>
      <c r="AN1435" s="88">
        <f>IF(SUMIF($G1434:$T1434,"",$G1435:$T1435)+SUMIF($G1434:$T1434,"F",$G1435:$T1435)+SUMIF($G1434:$T1434,"V",$G1435:$T1435)-40&lt;0,0,SUMIF($G1434:$T1434,"",$G1435:$T1435)+SUMIF($G1434:$T1434,"F",$G1435:$T1435)+SUMIF($G1434:$T1434,"V",$G1435:$T1435)-($U$9/2))+IF(SUMIF($W1434:$AJ1434,"",$W1435:$AJ1435)+SUMIF($W1434:$AJ1434,"F",$W1435:$AJ1435)+SUMIF($W1434:$AJ1434,"V",$W1435:$AJ1435)-40&lt;0,0,SUMIF($W1434:$AJ1434,"",$W1435:$AJ1435)+SUMIF($W1434:$AJ1434,"F",$W1435:$AJ1435)+SUMIF($W1434:$AJ1434,"V",$W1435:$AJ1435)-($U$9/2))</f>
        <v>0</v>
      </c>
      <c r="AO1435" s="73">
        <f>SUMIF($G1434:$T1434,"M",$G1435:$T1435)+SUMIF($W1434:$AJ1434,"M",$W1435:$AJ1435)</f>
        <v>0</v>
      </c>
      <c r="AP1435" s="73">
        <f>SUMIF($G1434:$T1434,"F",$G1435:$T1435)+SUMIF($W1434:$AJ1434,"F",$W1435:$AJ1435)</f>
        <v>0</v>
      </c>
      <c r="AQ1435" s="73">
        <f>SUMIF($G1434:$T1434,"V",$G1435:$T1435)+SUMIF($W1434:$AJ1434,"V",$W1435:$AJ1435)</f>
        <v>0</v>
      </c>
      <c r="AR1435" s="74">
        <f>SUMIF($G1434:$T1434,"O",$G1435:$T1435)+SUMIF($W1434:$AJ1434,"O",$W1435:$AJ1435)</f>
        <v>0</v>
      </c>
      <c r="AS1435" s="75">
        <f>SUM(AM1435:AR1435)</f>
        <v>80</v>
      </c>
      <c r="AT1435" s="72"/>
      <c r="AU1435" s="73">
        <f>SUMIF($G1434:$T1434,"A",$G1435:$T1435)+SUMIF($W1434:$AJ1434,"A",$W1435:$AJ1435)</f>
        <v>0</v>
      </c>
      <c r="AV1435" s="72"/>
      <c r="AW1435" s="76">
        <f>IF(B1435="",0,IF($U$9="",0,$U$9))</f>
        <v>80</v>
      </c>
      <c r="BA1435" s="2"/>
      <c r="BB1435" s="2"/>
      <c r="BC1435" s="101"/>
      <c r="BD1435" s="101"/>
    </row>
    <row r="1436" spans="2:56" s="84" customFormat="1" x14ac:dyDescent="0.35">
      <c r="B1436" s="26"/>
      <c r="C1436" s="27"/>
      <c r="D1436" s="28">
        <f>IF(D1362="","",D1362)</f>
        <v>73795</v>
      </c>
      <c r="E1436" s="29" t="str">
        <f t="shared" si="563"/>
        <v/>
      </c>
      <c r="F1436" s="50">
        <f>B1415</f>
        <v>3</v>
      </c>
      <c r="G1436" s="59"/>
      <c r="H1436" s="64"/>
      <c r="I1436" s="106"/>
      <c r="J1436" s="105"/>
      <c r="K1436" s="106"/>
      <c r="L1436" s="105"/>
      <c r="M1436" s="106"/>
      <c r="N1436" s="105"/>
      <c r="O1436" s="106"/>
      <c r="P1436" s="105"/>
      <c r="Q1436" s="106"/>
      <c r="R1436" s="105"/>
      <c r="S1436" s="59"/>
      <c r="T1436" s="64"/>
      <c r="U1436" s="44"/>
      <c r="W1436" s="59"/>
      <c r="X1436" s="64"/>
      <c r="Y1436" s="106"/>
      <c r="Z1436" s="105"/>
      <c r="AA1436" s="106"/>
      <c r="AB1436" s="105"/>
      <c r="AC1436" s="106"/>
      <c r="AD1436" s="105"/>
      <c r="AE1436" s="106"/>
      <c r="AF1436" s="105"/>
      <c r="AG1436" s="106"/>
      <c r="AH1436" s="105"/>
      <c r="AI1436" s="59"/>
      <c r="AJ1436" s="64"/>
      <c r="AK1436" s="44"/>
      <c r="AM1436" s="49"/>
      <c r="AN1436" s="49"/>
      <c r="AO1436" s="49"/>
      <c r="AP1436" s="49"/>
      <c r="AQ1436" s="49"/>
      <c r="AR1436" s="40"/>
      <c r="AS1436" s="51"/>
      <c r="AU1436" s="49"/>
      <c r="AW1436" s="52"/>
      <c r="BA1436" s="2"/>
      <c r="BB1436" s="2"/>
      <c r="BC1436" s="101"/>
      <c r="BD1436" s="101"/>
    </row>
    <row r="1437" spans="2:56" s="84" customFormat="1" x14ac:dyDescent="0.35">
      <c r="B1437" s="30" t="str">
        <f>IF(B1363="","",B1363)</f>
        <v>Fortin, Veronique</v>
      </c>
      <c r="C1437" s="31"/>
      <c r="D1437" s="32"/>
      <c r="E1437" s="33">
        <f t="shared" si="563"/>
        <v>93540</v>
      </c>
      <c r="F1437" s="50">
        <f>B1415</f>
        <v>3</v>
      </c>
      <c r="G1437" s="69"/>
      <c r="H1437" s="70"/>
      <c r="I1437" s="104"/>
      <c r="J1437" s="103">
        <v>8</v>
      </c>
      <c r="K1437" s="104"/>
      <c r="L1437" s="103">
        <v>8</v>
      </c>
      <c r="M1437" s="104"/>
      <c r="N1437" s="103">
        <v>8</v>
      </c>
      <c r="O1437" s="104"/>
      <c r="P1437" s="103">
        <v>8</v>
      </c>
      <c r="Q1437" s="104"/>
      <c r="R1437" s="103">
        <v>8</v>
      </c>
      <c r="S1437" s="69"/>
      <c r="T1437" s="70"/>
      <c r="U1437" s="71">
        <f t="shared" ref="U1437" si="571">SUM(G1437:T1437)</f>
        <v>40</v>
      </c>
      <c r="V1437" s="72"/>
      <c r="W1437" s="69"/>
      <c r="X1437" s="70"/>
      <c r="Y1437" s="104"/>
      <c r="Z1437" s="103">
        <v>8</v>
      </c>
      <c r="AA1437" s="104"/>
      <c r="AB1437" s="103">
        <v>8</v>
      </c>
      <c r="AC1437" s="104"/>
      <c r="AD1437" s="103">
        <v>8</v>
      </c>
      <c r="AE1437" s="104"/>
      <c r="AF1437" s="103">
        <v>8</v>
      </c>
      <c r="AG1437" s="104"/>
      <c r="AH1437" s="103">
        <v>8</v>
      </c>
      <c r="AI1437" s="69"/>
      <c r="AJ1437" s="70"/>
      <c r="AK1437" s="71">
        <f>SUM(W1437:AJ1437)</f>
        <v>40</v>
      </c>
      <c r="AL1437" s="72"/>
      <c r="AM1437" s="73">
        <f>SUMIF($G1436:$T1436,"",$G1437:$T1437)+SUMIF($W1436:$AJ1436,"",$W1437:$AJ1437)-AN1437</f>
        <v>80</v>
      </c>
      <c r="AN1437" s="88">
        <f>IF(SUMIF($G1436:$T1436,"",$G1437:$T1437)+SUMIF($G1436:$T1436,"F",$G1437:$T1437)+SUMIF($G1436:$T1436,"V",$G1437:$T1437)-40&lt;0,0,SUMIF($G1436:$T1436,"",$G1437:$T1437)+SUMIF($G1436:$T1436,"F",$G1437:$T1437)+SUMIF($G1436:$T1436,"V",$G1437:$T1437)-($U$9/2))+IF(SUMIF($W1436:$AJ1436,"",$W1437:$AJ1437)+SUMIF($W1436:$AJ1436,"F",$W1437:$AJ1437)+SUMIF($W1436:$AJ1436,"V",$W1437:$AJ1437)-40&lt;0,0,SUMIF($W1436:$AJ1436,"",$W1437:$AJ1437)+SUMIF($W1436:$AJ1436,"F",$W1437:$AJ1437)+SUMIF($W1436:$AJ1436,"V",$W1437:$AJ1437)-($U$9/2))</f>
        <v>0</v>
      </c>
      <c r="AO1437" s="73">
        <f>SUMIF($G1436:$T1436,"M",$G1437:$T1437)+SUMIF($W1436:$AJ1436,"M",$W1437:$AJ1437)</f>
        <v>0</v>
      </c>
      <c r="AP1437" s="73">
        <f>SUMIF($G1436:$T1436,"F",$G1437:$T1437)+SUMIF($W1436:$AJ1436,"F",$W1437:$AJ1437)</f>
        <v>0</v>
      </c>
      <c r="AQ1437" s="73">
        <f>SUMIF($G1436:$T1436,"V",$G1437:$T1437)+SUMIF($W1436:$AJ1436,"V",$W1437:$AJ1437)</f>
        <v>0</v>
      </c>
      <c r="AR1437" s="74">
        <f>SUMIF($G1436:$T1436,"O",$G1437:$T1437)+SUMIF($W1436:$AJ1436,"O",$W1437:$AJ1437)</f>
        <v>0</v>
      </c>
      <c r="AS1437" s="75">
        <f>SUM(AM1437:AR1437)</f>
        <v>80</v>
      </c>
      <c r="AT1437" s="72"/>
      <c r="AU1437" s="73">
        <f>SUMIF($G1436:$T1436,"A",$G1437:$T1437)+SUMIF($W1436:$AJ1436,"A",$W1437:$AJ1437)</f>
        <v>0</v>
      </c>
      <c r="AV1437" s="72"/>
      <c r="AW1437" s="76">
        <f>IF(B1437="",0,IF($U$9="",0,$U$9))</f>
        <v>80</v>
      </c>
      <c r="BA1437" s="2"/>
      <c r="BB1437" s="2"/>
      <c r="BC1437" s="101"/>
      <c r="BD1437" s="101"/>
    </row>
    <row r="1438" spans="2:56" s="84" customFormat="1" x14ac:dyDescent="0.35">
      <c r="B1438" s="26"/>
      <c r="C1438" s="27"/>
      <c r="D1438" s="28">
        <f>IF(D1364="","",D1364)</f>
        <v>23206</v>
      </c>
      <c r="E1438" s="29" t="str">
        <f t="shared" si="563"/>
        <v/>
      </c>
      <c r="F1438" s="50">
        <f>B1415</f>
        <v>3</v>
      </c>
      <c r="G1438" s="59"/>
      <c r="H1438" s="64"/>
      <c r="I1438" s="106"/>
      <c r="J1438" s="105" t="s">
        <v>2</v>
      </c>
      <c r="K1438" s="106"/>
      <c r="L1438" s="105"/>
      <c r="M1438" s="106"/>
      <c r="N1438" s="105"/>
      <c r="O1438" s="106"/>
      <c r="P1438" s="105"/>
      <c r="Q1438" s="106"/>
      <c r="R1438" s="105"/>
      <c r="S1438" s="59"/>
      <c r="T1438" s="64"/>
      <c r="U1438" s="44"/>
      <c r="W1438" s="59"/>
      <c r="X1438" s="64"/>
      <c r="Y1438" s="106"/>
      <c r="Z1438" s="105"/>
      <c r="AA1438" s="106"/>
      <c r="AB1438" s="105"/>
      <c r="AC1438" s="106"/>
      <c r="AD1438" s="105"/>
      <c r="AE1438" s="106"/>
      <c r="AF1438" s="105"/>
      <c r="AG1438" s="106"/>
      <c r="AH1438" s="105"/>
      <c r="AI1438" s="59"/>
      <c r="AJ1438" s="64"/>
      <c r="AK1438" s="44"/>
      <c r="AM1438" s="49"/>
      <c r="AN1438" s="49"/>
      <c r="AO1438" s="49"/>
      <c r="AP1438" s="49"/>
      <c r="AQ1438" s="49"/>
      <c r="AR1438" s="40"/>
      <c r="AS1438" s="51"/>
      <c r="AU1438" s="49"/>
      <c r="AW1438" s="52"/>
      <c r="BA1438" s="2"/>
      <c r="BB1438" s="2"/>
      <c r="BC1438" s="101"/>
      <c r="BD1438" s="101"/>
    </row>
    <row r="1439" spans="2:56" s="84" customFormat="1" x14ac:dyDescent="0.35">
      <c r="B1439" s="30" t="str">
        <f>IF(B1365="","",B1365)</f>
        <v>Gadbois, Dominic</v>
      </c>
      <c r="C1439" s="31"/>
      <c r="D1439" s="32"/>
      <c r="E1439" s="33">
        <f t="shared" si="563"/>
        <v>93545</v>
      </c>
      <c r="F1439" s="50">
        <f>B1415</f>
        <v>3</v>
      </c>
      <c r="G1439" s="69"/>
      <c r="H1439" s="70"/>
      <c r="I1439" s="104"/>
      <c r="J1439" s="103">
        <v>0</v>
      </c>
      <c r="K1439" s="104"/>
      <c r="L1439" s="103">
        <v>7.5</v>
      </c>
      <c r="M1439" s="104"/>
      <c r="N1439" s="103">
        <v>7.5</v>
      </c>
      <c r="O1439" s="104"/>
      <c r="P1439" s="103">
        <v>8</v>
      </c>
      <c r="Q1439" s="104"/>
      <c r="R1439" s="103">
        <v>8</v>
      </c>
      <c r="S1439" s="69"/>
      <c r="T1439" s="70"/>
      <c r="U1439" s="71">
        <f t="shared" ref="U1439" si="572">SUM(G1439:T1439)</f>
        <v>31</v>
      </c>
      <c r="V1439" s="72"/>
      <c r="W1439" s="69"/>
      <c r="X1439" s="70"/>
      <c r="Y1439" s="104"/>
      <c r="Z1439" s="103">
        <v>8</v>
      </c>
      <c r="AA1439" s="104"/>
      <c r="AB1439" s="103">
        <v>7.75</v>
      </c>
      <c r="AC1439" s="104"/>
      <c r="AD1439" s="103">
        <v>8.5</v>
      </c>
      <c r="AE1439" s="104"/>
      <c r="AF1439" s="103">
        <v>8</v>
      </c>
      <c r="AG1439" s="104"/>
      <c r="AH1439" s="103">
        <v>7.5</v>
      </c>
      <c r="AI1439" s="69"/>
      <c r="AJ1439" s="70"/>
      <c r="AK1439" s="71">
        <f>SUM(W1439:AJ1439)</f>
        <v>39.75</v>
      </c>
      <c r="AL1439" s="72"/>
      <c r="AM1439" s="73">
        <f>SUMIF($G1438:$T1438,"",$G1439:$T1439)+SUMIF($W1438:$AJ1438,"",$W1439:$AJ1439)-AN1439</f>
        <v>70.75</v>
      </c>
      <c r="AN1439" s="88">
        <f>IF(SUMIF($G1438:$T1438,"",$G1439:$T1439)+SUMIF($G1438:$T1438,"F",$G1439:$T1439)+SUMIF($G1438:$T1438,"V",$G1439:$T1439)-40&lt;0,0,SUMIF($G1438:$T1438,"",$G1439:$T1439)+SUMIF($G1438:$T1438,"F",$G1439:$T1439)+SUMIF($G1438:$T1438,"V",$G1439:$T1439)-($U$9/2))+IF(SUMIF($W1438:$AJ1438,"",$W1439:$AJ1439)+SUMIF($W1438:$AJ1438,"F",$W1439:$AJ1439)+SUMIF($W1438:$AJ1438,"V",$W1439:$AJ1439)-40&lt;0,0,SUMIF($W1438:$AJ1438,"",$W1439:$AJ1439)+SUMIF($W1438:$AJ1438,"F",$W1439:$AJ1439)+SUMIF($W1438:$AJ1438,"V",$W1439:$AJ1439)-($U$9/2))</f>
        <v>0</v>
      </c>
      <c r="AO1439" s="73">
        <f>SUMIF($G1438:$T1438,"M",$G1439:$T1439)+SUMIF($W1438:$AJ1438,"M",$W1439:$AJ1439)</f>
        <v>0</v>
      </c>
      <c r="AP1439" s="73">
        <f>SUMIF($G1438:$T1438,"F",$G1439:$T1439)+SUMIF($W1438:$AJ1438,"F",$W1439:$AJ1439)</f>
        <v>0</v>
      </c>
      <c r="AQ1439" s="73">
        <f>SUMIF($G1438:$T1438,"V",$G1439:$T1439)+SUMIF($W1438:$AJ1438,"V",$W1439:$AJ1439)</f>
        <v>0</v>
      </c>
      <c r="AR1439" s="74">
        <f>SUMIF($G1438:$T1438,"O",$G1439:$T1439)+SUMIF($W1438:$AJ1438,"O",$W1439:$AJ1439)</f>
        <v>0</v>
      </c>
      <c r="AS1439" s="75">
        <f>SUM(AM1439:AR1439)</f>
        <v>70.75</v>
      </c>
      <c r="AT1439" s="72"/>
      <c r="AU1439" s="73">
        <f>SUMIF($G1438:$T1438,"A",$G1439:$T1439)+SUMIF($W1438:$AJ1438,"A",$W1439:$AJ1439)</f>
        <v>0</v>
      </c>
      <c r="AV1439" s="72"/>
      <c r="AW1439" s="76">
        <f>IF(B1439="",0,IF($U$9="",0,$U$9))</f>
        <v>80</v>
      </c>
      <c r="BA1439" s="2"/>
      <c r="BB1439" s="2"/>
      <c r="BC1439" s="101"/>
      <c r="BD1439" s="101"/>
    </row>
    <row r="1440" spans="2:56" s="84" customFormat="1" x14ac:dyDescent="0.35">
      <c r="B1440" s="26"/>
      <c r="C1440" s="27"/>
      <c r="D1440" s="28">
        <f>IF(D1366="","",D1366)</f>
        <v>33664</v>
      </c>
      <c r="E1440" s="29" t="str">
        <f t="shared" si="563"/>
        <v/>
      </c>
      <c r="F1440" s="50">
        <f>B1415</f>
        <v>3</v>
      </c>
      <c r="G1440" s="59"/>
      <c r="H1440" s="64"/>
      <c r="I1440" s="106"/>
      <c r="J1440" s="105"/>
      <c r="K1440" s="106"/>
      <c r="L1440" s="105"/>
      <c r="M1440" s="106"/>
      <c r="N1440" s="105"/>
      <c r="O1440" s="106"/>
      <c r="P1440" s="105"/>
      <c r="Q1440" s="106"/>
      <c r="R1440" s="105"/>
      <c r="S1440" s="59"/>
      <c r="T1440" s="64"/>
      <c r="U1440" s="44"/>
      <c r="W1440" s="59"/>
      <c r="X1440" s="64"/>
      <c r="Y1440" s="106"/>
      <c r="Z1440" s="105"/>
      <c r="AA1440" s="106"/>
      <c r="AB1440" s="105"/>
      <c r="AC1440" s="106"/>
      <c r="AD1440" s="105"/>
      <c r="AE1440" s="106"/>
      <c r="AF1440" s="105"/>
      <c r="AG1440" s="106"/>
      <c r="AH1440" s="105"/>
      <c r="AI1440" s="59"/>
      <c r="AJ1440" s="64"/>
      <c r="AK1440" s="44"/>
      <c r="AM1440" s="49"/>
      <c r="AN1440" s="49"/>
      <c r="AO1440" s="49"/>
      <c r="AP1440" s="49"/>
      <c r="AQ1440" s="49"/>
      <c r="AR1440" s="40"/>
      <c r="AS1440" s="51"/>
      <c r="AU1440" s="49"/>
      <c r="AW1440" s="52"/>
      <c r="BA1440" s="2"/>
      <c r="BB1440" s="2"/>
      <c r="BC1440" s="101"/>
      <c r="BD1440" s="101"/>
    </row>
    <row r="1441" spans="2:56" s="84" customFormat="1" x14ac:dyDescent="0.35">
      <c r="B1441" s="30" t="str">
        <f>IF(B1367="","",B1367)</f>
        <v>Knox Michaud, Jessy</v>
      </c>
      <c r="C1441" s="31"/>
      <c r="D1441" s="32"/>
      <c r="E1441" s="33">
        <f t="shared" si="563"/>
        <v>93542</v>
      </c>
      <c r="F1441" s="50">
        <f>B1415</f>
        <v>3</v>
      </c>
      <c r="G1441" s="69"/>
      <c r="H1441" s="70"/>
      <c r="I1441" s="104"/>
      <c r="J1441" s="103">
        <v>9</v>
      </c>
      <c r="K1441" s="104"/>
      <c r="L1441" s="103">
        <v>9</v>
      </c>
      <c r="M1441" s="104"/>
      <c r="N1441" s="103">
        <v>9</v>
      </c>
      <c r="O1441" s="104"/>
      <c r="P1441" s="103">
        <v>9</v>
      </c>
      <c r="Q1441" s="104">
        <v>0</v>
      </c>
      <c r="R1441" s="103">
        <v>9</v>
      </c>
      <c r="S1441" s="69"/>
      <c r="T1441" s="70"/>
      <c r="U1441" s="71">
        <f t="shared" ref="U1441" si="573">SUM(G1441:T1441)</f>
        <v>45</v>
      </c>
      <c r="V1441" s="72"/>
      <c r="W1441" s="69"/>
      <c r="X1441" s="70"/>
      <c r="Y1441" s="104"/>
      <c r="Z1441" s="103">
        <v>9</v>
      </c>
      <c r="AA1441" s="104"/>
      <c r="AB1441" s="103">
        <v>9</v>
      </c>
      <c r="AC1441" s="104"/>
      <c r="AD1441" s="103">
        <v>9</v>
      </c>
      <c r="AE1441" s="104"/>
      <c r="AF1441" s="103">
        <v>9</v>
      </c>
      <c r="AG1441" s="104"/>
      <c r="AH1441" s="103">
        <v>9</v>
      </c>
      <c r="AI1441" s="69"/>
      <c r="AJ1441" s="70"/>
      <c r="AK1441" s="71">
        <f>SUM(W1441:AJ1441)</f>
        <v>45</v>
      </c>
      <c r="AL1441" s="72"/>
      <c r="AM1441" s="73">
        <f>SUMIF($G1440:$T1440,"",$G1441:$T1441)+SUMIF($W1440:$AJ1440,"",$W1441:$AJ1441)-AN1441</f>
        <v>80</v>
      </c>
      <c r="AN1441" s="88">
        <f>IF(SUMIF($G1440:$T1440,"",$G1441:$T1441)+SUMIF($G1440:$T1440,"F",$G1441:$T1441)+SUMIF($G1440:$T1440,"V",$G1441:$T1441)-40&lt;0,0,SUMIF($G1440:$T1440,"",$G1441:$T1441)+SUMIF($G1440:$T1440,"F",$G1441:$T1441)+SUMIF($G1440:$T1440,"V",$G1441:$T1441)-($U$9/2))+IF(SUMIF($W1440:$AJ1440,"",$W1441:$AJ1441)+SUMIF($W1440:$AJ1440,"F",$W1441:$AJ1441)+SUMIF($W1440:$AJ1440,"V",$W1441:$AJ1441)-40&lt;0,0,SUMIF($W1440:$AJ1440,"",$W1441:$AJ1441)+SUMIF($W1440:$AJ1440,"F",$W1441:$AJ1441)+SUMIF($W1440:$AJ1440,"V",$W1441:$AJ1441)-($U$9/2))</f>
        <v>10</v>
      </c>
      <c r="AO1441" s="73">
        <f>SUMIF($G1440:$T1440,"M",$G1441:$T1441)+SUMIF($W1440:$AJ1440,"M",$W1441:$AJ1441)</f>
        <v>0</v>
      </c>
      <c r="AP1441" s="73">
        <f>SUMIF($G1440:$T1440,"F",$G1441:$T1441)+SUMIF($W1440:$AJ1440,"F",$W1441:$AJ1441)</f>
        <v>0</v>
      </c>
      <c r="AQ1441" s="73">
        <f>SUMIF($G1440:$T1440,"V",$G1441:$T1441)+SUMIF($W1440:$AJ1440,"V",$W1441:$AJ1441)</f>
        <v>0</v>
      </c>
      <c r="AR1441" s="74">
        <f>SUMIF($G1440:$T1440,"O",$G1441:$T1441)+SUMIF($W1440:$AJ1440,"O",$W1441:$AJ1441)</f>
        <v>0</v>
      </c>
      <c r="AS1441" s="75">
        <f>SUM(AM1441:AR1441)</f>
        <v>90</v>
      </c>
      <c r="AT1441" s="72"/>
      <c r="AU1441" s="73">
        <f>SUMIF($G1440:$T1440,"A",$G1441:$T1441)+SUMIF($W1440:$AJ1440,"A",$W1441:$AJ1441)</f>
        <v>0</v>
      </c>
      <c r="AV1441" s="72"/>
      <c r="AW1441" s="76">
        <f>IF(B1441="",0,IF($U$9="",0,$U$9))</f>
        <v>80</v>
      </c>
      <c r="BA1441" s="2"/>
      <c r="BB1441" s="2"/>
      <c r="BC1441" s="101"/>
      <c r="BD1441" s="101"/>
    </row>
    <row r="1442" spans="2:56" s="84" customFormat="1" x14ac:dyDescent="0.35">
      <c r="B1442" s="26"/>
      <c r="C1442" s="27"/>
      <c r="D1442" s="28">
        <f>IF(D1368="","",D1368)</f>
        <v>14206</v>
      </c>
      <c r="E1442" s="29" t="str">
        <f t="shared" si="563"/>
        <v/>
      </c>
      <c r="F1442" s="50">
        <f>B1415</f>
        <v>3</v>
      </c>
      <c r="G1442" s="59"/>
      <c r="H1442" s="64"/>
      <c r="I1442" s="106"/>
      <c r="J1442" s="105"/>
      <c r="K1442" s="106"/>
      <c r="L1442" s="105"/>
      <c r="M1442" s="106"/>
      <c r="N1442" s="105"/>
      <c r="O1442" s="106"/>
      <c r="P1442" s="105"/>
      <c r="Q1442" s="106"/>
      <c r="R1442" s="105"/>
      <c r="S1442" s="59"/>
      <c r="T1442" s="64"/>
      <c r="U1442" s="44"/>
      <c r="W1442" s="59"/>
      <c r="X1442" s="64"/>
      <c r="Y1442" s="106"/>
      <c r="Z1442" s="105"/>
      <c r="AA1442" s="106"/>
      <c r="AB1442" s="105"/>
      <c r="AC1442" s="106"/>
      <c r="AD1442" s="105"/>
      <c r="AE1442" s="106"/>
      <c r="AF1442" s="105"/>
      <c r="AG1442" s="106"/>
      <c r="AH1442" s="105"/>
      <c r="AI1442" s="59"/>
      <c r="AJ1442" s="64"/>
      <c r="AK1442" s="44"/>
      <c r="AM1442" s="49"/>
      <c r="AN1442" s="49"/>
      <c r="AO1442" s="49"/>
      <c r="AP1442" s="49"/>
      <c r="AQ1442" s="49"/>
      <c r="AR1442" s="40"/>
      <c r="AS1442" s="51"/>
      <c r="AU1442" s="49"/>
      <c r="AW1442" s="52"/>
      <c r="BA1442" s="2"/>
      <c r="BB1442" s="2"/>
      <c r="BC1442" s="101"/>
      <c r="BD1442" s="101"/>
    </row>
    <row r="1443" spans="2:56" s="84" customFormat="1" x14ac:dyDescent="0.35">
      <c r="B1443" s="30" t="str">
        <f>IF(B1369="","",B1369)</f>
        <v>Landry, Bernard</v>
      </c>
      <c r="C1443" s="31"/>
      <c r="D1443" s="32"/>
      <c r="E1443" s="33">
        <f t="shared" si="563"/>
        <v>93545</v>
      </c>
      <c r="F1443" s="50">
        <f>B1415</f>
        <v>3</v>
      </c>
      <c r="G1443" s="69"/>
      <c r="H1443" s="70"/>
      <c r="I1443" s="104"/>
      <c r="J1443" s="103">
        <v>8</v>
      </c>
      <c r="K1443" s="104"/>
      <c r="L1443" s="103">
        <v>8</v>
      </c>
      <c r="M1443" s="104"/>
      <c r="N1443" s="103">
        <v>8</v>
      </c>
      <c r="O1443" s="104"/>
      <c r="P1443" s="103">
        <v>8</v>
      </c>
      <c r="Q1443" s="104"/>
      <c r="R1443" s="103">
        <v>8</v>
      </c>
      <c r="S1443" s="69"/>
      <c r="T1443" s="70"/>
      <c r="U1443" s="71">
        <f t="shared" ref="U1443" si="574">SUM(G1443:T1443)</f>
        <v>40</v>
      </c>
      <c r="V1443" s="72"/>
      <c r="W1443" s="69"/>
      <c r="X1443" s="70"/>
      <c r="Y1443" s="104"/>
      <c r="Z1443" s="103">
        <v>8</v>
      </c>
      <c r="AA1443" s="104"/>
      <c r="AB1443" s="103">
        <v>8</v>
      </c>
      <c r="AC1443" s="104"/>
      <c r="AD1443" s="103">
        <v>8</v>
      </c>
      <c r="AE1443" s="104"/>
      <c r="AF1443" s="103">
        <v>8</v>
      </c>
      <c r="AG1443" s="104"/>
      <c r="AH1443" s="103">
        <v>8</v>
      </c>
      <c r="AI1443" s="69"/>
      <c r="AJ1443" s="70"/>
      <c r="AK1443" s="71">
        <f>SUM(W1443:AJ1443)</f>
        <v>40</v>
      </c>
      <c r="AL1443" s="72"/>
      <c r="AM1443" s="73">
        <f>SUMIF($G1442:$T1442,"",$G1443:$T1443)+SUMIF($W1442:$AJ1442,"",$W1443:$AJ1443)-AN1443</f>
        <v>80</v>
      </c>
      <c r="AN1443" s="88">
        <f>IF(SUMIF($G1442:$T1442,"",$G1443:$T1443)+SUMIF($G1442:$T1442,"F",$G1443:$T1443)+SUMIF($G1442:$T1442,"V",$G1443:$T1443)-40&lt;0,0,SUMIF($G1442:$T1442,"",$G1443:$T1443)+SUMIF($G1442:$T1442,"F",$G1443:$T1443)+SUMIF($G1442:$T1442,"V",$G1443:$T1443)-($U$9/2))+IF(SUMIF($W1442:$AJ1442,"",$W1443:$AJ1443)+SUMIF($W1442:$AJ1442,"F",$W1443:$AJ1443)+SUMIF($W1442:$AJ1442,"V",$W1443:$AJ1443)-40&lt;0,0,SUMIF($W1442:$AJ1442,"",$W1443:$AJ1443)+SUMIF($W1442:$AJ1442,"F",$W1443:$AJ1443)+SUMIF($W1442:$AJ1442,"V",$W1443:$AJ1443)-($U$9/2))</f>
        <v>0</v>
      </c>
      <c r="AO1443" s="73">
        <f>SUMIF($G1442:$T1442,"M",$G1443:$T1443)+SUMIF($W1442:$AJ1442,"M",$W1443:$AJ1443)</f>
        <v>0</v>
      </c>
      <c r="AP1443" s="73">
        <f>SUMIF($G1442:$T1442,"F",$G1443:$T1443)+SUMIF($W1442:$AJ1442,"F",$W1443:$AJ1443)</f>
        <v>0</v>
      </c>
      <c r="AQ1443" s="73">
        <f>SUMIF($G1442:$T1442,"V",$G1443:$T1443)+SUMIF($W1442:$AJ1442,"V",$W1443:$AJ1443)</f>
        <v>0</v>
      </c>
      <c r="AR1443" s="74">
        <f>SUMIF($G1442:$T1442,"O",$G1443:$T1443)+SUMIF($W1442:$AJ1442,"O",$W1443:$AJ1443)</f>
        <v>0</v>
      </c>
      <c r="AS1443" s="75">
        <f>SUM(AM1443:AR1443)</f>
        <v>80</v>
      </c>
      <c r="AT1443" s="72"/>
      <c r="AU1443" s="73">
        <f>SUMIF($G1442:$T1442,"A",$G1443:$T1443)+SUMIF($W1442:$AJ1442,"A",$W1443:$AJ1443)</f>
        <v>0</v>
      </c>
      <c r="AV1443" s="72"/>
      <c r="AW1443" s="76">
        <f>IF(B1443="",0,IF($U$9="",0,$U$9))</f>
        <v>80</v>
      </c>
      <c r="BA1443" s="2"/>
      <c r="BB1443" s="2"/>
      <c r="BC1443" s="101"/>
      <c r="BD1443" s="101"/>
    </row>
    <row r="1444" spans="2:56" s="84" customFormat="1" x14ac:dyDescent="0.35">
      <c r="B1444" s="26"/>
      <c r="C1444" s="27"/>
      <c r="D1444" s="28">
        <f>IF(D1370="","",D1370)</f>
        <v>92257</v>
      </c>
      <c r="E1444" s="29" t="str">
        <f t="shared" si="563"/>
        <v/>
      </c>
      <c r="F1444" s="50">
        <f>B1415</f>
        <v>3</v>
      </c>
      <c r="G1444" s="59"/>
      <c r="H1444" s="64"/>
      <c r="I1444" s="106"/>
      <c r="J1444" s="105"/>
      <c r="K1444" s="106"/>
      <c r="L1444" s="105"/>
      <c r="M1444" s="106"/>
      <c r="N1444" s="105"/>
      <c r="O1444" s="106"/>
      <c r="P1444" s="105"/>
      <c r="Q1444" s="106"/>
      <c r="R1444" s="105"/>
      <c r="S1444" s="59"/>
      <c r="T1444" s="64"/>
      <c r="U1444" s="44"/>
      <c r="W1444" s="59"/>
      <c r="X1444" s="64"/>
      <c r="Y1444" s="106"/>
      <c r="Z1444" s="105"/>
      <c r="AA1444" s="106"/>
      <c r="AB1444" s="105"/>
      <c r="AC1444" s="106"/>
      <c r="AD1444" s="105"/>
      <c r="AE1444" s="106"/>
      <c r="AF1444" s="105"/>
      <c r="AG1444" s="106"/>
      <c r="AH1444" s="105"/>
      <c r="AI1444" s="59"/>
      <c r="AJ1444" s="64"/>
      <c r="AK1444" s="44"/>
      <c r="AM1444" s="49"/>
      <c r="AN1444" s="49"/>
      <c r="AO1444" s="49"/>
      <c r="AP1444" s="49"/>
      <c r="AQ1444" s="49"/>
      <c r="AR1444" s="40"/>
      <c r="AS1444" s="51"/>
      <c r="AU1444" s="49"/>
      <c r="AW1444" s="52"/>
      <c r="BA1444" s="2"/>
      <c r="BB1444" s="2"/>
      <c r="BC1444" s="101"/>
      <c r="BD1444" s="101"/>
    </row>
    <row r="1445" spans="2:56" s="84" customFormat="1" x14ac:dyDescent="0.35">
      <c r="B1445" s="30" t="str">
        <f>IF(B1371="","",B1371)</f>
        <v>Lelievre, Anik</v>
      </c>
      <c r="C1445" s="31"/>
      <c r="D1445" s="32"/>
      <c r="E1445" s="33">
        <f t="shared" si="563"/>
        <v>93513</v>
      </c>
      <c r="F1445" s="50">
        <f>B1415</f>
        <v>3</v>
      </c>
      <c r="G1445" s="69"/>
      <c r="H1445" s="70"/>
      <c r="I1445" s="104"/>
      <c r="J1445" s="103">
        <v>8</v>
      </c>
      <c r="K1445" s="104"/>
      <c r="L1445" s="103">
        <v>8</v>
      </c>
      <c r="M1445" s="104"/>
      <c r="N1445" s="103">
        <v>8</v>
      </c>
      <c r="O1445" s="104"/>
      <c r="P1445" s="103">
        <v>8</v>
      </c>
      <c r="Q1445" s="104"/>
      <c r="R1445" s="103">
        <v>8</v>
      </c>
      <c r="S1445" s="69"/>
      <c r="T1445" s="70"/>
      <c r="U1445" s="71">
        <f t="shared" ref="U1445" si="575">SUM(G1445:T1445)</f>
        <v>40</v>
      </c>
      <c r="V1445" s="72"/>
      <c r="W1445" s="69"/>
      <c r="X1445" s="70"/>
      <c r="Y1445" s="104"/>
      <c r="Z1445" s="103">
        <v>8</v>
      </c>
      <c r="AA1445" s="104"/>
      <c r="AB1445" s="103">
        <v>8</v>
      </c>
      <c r="AC1445" s="104"/>
      <c r="AD1445" s="103">
        <v>8</v>
      </c>
      <c r="AE1445" s="104"/>
      <c r="AF1445" s="103">
        <v>8</v>
      </c>
      <c r="AG1445" s="104"/>
      <c r="AH1445" s="103">
        <v>8</v>
      </c>
      <c r="AI1445" s="69"/>
      <c r="AJ1445" s="70"/>
      <c r="AK1445" s="71">
        <f>SUM(W1445:AJ1445)</f>
        <v>40</v>
      </c>
      <c r="AL1445" s="72"/>
      <c r="AM1445" s="73">
        <f>SUMIF($G1444:$T1444,"",$G1445:$T1445)+SUMIF($W1444:$AJ1444,"",$W1445:$AJ1445)-AN1445</f>
        <v>80</v>
      </c>
      <c r="AN1445" s="88">
        <f>IF(SUMIF($G1444:$T1444,"",$G1445:$T1445)+SUMIF($G1444:$T1444,"F",$G1445:$T1445)+SUMIF($G1444:$T1444,"V",$G1445:$T1445)-40&lt;0,0,SUMIF($G1444:$T1444,"",$G1445:$T1445)+SUMIF($G1444:$T1444,"F",$G1445:$T1445)+SUMIF($G1444:$T1444,"V",$G1445:$T1445)-($U$9/2))+IF(SUMIF($W1444:$AJ1444,"",$W1445:$AJ1445)+SUMIF($W1444:$AJ1444,"F",$W1445:$AJ1445)+SUMIF($W1444:$AJ1444,"V",$W1445:$AJ1445)-40&lt;0,0,SUMIF($W1444:$AJ1444,"",$W1445:$AJ1445)+SUMIF($W1444:$AJ1444,"F",$W1445:$AJ1445)+SUMIF($W1444:$AJ1444,"V",$W1445:$AJ1445)-($U$9/2))</f>
        <v>0</v>
      </c>
      <c r="AO1445" s="73">
        <f>SUMIF($G1444:$T1444,"M",$G1445:$T1445)+SUMIF($W1444:$AJ1444,"M",$W1445:$AJ1445)</f>
        <v>0</v>
      </c>
      <c r="AP1445" s="73">
        <f>SUMIF($G1444:$T1444,"F",$G1445:$T1445)+SUMIF($W1444:$AJ1444,"F",$W1445:$AJ1445)</f>
        <v>0</v>
      </c>
      <c r="AQ1445" s="73">
        <f>SUMIF($G1444:$T1444,"V",$G1445:$T1445)+SUMIF($W1444:$AJ1444,"V",$W1445:$AJ1445)</f>
        <v>0</v>
      </c>
      <c r="AR1445" s="74">
        <f>SUMIF($G1444:$T1444,"O",$G1445:$T1445)+SUMIF($W1444:$AJ1444,"O",$W1445:$AJ1445)</f>
        <v>0</v>
      </c>
      <c r="AS1445" s="75">
        <f>SUM(AM1445:AR1445)</f>
        <v>80</v>
      </c>
      <c r="AT1445" s="72"/>
      <c r="AU1445" s="73">
        <f>SUMIF($G1444:$T1444,"A",$G1445:$T1445)+SUMIF($W1444:$AJ1444,"A",$W1445:$AJ1445)</f>
        <v>0</v>
      </c>
      <c r="AV1445" s="72"/>
      <c r="AW1445" s="76">
        <f>IF(B1445="",0,IF($U$9="",0,$U$9))</f>
        <v>80</v>
      </c>
      <c r="BA1445" s="2"/>
      <c r="BB1445" s="2"/>
      <c r="BC1445" s="101"/>
      <c r="BD1445" s="101"/>
    </row>
    <row r="1446" spans="2:56" s="84" customFormat="1" x14ac:dyDescent="0.35">
      <c r="B1446" s="26"/>
      <c r="C1446" s="27"/>
      <c r="D1446" s="28">
        <f>IF(D1372="","",D1372)</f>
        <v>81042</v>
      </c>
      <c r="E1446" s="29" t="str">
        <f t="shared" si="563"/>
        <v/>
      </c>
      <c r="F1446" s="50">
        <f>B1415</f>
        <v>3</v>
      </c>
      <c r="G1446" s="59"/>
      <c r="H1446" s="64"/>
      <c r="I1446" s="106"/>
      <c r="J1446" s="105"/>
      <c r="K1446" s="106"/>
      <c r="L1446" s="105"/>
      <c r="M1446" s="106"/>
      <c r="N1446" s="105"/>
      <c r="O1446" s="106"/>
      <c r="P1446" s="105"/>
      <c r="Q1446" s="106"/>
      <c r="R1446" s="105"/>
      <c r="S1446" s="59"/>
      <c r="T1446" s="64"/>
      <c r="U1446" s="44"/>
      <c r="W1446" s="59"/>
      <c r="X1446" s="64"/>
      <c r="Y1446" s="106"/>
      <c r="Z1446" s="105"/>
      <c r="AA1446" s="106"/>
      <c r="AB1446" s="130" t="s">
        <v>12</v>
      </c>
      <c r="AC1446" s="140"/>
      <c r="AD1446" s="130" t="s">
        <v>12</v>
      </c>
      <c r="AE1446" s="140"/>
      <c r="AF1446" s="130" t="s">
        <v>12</v>
      </c>
      <c r="AG1446" s="140"/>
      <c r="AH1446" s="130" t="s">
        <v>12</v>
      </c>
      <c r="AI1446" s="59"/>
      <c r="AJ1446" s="64"/>
      <c r="AK1446" s="44"/>
      <c r="AM1446" s="49"/>
      <c r="AN1446" s="49"/>
      <c r="AO1446" s="49"/>
      <c r="AP1446" s="49"/>
      <c r="AQ1446" s="49"/>
      <c r="AR1446" s="40"/>
      <c r="AS1446" s="51"/>
      <c r="AU1446" s="49"/>
      <c r="AW1446" s="52"/>
      <c r="BA1446" s="2"/>
      <c r="BB1446" s="2"/>
      <c r="BC1446" s="101"/>
      <c r="BD1446" s="101"/>
    </row>
    <row r="1447" spans="2:56" s="84" customFormat="1" x14ac:dyDescent="0.35">
      <c r="B1447" s="30" t="str">
        <f>IF(B1373="","",B1373)</f>
        <v>Letarte, Martin</v>
      </c>
      <c r="C1447" s="31"/>
      <c r="D1447" s="32"/>
      <c r="E1447" s="33">
        <f t="shared" si="563"/>
        <v>93545</v>
      </c>
      <c r="F1447" s="50">
        <f>B1415</f>
        <v>3</v>
      </c>
      <c r="G1447" s="69"/>
      <c r="H1447" s="70"/>
      <c r="I1447" s="104"/>
      <c r="J1447" s="103">
        <v>8</v>
      </c>
      <c r="K1447" s="104"/>
      <c r="L1447" s="103">
        <v>8</v>
      </c>
      <c r="M1447" s="104"/>
      <c r="N1447" s="103">
        <v>8</v>
      </c>
      <c r="O1447" s="104"/>
      <c r="P1447" s="103">
        <v>8</v>
      </c>
      <c r="Q1447" s="104"/>
      <c r="R1447" s="103">
        <v>8</v>
      </c>
      <c r="S1447" s="69"/>
      <c r="T1447" s="70"/>
      <c r="U1447" s="71">
        <f t="shared" ref="U1447" si="576">SUM(G1447:T1447)</f>
        <v>40</v>
      </c>
      <c r="V1447" s="72"/>
      <c r="W1447" s="69"/>
      <c r="X1447" s="70"/>
      <c r="Y1447" s="104"/>
      <c r="Z1447" s="103">
        <v>8</v>
      </c>
      <c r="AA1447" s="104"/>
      <c r="AB1447" s="103">
        <v>0</v>
      </c>
      <c r="AC1447" s="104"/>
      <c r="AD1447" s="103">
        <v>0</v>
      </c>
      <c r="AE1447" s="104"/>
      <c r="AF1447" s="103">
        <v>0</v>
      </c>
      <c r="AG1447" s="104"/>
      <c r="AH1447" s="103">
        <v>0</v>
      </c>
      <c r="AI1447" s="69"/>
      <c r="AJ1447" s="70"/>
      <c r="AK1447" s="71">
        <f>SUM(W1447:AJ1447)</f>
        <v>8</v>
      </c>
      <c r="AL1447" s="72"/>
      <c r="AM1447" s="73">
        <f>SUMIF($G1446:$T1446,"",$G1447:$T1447)+SUMIF($W1446:$AJ1446,"",$W1447:$AJ1447)-AN1447</f>
        <v>48</v>
      </c>
      <c r="AN1447" s="88">
        <f>IF(SUMIF($G1446:$T1446,"",$G1447:$T1447)+SUMIF($G1446:$T1446,"F",$G1447:$T1447)+SUMIF($G1446:$T1446,"V",$G1447:$T1447)-40&lt;0,0,SUMIF($G1446:$T1446,"",$G1447:$T1447)+SUMIF($G1446:$T1446,"F",$G1447:$T1447)+SUMIF($G1446:$T1446,"V",$G1447:$T1447)-($U$9/2))+IF(SUMIF($W1446:$AJ1446,"",$W1447:$AJ1447)+SUMIF($W1446:$AJ1446,"F",$W1447:$AJ1447)+SUMIF($W1446:$AJ1446,"V",$W1447:$AJ1447)-40&lt;0,0,SUMIF($W1446:$AJ1446,"",$W1447:$AJ1447)+SUMIF($W1446:$AJ1446,"F",$W1447:$AJ1447)+SUMIF($W1446:$AJ1446,"V",$W1447:$AJ1447)-($U$9/2))</f>
        <v>0</v>
      </c>
      <c r="AO1447" s="73">
        <f>SUMIF($G1446:$T1446,"M",$G1447:$T1447)+SUMIF($W1446:$AJ1446,"M",$W1447:$AJ1447)</f>
        <v>0</v>
      </c>
      <c r="AP1447" s="73">
        <f>SUMIF($G1446:$T1446,"F",$G1447:$T1447)+SUMIF($W1446:$AJ1446,"F",$W1447:$AJ1447)</f>
        <v>0</v>
      </c>
      <c r="AQ1447" s="73">
        <f>SUMIF($G1446:$T1446,"V",$G1447:$T1447)+SUMIF($W1446:$AJ1446,"V",$W1447:$AJ1447)</f>
        <v>0</v>
      </c>
      <c r="AR1447" s="74">
        <f>SUMIF($G1446:$T1446,"O",$G1447:$T1447)+SUMIF($W1446:$AJ1446,"O",$W1447:$AJ1447)</f>
        <v>0</v>
      </c>
      <c r="AS1447" s="75">
        <f>SUM(AM1447:AR1447)</f>
        <v>48</v>
      </c>
      <c r="AT1447" s="72"/>
      <c r="AU1447" s="73">
        <f>SUMIF($G1446:$T1446,"A",$G1447:$T1447)+SUMIF($W1446:$AJ1446,"A",$W1447:$AJ1447)</f>
        <v>0</v>
      </c>
      <c r="AV1447" s="72"/>
      <c r="AW1447" s="76">
        <f>IF(B1447="",0,IF($U$9="",0,$U$9))</f>
        <v>80</v>
      </c>
      <c r="BA1447" s="2"/>
      <c r="BB1447" s="2"/>
      <c r="BC1447" s="101"/>
      <c r="BD1447" s="101"/>
    </row>
    <row r="1448" spans="2:56" s="84" customFormat="1" x14ac:dyDescent="0.35">
      <c r="B1448" s="26"/>
      <c r="C1448" s="27"/>
      <c r="D1448" s="28" t="str">
        <f>IF(D1374="","",D1374)</f>
        <v/>
      </c>
      <c r="E1448" s="29" t="str">
        <f t="shared" si="563"/>
        <v/>
      </c>
      <c r="F1448" s="50">
        <f>B1415</f>
        <v>3</v>
      </c>
      <c r="G1448" s="59"/>
      <c r="H1448" s="64"/>
      <c r="I1448" s="106"/>
      <c r="J1448" s="105"/>
      <c r="K1448" s="106"/>
      <c r="L1448" s="105"/>
      <c r="M1448" s="106"/>
      <c r="N1448" s="105"/>
      <c r="O1448" s="106"/>
      <c r="P1448" s="105"/>
      <c r="Q1448" s="106"/>
      <c r="R1448" s="105"/>
      <c r="S1448" s="59"/>
      <c r="T1448" s="64"/>
      <c r="U1448" s="44"/>
      <c r="W1448" s="59"/>
      <c r="X1448" s="64"/>
      <c r="Y1448" s="106"/>
      <c r="Z1448" s="105"/>
      <c r="AA1448" s="106"/>
      <c r="AB1448" s="105"/>
      <c r="AC1448" s="106"/>
      <c r="AD1448" s="105"/>
      <c r="AE1448" s="106"/>
      <c r="AF1448" s="105"/>
      <c r="AG1448" s="106"/>
      <c r="AH1448" s="105"/>
      <c r="AI1448" s="59"/>
      <c r="AJ1448" s="64"/>
      <c r="AK1448" s="44"/>
      <c r="AM1448" s="49"/>
      <c r="AN1448" s="49"/>
      <c r="AO1448" s="49"/>
      <c r="AP1448" s="49"/>
      <c r="AQ1448" s="49"/>
      <c r="AR1448" s="40"/>
      <c r="AS1448" s="51"/>
      <c r="AU1448" s="49"/>
      <c r="AW1448" s="52"/>
      <c r="BA1448" s="2"/>
      <c r="BB1448" s="2"/>
      <c r="BC1448" s="101"/>
      <c r="BD1448" s="101"/>
    </row>
    <row r="1449" spans="2:56" s="84" customFormat="1" x14ac:dyDescent="0.35">
      <c r="B1449" s="30" t="str">
        <f>IF(B1375="","",B1375)</f>
        <v/>
      </c>
      <c r="C1449" s="31"/>
      <c r="D1449" s="32"/>
      <c r="E1449" s="33" t="str">
        <f t="shared" si="563"/>
        <v/>
      </c>
      <c r="F1449" s="50">
        <f>B1415</f>
        <v>3</v>
      </c>
      <c r="G1449" s="69"/>
      <c r="H1449" s="70"/>
      <c r="I1449" s="104"/>
      <c r="J1449" s="103"/>
      <c r="K1449" s="104"/>
      <c r="L1449" s="103"/>
      <c r="M1449" s="104"/>
      <c r="N1449" s="103"/>
      <c r="O1449" s="104"/>
      <c r="P1449" s="103"/>
      <c r="Q1449" s="104"/>
      <c r="R1449" s="103"/>
      <c r="S1449" s="69"/>
      <c r="T1449" s="70"/>
      <c r="U1449" s="71">
        <f t="shared" ref="U1449" si="577">SUM(G1449:T1449)</f>
        <v>0</v>
      </c>
      <c r="V1449" s="72"/>
      <c r="W1449" s="69"/>
      <c r="X1449" s="70"/>
      <c r="Y1449" s="104"/>
      <c r="Z1449" s="103"/>
      <c r="AA1449" s="104"/>
      <c r="AB1449" s="103"/>
      <c r="AC1449" s="104"/>
      <c r="AD1449" s="103"/>
      <c r="AE1449" s="104"/>
      <c r="AF1449" s="103"/>
      <c r="AG1449" s="104"/>
      <c r="AH1449" s="103"/>
      <c r="AI1449" s="69"/>
      <c r="AJ1449" s="70"/>
      <c r="AK1449" s="71">
        <f>SUM(W1449:AJ1449)</f>
        <v>0</v>
      </c>
      <c r="AL1449" s="72"/>
      <c r="AM1449" s="73">
        <f>SUMIF($G1448:$T1448,"",$G1449:$T1449)+SUMIF($W1448:$AJ1448,"",$W1449:$AJ1449)-AN1449</f>
        <v>0</v>
      </c>
      <c r="AN1449" s="88">
        <f>IF(SUMIF($G1448:$T1448,"",$G1449:$T1449)+SUMIF($G1448:$T1448,"F",$G1449:$T1449)+SUMIF($G1448:$T1448,"V",$G1449:$T1449)-40&lt;0,0,SUMIF($G1448:$T1448,"",$G1449:$T1449)+SUMIF($G1448:$T1448,"F",$G1449:$T1449)+SUMIF($G1448:$T1448,"V",$G1449:$T1449)-($U$9/2))+IF(SUMIF($W1448:$AJ1448,"",$W1449:$AJ1449)+SUMIF($W1448:$AJ1448,"F",$W1449:$AJ1449)+SUMIF($W1448:$AJ1448,"V",$W1449:$AJ1449)-40&lt;0,0,SUMIF($W1448:$AJ1448,"",$W1449:$AJ1449)+SUMIF($W1448:$AJ1448,"F",$W1449:$AJ1449)+SUMIF($W1448:$AJ1448,"V",$W1449:$AJ1449)-($U$9/2))</f>
        <v>0</v>
      </c>
      <c r="AO1449" s="73">
        <f>SUMIF($G1448:$T1448,"M",$G1449:$T1449)+SUMIF($W1448:$AJ1448,"M",$W1449:$AJ1449)</f>
        <v>0</v>
      </c>
      <c r="AP1449" s="73">
        <f>SUMIF($G1448:$T1448,"F",$G1449:$T1449)+SUMIF($W1448:$AJ1448,"F",$W1449:$AJ1449)</f>
        <v>0</v>
      </c>
      <c r="AQ1449" s="73">
        <f>SUMIF($G1448:$T1448,"V",$G1449:$T1449)+SUMIF($W1448:$AJ1448,"V",$W1449:$AJ1449)</f>
        <v>0</v>
      </c>
      <c r="AR1449" s="74">
        <f>SUMIF($G1448:$T1448,"O",$G1449:$T1449)+SUMIF($W1448:$AJ1448,"O",$W1449:$AJ1449)</f>
        <v>0</v>
      </c>
      <c r="AS1449" s="75">
        <f>SUM(AM1449:AR1449)</f>
        <v>0</v>
      </c>
      <c r="AT1449" s="72"/>
      <c r="AU1449" s="73">
        <f>SUMIF($G1448:$T1448,"A",$G1449:$T1449)+SUMIF($W1448:$AJ1448,"A",$W1449:$AJ1449)</f>
        <v>0</v>
      </c>
      <c r="AV1449" s="72"/>
      <c r="AW1449" s="76">
        <f>IF(B1449="",0,IF($U$9="",0,$U$9))</f>
        <v>0</v>
      </c>
      <c r="BA1449" s="2"/>
      <c r="BB1449" s="2"/>
      <c r="BC1449" s="101"/>
      <c r="BD1449" s="101"/>
    </row>
    <row r="1450" spans="2:56" s="84" customFormat="1" x14ac:dyDescent="0.35">
      <c r="B1450" s="26"/>
      <c r="C1450" s="27"/>
      <c r="D1450" s="28">
        <f>IF(D1376="","",D1376)</f>
        <v>11792</v>
      </c>
      <c r="E1450" s="29" t="str">
        <f t="shared" si="563"/>
        <v/>
      </c>
      <c r="F1450" s="50">
        <f>B1415</f>
        <v>3</v>
      </c>
      <c r="G1450" s="59"/>
      <c r="H1450" s="64"/>
      <c r="I1450" s="106"/>
      <c r="J1450" s="105"/>
      <c r="K1450" s="106"/>
      <c r="L1450" s="105"/>
      <c r="M1450" s="106"/>
      <c r="N1450" s="105"/>
      <c r="O1450" s="106"/>
      <c r="P1450" s="105"/>
      <c r="Q1450" s="106"/>
      <c r="R1450" s="105"/>
      <c r="S1450" s="59"/>
      <c r="T1450" s="64"/>
      <c r="U1450" s="44"/>
      <c r="W1450" s="59"/>
      <c r="X1450" s="64"/>
      <c r="Y1450" s="106"/>
      <c r="Z1450" s="105"/>
      <c r="AA1450" s="106"/>
      <c r="AB1450" s="105"/>
      <c r="AC1450" s="106"/>
      <c r="AD1450" s="105"/>
      <c r="AE1450" s="106"/>
      <c r="AF1450" s="105"/>
      <c r="AG1450" s="106"/>
      <c r="AH1450" s="105"/>
      <c r="AI1450" s="59"/>
      <c r="AJ1450" s="64"/>
      <c r="AK1450" s="44"/>
      <c r="AM1450" s="49"/>
      <c r="AN1450" s="49"/>
      <c r="AO1450" s="49"/>
      <c r="AP1450" s="49"/>
      <c r="AQ1450" s="49"/>
      <c r="AR1450" s="40"/>
      <c r="AS1450" s="51"/>
      <c r="AU1450" s="49"/>
      <c r="AW1450" s="52"/>
      <c r="BA1450" s="2"/>
      <c r="BB1450" s="2"/>
      <c r="BC1450" s="101"/>
      <c r="BD1450" s="101"/>
    </row>
    <row r="1451" spans="2:56" s="84" customFormat="1" x14ac:dyDescent="0.35">
      <c r="B1451" s="30" t="str">
        <f>IF(B1377="","",B1377)</f>
        <v>Pellerin, Pierre</v>
      </c>
      <c r="C1451" s="31"/>
      <c r="D1451" s="32"/>
      <c r="E1451" s="33">
        <f t="shared" si="563"/>
        <v>93595935</v>
      </c>
      <c r="F1451" s="50">
        <f>B1415</f>
        <v>3</v>
      </c>
      <c r="G1451" s="69"/>
      <c r="H1451" s="70"/>
      <c r="I1451" s="104"/>
      <c r="J1451" s="103">
        <v>8</v>
      </c>
      <c r="K1451" s="104"/>
      <c r="L1451" s="103">
        <v>8</v>
      </c>
      <c r="M1451" s="104"/>
      <c r="N1451" s="103">
        <v>8</v>
      </c>
      <c r="O1451" s="104"/>
      <c r="P1451" s="103">
        <v>8</v>
      </c>
      <c r="Q1451" s="104"/>
      <c r="R1451" s="103">
        <v>8</v>
      </c>
      <c r="S1451" s="69"/>
      <c r="T1451" s="70"/>
      <c r="U1451" s="71">
        <f t="shared" ref="U1451" si="578">SUM(G1451:T1451)</f>
        <v>40</v>
      </c>
      <c r="V1451" s="72"/>
      <c r="W1451" s="69"/>
      <c r="X1451" s="70"/>
      <c r="Y1451" s="104"/>
      <c r="Z1451" s="103">
        <v>8</v>
      </c>
      <c r="AA1451" s="104"/>
      <c r="AB1451" s="103">
        <v>8</v>
      </c>
      <c r="AC1451" s="104"/>
      <c r="AD1451" s="103">
        <v>8</v>
      </c>
      <c r="AE1451" s="104"/>
      <c r="AF1451" s="103">
        <v>8</v>
      </c>
      <c r="AG1451" s="104"/>
      <c r="AH1451" s="103">
        <v>8</v>
      </c>
      <c r="AI1451" s="69"/>
      <c r="AJ1451" s="70"/>
      <c r="AK1451" s="71">
        <f>SUM(Z1451:AH1451)</f>
        <v>40</v>
      </c>
      <c r="AL1451" s="72"/>
      <c r="AM1451" s="73">
        <f>SUMIF($G1450:$T1450,"",$G1451:$T1451)+SUMIF($W1450:$AJ1450,"",$W1451:$AJ1451)-AN1451</f>
        <v>80</v>
      </c>
      <c r="AN1451" s="88">
        <f>IF(SUMIF($G1450:$T1450,"",$G1451:$T1451)+SUMIF($G1450:$T1450,"F",$G1451:$T1451)+SUMIF($G1450:$T1450,"V",$G1451:$T1451)-40&lt;0,0,SUMIF($G1450:$T1450,"",$G1451:$T1451)+SUMIF($G1450:$T1450,"F",$G1451:$T1451)+SUMIF($G1450:$T1450,"V",$G1451:$T1451)-($U$9/2))+IF(SUMIF($W1450:$AJ1450,"",$W1451:$AJ1451)+SUMIF($W1450:$AJ1450,"F",$W1451:$AJ1451)+SUMIF($W1450:$AJ1450,"V",$W1451:$AJ1451)-40&lt;0,0,SUMIF($W1450:$AJ1450,"",$W1451:$AJ1451)+SUMIF($W1450:$AJ1450,"F",$W1451:$AJ1451)+SUMIF($W1450:$AJ1450,"V",$W1451:$AJ1451)-($U$9/2))</f>
        <v>0</v>
      </c>
      <c r="AO1451" s="73">
        <f>SUMIF($G1450:$T1450,"M",$G1451:$T1451)+SUMIF($W1450:$AJ1450,"M",$W1451:$AJ1451)</f>
        <v>0</v>
      </c>
      <c r="AP1451" s="73">
        <f>SUMIF($G1450:$T1450,"F",$G1451:$T1451)+SUMIF($W1450:$AJ1450,"F",$W1451:$AJ1451)</f>
        <v>0</v>
      </c>
      <c r="AQ1451" s="73">
        <f>SUMIF($G1450:$T1450,"V",$G1451:$T1451)+SUMIF($W1450:$AJ1450,"V",$W1451:$AJ1451)</f>
        <v>0</v>
      </c>
      <c r="AR1451" s="74">
        <f>SUMIF($G1450:$T1450,"O",$G1451:$T1451)+SUMIF($W1450:$AJ1450,"O",$W1451:$AJ1451)</f>
        <v>0</v>
      </c>
      <c r="AS1451" s="75">
        <f>SUM(AM1451:AR1451)</f>
        <v>80</v>
      </c>
      <c r="AT1451" s="72"/>
      <c r="AU1451" s="73">
        <f>SUMIF($G1450:$T1450,"A",$G1451:$T1451)+SUMIF($W1450:$AJ1450,"A",$W1451:$AJ1451)</f>
        <v>0</v>
      </c>
      <c r="AV1451" s="72"/>
      <c r="AW1451" s="76">
        <f>IF(B1451="",0,IF($U$9="",0,$U$9))</f>
        <v>80</v>
      </c>
      <c r="BA1451" s="2"/>
      <c r="BB1451" s="2"/>
      <c r="BC1451" s="101"/>
      <c r="BD1451" s="101"/>
    </row>
    <row r="1452" spans="2:56" s="84" customFormat="1" x14ac:dyDescent="0.35">
      <c r="B1452" s="26"/>
      <c r="C1452" s="27"/>
      <c r="D1452" s="28">
        <f>IF(D1378="","",D1378)</f>
        <v>81043</v>
      </c>
      <c r="E1452" s="29" t="str">
        <f t="shared" si="563"/>
        <v/>
      </c>
      <c r="F1452" s="50">
        <f>B1415</f>
        <v>3</v>
      </c>
      <c r="G1452" s="59"/>
      <c r="H1452" s="64"/>
      <c r="I1452" s="106"/>
      <c r="J1452" s="105"/>
      <c r="K1452" s="106"/>
      <c r="L1452" s="105"/>
      <c r="M1452" s="106"/>
      <c r="N1452" s="105"/>
      <c r="O1452" s="106"/>
      <c r="P1452" s="105"/>
      <c r="Q1452" s="106"/>
      <c r="R1452" s="105"/>
      <c r="S1452" s="59"/>
      <c r="T1452" s="64"/>
      <c r="U1452" s="44"/>
      <c r="W1452" s="59"/>
      <c r="X1452" s="64"/>
      <c r="Y1452" s="106"/>
      <c r="Z1452" s="105"/>
      <c r="AA1452" s="106"/>
      <c r="AB1452" s="105"/>
      <c r="AC1452" s="106"/>
      <c r="AD1452" s="105"/>
      <c r="AE1452" s="106"/>
      <c r="AF1452" s="105"/>
      <c r="AG1452" s="106"/>
      <c r="AH1452" s="105"/>
      <c r="AI1452" s="59"/>
      <c r="AJ1452" s="64"/>
      <c r="AK1452" s="44"/>
      <c r="AM1452" s="49"/>
      <c r="AN1452" s="49"/>
      <c r="AO1452" s="49"/>
      <c r="AP1452" s="49"/>
      <c r="AQ1452" s="49"/>
      <c r="AR1452" s="40"/>
      <c r="AS1452" s="51"/>
      <c r="AU1452" s="49"/>
      <c r="AW1452" s="52"/>
      <c r="BA1452" s="2"/>
      <c r="BB1452" s="2"/>
      <c r="BC1452" s="101"/>
      <c r="BD1452" s="101"/>
    </row>
    <row r="1453" spans="2:56" s="84" customFormat="1" x14ac:dyDescent="0.35">
      <c r="B1453" s="30" t="str">
        <f>IF(B1379="","",B1379)</f>
        <v>Rodrigue, Frank</v>
      </c>
      <c r="C1453" s="31"/>
      <c r="D1453" s="32"/>
      <c r="E1453" s="33">
        <f t="shared" ref="E1453:E1469" si="579">IF(E1379="","",E1379)</f>
        <v>93545</v>
      </c>
      <c r="F1453" s="50">
        <f>B1415</f>
        <v>3</v>
      </c>
      <c r="G1453" s="69"/>
      <c r="H1453" s="70"/>
      <c r="I1453" s="104"/>
      <c r="J1453" s="103">
        <v>8</v>
      </c>
      <c r="K1453" s="104"/>
      <c r="L1453" s="103">
        <v>8</v>
      </c>
      <c r="M1453" s="104"/>
      <c r="N1453" s="103">
        <v>8</v>
      </c>
      <c r="O1453" s="104"/>
      <c r="P1453" s="103">
        <v>8</v>
      </c>
      <c r="Q1453" s="104"/>
      <c r="R1453" s="103">
        <v>8</v>
      </c>
      <c r="S1453" s="69"/>
      <c r="T1453" s="70"/>
      <c r="U1453" s="71">
        <f t="shared" ref="U1453" si="580">SUM(G1453:T1453)</f>
        <v>40</v>
      </c>
      <c r="V1453" s="72"/>
      <c r="W1453" s="69"/>
      <c r="X1453" s="70"/>
      <c r="Y1453" s="104"/>
      <c r="Z1453" s="103">
        <v>8</v>
      </c>
      <c r="AA1453" s="104"/>
      <c r="AB1453" s="103">
        <v>8</v>
      </c>
      <c r="AC1453" s="104"/>
      <c r="AD1453" s="103">
        <v>8</v>
      </c>
      <c r="AE1453" s="104"/>
      <c r="AF1453" s="103">
        <v>8</v>
      </c>
      <c r="AG1453" s="104"/>
      <c r="AH1453" s="103">
        <v>8</v>
      </c>
      <c r="AI1453" s="69"/>
      <c r="AJ1453" s="70"/>
      <c r="AK1453" s="71">
        <f>SUM(W1453:AJ1453)</f>
        <v>40</v>
      </c>
      <c r="AL1453" s="72"/>
      <c r="AM1453" s="73">
        <f>SUMIF($G1452:$T1452,"",$G1453:$T1453)+SUMIF($W1452:$AJ1452,"",$W1453:$AJ1453)-AN1453</f>
        <v>80</v>
      </c>
      <c r="AN1453" s="88">
        <f>IF(SUMIF($G1452:$T1452,"",$G1453:$T1453)+SUMIF($G1452:$T1452,"F",$G1453:$T1453)+SUMIF($G1452:$T1452,"V",$G1453:$T1453)-40&lt;0,0,SUMIF($G1452:$T1452,"",$G1453:$T1453)+SUMIF($G1452:$T1452,"F",$G1453:$T1453)+SUMIF($G1452:$T1452,"V",$G1453:$T1453)-($U$9/2))+IF(SUMIF($W1452:$AJ1452,"",$W1453:$AJ1453)+SUMIF($W1452:$AJ1452,"F",$W1453:$AJ1453)+SUMIF($W1452:$AJ1452,"V",$W1453:$AJ1453)-40&lt;0,0,SUMIF($W1452:$AJ1452,"",$W1453:$AJ1453)+SUMIF($W1452:$AJ1452,"F",$W1453:$AJ1453)+SUMIF($W1452:$AJ1452,"V",$W1453:$AJ1453)-($U$9/2))</f>
        <v>0</v>
      </c>
      <c r="AO1453" s="73">
        <f>SUMIF($G1452:$T1452,"M",$G1453:$T1453)+SUMIF($W1452:$AJ1452,"M",$W1453:$AJ1453)</f>
        <v>0</v>
      </c>
      <c r="AP1453" s="73">
        <f>SUMIF($G1452:$T1452,"F",$G1453:$T1453)+SUMIF($W1452:$AJ1452,"F",$W1453:$AJ1453)</f>
        <v>0</v>
      </c>
      <c r="AQ1453" s="73">
        <f>SUMIF($G1452:$T1452,"V",$G1453:$T1453)+SUMIF($W1452:$AJ1452,"V",$W1453:$AJ1453)</f>
        <v>0</v>
      </c>
      <c r="AR1453" s="74">
        <f>SUMIF($G1452:$T1452,"O",$G1453:$T1453)+SUMIF($W1452:$AJ1452,"O",$W1453:$AJ1453)</f>
        <v>0</v>
      </c>
      <c r="AS1453" s="75">
        <f>SUM(AM1453:AR1453)</f>
        <v>80</v>
      </c>
      <c r="AT1453" s="72"/>
      <c r="AU1453" s="73">
        <f>SUMIF($G1452:$T1452,"A",$G1453:$T1453)+SUMIF($W1452:$AJ1452,"A",$W1453:$AJ1453)</f>
        <v>0</v>
      </c>
      <c r="AV1453" s="72"/>
      <c r="AW1453" s="76">
        <f>IF(B1453="",0,IF($U$9="",0,$U$9))</f>
        <v>80</v>
      </c>
      <c r="BA1453" s="2"/>
      <c r="BB1453" s="2"/>
      <c r="BC1453" s="101"/>
      <c r="BD1453" s="101"/>
    </row>
    <row r="1454" spans="2:56" s="84" customFormat="1" x14ac:dyDescent="0.35">
      <c r="B1454" s="26"/>
      <c r="C1454" s="27"/>
      <c r="D1454" s="28">
        <f>IF(D1380="","",D1380)</f>
        <v>72673</v>
      </c>
      <c r="E1454" s="29" t="str">
        <f t="shared" si="579"/>
        <v/>
      </c>
      <c r="F1454" s="50">
        <f>B1415</f>
        <v>3</v>
      </c>
      <c r="G1454" s="59"/>
      <c r="H1454" s="64"/>
      <c r="I1454" s="106"/>
      <c r="J1454" s="105"/>
      <c r="K1454" s="106"/>
      <c r="L1454" s="105"/>
      <c r="M1454" s="106"/>
      <c r="N1454" s="105"/>
      <c r="O1454" s="106"/>
      <c r="P1454" s="105"/>
      <c r="Q1454" s="106"/>
      <c r="R1454" s="105"/>
      <c r="S1454" s="59"/>
      <c r="T1454" s="64"/>
      <c r="U1454" s="44"/>
      <c r="W1454" s="59"/>
      <c r="X1454" s="64"/>
      <c r="Y1454" s="106"/>
      <c r="Z1454" s="105"/>
      <c r="AA1454" s="106"/>
      <c r="AB1454" s="105"/>
      <c r="AC1454" s="106"/>
      <c r="AD1454" s="105"/>
      <c r="AE1454" s="106"/>
      <c r="AF1454" s="105"/>
      <c r="AG1454" s="106"/>
      <c r="AH1454" s="105"/>
      <c r="AI1454" s="59"/>
      <c r="AJ1454" s="64"/>
      <c r="AK1454" s="44"/>
      <c r="AM1454" s="49"/>
      <c r="AN1454" s="49"/>
      <c r="AO1454" s="49"/>
      <c r="AP1454" s="49"/>
      <c r="AQ1454" s="49"/>
      <c r="AR1454" s="40"/>
      <c r="AS1454" s="51"/>
      <c r="AU1454" s="49"/>
      <c r="AW1454" s="52"/>
      <c r="BA1454" s="2"/>
      <c r="BB1454" s="2"/>
      <c r="BC1454" s="101"/>
      <c r="BD1454" s="101"/>
    </row>
    <row r="1455" spans="2:56" s="84" customFormat="1" x14ac:dyDescent="0.35">
      <c r="B1455" s="30" t="str">
        <f>IF(B1381="","",B1381)</f>
        <v>St-Georges, Manuel (avance $2,000)</v>
      </c>
      <c r="C1455" s="31"/>
      <c r="D1455" s="32"/>
      <c r="E1455" s="33">
        <f t="shared" si="579"/>
        <v>93595935</v>
      </c>
      <c r="F1455" s="50">
        <f>B1415</f>
        <v>3</v>
      </c>
      <c r="G1455" s="69"/>
      <c r="H1455" s="70"/>
      <c r="I1455" s="104"/>
      <c r="J1455" s="103" t="s">
        <v>69</v>
      </c>
      <c r="K1455" s="104"/>
      <c r="L1455" s="103" t="s">
        <v>69</v>
      </c>
      <c r="M1455" s="104"/>
      <c r="N1455" s="103" t="s">
        <v>69</v>
      </c>
      <c r="O1455" s="104"/>
      <c r="P1455" s="103" t="s">
        <v>69</v>
      </c>
      <c r="Q1455" s="104"/>
      <c r="R1455" s="103" t="s">
        <v>69</v>
      </c>
      <c r="S1455" s="69"/>
      <c r="T1455" s="70"/>
      <c r="U1455" s="71">
        <f t="shared" ref="U1455" si="581">SUM(G1455:T1455)</f>
        <v>0</v>
      </c>
      <c r="V1455" s="72"/>
      <c r="W1455" s="69"/>
      <c r="X1455" s="70"/>
      <c r="Y1455" s="104"/>
      <c r="Z1455" s="103" t="s">
        <v>69</v>
      </c>
      <c r="AA1455" s="104"/>
      <c r="AB1455" s="103" t="s">
        <v>69</v>
      </c>
      <c r="AC1455" s="104"/>
      <c r="AD1455" s="103" t="s">
        <v>69</v>
      </c>
      <c r="AE1455" s="104"/>
      <c r="AF1455" s="103" t="s">
        <v>69</v>
      </c>
      <c r="AG1455" s="104"/>
      <c r="AH1455" s="103" t="s">
        <v>69</v>
      </c>
      <c r="AI1455" s="69"/>
      <c r="AJ1455" s="70"/>
      <c r="AK1455" s="71">
        <f>SUM(W1455:AJ1455)</f>
        <v>0</v>
      </c>
      <c r="AL1455" s="72"/>
      <c r="AM1455" s="73">
        <f>SUMIF($G1454:$T1454,"",$G1455:$T1455)+SUMIF($W1454:$AJ1454,"",$W1455:$AJ1455)-AN1455</f>
        <v>0</v>
      </c>
      <c r="AN1455" s="88">
        <f>IF(SUMIF($G1454:$T1454,"",$G1455:$T1455)+SUMIF($G1454:$T1454,"F",$G1455:$T1455)+SUMIF($G1454:$T1454,"V",$G1455:$T1455)-40&lt;0,0,SUMIF($G1454:$T1454,"",$G1455:$T1455)+SUMIF($G1454:$T1454,"F",$G1455:$T1455)+SUMIF($G1454:$T1454,"V",$G1455:$T1455)-($U$9/2))+IF(SUMIF($W1454:$AJ1454,"",$W1455:$AJ1455)+SUMIF($W1454:$AJ1454,"F",$W1455:$AJ1455)+SUMIF($W1454:$AJ1454,"V",$W1455:$AJ1455)-40&lt;0,0,SUMIF($W1454:$AJ1454,"",$W1455:$AJ1455)+SUMIF($W1454:$AJ1454,"F",$W1455:$AJ1455)+SUMIF($W1454:$AJ1454,"V",$W1455:$AJ1455)-($U$9/2))</f>
        <v>0</v>
      </c>
      <c r="AO1455" s="73">
        <f>SUMIF($G1454:$T1454,"M",$G1455:$T1455)+SUMIF($W1454:$AJ1454,"M",$W1455:$AJ1455)</f>
        <v>0</v>
      </c>
      <c r="AP1455" s="73">
        <f>SUMIF($G1454:$T1454,"F",$G1455:$T1455)+SUMIF($W1454:$AJ1454,"F",$W1455:$AJ1455)</f>
        <v>0</v>
      </c>
      <c r="AQ1455" s="73">
        <f>SUMIF($G1454:$T1454,"V",$G1455:$T1455)+SUMIF($W1454:$AJ1454,"V",$W1455:$AJ1455)</f>
        <v>0</v>
      </c>
      <c r="AR1455" s="74">
        <f>SUMIF($G1454:$T1454,"O",$G1455:$T1455)+SUMIF($W1454:$AJ1454,"O",$W1455:$AJ1455)</f>
        <v>0</v>
      </c>
      <c r="AS1455" s="75">
        <f>SUM(AM1455:AR1455)</f>
        <v>0</v>
      </c>
      <c r="AT1455" s="72"/>
      <c r="AU1455" s="73">
        <f>SUMIF($G1454:$T1454,"A",$G1455:$T1455)+SUMIF($W1454:$AJ1454,"A",$W1455:$AJ1455)</f>
        <v>0</v>
      </c>
      <c r="AV1455" s="72"/>
      <c r="AW1455" s="76">
        <f>IF(B1455="",0,IF($U$9="",0,$U$9))</f>
        <v>80</v>
      </c>
      <c r="BA1455" s="2"/>
      <c r="BB1455" s="2"/>
      <c r="BC1455" s="101"/>
      <c r="BD1455" s="101"/>
    </row>
    <row r="1456" spans="2:56" s="84" customFormat="1" x14ac:dyDescent="0.35">
      <c r="B1456" s="26"/>
      <c r="C1456" s="27"/>
      <c r="D1456" s="28" t="str">
        <f>IF(D1382="","",D1382)</f>
        <v/>
      </c>
      <c r="E1456" s="29" t="str">
        <f t="shared" si="579"/>
        <v/>
      </c>
      <c r="F1456" s="50">
        <f>B1415</f>
        <v>3</v>
      </c>
      <c r="G1456" s="59"/>
      <c r="H1456" s="64"/>
      <c r="I1456" s="106"/>
      <c r="J1456" s="105"/>
      <c r="K1456" s="106"/>
      <c r="L1456" s="105"/>
      <c r="M1456" s="106"/>
      <c r="N1456" s="105"/>
      <c r="O1456" s="106"/>
      <c r="P1456" s="105"/>
      <c r="Q1456" s="106"/>
      <c r="R1456" s="105"/>
      <c r="S1456" s="59"/>
      <c r="T1456" s="64"/>
      <c r="U1456" s="44"/>
      <c r="W1456" s="59"/>
      <c r="X1456" s="64"/>
      <c r="Y1456" s="106"/>
      <c r="Z1456" s="105"/>
      <c r="AA1456" s="106"/>
      <c r="AB1456" s="105"/>
      <c r="AC1456" s="106"/>
      <c r="AD1456" s="105"/>
      <c r="AE1456" s="106"/>
      <c r="AF1456" s="105"/>
      <c r="AG1456" s="106"/>
      <c r="AH1456" s="105"/>
      <c r="AI1456" s="59"/>
      <c r="AJ1456" s="64"/>
      <c r="AK1456" s="44"/>
      <c r="AM1456" s="49"/>
      <c r="AN1456" s="49"/>
      <c r="AO1456" s="49"/>
      <c r="AP1456" s="49"/>
      <c r="AQ1456" s="49"/>
      <c r="AR1456" s="40"/>
      <c r="AS1456" s="51"/>
      <c r="AU1456" s="49"/>
      <c r="AW1456" s="52"/>
      <c r="BA1456" s="2"/>
      <c r="BB1456" s="2"/>
      <c r="BC1456" s="101"/>
      <c r="BD1456" s="101"/>
    </row>
    <row r="1457" spans="1:56" s="84" customFormat="1" x14ac:dyDescent="0.35">
      <c r="B1457" s="30" t="str">
        <f>IF(B1383="","",B1383)</f>
        <v/>
      </c>
      <c r="C1457" s="31"/>
      <c r="D1457" s="32"/>
      <c r="E1457" s="33" t="str">
        <f t="shared" si="579"/>
        <v/>
      </c>
      <c r="F1457" s="50">
        <f>B1415</f>
        <v>3</v>
      </c>
      <c r="G1457" s="69"/>
      <c r="H1457" s="70"/>
      <c r="I1457" s="104"/>
      <c r="J1457" s="103"/>
      <c r="K1457" s="104"/>
      <c r="L1457" s="103"/>
      <c r="M1457" s="104"/>
      <c r="N1457" s="103"/>
      <c r="O1457" s="104"/>
      <c r="P1457" s="103"/>
      <c r="Q1457" s="104"/>
      <c r="R1457" s="103"/>
      <c r="S1457" s="69"/>
      <c r="T1457" s="70"/>
      <c r="U1457" s="71">
        <f t="shared" ref="U1457" si="582">SUM(G1457:T1457)</f>
        <v>0</v>
      </c>
      <c r="V1457" s="72"/>
      <c r="W1457" s="69"/>
      <c r="X1457" s="70"/>
      <c r="Y1457" s="104"/>
      <c r="Z1457" s="103"/>
      <c r="AA1457" s="104"/>
      <c r="AB1457" s="103"/>
      <c r="AC1457" s="104"/>
      <c r="AD1457" s="103"/>
      <c r="AE1457" s="104"/>
      <c r="AF1457" s="103"/>
      <c r="AG1457" s="104"/>
      <c r="AH1457" s="103"/>
      <c r="AI1457" s="69"/>
      <c r="AJ1457" s="70"/>
      <c r="AK1457" s="71">
        <f>SUM(W1457:AJ1457)</f>
        <v>0</v>
      </c>
      <c r="AL1457" s="72"/>
      <c r="AM1457" s="73">
        <f>SUMIF($G1456:$T1456,"",$G1457:$T1457)+SUMIF($W1456:$AJ1456,"",$W1457:$AJ1457)-AN1457</f>
        <v>0</v>
      </c>
      <c r="AN1457" s="88">
        <f>IF(SUMIF($G1456:$T1456,"",$G1457:$T1457)+SUMIF($G1456:$T1456,"F",$G1457:$T1457)+SUMIF($G1456:$T1456,"V",$G1457:$T1457)-40&lt;0,0,SUMIF($G1456:$T1456,"",$G1457:$T1457)+SUMIF($G1456:$T1456,"F",$G1457:$T1457)+SUMIF($G1456:$T1456,"V",$G1457:$T1457)-($U$9/2))+IF(SUMIF($W1456:$AJ1456,"",$W1457:$AJ1457)+SUMIF($W1456:$AJ1456,"F",$W1457:$AJ1457)+SUMIF($W1456:$AJ1456,"V",$W1457:$AJ1457)-40&lt;0,0,SUMIF($W1456:$AJ1456,"",$W1457:$AJ1457)+SUMIF($W1456:$AJ1456,"F",$W1457:$AJ1457)+SUMIF($W1456:$AJ1456,"V",$W1457:$AJ1457)-($U$9/2))</f>
        <v>0</v>
      </c>
      <c r="AO1457" s="73">
        <f>SUMIF($G1456:$T1456,"M",$G1457:$T1457)+SUMIF($W1456:$AJ1456,"M",$W1457:$AJ1457)</f>
        <v>0</v>
      </c>
      <c r="AP1457" s="73">
        <f>SUMIF($G1456:$T1456,"F",$G1457:$T1457)+SUMIF($W1456:$AJ1456,"F",$W1457:$AJ1457)</f>
        <v>0</v>
      </c>
      <c r="AQ1457" s="73">
        <f>SUMIF($G1456:$T1456,"V",$G1457:$T1457)+SUMIF($W1456:$AJ1456,"V",$W1457:$AJ1457)</f>
        <v>0</v>
      </c>
      <c r="AR1457" s="74">
        <f>SUMIF($G1456:$T1456,"O",$G1457:$T1457)+SUMIF($W1456:$AJ1456,"O",$W1457:$AJ1457)</f>
        <v>0</v>
      </c>
      <c r="AS1457" s="75">
        <f>SUM(AM1457:AR1457)</f>
        <v>0</v>
      </c>
      <c r="AT1457" s="72"/>
      <c r="AU1457" s="73">
        <f>SUMIF($G1456:$T1456,"A",$G1457:$T1457)+SUMIF($W1456:$AJ1456,"A",$W1457:$AJ1457)</f>
        <v>0</v>
      </c>
      <c r="AV1457" s="72"/>
      <c r="AW1457" s="76">
        <f>IF(B1457="",0,IF($U$9="",0,$U$9))</f>
        <v>0</v>
      </c>
      <c r="BA1457" s="2"/>
      <c r="BB1457" s="2"/>
      <c r="BC1457" s="101"/>
      <c r="BD1457" s="101"/>
    </row>
    <row r="1458" spans="1:56" s="84" customFormat="1" x14ac:dyDescent="0.35">
      <c r="B1458" s="26"/>
      <c r="C1458" s="27"/>
      <c r="D1458" s="28">
        <f>IF(D1384="","",D1384)</f>
        <v>23736</v>
      </c>
      <c r="E1458" s="29" t="str">
        <f t="shared" si="579"/>
        <v/>
      </c>
      <c r="F1458" s="50">
        <f>B1415</f>
        <v>3</v>
      </c>
      <c r="G1458" s="59"/>
      <c r="H1458" s="64"/>
      <c r="I1458" s="106"/>
      <c r="J1458" s="105"/>
      <c r="K1458" s="106"/>
      <c r="L1458" s="105"/>
      <c r="M1458" s="106"/>
      <c r="N1458" s="105"/>
      <c r="O1458" s="106"/>
      <c r="P1458" s="105"/>
      <c r="Q1458" s="106"/>
      <c r="R1458" s="105"/>
      <c r="S1458" s="59"/>
      <c r="T1458" s="64"/>
      <c r="U1458" s="44"/>
      <c r="W1458" s="59"/>
      <c r="X1458" s="64"/>
      <c r="Y1458" s="106"/>
      <c r="Z1458" s="105"/>
      <c r="AA1458" s="106"/>
      <c r="AB1458" s="105"/>
      <c r="AC1458" s="106"/>
      <c r="AD1458" s="105"/>
      <c r="AE1458" s="106"/>
      <c r="AF1458" s="105"/>
      <c r="AG1458" s="106"/>
      <c r="AH1458" s="105"/>
      <c r="AI1458" s="59"/>
      <c r="AJ1458" s="64"/>
      <c r="AK1458" s="44"/>
      <c r="AM1458" s="49"/>
      <c r="AN1458" s="49"/>
      <c r="AO1458" s="49"/>
      <c r="AP1458" s="49"/>
      <c r="AQ1458" s="49"/>
      <c r="AR1458" s="40"/>
      <c r="AS1458" s="51"/>
      <c r="AU1458" s="49"/>
      <c r="AW1458" s="52"/>
      <c r="BA1458" s="2"/>
      <c r="BB1458" s="2"/>
      <c r="BC1458" s="101"/>
      <c r="BD1458" s="101"/>
    </row>
    <row r="1459" spans="1:56" s="84" customFormat="1" x14ac:dyDescent="0.35">
      <c r="B1459" s="30" t="str">
        <f>IF(B1385="","",B1385)</f>
        <v>Voster, Jean-Michel</v>
      </c>
      <c r="C1459" s="31"/>
      <c r="D1459" s="32"/>
      <c r="E1459" s="33">
        <f t="shared" si="579"/>
        <v>93545</v>
      </c>
      <c r="F1459" s="50">
        <f>B1415</f>
        <v>3</v>
      </c>
      <c r="G1459" s="69"/>
      <c r="H1459" s="70"/>
      <c r="I1459" s="104"/>
      <c r="J1459" s="103">
        <v>7.75</v>
      </c>
      <c r="K1459" s="104"/>
      <c r="L1459" s="103">
        <v>7.75</v>
      </c>
      <c r="M1459" s="104"/>
      <c r="N1459" s="103">
        <v>8</v>
      </c>
      <c r="O1459" s="104"/>
      <c r="P1459" s="103">
        <v>8.25</v>
      </c>
      <c r="Q1459" s="104"/>
      <c r="R1459" s="103">
        <v>7.75</v>
      </c>
      <c r="S1459" s="69"/>
      <c r="T1459" s="70"/>
      <c r="U1459" s="71">
        <f t="shared" ref="U1459" si="583">SUM(G1459:T1459)</f>
        <v>39.5</v>
      </c>
      <c r="V1459" s="72"/>
      <c r="W1459" s="69"/>
      <c r="X1459" s="70"/>
      <c r="Y1459" s="104"/>
      <c r="Z1459" s="103">
        <v>8</v>
      </c>
      <c r="AA1459" s="104"/>
      <c r="AB1459" s="103">
        <v>8</v>
      </c>
      <c r="AC1459" s="104"/>
      <c r="AD1459" s="103">
        <v>8.25</v>
      </c>
      <c r="AE1459" s="104"/>
      <c r="AF1459" s="103">
        <v>5.5</v>
      </c>
      <c r="AG1459" s="104"/>
      <c r="AH1459" s="103">
        <v>7.5</v>
      </c>
      <c r="AI1459" s="69"/>
      <c r="AJ1459" s="70"/>
      <c r="AK1459" s="71">
        <f>SUM(W1459:AJ1459)</f>
        <v>37.25</v>
      </c>
      <c r="AL1459" s="72"/>
      <c r="AM1459" s="73">
        <f>SUMIF($G1458:$T1458,"",$G1459:$T1459)+SUMIF($W1458:$AJ1458,"",$W1459:$AJ1459)-AN1459</f>
        <v>76.75</v>
      </c>
      <c r="AN1459" s="88">
        <f>IF(SUMIF($G1458:$T1458,"",$G1459:$T1459)+SUMIF($G1458:$T1458,"F",$G1459:$T1459)+SUMIF($G1458:$T1458,"V",$G1459:$T1459)-40&lt;0,0,SUMIF($G1458:$T1458,"",$G1459:$T1459)+SUMIF($G1458:$T1458,"F",$G1459:$T1459)+SUMIF($G1458:$T1458,"V",$G1459:$T1459)-($U$9/2))+IF(SUMIF($W1458:$AJ1458,"",$W1459:$AJ1459)+SUMIF($W1458:$AJ1458,"F",$W1459:$AJ1459)+SUMIF($W1458:$AJ1458,"V",$W1459:$AJ1459)-40&lt;0,0,SUMIF($W1458:$AJ1458,"",$W1459:$AJ1459)+SUMIF($W1458:$AJ1458,"F",$W1459:$AJ1459)+SUMIF($W1458:$AJ1458,"V",$W1459:$AJ1459)-($U$9/2))</f>
        <v>0</v>
      </c>
      <c r="AO1459" s="73">
        <f>SUMIF($G1458:$T1458,"M",$G1459:$T1459)+SUMIF($W1458:$AJ1458,"M",$W1459:$AJ1459)</f>
        <v>0</v>
      </c>
      <c r="AP1459" s="73">
        <f>SUMIF($G1458:$T1458,"F",$G1459:$T1459)+SUMIF($W1458:$AJ1458,"F",$W1459:$AJ1459)</f>
        <v>0</v>
      </c>
      <c r="AQ1459" s="73">
        <f>SUMIF($G1458:$T1458,"V",$G1459:$T1459)+SUMIF($W1458:$AJ1458,"V",$W1459:$AJ1459)</f>
        <v>0</v>
      </c>
      <c r="AR1459" s="74">
        <f>SUMIF($G1458:$T1458,"O",$G1459:$T1459)+SUMIF($W1458:$AJ1458,"O",$W1459:$AJ1459)</f>
        <v>0</v>
      </c>
      <c r="AS1459" s="75">
        <f>SUM(AM1459:AR1459)</f>
        <v>76.75</v>
      </c>
      <c r="AT1459" s="72"/>
      <c r="AU1459" s="73">
        <f>SUMIF($G1458:$T1458,"A",$G1459:$T1459)+SUMIF($W1458:$AJ1458,"A",$W1459:$AJ1459)</f>
        <v>0</v>
      </c>
      <c r="AV1459" s="72"/>
      <c r="AW1459" s="76">
        <f>IF(B1459="",0,IF($U$9="",0,$U$9))</f>
        <v>80</v>
      </c>
      <c r="BA1459" s="2"/>
      <c r="BB1459" s="2"/>
      <c r="BC1459" s="101"/>
      <c r="BD1459" s="101"/>
    </row>
    <row r="1460" spans="1:56" s="53" customFormat="1" ht="15" customHeight="1" x14ac:dyDescent="0.35">
      <c r="A1460" s="84"/>
      <c r="B1460" s="26"/>
      <c r="C1460" s="27"/>
      <c r="D1460" s="28" t="str">
        <f>IF(D1386="","",D1386)</f>
        <v/>
      </c>
      <c r="E1460" s="29" t="str">
        <f t="shared" si="579"/>
        <v/>
      </c>
      <c r="F1460" s="50">
        <f>B1415</f>
        <v>3</v>
      </c>
      <c r="G1460" s="59"/>
      <c r="H1460" s="64"/>
      <c r="I1460" s="106"/>
      <c r="J1460" s="105"/>
      <c r="K1460" s="106"/>
      <c r="L1460" s="105"/>
      <c r="M1460" s="106"/>
      <c r="N1460" s="105"/>
      <c r="O1460" s="106"/>
      <c r="P1460" s="105"/>
      <c r="Q1460" s="106"/>
      <c r="R1460" s="105"/>
      <c r="S1460" s="59"/>
      <c r="T1460" s="64"/>
      <c r="U1460" s="44"/>
      <c r="V1460" s="84"/>
      <c r="W1460" s="59"/>
      <c r="X1460" s="64"/>
      <c r="Y1460" s="106"/>
      <c r="Z1460" s="105"/>
      <c r="AA1460" s="106"/>
      <c r="AB1460" s="105"/>
      <c r="AC1460" s="106"/>
      <c r="AD1460" s="105"/>
      <c r="AE1460" s="106"/>
      <c r="AF1460" s="105"/>
      <c r="AG1460" s="106"/>
      <c r="AH1460" s="105"/>
      <c r="AI1460" s="59"/>
      <c r="AJ1460" s="64"/>
      <c r="AK1460" s="44"/>
      <c r="AL1460" s="84"/>
      <c r="AM1460" s="49"/>
      <c r="AN1460" s="49"/>
      <c r="AO1460" s="49"/>
      <c r="AP1460" s="49"/>
      <c r="AQ1460" s="49"/>
      <c r="AR1460" s="40"/>
      <c r="AS1460" s="51"/>
      <c r="AT1460" s="84"/>
      <c r="AU1460" s="49"/>
      <c r="AV1460" s="84"/>
      <c r="AW1460" s="52"/>
      <c r="AX1460" s="84"/>
      <c r="BA1460" s="2"/>
      <c r="BB1460" s="2"/>
      <c r="BC1460" s="101"/>
      <c r="BD1460" s="101"/>
    </row>
    <row r="1461" spans="1:56" s="57" customFormat="1" ht="15" customHeight="1" x14ac:dyDescent="0.35">
      <c r="A1461" s="84"/>
      <c r="B1461" s="30" t="str">
        <f>IF(B1387="","",B1387)</f>
        <v/>
      </c>
      <c r="C1461" s="31"/>
      <c r="D1461" s="32"/>
      <c r="E1461" s="33" t="str">
        <f t="shared" si="579"/>
        <v/>
      </c>
      <c r="F1461" s="50">
        <f>B1415</f>
        <v>3</v>
      </c>
      <c r="G1461" s="69"/>
      <c r="H1461" s="70"/>
      <c r="I1461" s="104"/>
      <c r="J1461" s="103"/>
      <c r="K1461" s="104"/>
      <c r="L1461" s="103"/>
      <c r="M1461" s="104"/>
      <c r="N1461" s="103"/>
      <c r="O1461" s="104"/>
      <c r="P1461" s="103"/>
      <c r="Q1461" s="104"/>
      <c r="R1461" s="103"/>
      <c r="S1461" s="69"/>
      <c r="T1461" s="70"/>
      <c r="U1461" s="71">
        <f t="shared" ref="U1461" si="584">SUM(G1461:T1461)</f>
        <v>0</v>
      </c>
      <c r="V1461" s="72"/>
      <c r="W1461" s="69"/>
      <c r="X1461" s="70"/>
      <c r="Y1461" s="104"/>
      <c r="Z1461" s="103"/>
      <c r="AA1461" s="104"/>
      <c r="AB1461" s="103"/>
      <c r="AC1461" s="104"/>
      <c r="AD1461" s="103"/>
      <c r="AE1461" s="104"/>
      <c r="AF1461" s="103"/>
      <c r="AG1461" s="104"/>
      <c r="AH1461" s="103"/>
      <c r="AI1461" s="69"/>
      <c r="AJ1461" s="70"/>
      <c r="AK1461" s="71">
        <f>SUM(W1461:AJ1461)</f>
        <v>0</v>
      </c>
      <c r="AL1461" s="72"/>
      <c r="AM1461" s="73">
        <f>SUMIF($G1460:$T1460,"",$G1461:$T1461)+SUMIF($W1460:$AJ1460,"",$W1461:$AJ1461)-AN1461</f>
        <v>0</v>
      </c>
      <c r="AN1461" s="88">
        <f>IF(SUMIF($G1460:$T1460,"",$G1461:$T1461)+SUMIF($G1460:$T1460,"F",$G1461:$T1461)+SUMIF($G1460:$T1460,"V",$G1461:$T1461)-40&lt;0,0,SUMIF($G1460:$T1460,"",$G1461:$T1461)+SUMIF($G1460:$T1460,"F",$G1461:$T1461)+SUMIF($G1460:$T1460,"V",$G1461:$T1461)-($U$9/2))+IF(SUMIF($W1460:$AJ1460,"",$W1461:$AJ1461)+SUMIF($W1460:$AJ1460,"F",$W1461:$AJ1461)+SUMIF($W1460:$AJ1460,"V",$W1461:$AJ1461)-40&lt;0,0,SUMIF($W1460:$AJ1460,"",$W1461:$AJ1461)+SUMIF($W1460:$AJ1460,"F",$W1461:$AJ1461)+SUMIF($W1460:$AJ1460,"V",$W1461:$AJ1461)-($U$9/2))</f>
        <v>0</v>
      </c>
      <c r="AO1461" s="73">
        <f>SUMIF($G1460:$T1460,"M",$G1461:$T1461)+SUMIF($W1460:$AJ1460,"M",$W1461:$AJ1461)</f>
        <v>0</v>
      </c>
      <c r="AP1461" s="73">
        <f>SUMIF($G1460:$T1460,"F",$G1461:$T1461)+SUMIF($W1460:$AJ1460,"F",$W1461:$AJ1461)</f>
        <v>0</v>
      </c>
      <c r="AQ1461" s="73">
        <f>SUMIF($G1460:$T1460,"V",$G1461:$T1461)+SUMIF($W1460:$AJ1460,"V",$W1461:$AJ1461)</f>
        <v>0</v>
      </c>
      <c r="AR1461" s="74">
        <f>SUMIF($G1460:$T1460,"O",$G1461:$T1461)+SUMIF($W1460:$AJ1460,"O",$W1461:$AJ1461)</f>
        <v>0</v>
      </c>
      <c r="AS1461" s="75">
        <f>SUM(AM1461:AR1461)</f>
        <v>0</v>
      </c>
      <c r="AT1461" s="72"/>
      <c r="AU1461" s="73">
        <f>SUMIF($G1460:$T1460,"A",$G1461:$T1461)+SUMIF($W1460:$AJ1460,"A",$W1461:$AJ1461)</f>
        <v>0</v>
      </c>
      <c r="AV1461" s="72"/>
      <c r="AW1461" s="76">
        <f>IF(B1461="",0,IF($U$9="",0,$U$9))</f>
        <v>0</v>
      </c>
      <c r="AX1461" s="84"/>
      <c r="BA1461" s="2"/>
      <c r="BB1461" s="2"/>
      <c r="BC1461" s="101"/>
      <c r="BD1461" s="101"/>
    </row>
    <row r="1462" spans="1:56" s="53" customFormat="1" ht="15" customHeight="1" x14ac:dyDescent="0.35">
      <c r="A1462" s="84"/>
      <c r="B1462" s="26"/>
      <c r="C1462" s="27"/>
      <c r="D1462" s="28" t="str">
        <f>IF(D1388="","",D1388)</f>
        <v/>
      </c>
      <c r="E1462" s="29" t="str">
        <f t="shared" si="579"/>
        <v/>
      </c>
      <c r="F1462" s="50">
        <f>B1415</f>
        <v>3</v>
      </c>
      <c r="G1462" s="59"/>
      <c r="H1462" s="64"/>
      <c r="I1462" s="106"/>
      <c r="J1462" s="105"/>
      <c r="K1462" s="106"/>
      <c r="L1462" s="105"/>
      <c r="M1462" s="106"/>
      <c r="N1462" s="105"/>
      <c r="O1462" s="106"/>
      <c r="P1462" s="105"/>
      <c r="Q1462" s="106"/>
      <c r="R1462" s="105"/>
      <c r="S1462" s="59"/>
      <c r="T1462" s="64"/>
      <c r="U1462" s="44"/>
      <c r="V1462" s="84"/>
      <c r="W1462" s="59"/>
      <c r="X1462" s="64"/>
      <c r="Y1462" s="106"/>
      <c r="Z1462" s="105"/>
      <c r="AA1462" s="106"/>
      <c r="AB1462" s="105"/>
      <c r="AC1462" s="106"/>
      <c r="AD1462" s="105"/>
      <c r="AE1462" s="106"/>
      <c r="AF1462" s="105"/>
      <c r="AG1462" s="106"/>
      <c r="AH1462" s="105"/>
      <c r="AI1462" s="59"/>
      <c r="AJ1462" s="64"/>
      <c r="AK1462" s="44"/>
      <c r="AL1462" s="84"/>
      <c r="AM1462" s="49"/>
      <c r="AN1462" s="49"/>
      <c r="AO1462" s="49"/>
      <c r="AP1462" s="49"/>
      <c r="AQ1462" s="49"/>
      <c r="AR1462" s="40"/>
      <c r="AS1462" s="51"/>
      <c r="AT1462" s="84"/>
      <c r="AU1462" s="49"/>
      <c r="AV1462" s="84"/>
      <c r="AW1462" s="52"/>
      <c r="AX1462" s="84"/>
      <c r="BA1462" s="2"/>
      <c r="BB1462" s="2"/>
      <c r="BC1462" s="101"/>
      <c r="BD1462" s="101"/>
    </row>
    <row r="1463" spans="1:56" s="53" customFormat="1" x14ac:dyDescent="0.35">
      <c r="A1463" s="84"/>
      <c r="B1463" s="30" t="s">
        <v>104</v>
      </c>
      <c r="C1463" s="31"/>
      <c r="D1463" s="32"/>
      <c r="E1463" s="33">
        <v>93545</v>
      </c>
      <c r="F1463" s="50">
        <f>B1415</f>
        <v>3</v>
      </c>
      <c r="G1463" s="69"/>
      <c r="H1463" s="70"/>
      <c r="I1463" s="104"/>
      <c r="J1463" s="103">
        <v>8</v>
      </c>
      <c r="K1463" s="104"/>
      <c r="L1463" s="103">
        <v>8</v>
      </c>
      <c r="M1463" s="104"/>
      <c r="N1463" s="103">
        <v>8</v>
      </c>
      <c r="O1463" s="104"/>
      <c r="P1463" s="103">
        <v>8</v>
      </c>
      <c r="Q1463" s="104"/>
      <c r="R1463" s="103">
        <v>7.5</v>
      </c>
      <c r="S1463" s="69"/>
      <c r="T1463" s="70"/>
      <c r="U1463" s="71">
        <f t="shared" ref="U1463" si="585">SUM(G1463:T1463)</f>
        <v>39.5</v>
      </c>
      <c r="V1463" s="72"/>
      <c r="W1463" s="69"/>
      <c r="X1463" s="70"/>
      <c r="Y1463" s="104"/>
      <c r="Z1463" s="103">
        <v>8</v>
      </c>
      <c r="AA1463" s="104"/>
      <c r="AB1463" s="103">
        <v>8</v>
      </c>
      <c r="AC1463" s="104"/>
      <c r="AD1463" s="103">
        <v>8.25</v>
      </c>
      <c r="AE1463" s="104"/>
      <c r="AF1463" s="103">
        <v>8</v>
      </c>
      <c r="AG1463" s="104"/>
      <c r="AH1463" s="103">
        <v>7.5</v>
      </c>
      <c r="AI1463" s="69"/>
      <c r="AJ1463" s="70"/>
      <c r="AK1463" s="71">
        <f>SUM(W1463:AJ1463)</f>
        <v>39.75</v>
      </c>
      <c r="AL1463" s="72"/>
      <c r="AM1463" s="73">
        <f>SUMIF($G1462:$T1462,"",$G1463:$T1463)+SUMIF($W1462:$AJ1462,"",$W1463:$AJ1463)-AN1463</f>
        <v>79.25</v>
      </c>
      <c r="AN1463" s="88">
        <f>IF(SUMIF($G1462:$T1462,"",$G1463:$T1463)+SUMIF($G1462:$T1462,"F",$G1463:$T1463)+SUMIF($G1462:$T1462,"V",$G1463:$T1463)-40&lt;0,0,SUMIF($G1462:$T1462,"",$G1463:$T1463)+SUMIF($G1462:$T1462,"F",$G1463:$T1463)+SUMIF($G1462:$T1462,"V",$G1463:$T1463)-($U$9/2))+IF(SUMIF($W1462:$AJ1462,"",$W1463:$AJ1463)+SUMIF($W1462:$AJ1462,"F",$W1463:$AJ1463)+SUMIF($W1462:$AJ1462,"V",$W1463:$AJ1463)-40&lt;0,0,SUMIF($W1462:$AJ1462,"",$W1463:$AJ1463)+SUMIF($W1462:$AJ1462,"F",$W1463:$AJ1463)+SUMIF($W1462:$AJ1462,"V",$W1463:$AJ1463)-($U$9/2))</f>
        <v>0</v>
      </c>
      <c r="AO1463" s="73">
        <f>SUMIF($G1462:$T1462,"M",$G1463:$T1463)+SUMIF($W1462:$AJ1462,"M",$W1463:$AJ1463)</f>
        <v>0</v>
      </c>
      <c r="AP1463" s="73">
        <f>SUMIF($G1462:$T1462,"F",$G1463:$T1463)+SUMIF($W1462:$AJ1462,"F",$W1463:$AJ1463)</f>
        <v>0</v>
      </c>
      <c r="AQ1463" s="73">
        <f>SUMIF($G1462:$T1462,"V",$G1463:$T1463)+SUMIF($W1462:$AJ1462,"V",$W1463:$AJ1463)</f>
        <v>0</v>
      </c>
      <c r="AR1463" s="74">
        <f>SUMIF($G1462:$T1462,"O",$G1463:$T1463)+SUMIF($W1462:$AJ1462,"O",$W1463:$AJ1463)</f>
        <v>0</v>
      </c>
      <c r="AS1463" s="75">
        <f>SUM(AM1463:AR1463)</f>
        <v>79.25</v>
      </c>
      <c r="AT1463" s="72"/>
      <c r="AU1463" s="73">
        <f>SUMIF($G1462:$T1462,"A",$G1463:$T1463)+SUMIF($W1462:$AJ1462,"A",$W1463:$AJ1463)</f>
        <v>0</v>
      </c>
      <c r="AV1463" s="72"/>
      <c r="AW1463" s="76">
        <f>IF(B1463="",0,IF($U$9="",0,$U$9))</f>
        <v>80</v>
      </c>
      <c r="AX1463" s="84"/>
      <c r="BA1463" s="2"/>
      <c r="BB1463" s="2"/>
      <c r="BC1463" s="101"/>
      <c r="BD1463" s="101"/>
    </row>
    <row r="1464" spans="1:56" s="53" customFormat="1" x14ac:dyDescent="0.35">
      <c r="A1464" s="84"/>
      <c r="B1464" s="26"/>
      <c r="C1464" s="27"/>
      <c r="D1464" s="28" t="str">
        <f>IF(D1390="","",D1390)</f>
        <v/>
      </c>
      <c r="E1464" s="29" t="str">
        <f t="shared" si="579"/>
        <v/>
      </c>
      <c r="F1464" s="50">
        <f>B1415</f>
        <v>3</v>
      </c>
      <c r="G1464" s="59"/>
      <c r="H1464" s="64"/>
      <c r="I1464" s="58"/>
      <c r="J1464" s="65"/>
      <c r="K1464" s="58"/>
      <c r="L1464" s="65"/>
      <c r="M1464" s="58"/>
      <c r="N1464" s="65"/>
      <c r="O1464" s="58"/>
      <c r="P1464" s="65"/>
      <c r="Q1464" s="58"/>
      <c r="R1464" s="65"/>
      <c r="S1464" s="59"/>
      <c r="T1464" s="64"/>
      <c r="U1464" s="44"/>
      <c r="V1464" s="84"/>
      <c r="W1464" s="59"/>
      <c r="X1464" s="64"/>
      <c r="Y1464" s="58"/>
      <c r="Z1464" s="65"/>
      <c r="AA1464" s="58"/>
      <c r="AB1464" s="65"/>
      <c r="AC1464" s="58"/>
      <c r="AD1464" s="65"/>
      <c r="AE1464" s="58"/>
      <c r="AF1464" s="65"/>
      <c r="AG1464" s="58"/>
      <c r="AH1464" s="65"/>
      <c r="AI1464" s="59"/>
      <c r="AJ1464" s="64"/>
      <c r="AK1464" s="44"/>
      <c r="AL1464" s="84"/>
      <c r="AM1464" s="49"/>
      <c r="AN1464" s="49"/>
      <c r="AO1464" s="49"/>
      <c r="AP1464" s="49"/>
      <c r="AQ1464" s="49"/>
      <c r="AR1464" s="40"/>
      <c r="AS1464" s="51"/>
      <c r="AT1464" s="84"/>
      <c r="AU1464" s="49"/>
      <c r="AV1464" s="84"/>
      <c r="AW1464" s="52"/>
      <c r="AX1464" s="84"/>
      <c r="BA1464" s="2"/>
      <c r="BB1464" s="2"/>
      <c r="BC1464" s="101"/>
      <c r="BD1464" s="101"/>
    </row>
    <row r="1465" spans="1:56" s="53" customFormat="1" x14ac:dyDescent="0.35">
      <c r="A1465" s="84"/>
      <c r="B1465" s="30" t="str">
        <f>IF(B1391="","",B1391)</f>
        <v/>
      </c>
      <c r="C1465" s="31"/>
      <c r="D1465" s="32"/>
      <c r="E1465" s="33" t="str">
        <f t="shared" si="579"/>
        <v/>
      </c>
      <c r="F1465" s="50">
        <f>B1415</f>
        <v>3</v>
      </c>
      <c r="G1465" s="69"/>
      <c r="H1465" s="70"/>
      <c r="I1465" s="67"/>
      <c r="J1465" s="68"/>
      <c r="K1465" s="67"/>
      <c r="L1465" s="68"/>
      <c r="M1465" s="67"/>
      <c r="N1465" s="68"/>
      <c r="O1465" s="67"/>
      <c r="P1465" s="68"/>
      <c r="Q1465" s="67"/>
      <c r="R1465" s="68"/>
      <c r="S1465" s="69"/>
      <c r="T1465" s="70"/>
      <c r="U1465" s="71">
        <f t="shared" ref="U1465" si="586">SUM(G1465:T1465)</f>
        <v>0</v>
      </c>
      <c r="V1465" s="72"/>
      <c r="W1465" s="69"/>
      <c r="X1465" s="70"/>
      <c r="Y1465" s="67"/>
      <c r="Z1465" s="68"/>
      <c r="AA1465" s="67"/>
      <c r="AB1465" s="68"/>
      <c r="AC1465" s="67"/>
      <c r="AD1465" s="68"/>
      <c r="AE1465" s="67"/>
      <c r="AF1465" s="68"/>
      <c r="AG1465" s="67"/>
      <c r="AH1465" s="68"/>
      <c r="AI1465" s="69"/>
      <c r="AJ1465" s="70"/>
      <c r="AK1465" s="71">
        <v>0</v>
      </c>
      <c r="AL1465" s="72"/>
      <c r="AM1465" s="73">
        <f>SUMIF($G1464:$T1464,"",$G1465:$T1465)+SUMIF($W1464:$AJ1464,"",$W1465:$AJ1465)-AN1465</f>
        <v>0</v>
      </c>
      <c r="AN1465" s="88">
        <f>IF(SUMIF($G1464:$T1464,"",$G1465:$T1465)+SUMIF($G1464:$T1464,"F",$G1465:$T1465)+SUMIF($G1464:$T1464,"V",$G1465:$T1465)-40&lt;0,0,SUMIF($G1464:$T1464,"",$G1465:$T1465)+SUMIF($G1464:$T1464,"F",$G1465:$T1465)+SUMIF($G1464:$T1464,"V",$G1465:$T1465)-($U$9/2))+IF(SUMIF($W1464:$AJ1464,"",$W1465:$AJ1465)+SUMIF($W1464:$AJ1464,"F",$W1465:$AJ1465)+SUMIF($W1464:$AJ1464,"V",$W1465:$AJ1465)-40&lt;0,0,SUMIF($W1464:$AJ1464,"",$W1465:$AJ1465)+SUMIF($W1464:$AJ1464,"F",$W1465:$AJ1465)+SUMIF($W1464:$AJ1464,"V",$W1465:$AJ1465)-($U$9/2))</f>
        <v>0</v>
      </c>
      <c r="AO1465" s="73">
        <f>SUMIF($G1464:$T1464,"M",$G1465:$T1465)+SUMIF($W1464:$AJ1464,"M",$W1465:$AJ1465)</f>
        <v>0</v>
      </c>
      <c r="AP1465" s="73">
        <f>SUMIF($G1464:$T1464,"F",$G1465:$T1465)+SUMIF($W1464:$AJ1464,"F",$W1465:$AJ1465)</f>
        <v>0</v>
      </c>
      <c r="AQ1465" s="73">
        <f>SUMIF($G1464:$T1464,"V",$G1465:$T1465)+SUMIF($W1464:$AJ1464,"V",$W1465:$AJ1465)</f>
        <v>0</v>
      </c>
      <c r="AR1465" s="74">
        <f>SUMIF($G1464:$T1464,"O",$G1465:$T1465)+SUMIF($W1464:$AJ1464,"O",$W1465:$AJ1465)</f>
        <v>0</v>
      </c>
      <c r="AS1465" s="75">
        <f>SUM(AM1465:AR1465)</f>
        <v>0</v>
      </c>
      <c r="AT1465" s="72"/>
      <c r="AU1465" s="73">
        <f>SUMIF($G1464:$T1464,"A",$G1465:$T1465)+SUMIF($W1464:$AJ1464,"A",$W1465:$AJ1465)</f>
        <v>0</v>
      </c>
      <c r="AV1465" s="72"/>
      <c r="AW1465" s="76">
        <f>IF(B1465="",0,IF($U$9="",0,$U$9))</f>
        <v>0</v>
      </c>
      <c r="AX1465" s="84"/>
      <c r="BA1465" s="2"/>
      <c r="BB1465" s="2"/>
      <c r="BC1465" s="101"/>
      <c r="BD1465" s="101"/>
    </row>
    <row r="1466" spans="1:56" s="53" customFormat="1" x14ac:dyDescent="0.35">
      <c r="A1466" s="84"/>
      <c r="B1466" s="26"/>
      <c r="C1466" s="27"/>
      <c r="D1466" s="28" t="str">
        <f>IF(D1392="","",D1392)</f>
        <v/>
      </c>
      <c r="E1466" s="29" t="str">
        <f t="shared" si="579"/>
        <v/>
      </c>
      <c r="F1466" s="50">
        <f>B1415</f>
        <v>3</v>
      </c>
      <c r="G1466" s="59"/>
      <c r="H1466" s="64"/>
      <c r="I1466" s="58"/>
      <c r="J1466" s="65"/>
      <c r="K1466" s="58"/>
      <c r="L1466" s="65"/>
      <c r="M1466" s="58"/>
      <c r="N1466" s="65"/>
      <c r="O1466" s="58"/>
      <c r="P1466" s="65"/>
      <c r="Q1466" s="58"/>
      <c r="R1466" s="65"/>
      <c r="S1466" s="59"/>
      <c r="T1466" s="64"/>
      <c r="U1466" s="44"/>
      <c r="V1466" s="84"/>
      <c r="W1466" s="59"/>
      <c r="X1466" s="64"/>
      <c r="Y1466" s="58"/>
      <c r="Z1466" s="65"/>
      <c r="AA1466" s="58"/>
      <c r="AB1466" s="65"/>
      <c r="AC1466" s="58"/>
      <c r="AD1466" s="65"/>
      <c r="AE1466" s="58"/>
      <c r="AF1466" s="65"/>
      <c r="AG1466" s="58"/>
      <c r="AH1466" s="65"/>
      <c r="AI1466" s="59"/>
      <c r="AJ1466" s="64"/>
      <c r="AK1466" s="44"/>
      <c r="AL1466" s="84"/>
      <c r="AM1466" s="49"/>
      <c r="AN1466" s="49"/>
      <c r="AO1466" s="49"/>
      <c r="AP1466" s="49"/>
      <c r="AQ1466" s="49"/>
      <c r="AR1466" s="40"/>
      <c r="AS1466" s="51"/>
      <c r="AT1466" s="84"/>
      <c r="AU1466" s="49"/>
      <c r="AV1466" s="84"/>
      <c r="AW1466" s="52"/>
      <c r="AX1466" s="84"/>
      <c r="BA1466" s="2"/>
      <c r="BB1466" s="2"/>
      <c r="BC1466" s="101"/>
      <c r="BD1466" s="101"/>
    </row>
    <row r="1467" spans="1:56" s="53" customFormat="1" x14ac:dyDescent="0.35">
      <c r="A1467" s="84"/>
      <c r="B1467" s="30" t="str">
        <f>IF(B1393="","",B1393)</f>
        <v/>
      </c>
      <c r="C1467" s="31"/>
      <c r="D1467" s="32"/>
      <c r="E1467" s="33" t="str">
        <f t="shared" si="579"/>
        <v/>
      </c>
      <c r="F1467" s="50">
        <f>B1415</f>
        <v>3</v>
      </c>
      <c r="G1467" s="69"/>
      <c r="H1467" s="70"/>
      <c r="I1467" s="67"/>
      <c r="J1467" s="68"/>
      <c r="K1467" s="67"/>
      <c r="L1467" s="68"/>
      <c r="M1467" s="67"/>
      <c r="N1467" s="68"/>
      <c r="O1467" s="67"/>
      <c r="P1467" s="68"/>
      <c r="Q1467" s="67"/>
      <c r="R1467" s="68"/>
      <c r="S1467" s="69"/>
      <c r="T1467" s="70"/>
      <c r="U1467" s="71">
        <f t="shared" ref="U1467" si="587">SUM(G1467:T1467)</f>
        <v>0</v>
      </c>
      <c r="V1467" s="72"/>
      <c r="W1467" s="69"/>
      <c r="X1467" s="70"/>
      <c r="Y1467" s="67"/>
      <c r="Z1467" s="68"/>
      <c r="AA1467" s="67"/>
      <c r="AB1467" s="68"/>
      <c r="AC1467" s="67"/>
      <c r="AD1467" s="68"/>
      <c r="AE1467" s="67"/>
      <c r="AF1467" s="68"/>
      <c r="AG1467" s="67"/>
      <c r="AH1467" s="68"/>
      <c r="AI1467" s="69"/>
      <c r="AJ1467" s="70"/>
      <c r="AK1467" s="71">
        <v>0</v>
      </c>
      <c r="AL1467" s="72"/>
      <c r="AM1467" s="73">
        <v>0</v>
      </c>
      <c r="AN1467" s="88">
        <v>0</v>
      </c>
      <c r="AO1467" s="73">
        <v>0</v>
      </c>
      <c r="AP1467" s="73">
        <v>0</v>
      </c>
      <c r="AQ1467" s="73">
        <v>0</v>
      </c>
      <c r="AR1467" s="74">
        <v>0</v>
      </c>
      <c r="AS1467" s="75">
        <v>0</v>
      </c>
      <c r="AT1467" s="72"/>
      <c r="AU1467" s="73">
        <f>SUMIF($G1466:$T1466,"A",$G1467:$T1467)+SUMIF($W1466:$AJ1466,"A",$W1467:$AJ1467)</f>
        <v>0</v>
      </c>
      <c r="AV1467" s="72"/>
      <c r="AW1467" s="76">
        <f>IF(B1467="",0,IF($U$9="",0,$U$9))</f>
        <v>0</v>
      </c>
      <c r="AX1467" s="84"/>
      <c r="BA1467" s="2"/>
      <c r="BB1467" s="2"/>
      <c r="BC1467" s="101"/>
      <c r="BD1467" s="101"/>
    </row>
    <row r="1468" spans="1:56" s="53" customFormat="1" x14ac:dyDescent="0.35">
      <c r="A1468" s="84"/>
      <c r="B1468" s="26"/>
      <c r="C1468" s="27"/>
      <c r="D1468" s="28" t="str">
        <f>IF(D1394="","",D1394)</f>
        <v/>
      </c>
      <c r="E1468" s="29" t="str">
        <f t="shared" si="579"/>
        <v/>
      </c>
      <c r="F1468" s="50">
        <f>B1415</f>
        <v>3</v>
      </c>
      <c r="G1468" s="59"/>
      <c r="H1468" s="64"/>
      <c r="I1468" s="58"/>
      <c r="J1468" s="65"/>
      <c r="K1468" s="58"/>
      <c r="L1468" s="65"/>
      <c r="M1468" s="58"/>
      <c r="N1468" s="65"/>
      <c r="O1468" s="58"/>
      <c r="P1468" s="65"/>
      <c r="Q1468" s="58"/>
      <c r="R1468" s="65"/>
      <c r="S1468" s="59"/>
      <c r="T1468" s="64"/>
      <c r="U1468" s="44"/>
      <c r="V1468" s="84"/>
      <c r="W1468" s="59"/>
      <c r="X1468" s="64"/>
      <c r="Y1468" s="58"/>
      <c r="Z1468" s="65"/>
      <c r="AA1468" s="58"/>
      <c r="AB1468" s="65"/>
      <c r="AC1468" s="58"/>
      <c r="AD1468" s="65"/>
      <c r="AE1468" s="58"/>
      <c r="AF1468" s="65"/>
      <c r="AG1468" s="58"/>
      <c r="AH1468" s="65"/>
      <c r="AI1468" s="59"/>
      <c r="AJ1468" s="64"/>
      <c r="AK1468" s="44"/>
      <c r="AL1468" s="84"/>
      <c r="AM1468" s="49"/>
      <c r="AN1468" s="49"/>
      <c r="AO1468" s="49"/>
      <c r="AP1468" s="49"/>
      <c r="AQ1468" s="49"/>
      <c r="AR1468" s="40"/>
      <c r="AS1468" s="51"/>
      <c r="AT1468" s="84"/>
      <c r="AU1468" s="49"/>
      <c r="AV1468" s="84"/>
      <c r="AW1468" s="52"/>
      <c r="AX1468" s="84"/>
      <c r="BA1468" s="2"/>
      <c r="BB1468" s="2"/>
      <c r="BC1468" s="101"/>
      <c r="BD1468" s="101"/>
    </row>
    <row r="1469" spans="1:56" s="53" customFormat="1" ht="15" thickBot="1" x14ac:dyDescent="0.4">
      <c r="A1469" s="84"/>
      <c r="B1469" s="30" t="str">
        <f>IF(B1395="","",B1395)</f>
        <v/>
      </c>
      <c r="C1469" s="31"/>
      <c r="D1469" s="32"/>
      <c r="E1469" s="33" t="str">
        <f t="shared" si="579"/>
        <v/>
      </c>
      <c r="F1469" s="50">
        <f>B1415</f>
        <v>3</v>
      </c>
      <c r="G1469" s="69"/>
      <c r="H1469" s="70"/>
      <c r="I1469" s="67"/>
      <c r="J1469" s="68"/>
      <c r="K1469" s="67"/>
      <c r="L1469" s="68"/>
      <c r="M1469" s="67"/>
      <c r="N1469" s="68"/>
      <c r="O1469" s="67"/>
      <c r="P1469" s="68"/>
      <c r="Q1469" s="67"/>
      <c r="R1469" s="68"/>
      <c r="S1469" s="69"/>
      <c r="T1469" s="70"/>
      <c r="U1469" s="71">
        <f t="shared" ref="U1469" si="588">SUM(G1469:T1469)</f>
        <v>0</v>
      </c>
      <c r="V1469" s="72"/>
      <c r="W1469" s="69"/>
      <c r="X1469" s="70"/>
      <c r="Y1469" s="67"/>
      <c r="Z1469" s="68"/>
      <c r="AA1469" s="67"/>
      <c r="AB1469" s="68"/>
      <c r="AC1469" s="67"/>
      <c r="AD1469" s="68"/>
      <c r="AE1469" s="67"/>
      <c r="AF1469" s="68"/>
      <c r="AG1469" s="67"/>
      <c r="AH1469" s="68"/>
      <c r="AI1469" s="69"/>
      <c r="AJ1469" s="70"/>
      <c r="AK1469" s="71">
        <v>0</v>
      </c>
      <c r="AL1469" s="72"/>
      <c r="AM1469" s="73">
        <v>0</v>
      </c>
      <c r="AN1469" s="88">
        <v>0</v>
      </c>
      <c r="AO1469" s="73">
        <v>0</v>
      </c>
      <c r="AP1469" s="73">
        <v>0</v>
      </c>
      <c r="AQ1469" s="73">
        <v>0</v>
      </c>
      <c r="AR1469" s="74">
        <v>0</v>
      </c>
      <c r="AS1469" s="75">
        <v>0</v>
      </c>
      <c r="AT1469" s="72"/>
      <c r="AU1469" s="73">
        <f>SUMIF($G1468:$T1468,"A",$G1469:$T1469)+SUMIF($W1468:$AJ1468,"A",$W1469:$AJ1469)</f>
        <v>0</v>
      </c>
      <c r="AV1469" s="72"/>
      <c r="AW1469" s="76">
        <f>IF(B1469="",0,IF($U$9="",0,$U$9))</f>
        <v>0</v>
      </c>
      <c r="AX1469" s="84"/>
      <c r="BA1469" s="2"/>
      <c r="BB1469" s="2"/>
      <c r="BC1469" s="101"/>
      <c r="BD1469" s="101"/>
    </row>
    <row r="1470" spans="1:56" s="53" customFormat="1" ht="27.75" customHeight="1" thickBot="1" x14ac:dyDescent="0.4">
      <c r="A1470" s="84"/>
      <c r="B1470" s="149" t="s">
        <v>7</v>
      </c>
      <c r="C1470" s="150"/>
      <c r="D1470" s="150"/>
      <c r="E1470" s="151"/>
      <c r="F1470" s="97"/>
      <c r="G1470" s="152">
        <f>SUM(G1420:H1469)</f>
        <v>0</v>
      </c>
      <c r="H1470" s="152"/>
      <c r="I1470" s="152">
        <f>SUM(I1420:J1469)</f>
        <v>112.75</v>
      </c>
      <c r="J1470" s="152"/>
      <c r="K1470" s="152">
        <f>SUM(K1420:L1469)</f>
        <v>120.25</v>
      </c>
      <c r="L1470" s="152"/>
      <c r="M1470" s="152">
        <f>SUM(M1420:N1469)</f>
        <v>120.5</v>
      </c>
      <c r="N1470" s="152"/>
      <c r="O1470" s="152">
        <f>SUM(O1420:P1469)</f>
        <v>121.25</v>
      </c>
      <c r="P1470" s="152"/>
      <c r="Q1470" s="152">
        <f>SUM(Q1420:R1469)</f>
        <v>119.25</v>
      </c>
      <c r="R1470" s="152"/>
      <c r="S1470" s="152">
        <f>SUM(S1420:T1469)</f>
        <v>0</v>
      </c>
      <c r="T1470" s="153"/>
      <c r="U1470" s="77">
        <f>SUM(U1420:U1469)</f>
        <v>594</v>
      </c>
      <c r="V1470" s="78"/>
      <c r="W1470" s="152">
        <f>SUM(W1420:X1469)</f>
        <v>0</v>
      </c>
      <c r="X1470" s="152"/>
      <c r="Y1470" s="152">
        <f>SUM(Y1420:Z1469)</f>
        <v>121</v>
      </c>
      <c r="Z1470" s="152"/>
      <c r="AA1470" s="152">
        <f>SUM(AA1420:AB1469)</f>
        <v>112.75</v>
      </c>
      <c r="AB1470" s="152"/>
      <c r="AC1470" s="152">
        <f>SUM(AC1420:AD1469)</f>
        <v>114</v>
      </c>
      <c r="AD1470" s="152"/>
      <c r="AE1470" s="152">
        <f>SUM(AE1420:AF1469)</f>
        <v>110.5</v>
      </c>
      <c r="AF1470" s="152"/>
      <c r="AG1470" s="152">
        <f>SUM(AG1420:AH1469)</f>
        <v>110.5</v>
      </c>
      <c r="AH1470" s="152"/>
      <c r="AI1470" s="152">
        <f>SUM(AI1420:AJ1469)</f>
        <v>0</v>
      </c>
      <c r="AJ1470" s="152"/>
      <c r="AK1470" s="77">
        <f>SUM(AK1420:AK1469)</f>
        <v>568.75</v>
      </c>
      <c r="AL1470" s="78"/>
      <c r="AM1470" s="79">
        <f t="shared" ref="AM1470:AS1470" si="589">SUM(AM1420:AM1469)</f>
        <v>1144.75</v>
      </c>
      <c r="AN1470" s="79">
        <f t="shared" si="589"/>
        <v>10</v>
      </c>
      <c r="AO1470" s="79">
        <f t="shared" si="589"/>
        <v>8</v>
      </c>
      <c r="AP1470" s="79">
        <f t="shared" si="589"/>
        <v>0</v>
      </c>
      <c r="AQ1470" s="79">
        <f t="shared" si="589"/>
        <v>0</v>
      </c>
      <c r="AR1470" s="80">
        <f t="shared" si="589"/>
        <v>0</v>
      </c>
      <c r="AS1470" s="81">
        <f t="shared" si="589"/>
        <v>1162.75</v>
      </c>
      <c r="AT1470" s="78"/>
      <c r="AU1470" s="82">
        <f>SUM(AU1420:AU1469)</f>
        <v>0</v>
      </c>
      <c r="AV1470" s="78"/>
      <c r="AW1470" s="83">
        <f>SUM(AW1420:AW1469)</f>
        <v>1440</v>
      </c>
      <c r="AX1470" s="84"/>
      <c r="BA1470" s="2"/>
      <c r="BB1470" s="2"/>
      <c r="BC1470" s="101"/>
      <c r="BD1470" s="101"/>
    </row>
    <row r="1471" spans="1:56" s="53" customFormat="1" ht="15" thickTop="1" x14ac:dyDescent="0.35">
      <c r="B1471" s="54"/>
      <c r="F1471" s="98"/>
      <c r="G1471" s="55"/>
      <c r="H1471" s="55"/>
      <c r="I1471" s="55"/>
      <c r="J1471" s="55"/>
      <c r="K1471" s="55"/>
      <c r="L1471" s="55"/>
      <c r="M1471" s="55"/>
      <c r="N1471" s="55"/>
      <c r="O1471" s="55"/>
      <c r="P1471" s="55"/>
      <c r="Q1471" s="55"/>
      <c r="R1471" s="55"/>
      <c r="S1471" s="55"/>
      <c r="T1471" s="55"/>
      <c r="U1471" s="56"/>
      <c r="V1471" s="55"/>
      <c r="W1471" s="55"/>
      <c r="X1471" s="55"/>
      <c r="Y1471" s="55"/>
      <c r="Z1471" s="55"/>
      <c r="AA1471" s="55"/>
      <c r="AB1471" s="55"/>
      <c r="AC1471" s="55"/>
      <c r="AD1471" s="55"/>
      <c r="AE1471" s="55"/>
      <c r="AF1471" s="55"/>
      <c r="AG1471" s="55"/>
      <c r="AH1471" s="55"/>
      <c r="AI1471" s="55"/>
      <c r="AJ1471" s="55"/>
      <c r="AK1471" s="56"/>
      <c r="AL1471" s="55"/>
      <c r="AM1471" s="55"/>
      <c r="AN1471" s="55"/>
      <c r="AO1471" s="55"/>
      <c r="AP1471" s="55"/>
      <c r="AQ1471" s="55"/>
      <c r="AR1471" s="55"/>
      <c r="AS1471" s="55"/>
      <c r="AT1471" s="55"/>
      <c r="AU1471" s="55"/>
      <c r="AV1471" s="55"/>
      <c r="AW1471" s="55"/>
      <c r="BA1471" s="2"/>
      <c r="BB1471" s="2"/>
      <c r="BC1471" s="101"/>
      <c r="BD1471" s="101"/>
    </row>
    <row r="1472" spans="1:56" s="53" customFormat="1" x14ac:dyDescent="0.35">
      <c r="B1472" s="54" t="s">
        <v>52</v>
      </c>
      <c r="D1472" s="141" t="s">
        <v>105</v>
      </c>
      <c r="E1472" s="141"/>
      <c r="F1472" s="141"/>
      <c r="G1472" s="141"/>
      <c r="H1472" s="141"/>
      <c r="I1472" s="141"/>
      <c r="J1472" s="141"/>
      <c r="K1472" s="141"/>
      <c r="L1472" s="141"/>
      <c r="M1472" s="141"/>
      <c r="N1472" s="141"/>
      <c r="O1472" s="141"/>
      <c r="P1472" s="141"/>
      <c r="Q1472" s="141"/>
      <c r="R1472" s="141"/>
      <c r="S1472" s="141"/>
      <c r="T1472" s="141"/>
      <c r="U1472" s="141"/>
      <c r="V1472" s="141"/>
      <c r="W1472" s="141"/>
      <c r="X1472" s="141"/>
      <c r="Y1472" s="141"/>
      <c r="Z1472" s="141"/>
      <c r="AA1472" s="141"/>
      <c r="AB1472" s="141"/>
      <c r="AC1472" s="141"/>
      <c r="AD1472" s="141"/>
      <c r="AE1472" s="141"/>
      <c r="AF1472" s="141"/>
      <c r="AG1472" s="141"/>
      <c r="AH1472" s="141"/>
      <c r="AI1472" s="141"/>
      <c r="AJ1472" s="141"/>
      <c r="AK1472" s="56"/>
      <c r="AL1472" s="55"/>
      <c r="AM1472" s="55"/>
      <c r="AN1472" s="55"/>
      <c r="AO1472" s="55"/>
      <c r="AP1472" s="55"/>
      <c r="AQ1472" s="55"/>
      <c r="AR1472" s="55"/>
      <c r="AS1472" s="55"/>
      <c r="AT1472" s="55"/>
      <c r="AU1472" s="55"/>
      <c r="AV1472" s="55"/>
      <c r="AW1472" s="55"/>
      <c r="BA1472" s="2"/>
      <c r="BB1472" s="2"/>
      <c r="BC1472" s="101"/>
      <c r="BD1472" s="101"/>
    </row>
    <row r="1473" spans="1:56" s="84" customFormat="1" x14ac:dyDescent="0.35">
      <c r="A1473" s="53"/>
      <c r="B1473" s="54"/>
      <c r="C1473" s="53"/>
      <c r="D1473" s="141" t="s">
        <v>106</v>
      </c>
      <c r="E1473" s="141"/>
      <c r="F1473" s="141"/>
      <c r="G1473" s="141"/>
      <c r="H1473" s="141"/>
      <c r="I1473" s="141"/>
      <c r="J1473" s="141"/>
      <c r="K1473" s="141"/>
      <c r="L1473" s="141"/>
      <c r="M1473" s="141"/>
      <c r="N1473" s="141"/>
      <c r="O1473" s="141"/>
      <c r="P1473" s="141"/>
      <c r="Q1473" s="141"/>
      <c r="R1473" s="141"/>
      <c r="S1473" s="141"/>
      <c r="T1473" s="141"/>
      <c r="U1473" s="141"/>
      <c r="V1473" s="141"/>
      <c r="W1473" s="141"/>
      <c r="X1473" s="141"/>
      <c r="Y1473" s="141"/>
      <c r="Z1473" s="141"/>
      <c r="AA1473" s="141"/>
      <c r="AB1473" s="141"/>
      <c r="AC1473" s="141"/>
      <c r="AD1473" s="141"/>
      <c r="AE1473" s="141"/>
      <c r="AF1473" s="141"/>
      <c r="AG1473" s="141"/>
      <c r="AH1473" s="141"/>
      <c r="AI1473" s="141"/>
      <c r="AJ1473" s="141"/>
      <c r="AK1473" s="56"/>
      <c r="AL1473" s="55"/>
      <c r="AM1473" s="55"/>
      <c r="AN1473" s="55"/>
      <c r="AO1473" s="55"/>
      <c r="AP1473" s="55"/>
      <c r="AQ1473" s="55"/>
      <c r="AR1473" s="55"/>
      <c r="AS1473" s="55"/>
      <c r="AT1473" s="55"/>
      <c r="AU1473" s="55"/>
      <c r="AV1473" s="55"/>
      <c r="AW1473" s="55"/>
      <c r="AX1473" s="53"/>
      <c r="BA1473" s="2"/>
      <c r="BB1473" s="2"/>
      <c r="BC1473" s="101"/>
      <c r="BD1473" s="101"/>
    </row>
    <row r="1474" spans="1:56" s="84" customFormat="1" x14ac:dyDescent="0.35">
      <c r="A1474" s="53"/>
      <c r="B1474" s="54"/>
      <c r="C1474" s="53"/>
      <c r="D1474" s="141"/>
      <c r="E1474" s="141"/>
      <c r="F1474" s="141"/>
      <c r="G1474" s="141"/>
      <c r="H1474" s="141"/>
      <c r="I1474" s="141"/>
      <c r="J1474" s="141"/>
      <c r="K1474" s="141"/>
      <c r="L1474" s="141"/>
      <c r="M1474" s="141"/>
      <c r="N1474" s="141"/>
      <c r="O1474" s="141"/>
      <c r="P1474" s="141"/>
      <c r="Q1474" s="141"/>
      <c r="R1474" s="141"/>
      <c r="S1474" s="141"/>
      <c r="T1474" s="141"/>
      <c r="U1474" s="141"/>
      <c r="V1474" s="141"/>
      <c r="W1474" s="141"/>
      <c r="X1474" s="141"/>
      <c r="Y1474" s="141"/>
      <c r="Z1474" s="141"/>
      <c r="AA1474" s="141"/>
      <c r="AB1474" s="141"/>
      <c r="AC1474" s="141"/>
      <c r="AD1474" s="141"/>
      <c r="AE1474" s="141"/>
      <c r="AF1474" s="141"/>
      <c r="AG1474" s="141"/>
      <c r="AH1474" s="141"/>
      <c r="AI1474" s="141"/>
      <c r="AJ1474" s="141"/>
      <c r="AK1474" s="56"/>
      <c r="AL1474" s="55"/>
      <c r="AM1474" s="55"/>
      <c r="AN1474" s="55"/>
      <c r="AO1474" s="55"/>
      <c r="AP1474" s="55"/>
      <c r="AQ1474" s="55"/>
      <c r="AR1474" s="55"/>
      <c r="AS1474" s="55"/>
      <c r="AT1474" s="55"/>
      <c r="AU1474" s="55"/>
      <c r="AV1474" s="55"/>
      <c r="AW1474" s="55"/>
      <c r="AX1474" s="53"/>
      <c r="BA1474" s="2"/>
      <c r="BB1474" s="2"/>
      <c r="BC1474" s="101"/>
      <c r="BD1474" s="101"/>
    </row>
    <row r="1475" spans="1:56" s="84" customFormat="1" ht="15" customHeight="1" x14ac:dyDescent="0.35">
      <c r="A1475" s="53"/>
      <c r="B1475" s="54"/>
      <c r="C1475" s="53"/>
      <c r="D1475" s="53"/>
      <c r="E1475" s="53"/>
      <c r="F1475" s="98"/>
      <c r="G1475" s="55"/>
      <c r="H1475" s="55"/>
      <c r="I1475" s="55"/>
      <c r="J1475" s="55"/>
      <c r="K1475" s="55"/>
      <c r="L1475" s="55"/>
      <c r="M1475" s="55"/>
      <c r="N1475" s="55"/>
      <c r="O1475" s="55"/>
      <c r="P1475" s="55"/>
      <c r="Q1475" s="55"/>
      <c r="R1475" s="55"/>
      <c r="S1475" s="55"/>
      <c r="T1475" s="55"/>
      <c r="U1475" s="56"/>
      <c r="V1475" s="55"/>
      <c r="W1475" s="55"/>
      <c r="X1475" s="55"/>
      <c r="Y1475" s="55"/>
      <c r="Z1475" s="55"/>
      <c r="AA1475" s="55"/>
      <c r="AB1475" s="55"/>
      <c r="AC1475" s="55"/>
      <c r="AD1475" s="55"/>
      <c r="AE1475" s="55"/>
      <c r="AF1475" s="55"/>
      <c r="AG1475" s="55"/>
      <c r="AH1475" s="55"/>
      <c r="AI1475" s="55"/>
      <c r="AJ1475" s="55"/>
      <c r="AK1475" s="56"/>
      <c r="AL1475" s="55"/>
      <c r="AM1475" s="55"/>
      <c r="AN1475" s="55"/>
      <c r="AO1475" s="55"/>
      <c r="AP1475" s="55"/>
      <c r="AQ1475" s="55"/>
      <c r="AR1475" s="55"/>
      <c r="AS1475" s="55"/>
      <c r="AT1475" s="55"/>
      <c r="AU1475" s="55"/>
      <c r="AV1475" s="55"/>
      <c r="AW1475" s="55"/>
      <c r="AX1475" s="53"/>
      <c r="BA1475" s="2"/>
      <c r="BB1475" s="2"/>
      <c r="BC1475" s="101"/>
      <c r="BD1475" s="101"/>
    </row>
    <row r="1476" spans="1:56" s="84" customFormat="1" ht="15" customHeight="1" x14ac:dyDescent="0.35">
      <c r="A1476" s="53"/>
      <c r="B1476" s="54" t="s">
        <v>53</v>
      </c>
      <c r="C1476" s="53"/>
      <c r="D1476" s="31" t="s">
        <v>74</v>
      </c>
      <c r="E1476" s="34"/>
      <c r="F1476" s="99"/>
      <c r="G1476" s="34"/>
      <c r="H1476" s="34"/>
      <c r="I1476" s="34"/>
      <c r="J1476" s="34"/>
      <c r="K1476" s="53"/>
      <c r="L1476" s="55" t="s">
        <v>8</v>
      </c>
      <c r="M1476" s="53"/>
      <c r="N1476" s="142">
        <f ca="1">NOW()</f>
        <v>44720.650928935182</v>
      </c>
      <c r="O1476" s="142"/>
      <c r="P1476" s="142"/>
      <c r="Q1476" s="53"/>
      <c r="R1476" s="53"/>
      <c r="S1476" s="53"/>
      <c r="T1476" s="53"/>
      <c r="U1476" s="53"/>
      <c r="V1476" s="55"/>
      <c r="W1476" s="55"/>
      <c r="X1476" s="55"/>
      <c r="Y1476" s="55"/>
      <c r="Z1476" s="55"/>
      <c r="AA1476" s="55"/>
      <c r="AB1476" s="55"/>
      <c r="AC1476" s="55"/>
      <c r="AD1476" s="55"/>
      <c r="AE1476" s="55"/>
      <c r="AF1476" s="55"/>
      <c r="AG1476" s="55"/>
      <c r="AH1476" s="55"/>
      <c r="AI1476" s="55"/>
      <c r="AJ1476" s="55"/>
      <c r="AK1476" s="56"/>
      <c r="AL1476" s="55"/>
      <c r="AM1476" s="55"/>
      <c r="AN1476" s="55"/>
      <c r="AO1476" s="55"/>
      <c r="AP1476" s="55"/>
      <c r="AQ1476" s="55"/>
      <c r="AR1476" s="55"/>
      <c r="AS1476" s="55"/>
      <c r="AT1476" s="55"/>
      <c r="AU1476" s="55"/>
      <c r="AV1476" s="55"/>
      <c r="AW1476" s="55"/>
      <c r="AX1476" s="53"/>
      <c r="BA1476" s="2"/>
      <c r="BB1476" s="2"/>
      <c r="BC1476" s="101"/>
      <c r="BD1476" s="101"/>
    </row>
    <row r="1477" spans="1:56" s="84" customFormat="1" x14ac:dyDescent="0.35">
      <c r="A1477" s="53"/>
      <c r="B1477" s="54"/>
      <c r="C1477" s="53"/>
      <c r="D1477" s="53"/>
      <c r="E1477" s="53"/>
      <c r="F1477" s="98"/>
      <c r="G1477" s="55"/>
      <c r="H1477" s="55"/>
      <c r="I1477" s="55"/>
      <c r="J1477" s="55"/>
      <c r="K1477" s="53"/>
      <c r="L1477" s="55"/>
      <c r="M1477" s="53"/>
      <c r="N1477" s="55"/>
      <c r="O1477" s="56"/>
      <c r="P1477" s="53"/>
      <c r="Q1477" s="53"/>
      <c r="R1477" s="53"/>
      <c r="S1477" s="53"/>
      <c r="T1477" s="53"/>
      <c r="U1477" s="53"/>
      <c r="V1477" s="55"/>
      <c r="W1477" s="55"/>
      <c r="X1477" s="55"/>
      <c r="Y1477" s="55"/>
      <c r="Z1477" s="55"/>
      <c r="AA1477" s="55"/>
      <c r="AB1477" s="55"/>
      <c r="AC1477" s="55"/>
      <c r="AD1477" s="55"/>
      <c r="AE1477" s="55"/>
      <c r="AF1477" s="55"/>
      <c r="AG1477" s="55"/>
      <c r="AH1477" s="55"/>
      <c r="AI1477" s="55"/>
      <c r="AJ1477" s="55"/>
      <c r="AK1477" s="56"/>
      <c r="AL1477" s="55"/>
      <c r="AM1477" s="55"/>
      <c r="AN1477" s="55"/>
      <c r="AO1477" s="55"/>
      <c r="AP1477" s="55"/>
      <c r="AQ1477" s="55"/>
      <c r="AR1477" s="55"/>
      <c r="AS1477" s="55"/>
      <c r="AT1477" s="55"/>
      <c r="AU1477" s="55"/>
      <c r="AV1477" s="55"/>
      <c r="AW1477" s="55"/>
      <c r="AX1477" s="53"/>
      <c r="BA1477" s="2"/>
      <c r="BB1477" s="2"/>
      <c r="BC1477" s="101"/>
      <c r="BD1477" s="101"/>
    </row>
    <row r="1478" spans="1:56" s="84" customFormat="1" x14ac:dyDescent="0.35">
      <c r="A1478" s="53"/>
      <c r="B1478" s="54" t="s">
        <v>54</v>
      </c>
      <c r="C1478" s="53"/>
      <c r="D1478" s="31"/>
      <c r="E1478" s="34"/>
      <c r="F1478" s="99"/>
      <c r="G1478" s="34"/>
      <c r="H1478" s="34"/>
      <c r="I1478" s="34"/>
      <c r="J1478" s="34"/>
      <c r="K1478" s="53"/>
      <c r="L1478" s="55" t="s">
        <v>8</v>
      </c>
      <c r="M1478" s="53"/>
      <c r="N1478" s="142">
        <f ca="1">NOW()</f>
        <v>44720.650928935182</v>
      </c>
      <c r="O1478" s="142"/>
      <c r="P1478" s="142"/>
      <c r="Q1478" s="53"/>
      <c r="R1478" s="53"/>
      <c r="S1478" s="53"/>
      <c r="T1478" s="53"/>
      <c r="U1478" s="53"/>
      <c r="V1478" s="55"/>
      <c r="W1478" s="55"/>
      <c r="X1478" s="55"/>
      <c r="Y1478" s="55"/>
      <c r="Z1478" s="55"/>
      <c r="AA1478" s="55"/>
      <c r="AB1478" s="55"/>
      <c r="AC1478" s="55"/>
      <c r="AD1478" s="55"/>
      <c r="AE1478" s="55"/>
      <c r="AF1478" s="55"/>
      <c r="AG1478" s="55"/>
      <c r="AH1478" s="55"/>
      <c r="AI1478" s="55"/>
      <c r="AJ1478" s="55"/>
      <c r="AK1478" s="56"/>
      <c r="AL1478" s="55"/>
      <c r="AM1478" s="55"/>
      <c r="AN1478" s="55"/>
      <c r="AO1478" s="55"/>
      <c r="AP1478" s="55"/>
      <c r="AQ1478" s="55"/>
      <c r="AR1478" s="55"/>
      <c r="AS1478" s="55"/>
      <c r="AT1478" s="55"/>
      <c r="AU1478" s="55"/>
      <c r="AV1478" s="55"/>
      <c r="AW1478" s="55"/>
      <c r="AX1478" s="53"/>
      <c r="BA1478" s="2"/>
      <c r="BB1478" s="2"/>
      <c r="BC1478" s="101"/>
      <c r="BD1478" s="101"/>
    </row>
    <row r="1479" spans="1:56" s="84" customFormat="1" x14ac:dyDescent="0.35">
      <c r="A1479" s="53"/>
      <c r="B1479" s="54"/>
      <c r="C1479" s="53"/>
      <c r="D1479" s="53"/>
      <c r="E1479" s="53"/>
      <c r="F1479" s="98"/>
      <c r="G1479" s="55"/>
      <c r="H1479" s="55"/>
      <c r="I1479" s="55"/>
      <c r="J1479" s="55"/>
      <c r="K1479" s="55"/>
      <c r="L1479" s="55"/>
      <c r="M1479" s="55"/>
      <c r="N1479" s="55"/>
      <c r="O1479" s="55"/>
      <c r="P1479" s="55"/>
      <c r="Q1479" s="55"/>
      <c r="R1479" s="55"/>
      <c r="S1479" s="55"/>
      <c r="T1479" s="55"/>
      <c r="U1479" s="56"/>
      <c r="V1479" s="55"/>
      <c r="W1479" s="55"/>
      <c r="X1479" s="55"/>
      <c r="Y1479" s="55"/>
      <c r="Z1479" s="55"/>
      <c r="AA1479" s="55"/>
      <c r="AB1479" s="55"/>
      <c r="AC1479" s="55"/>
      <c r="AD1479" s="55"/>
      <c r="AE1479" s="55"/>
      <c r="AF1479" s="55"/>
      <c r="AG1479" s="55"/>
      <c r="AH1479" s="55"/>
      <c r="AI1479" s="55"/>
      <c r="AJ1479" s="55"/>
      <c r="AK1479" s="56"/>
      <c r="AL1479" s="55"/>
      <c r="AM1479" s="55"/>
      <c r="AN1479" s="55"/>
      <c r="AO1479" s="55"/>
      <c r="AP1479" s="55"/>
      <c r="AQ1479" s="55"/>
      <c r="AR1479" s="55"/>
      <c r="AS1479" s="55"/>
      <c r="AT1479" s="55"/>
      <c r="AU1479" s="55"/>
      <c r="AV1479" s="55"/>
      <c r="AW1479" s="55"/>
      <c r="AX1479" s="53"/>
      <c r="BA1479" s="2"/>
      <c r="BB1479" s="2"/>
      <c r="BC1479" s="101"/>
      <c r="BD1479" s="101"/>
    </row>
    <row r="1480" spans="1:56" s="84" customFormat="1" x14ac:dyDescent="0.35">
      <c r="A1480" s="53"/>
      <c r="B1480" s="54" t="s">
        <v>9</v>
      </c>
      <c r="C1480" s="53"/>
      <c r="D1480" s="53"/>
      <c r="E1480" s="53"/>
      <c r="F1480" s="98"/>
      <c r="G1480" s="55"/>
      <c r="H1480" s="55"/>
      <c r="I1480" s="55"/>
      <c r="J1480" s="55"/>
      <c r="K1480" s="55"/>
      <c r="L1480" s="55"/>
      <c r="M1480" s="55"/>
      <c r="N1480" s="55"/>
      <c r="O1480" s="55"/>
      <c r="P1480" s="55"/>
      <c r="Q1480" s="55"/>
      <c r="R1480" s="55"/>
      <c r="S1480" s="55"/>
      <c r="T1480" s="55"/>
      <c r="U1480" s="56"/>
      <c r="V1480" s="55"/>
      <c r="W1480" s="55"/>
      <c r="X1480" s="55"/>
      <c r="Y1480" s="55"/>
      <c r="Z1480" s="55"/>
      <c r="AA1480" s="55"/>
      <c r="AB1480" s="55"/>
      <c r="AC1480" s="55"/>
      <c r="AD1480" s="55"/>
      <c r="AE1480" s="55"/>
      <c r="AF1480" s="55"/>
      <c r="AG1480" s="55"/>
      <c r="AH1480" s="55"/>
      <c r="AI1480" s="55"/>
      <c r="AJ1480" s="55"/>
      <c r="AK1480" s="56"/>
      <c r="AL1480" s="55"/>
      <c r="AM1480" s="55"/>
      <c r="AN1480" s="55"/>
      <c r="AO1480" s="55"/>
      <c r="AP1480" s="55"/>
      <c r="AQ1480" s="55"/>
      <c r="AR1480" s="55"/>
      <c r="AS1480" s="55"/>
      <c r="AT1480" s="55"/>
      <c r="AU1480" s="55"/>
      <c r="AV1480" s="55"/>
      <c r="AW1480" s="55"/>
      <c r="AX1480" s="53"/>
      <c r="BA1480" s="2"/>
      <c r="BB1480" s="2"/>
      <c r="BC1480" s="101"/>
      <c r="BD1480" s="101"/>
    </row>
    <row r="1481" spans="1:56" x14ac:dyDescent="0.35">
      <c r="BA1481" s="2"/>
      <c r="BB1481" s="2"/>
      <c r="BC1481" s="101"/>
      <c r="BD1481" s="101"/>
    </row>
    <row r="1482" spans="1:56" x14ac:dyDescent="0.35">
      <c r="BA1482" s="2"/>
      <c r="BB1482" s="2"/>
      <c r="BC1482" s="101"/>
      <c r="BD1482" s="101"/>
    </row>
    <row r="1483" spans="1:56" s="84" customFormat="1" ht="28.5" x14ac:dyDescent="0.65">
      <c r="F1483" s="50"/>
      <c r="G1483" s="143" t="s">
        <v>10</v>
      </c>
      <c r="H1483" s="143"/>
      <c r="I1483" s="143"/>
      <c r="J1483" s="143"/>
      <c r="K1483" s="143"/>
      <c r="L1483" s="143"/>
      <c r="M1483" s="143"/>
      <c r="N1483" s="143"/>
      <c r="O1483" s="143"/>
      <c r="P1483" s="143"/>
      <c r="Q1483" s="143"/>
      <c r="R1483" s="143"/>
      <c r="S1483" s="143"/>
      <c r="T1483" s="143"/>
      <c r="U1483" s="143"/>
      <c r="W1483" s="37" t="s">
        <v>12</v>
      </c>
      <c r="X1483" s="86" t="s">
        <v>11</v>
      </c>
      <c r="BA1483" s="2"/>
      <c r="BB1483" s="2"/>
      <c r="BC1483" s="101"/>
      <c r="BD1483" s="101"/>
    </row>
    <row r="1484" spans="1:56" s="84" customFormat="1" x14ac:dyDescent="0.35">
      <c r="F1484" s="50"/>
      <c r="G1484" s="84" t="s">
        <v>0</v>
      </c>
      <c r="W1484" s="37" t="s">
        <v>13</v>
      </c>
      <c r="X1484" s="86" t="s">
        <v>14</v>
      </c>
      <c r="BA1484" s="2"/>
      <c r="BB1484" s="2"/>
      <c r="BC1484" s="101"/>
      <c r="BD1484" s="101"/>
    </row>
    <row r="1485" spans="1:56" s="84" customFormat="1" x14ac:dyDescent="0.35">
      <c r="F1485" s="50"/>
      <c r="W1485" s="37" t="s">
        <v>1</v>
      </c>
      <c r="X1485" s="86" t="s">
        <v>15</v>
      </c>
      <c r="BA1485" s="2"/>
      <c r="BB1485" s="2"/>
      <c r="BC1485" s="101"/>
      <c r="BD1485" s="101"/>
    </row>
    <row r="1486" spans="1:56" s="84" customFormat="1" x14ac:dyDescent="0.35">
      <c r="F1486" s="50"/>
      <c r="W1486" s="37" t="s">
        <v>2</v>
      </c>
      <c r="X1486" s="86" t="s">
        <v>16</v>
      </c>
      <c r="BA1486" s="2"/>
      <c r="BB1486" s="2"/>
      <c r="BC1486" s="101"/>
      <c r="BD1486" s="101"/>
    </row>
    <row r="1487" spans="1:56" s="84" customFormat="1" ht="15" customHeight="1" x14ac:dyDescent="0.35">
      <c r="B1487" s="154" t="s">
        <v>35</v>
      </c>
      <c r="F1487" s="50"/>
      <c r="G1487" s="154" t="s">
        <v>36</v>
      </c>
      <c r="H1487" s="154"/>
      <c r="I1487" s="154"/>
      <c r="K1487" s="154" t="s">
        <v>36</v>
      </c>
      <c r="L1487" s="154"/>
      <c r="M1487" s="154"/>
      <c r="W1487" s="37" t="s">
        <v>3</v>
      </c>
      <c r="X1487" s="86" t="s">
        <v>17</v>
      </c>
      <c r="BA1487" s="2"/>
      <c r="BB1487" s="2"/>
      <c r="BC1487" s="101"/>
      <c r="BD1487" s="101"/>
    </row>
    <row r="1488" spans="1:56" s="84" customFormat="1" x14ac:dyDescent="0.35">
      <c r="B1488" s="155"/>
      <c r="D1488" s="37" t="s">
        <v>34</v>
      </c>
      <c r="F1488" s="50"/>
      <c r="G1488" s="154"/>
      <c r="H1488" s="154"/>
      <c r="I1488" s="154"/>
      <c r="K1488" s="154"/>
      <c r="L1488" s="154"/>
      <c r="M1488" s="154"/>
      <c r="W1488" s="38"/>
      <c r="BA1488" s="2"/>
      <c r="BB1488" s="2"/>
      <c r="BC1488" s="101"/>
      <c r="BD1488" s="101"/>
    </row>
    <row r="1489" spans="2:56" s="84" customFormat="1" x14ac:dyDescent="0.35">
      <c r="B1489" s="100">
        <f>B1415+1</f>
        <v>4</v>
      </c>
      <c r="D1489" s="100">
        <f>D1415</f>
        <v>2022</v>
      </c>
      <c r="E1489" s="87" t="s">
        <v>38</v>
      </c>
      <c r="F1489" s="50"/>
      <c r="G1489" s="156">
        <f>K1415+1</f>
        <v>44591</v>
      </c>
      <c r="H1489" s="157"/>
      <c r="I1489" s="158"/>
      <c r="J1489" s="37" t="s">
        <v>37</v>
      </c>
      <c r="K1489" s="156">
        <f>IF(G1489="","",G1489+13)</f>
        <v>44604</v>
      </c>
      <c r="L1489" s="157"/>
      <c r="M1489" s="158"/>
      <c r="P1489" s="159" t="s">
        <v>39</v>
      </c>
      <c r="Q1489" s="160"/>
      <c r="R1489" s="160"/>
      <c r="S1489" s="160"/>
      <c r="T1489" s="161"/>
      <c r="U1489" s="24">
        <v>80</v>
      </c>
      <c r="BA1489" s="2"/>
      <c r="BB1489" s="2"/>
      <c r="BC1489" s="101"/>
      <c r="BD1489" s="101"/>
    </row>
    <row r="1490" spans="2:56" s="84" customFormat="1" x14ac:dyDescent="0.35">
      <c r="F1490" s="50"/>
      <c r="AM1490" s="144" t="s">
        <v>4</v>
      </c>
      <c r="AN1490" s="144"/>
      <c r="AO1490" s="144"/>
      <c r="AP1490" s="144"/>
      <c r="AQ1490" s="144"/>
      <c r="AR1490" s="144"/>
      <c r="AS1490" s="144"/>
      <c r="AU1490" s="100" t="s">
        <v>4</v>
      </c>
      <c r="BA1490" s="2"/>
      <c r="BB1490" s="2"/>
      <c r="BC1490" s="101"/>
      <c r="BD1490" s="101"/>
    </row>
    <row r="1491" spans="2:56" s="84" customFormat="1" ht="15" customHeight="1" x14ac:dyDescent="0.35">
      <c r="B1491" s="40"/>
      <c r="C1491" s="41"/>
      <c r="D1491" s="42" t="s">
        <v>32</v>
      </c>
      <c r="E1491" s="43" t="s">
        <v>5</v>
      </c>
      <c r="F1491" s="50"/>
      <c r="G1491" s="162">
        <f>G1489</f>
        <v>44591</v>
      </c>
      <c r="H1491" s="163"/>
      <c r="I1491" s="162">
        <f>IF(G1491="","",G1491+1)</f>
        <v>44592</v>
      </c>
      <c r="J1491" s="163"/>
      <c r="K1491" s="162">
        <f>IF(I1491="","",I1491+1)</f>
        <v>44593</v>
      </c>
      <c r="L1491" s="163"/>
      <c r="M1491" s="162">
        <f>IF(K1491="","",K1491+1)</f>
        <v>44594</v>
      </c>
      <c r="N1491" s="163"/>
      <c r="O1491" s="162">
        <f>IF(M1491="","",M1491+1)</f>
        <v>44595</v>
      </c>
      <c r="P1491" s="163"/>
      <c r="Q1491" s="162">
        <f>IF(O1491="","",O1491+1)</f>
        <v>44596</v>
      </c>
      <c r="R1491" s="163"/>
      <c r="S1491" s="162">
        <f>IF(Q1491="","",Q1491+1)</f>
        <v>44597</v>
      </c>
      <c r="T1491" s="164"/>
      <c r="U1491" s="44"/>
      <c r="W1491" s="162">
        <f>IF(S1491="","",S1491+1)</f>
        <v>44598</v>
      </c>
      <c r="X1491" s="163"/>
      <c r="Y1491" s="162">
        <f>IF(W1491="","",W1491+1)</f>
        <v>44599</v>
      </c>
      <c r="Z1491" s="163"/>
      <c r="AA1491" s="162">
        <f>IF(Y1491="","",Y1491+1)</f>
        <v>44600</v>
      </c>
      <c r="AB1491" s="163"/>
      <c r="AC1491" s="162">
        <f>IF(AA1491="","",AA1491+1)</f>
        <v>44601</v>
      </c>
      <c r="AD1491" s="163"/>
      <c r="AE1491" s="162">
        <f>IF(AC1491="","",AC1491+1)</f>
        <v>44602</v>
      </c>
      <c r="AF1491" s="163"/>
      <c r="AG1491" s="162">
        <f>IF(AE1491="","",AE1491+1)</f>
        <v>44603</v>
      </c>
      <c r="AH1491" s="163"/>
      <c r="AI1491" s="162">
        <f>IF(AG1491="","",AG1491+1)</f>
        <v>44604</v>
      </c>
      <c r="AJ1491" s="164"/>
      <c r="AK1491" s="44"/>
      <c r="AM1491" s="145" t="s">
        <v>18</v>
      </c>
      <c r="AN1491" s="165" t="s">
        <v>55</v>
      </c>
      <c r="AO1491" s="145" t="s">
        <v>19</v>
      </c>
      <c r="AP1491" s="145" t="s">
        <v>20</v>
      </c>
      <c r="AQ1491" s="145" t="s">
        <v>21</v>
      </c>
      <c r="AR1491" s="166" t="s">
        <v>22</v>
      </c>
      <c r="AS1491" s="167" t="s">
        <v>23</v>
      </c>
      <c r="AU1491" s="144" t="s">
        <v>6</v>
      </c>
      <c r="AW1491" s="145" t="s">
        <v>24</v>
      </c>
      <c r="BA1491" s="2"/>
      <c r="BB1491" s="2"/>
      <c r="BC1491" s="101"/>
      <c r="BD1491" s="101"/>
    </row>
    <row r="1492" spans="2:56" s="84" customFormat="1" x14ac:dyDescent="0.35">
      <c r="B1492" s="45" t="s">
        <v>33</v>
      </c>
      <c r="C1492" s="46"/>
      <c r="D1492" s="47"/>
      <c r="E1492" s="47"/>
      <c r="F1492" s="50"/>
      <c r="G1492" s="146" t="s">
        <v>25</v>
      </c>
      <c r="H1492" s="147"/>
      <c r="I1492" s="146" t="s">
        <v>26</v>
      </c>
      <c r="J1492" s="147"/>
      <c r="K1492" s="146" t="s">
        <v>27</v>
      </c>
      <c r="L1492" s="147"/>
      <c r="M1492" s="146" t="s">
        <v>28</v>
      </c>
      <c r="N1492" s="147"/>
      <c r="O1492" s="146" t="s">
        <v>29</v>
      </c>
      <c r="P1492" s="147"/>
      <c r="Q1492" s="146" t="s">
        <v>30</v>
      </c>
      <c r="R1492" s="147"/>
      <c r="S1492" s="146" t="s">
        <v>31</v>
      </c>
      <c r="T1492" s="148"/>
      <c r="U1492" s="48" t="s">
        <v>7</v>
      </c>
      <c r="W1492" s="146" t="s">
        <v>25</v>
      </c>
      <c r="X1492" s="147"/>
      <c r="Y1492" s="146" t="s">
        <v>26</v>
      </c>
      <c r="Z1492" s="147"/>
      <c r="AA1492" s="146" t="s">
        <v>27</v>
      </c>
      <c r="AB1492" s="147"/>
      <c r="AC1492" s="146" t="s">
        <v>28</v>
      </c>
      <c r="AD1492" s="147"/>
      <c r="AE1492" s="146" t="s">
        <v>29</v>
      </c>
      <c r="AF1492" s="147"/>
      <c r="AG1492" s="146" t="s">
        <v>30</v>
      </c>
      <c r="AH1492" s="147"/>
      <c r="AI1492" s="146" t="s">
        <v>31</v>
      </c>
      <c r="AJ1492" s="148"/>
      <c r="AK1492" s="48" t="s">
        <v>7</v>
      </c>
      <c r="AM1492" s="145"/>
      <c r="AN1492" s="165"/>
      <c r="AO1492" s="145"/>
      <c r="AP1492" s="145"/>
      <c r="AQ1492" s="145"/>
      <c r="AR1492" s="166"/>
      <c r="AS1492" s="167"/>
      <c r="AU1492" s="144"/>
      <c r="AW1492" s="145"/>
      <c r="BA1492" s="2"/>
      <c r="BB1492" s="2"/>
      <c r="BC1492" s="101"/>
      <c r="BD1492" s="101"/>
    </row>
    <row r="1493" spans="2:56" s="84" customFormat="1" x14ac:dyDescent="0.35">
      <c r="B1493" s="63"/>
      <c r="C1493" s="25"/>
      <c r="D1493" s="25"/>
      <c r="E1493" s="25"/>
      <c r="F1493" s="50"/>
      <c r="BA1493" s="2"/>
      <c r="BB1493" s="2"/>
      <c r="BC1493" s="101"/>
      <c r="BD1493" s="101"/>
    </row>
    <row r="1494" spans="2:56" s="84" customFormat="1" x14ac:dyDescent="0.35">
      <c r="B1494" s="26"/>
      <c r="C1494" s="27"/>
      <c r="D1494" s="28">
        <f>IF(D1420="","",D1420)</f>
        <v>31428</v>
      </c>
      <c r="E1494" s="29" t="str">
        <f>IF(E1420="","",E1420)</f>
        <v/>
      </c>
      <c r="F1494" s="50">
        <f>B1489</f>
        <v>4</v>
      </c>
      <c r="G1494" s="59"/>
      <c r="H1494" s="64"/>
      <c r="I1494" s="106"/>
      <c r="J1494" s="105"/>
      <c r="K1494" s="106"/>
      <c r="L1494" s="105"/>
      <c r="M1494" s="106"/>
      <c r="N1494" s="105"/>
      <c r="O1494" s="106"/>
      <c r="P1494" s="105"/>
      <c r="Q1494" s="106"/>
      <c r="R1494" s="105"/>
      <c r="S1494" s="59"/>
      <c r="T1494" s="64"/>
      <c r="U1494" s="44"/>
      <c r="W1494" s="59"/>
      <c r="X1494" s="64"/>
      <c r="Y1494" s="106"/>
      <c r="Z1494" s="105"/>
      <c r="AA1494" s="106"/>
      <c r="AB1494" s="105"/>
      <c r="AC1494" s="106"/>
      <c r="AD1494" s="105"/>
      <c r="AE1494" s="106"/>
      <c r="AF1494" s="105"/>
      <c r="AG1494" s="106"/>
      <c r="AH1494" s="105"/>
      <c r="AI1494" s="59"/>
      <c r="AJ1494" s="64"/>
      <c r="AK1494" s="44"/>
      <c r="AM1494" s="49"/>
      <c r="AN1494" s="49"/>
      <c r="AO1494" s="49"/>
      <c r="AP1494" s="49"/>
      <c r="AQ1494" s="49"/>
      <c r="AR1494" s="40"/>
      <c r="AS1494" s="51"/>
      <c r="AU1494" s="49"/>
      <c r="AW1494" s="52"/>
      <c r="BA1494" s="2"/>
      <c r="BB1494" s="2"/>
      <c r="BC1494" s="101"/>
      <c r="BD1494" s="101"/>
    </row>
    <row r="1495" spans="2:56" s="84" customFormat="1" x14ac:dyDescent="0.35">
      <c r="B1495" s="30" t="str">
        <f>IF(B1421="","",B1421)</f>
        <v>Gaulin, Francis</v>
      </c>
      <c r="C1495" s="31"/>
      <c r="D1495" s="32"/>
      <c r="E1495" s="33">
        <f t="shared" ref="E1495:E1526" si="590">IF(E1421="","",E1421)</f>
        <v>93542</v>
      </c>
      <c r="F1495" s="50">
        <f>B1489</f>
        <v>4</v>
      </c>
      <c r="G1495" s="95"/>
      <c r="H1495" s="70"/>
      <c r="I1495" s="104"/>
      <c r="J1495" s="103">
        <v>8</v>
      </c>
      <c r="K1495" s="104"/>
      <c r="L1495" s="103">
        <v>8</v>
      </c>
      <c r="M1495" s="104"/>
      <c r="N1495" s="103">
        <v>8</v>
      </c>
      <c r="O1495" s="104"/>
      <c r="P1495" s="103">
        <v>8</v>
      </c>
      <c r="Q1495" s="104"/>
      <c r="R1495" s="103">
        <v>7.5</v>
      </c>
      <c r="S1495" s="69"/>
      <c r="T1495" s="70"/>
      <c r="U1495" s="71">
        <f>SUM(G1495:T1495)</f>
        <v>39.5</v>
      </c>
      <c r="V1495" s="72"/>
      <c r="W1495" s="69"/>
      <c r="X1495" s="70"/>
      <c r="Y1495" s="104"/>
      <c r="Z1495" s="103">
        <v>8</v>
      </c>
      <c r="AA1495" s="104"/>
      <c r="AB1495" s="103">
        <v>8</v>
      </c>
      <c r="AC1495" s="104"/>
      <c r="AD1495" s="103">
        <v>8</v>
      </c>
      <c r="AE1495" s="104"/>
      <c r="AF1495" s="103">
        <v>8</v>
      </c>
      <c r="AG1495" s="104"/>
      <c r="AH1495" s="103">
        <v>7.5</v>
      </c>
      <c r="AI1495" s="69"/>
      <c r="AJ1495" s="70"/>
      <c r="AK1495" s="71">
        <f>SUM(W1495:AJ1495)</f>
        <v>39.5</v>
      </c>
      <c r="AL1495" s="72"/>
      <c r="AM1495" s="73">
        <f>SUMIF($G1494:$T1494,"",$G1495:$T1495)+SUMIF($W1494:$AJ1494,"",$W1495:$AJ1495)-AN1495</f>
        <v>79</v>
      </c>
      <c r="AN1495" s="88">
        <f>IF(SUMIF($G1494:$T1494,"",$G1495:$T1495)+SUMIF($G1494:$T1494,"F",$G1495:$T1495)+SUMIF($G1494:$T1494,"V",$G1495:$T1495)-40&lt;0,0,SUMIF($G1494:$T1494,"",$G1495:$T1495)+SUMIF($G1494:$T1494,"F",$G1495:$T1495)+SUMIF($G1494:$T1494,"V",$G1495:$T1495)-($U$9/2))+IF(SUMIF($W1494:$AJ1494,"",$W1495:$AJ1495)+SUMIF($W1494:$AJ1494,"F",$W1495:$AJ1495)+SUMIF($W1494:$AJ1494,"V",$W1495:$AJ1495)-40&lt;0,0,SUMIF($W1494:$AJ1494,"",$W1495:$AJ1495)+SUMIF($W1494:$AJ1494,"F",$W1495:$AJ1495)+SUMIF($W1494:$AJ1494,"V",$W1495:$AJ1495)-($U$9/2))</f>
        <v>0</v>
      </c>
      <c r="AO1495" s="73">
        <f>SUMIF($G1494:$T1494,"M",$G1495:$T1495)+SUMIF($W1494:$AJ1494,"M",$W1495:$AJ1495)</f>
        <v>0</v>
      </c>
      <c r="AP1495" s="73">
        <f>SUMIF($G1494:$T1494,"F",$G1495:$T1495)+SUMIF($W1494:$AJ1494,"F",$W1495:$AJ1495)</f>
        <v>0</v>
      </c>
      <c r="AQ1495" s="73">
        <f>SUMIF($G1494:$T1494,"V",$G1495:$T1495)+SUMIF($W1494:$AJ1494,"V",$W1495:$AJ1495)</f>
        <v>0</v>
      </c>
      <c r="AR1495" s="74">
        <f>SUMIF($G1494:$T1494,"O",$G1495:$T1495)+SUMIF($W1494:$AJ1494,"O",$W1495:$AJ1495)</f>
        <v>0</v>
      </c>
      <c r="AS1495" s="75">
        <f>SUM(AM1495:AR1495)</f>
        <v>79</v>
      </c>
      <c r="AT1495" s="72"/>
      <c r="AU1495" s="73">
        <f>SUMIF($G1494:$T1494,"A",$G1495:$T1495)+SUMIF($W1494:$AJ1494,"A",$W1495:$AJ1495)</f>
        <v>0</v>
      </c>
      <c r="AV1495" s="72"/>
      <c r="AW1495" s="76">
        <f>IF(B1495="",0,IF($U$9="",0,$U$9))</f>
        <v>80</v>
      </c>
      <c r="BA1495" s="2"/>
      <c r="BB1495" s="2"/>
      <c r="BC1495" s="101"/>
      <c r="BD1495" s="101"/>
    </row>
    <row r="1496" spans="2:56" s="84" customFormat="1" x14ac:dyDescent="0.35">
      <c r="B1496" s="26"/>
      <c r="C1496" s="27"/>
      <c r="D1496" s="28">
        <f>IF(D1422="","",D1422)</f>
        <v>24287</v>
      </c>
      <c r="E1496" s="29" t="str">
        <f t="shared" si="590"/>
        <v/>
      </c>
      <c r="F1496" s="50">
        <f>B1489</f>
        <v>4</v>
      </c>
      <c r="G1496" s="59"/>
      <c r="H1496" s="64"/>
      <c r="I1496" s="106"/>
      <c r="J1496" s="105"/>
      <c r="K1496" s="106"/>
      <c r="L1496" s="105"/>
      <c r="M1496" s="106"/>
      <c r="N1496" s="105"/>
      <c r="O1496" s="106"/>
      <c r="P1496" s="105"/>
      <c r="Q1496" s="106"/>
      <c r="R1496" s="105"/>
      <c r="S1496" s="59"/>
      <c r="T1496" s="64"/>
      <c r="U1496" s="44"/>
      <c r="W1496" s="59"/>
      <c r="X1496" s="64"/>
      <c r="Y1496" s="106"/>
      <c r="Z1496" s="105"/>
      <c r="AA1496" s="106"/>
      <c r="AB1496" s="105"/>
      <c r="AC1496" s="106"/>
      <c r="AD1496" s="105"/>
      <c r="AE1496" s="106"/>
      <c r="AF1496" s="105"/>
      <c r="AG1496" s="106"/>
      <c r="AH1496" s="105"/>
      <c r="AI1496" s="59"/>
      <c r="AJ1496" s="64"/>
      <c r="AK1496" s="44"/>
      <c r="AM1496" s="49"/>
      <c r="AN1496" s="49"/>
      <c r="AO1496" s="49"/>
      <c r="AP1496" s="49"/>
      <c r="AQ1496" s="49"/>
      <c r="AR1496" s="40"/>
      <c r="AS1496" s="51"/>
      <c r="AU1496" s="49"/>
      <c r="AW1496" s="52"/>
      <c r="BA1496" s="2"/>
      <c r="BB1496" s="2"/>
      <c r="BC1496" s="101"/>
      <c r="BD1496" s="101"/>
    </row>
    <row r="1497" spans="2:56" s="84" customFormat="1" x14ac:dyDescent="0.35">
      <c r="B1497" s="30" t="s">
        <v>68</v>
      </c>
      <c r="C1497" s="31"/>
      <c r="D1497" s="32"/>
      <c r="E1497" s="33">
        <f t="shared" si="590"/>
        <v>93595935</v>
      </c>
      <c r="F1497" s="50">
        <f>B1489</f>
        <v>4</v>
      </c>
      <c r="G1497" s="69"/>
      <c r="H1497" s="70"/>
      <c r="I1497" s="104"/>
      <c r="J1497" s="103" t="s">
        <v>69</v>
      </c>
      <c r="K1497" s="104"/>
      <c r="L1497" s="103" t="s">
        <v>69</v>
      </c>
      <c r="M1497" s="104"/>
      <c r="N1497" s="103" t="s">
        <v>69</v>
      </c>
      <c r="O1497" s="104"/>
      <c r="P1497" s="103" t="s">
        <v>69</v>
      </c>
      <c r="Q1497" s="104"/>
      <c r="R1497" s="103" t="s">
        <v>69</v>
      </c>
      <c r="S1497" s="69"/>
      <c r="T1497" s="70"/>
      <c r="U1497" s="71">
        <f t="shared" ref="U1497" si="591">SUM(G1497:T1497)</f>
        <v>0</v>
      </c>
      <c r="V1497" s="72"/>
      <c r="W1497" s="69"/>
      <c r="X1497" s="70"/>
      <c r="Y1497" s="104"/>
      <c r="Z1497" s="103" t="s">
        <v>69</v>
      </c>
      <c r="AA1497" s="104"/>
      <c r="AB1497" s="103" t="s">
        <v>69</v>
      </c>
      <c r="AC1497" s="104"/>
      <c r="AD1497" s="103" t="s">
        <v>69</v>
      </c>
      <c r="AE1497" s="104"/>
      <c r="AF1497" s="103" t="s">
        <v>69</v>
      </c>
      <c r="AG1497" s="104"/>
      <c r="AH1497" s="103" t="s">
        <v>69</v>
      </c>
      <c r="AI1497" s="69"/>
      <c r="AJ1497" s="70"/>
      <c r="AK1497" s="71">
        <f>SUM(W1497:AJ1497)</f>
        <v>0</v>
      </c>
      <c r="AL1497" s="72"/>
      <c r="AM1497" s="73">
        <f>SUMIF($G1496:$T1496,"",$G1497:$T1497)+SUMIF($W1496:$AJ1496,"",$W1497:$AJ1497)-AN1497</f>
        <v>0</v>
      </c>
      <c r="AN1497" s="88">
        <f>IF(SUMIF($G1496:$T1496,"",$G1497:$T1497)+SUMIF($G1496:$T1496,"F",$G1497:$T1497)+SUMIF($G1496:$T1496,"V",$G1497:$T1497)-40&lt;0,0,SUMIF($G1496:$T1496,"",$G1497:$T1497)+SUMIF($G1496:$T1496,"F",$G1497:$T1497)+SUMIF($G1496:$T1496,"V",$G1497:$T1497)-($U$9/2))+IF(SUMIF($W1496:$AJ1496,"",$W1497:$AJ1497)+SUMIF($W1496:$AJ1496,"F",$W1497:$AJ1497)+SUMIF($W1496:$AJ1496,"V",$W1497:$AJ1497)-40&lt;0,0,SUMIF($W1496:$AJ1496,"",$W1497:$AJ1497)+SUMIF($W1496:$AJ1496,"F",$W1497:$AJ1497)+SUMIF($W1496:$AJ1496,"V",$W1497:$AJ1497)-($U$9/2))</f>
        <v>0</v>
      </c>
      <c r="AO1497" s="73">
        <f>SUMIF($G1496:$T1496,"M",$G1497:$T1497)+SUMIF($W1496:$AJ1496,"M",$W1497:$AJ1497)</f>
        <v>0</v>
      </c>
      <c r="AP1497" s="73">
        <f>SUMIF($G1496:$T1496,"F",$G1497:$T1497)+SUMIF($W1496:$AJ1496,"F",$W1497:$AJ1497)</f>
        <v>0</v>
      </c>
      <c r="AQ1497" s="73">
        <f>SUMIF($G1496:$T1496,"V",$G1497:$T1497)+SUMIF($W1496:$AJ1496,"V",$W1497:$AJ1497)</f>
        <v>0</v>
      </c>
      <c r="AR1497" s="74">
        <f>SUMIF($G1496:$T1496,"O",$G1497:$T1497)+SUMIF($W1496:$AJ1496,"O",$W1497:$AJ1497)</f>
        <v>0</v>
      </c>
      <c r="AS1497" s="75">
        <f>SUM(AM1497:AR1497)</f>
        <v>0</v>
      </c>
      <c r="AT1497" s="72"/>
      <c r="AU1497" s="73">
        <f>SUMIF($G1496:$T1496,"A",$G1497:$T1497)+SUMIF($W1496:$AJ1496,"A",$W1497:$AJ1497)</f>
        <v>0</v>
      </c>
      <c r="AV1497" s="72"/>
      <c r="AW1497" s="76">
        <f>IF(B1497="",0,IF($U$9="",0,$U$9))</f>
        <v>80</v>
      </c>
      <c r="BA1497" s="2"/>
      <c r="BB1497" s="2"/>
      <c r="BC1497" s="101"/>
      <c r="BD1497" s="101"/>
    </row>
    <row r="1498" spans="2:56" s="84" customFormat="1" x14ac:dyDescent="0.35">
      <c r="B1498" s="26"/>
      <c r="C1498" s="27"/>
      <c r="D1498" s="28">
        <f>IF(D1424="","",D1424)</f>
        <v>92032</v>
      </c>
      <c r="E1498" s="29" t="str">
        <f t="shared" si="590"/>
        <v/>
      </c>
      <c r="F1498" s="50">
        <f>B1489</f>
        <v>4</v>
      </c>
      <c r="G1498" s="59"/>
      <c r="H1498" s="64"/>
      <c r="I1498" s="106"/>
      <c r="J1498" s="105"/>
      <c r="K1498" s="106"/>
      <c r="L1498" s="105"/>
      <c r="M1498" s="106"/>
      <c r="N1498" s="105"/>
      <c r="O1498" s="106"/>
      <c r="P1498" s="105"/>
      <c r="Q1498" s="106"/>
      <c r="R1498" s="105"/>
      <c r="S1498" s="59"/>
      <c r="T1498" s="64"/>
      <c r="U1498" s="44"/>
      <c r="W1498" s="59"/>
      <c r="X1498" s="64"/>
      <c r="Y1498" s="106"/>
      <c r="Z1498" s="105"/>
      <c r="AA1498" s="106"/>
      <c r="AB1498" s="105"/>
      <c r="AC1498" s="106"/>
      <c r="AD1498" s="105"/>
      <c r="AE1498" s="106"/>
      <c r="AF1498" s="105"/>
      <c r="AG1498" s="106"/>
      <c r="AH1498" s="105"/>
      <c r="AI1498" s="59"/>
      <c r="AJ1498" s="64"/>
      <c r="AK1498" s="44"/>
      <c r="AM1498" s="49"/>
      <c r="AN1498" s="49"/>
      <c r="AO1498" s="49"/>
      <c r="AP1498" s="49"/>
      <c r="AQ1498" s="49"/>
      <c r="AR1498" s="40"/>
      <c r="AS1498" s="51"/>
      <c r="AU1498" s="49"/>
      <c r="AW1498" s="52"/>
      <c r="BA1498" s="2"/>
      <c r="BB1498" s="2"/>
      <c r="BC1498" s="101"/>
      <c r="BD1498" s="101"/>
    </row>
    <row r="1499" spans="2:56" s="84" customFormat="1" x14ac:dyDescent="0.35">
      <c r="B1499" s="30" t="str">
        <f>IF(B1425="","",B1425)</f>
        <v>Benoit, Jean-Paul(Avance $1,600.00)</v>
      </c>
      <c r="C1499" s="31"/>
      <c r="D1499" s="32"/>
      <c r="E1499" s="33">
        <f t="shared" si="590"/>
        <v>93595935</v>
      </c>
      <c r="F1499" s="50">
        <f>B1489</f>
        <v>4</v>
      </c>
      <c r="G1499" s="69"/>
      <c r="H1499" s="70"/>
      <c r="I1499" s="104"/>
      <c r="J1499" s="103" t="s">
        <v>69</v>
      </c>
      <c r="K1499" s="104"/>
      <c r="L1499" s="103" t="s">
        <v>69</v>
      </c>
      <c r="M1499" s="104"/>
      <c r="N1499" s="103" t="s">
        <v>69</v>
      </c>
      <c r="O1499" s="104"/>
      <c r="P1499" s="103" t="s">
        <v>69</v>
      </c>
      <c r="Q1499" s="104"/>
      <c r="R1499" s="103" t="s">
        <v>69</v>
      </c>
      <c r="S1499" s="69"/>
      <c r="T1499" s="70"/>
      <c r="U1499" s="71">
        <f t="shared" ref="U1499" si="592">SUM(G1499:T1499)</f>
        <v>0</v>
      </c>
      <c r="V1499" s="72"/>
      <c r="W1499" s="69"/>
      <c r="X1499" s="70"/>
      <c r="Y1499" s="104"/>
      <c r="Z1499" s="103" t="s">
        <v>69</v>
      </c>
      <c r="AA1499" s="104"/>
      <c r="AB1499" s="103" t="s">
        <v>69</v>
      </c>
      <c r="AC1499" s="104"/>
      <c r="AD1499" s="103" t="s">
        <v>69</v>
      </c>
      <c r="AE1499" s="104"/>
      <c r="AF1499" s="103" t="s">
        <v>69</v>
      </c>
      <c r="AG1499" s="104"/>
      <c r="AH1499" s="103" t="s">
        <v>69</v>
      </c>
      <c r="AI1499" s="69"/>
      <c r="AJ1499" s="70"/>
      <c r="AK1499" s="71">
        <f>SUM(W1499:AJ1499)</f>
        <v>0</v>
      </c>
      <c r="AL1499" s="72"/>
      <c r="AM1499" s="73">
        <f>SUMIF($G1498:$T1498,"",$G1499:$T1499)+SUMIF($W1498:$AJ1498,"",$W1499:$AJ1499)-AN1499</f>
        <v>0</v>
      </c>
      <c r="AN1499" s="88">
        <f>IF(SUMIF($G1498:$T1498,"",$G1499:$T1499)+SUMIF($G1498:$T1498,"F",$G1499:$T1499)+SUMIF($G1498:$T1498,"V",$G1499:$T1499)-40&lt;0,0,SUMIF($G1498:$T1498,"",$G1499:$T1499)+SUMIF($G1498:$T1498,"F",$G1499:$T1499)+SUMIF($G1498:$T1498,"V",$G1499:$T1499)-($U$9/2))+IF(SUMIF($W1498:$AJ1498,"",$W1499:$AJ1499)+SUMIF($W1498:$AJ1498,"F",$W1499:$AJ1499)+SUMIF($W1498:$AJ1498,"V",$W1499:$AJ1499)-40&lt;0,0,SUMIF($W1498:$AJ1498,"",$W1499:$AJ1499)+SUMIF($W1498:$AJ1498,"F",$W1499:$AJ1499)+SUMIF($W1498:$AJ1498,"V",$W1499:$AJ1499)-($U$9/2))</f>
        <v>0</v>
      </c>
      <c r="AO1499" s="73">
        <f>SUMIF($G1498:$T1498,"M",$G1499:$T1499)+SUMIF($W1498:$AJ1498,"M",$W1499:$AJ1499)</f>
        <v>0</v>
      </c>
      <c r="AP1499" s="73">
        <f>SUMIF($G1498:$T1498,"F",$G1499:$T1499)+SUMIF($W1498:$AJ1498,"F",$W1499:$AJ1499)</f>
        <v>0</v>
      </c>
      <c r="AQ1499" s="73">
        <f>SUMIF($G1498:$T1498,"V",$G1499:$T1499)+SUMIF($W1498:$AJ1498,"V",$W1499:$AJ1499)</f>
        <v>0</v>
      </c>
      <c r="AR1499" s="74">
        <f>SUMIF($G1498:$T1498,"O",$G1499:$T1499)+SUMIF($W1498:$AJ1498,"O",$W1499:$AJ1499)</f>
        <v>0</v>
      </c>
      <c r="AS1499" s="75">
        <f>SUM(AM1499:AR1499)</f>
        <v>0</v>
      </c>
      <c r="AT1499" s="72"/>
      <c r="AU1499" s="73">
        <f>SUMIF($G1498:$T1498,"A",$G1499:$T1499)+SUMIF($W1498:$AJ1498,"A",$W1499:$AJ1499)</f>
        <v>0</v>
      </c>
      <c r="AV1499" s="72"/>
      <c r="AW1499" s="76">
        <f>IF(B1499="",0,IF($U$9="",0,$U$9))</f>
        <v>80</v>
      </c>
      <c r="BA1499" s="2"/>
      <c r="BB1499" s="2"/>
      <c r="BC1499" s="101"/>
      <c r="BD1499" s="101"/>
    </row>
    <row r="1500" spans="2:56" s="84" customFormat="1" x14ac:dyDescent="0.35">
      <c r="B1500" s="26"/>
      <c r="C1500" s="27"/>
      <c r="D1500" s="28">
        <f>IF(D1426="","",D1426)</f>
        <v>81077</v>
      </c>
      <c r="E1500" s="29" t="str">
        <f t="shared" si="590"/>
        <v/>
      </c>
      <c r="F1500" s="50">
        <f>B1489</f>
        <v>4</v>
      </c>
      <c r="G1500" s="93"/>
      <c r="H1500" s="94"/>
      <c r="I1500" s="106"/>
      <c r="J1500" s="105"/>
      <c r="K1500" s="106"/>
      <c r="L1500" s="105"/>
      <c r="M1500" s="106"/>
      <c r="N1500" s="105"/>
      <c r="O1500" s="106"/>
      <c r="P1500" s="105"/>
      <c r="Q1500" s="106"/>
      <c r="R1500" s="105"/>
      <c r="S1500" s="59"/>
      <c r="T1500" s="64"/>
      <c r="U1500" s="44"/>
      <c r="W1500" s="59"/>
      <c r="X1500" s="64"/>
      <c r="Y1500" s="106"/>
      <c r="Z1500" s="105"/>
      <c r="AA1500" s="106"/>
      <c r="AB1500" s="105"/>
      <c r="AC1500" s="106"/>
      <c r="AD1500" s="105"/>
      <c r="AE1500" s="106"/>
      <c r="AF1500" s="105"/>
      <c r="AG1500" s="106"/>
      <c r="AH1500" s="130" t="s">
        <v>12</v>
      </c>
      <c r="AI1500" s="59"/>
      <c r="AJ1500" s="64"/>
      <c r="AK1500" s="44"/>
      <c r="AM1500" s="49"/>
      <c r="AN1500" s="49"/>
      <c r="AO1500" s="49"/>
      <c r="AP1500" s="49"/>
      <c r="AQ1500" s="49"/>
      <c r="AR1500" s="40"/>
      <c r="AS1500" s="51"/>
      <c r="AU1500" s="49"/>
      <c r="AW1500" s="52"/>
      <c r="BA1500" s="2"/>
      <c r="BB1500" s="2"/>
      <c r="BC1500" s="101"/>
      <c r="BD1500" s="101"/>
    </row>
    <row r="1501" spans="2:56" s="84" customFormat="1" x14ac:dyDescent="0.35">
      <c r="B1501" s="30" t="str">
        <f>IF(B1427="","",B1427)</f>
        <v>Bourassa, Julie</v>
      </c>
      <c r="C1501" s="31"/>
      <c r="D1501" s="32"/>
      <c r="E1501" s="33">
        <f t="shared" si="590"/>
        <v>93540</v>
      </c>
      <c r="F1501" s="50">
        <f>B1489</f>
        <v>4</v>
      </c>
      <c r="G1501" s="93"/>
      <c r="H1501" s="94"/>
      <c r="I1501" s="104"/>
      <c r="J1501" s="103">
        <v>8</v>
      </c>
      <c r="K1501" s="104"/>
      <c r="L1501" s="103">
        <v>8.5</v>
      </c>
      <c r="M1501" s="104"/>
      <c r="N1501" s="103">
        <v>8</v>
      </c>
      <c r="O1501" s="104"/>
      <c r="P1501" s="103">
        <v>8.5</v>
      </c>
      <c r="Q1501" s="104"/>
      <c r="R1501" s="103">
        <v>8</v>
      </c>
      <c r="S1501" s="69"/>
      <c r="T1501" s="70"/>
      <c r="U1501" s="71">
        <f t="shared" ref="U1501" si="593">SUM(G1501:T1501)</f>
        <v>41</v>
      </c>
      <c r="V1501" s="72"/>
      <c r="W1501" s="69"/>
      <c r="X1501" s="70"/>
      <c r="Y1501" s="104"/>
      <c r="Z1501" s="103">
        <v>8</v>
      </c>
      <c r="AA1501" s="104"/>
      <c r="AB1501" s="103">
        <v>8</v>
      </c>
      <c r="AC1501" s="104"/>
      <c r="AD1501" s="103">
        <v>8</v>
      </c>
      <c r="AE1501" s="104"/>
      <c r="AF1501" s="103">
        <v>8</v>
      </c>
      <c r="AG1501" s="104"/>
      <c r="AH1501" s="103">
        <v>8</v>
      </c>
      <c r="AI1501" s="69"/>
      <c r="AJ1501" s="70"/>
      <c r="AK1501" s="71">
        <f>SUM(W1501:AJ1501)</f>
        <v>40</v>
      </c>
      <c r="AL1501" s="72"/>
      <c r="AM1501" s="73">
        <f>SUMIF($G1500:$T1500,"",$G1501:$T1501)+SUMIF($W1500:$AJ1500,"",$W1501:$AJ1501)-AN1501</f>
        <v>72</v>
      </c>
      <c r="AN1501" s="88">
        <f>IF(SUMIF($G1500:$T1500,"",$G1501:$T1501)+SUMIF($G1500:$T1500,"F",$G1501:$T1501)+SUMIF($G1500:$T1500,"V",$G1501:$T1501)-40&lt;0,0,SUMIF($G1500:$T1500,"",$G1501:$T1501)+SUMIF($G1500:$T1500,"F",$G1501:$T1501)+SUMIF($G1500:$T1500,"V",$G1501:$T1501)-($U$9/2))+IF(SUMIF($W1500:$AJ1500,"",$W1501:$AJ1501)+SUMIF($W1500:$AJ1500,"F",$W1501:$AJ1501)+SUMIF($W1500:$AJ1500,"V",$W1501:$AJ1501)-40&lt;0,0,SUMIF($W1500:$AJ1500,"",$W1501:$AJ1501)+SUMIF($W1500:$AJ1500,"F",$W1501:$AJ1501)+SUMIF($W1500:$AJ1500,"V",$W1501:$AJ1501)-($U$9/2))</f>
        <v>1</v>
      </c>
      <c r="AO1501" s="73">
        <f>SUMIF($G1500:$T1500,"M",$G1501:$T1501)+SUMIF($W1500:$AJ1500,"M",$W1501:$AJ1501)</f>
        <v>8</v>
      </c>
      <c r="AP1501" s="73">
        <f>SUMIF($G1500:$T1500,"F",$G1501:$T1501)+SUMIF($W1500:$AJ1500,"F",$W1501:$AJ1501)</f>
        <v>0</v>
      </c>
      <c r="AQ1501" s="73">
        <f>SUMIF($G1500:$T1500,"V",$G1501:$T1501)+SUMIF($W1500:$AJ1500,"V",$W1501:$AJ1501)</f>
        <v>0</v>
      </c>
      <c r="AR1501" s="74">
        <f>SUMIF($G1500:$T1500,"O",$G1501:$T1501)+SUMIF($W1500:$AJ1500,"O",$W1501:$AJ1501)</f>
        <v>0</v>
      </c>
      <c r="AS1501" s="75">
        <f>SUM(AM1501:AR1501)</f>
        <v>81</v>
      </c>
      <c r="AT1501" s="72"/>
      <c r="AU1501" s="73">
        <f>SUMIF($G1500:$T1500,"A",$G1501:$T1501)+SUMIF($W1500:$AJ1500,"A",$W1501:$AJ1501)</f>
        <v>0</v>
      </c>
      <c r="AV1501" s="72"/>
      <c r="AW1501" s="76">
        <f>IF(B1501="",0,IF($U$9="",0,$U$9))</f>
        <v>80</v>
      </c>
      <c r="BA1501" s="2"/>
      <c r="BB1501" s="2"/>
      <c r="BC1501" s="101"/>
      <c r="BD1501" s="101"/>
    </row>
    <row r="1502" spans="2:56" s="84" customFormat="1" x14ac:dyDescent="0.35">
      <c r="B1502" s="26"/>
      <c r="C1502" s="27"/>
      <c r="D1502" s="28">
        <f>IF(D1428="","",D1428)</f>
        <v>78475</v>
      </c>
      <c r="E1502" s="29" t="str">
        <f t="shared" si="590"/>
        <v/>
      </c>
      <c r="F1502" s="50">
        <f>B1489</f>
        <v>4</v>
      </c>
      <c r="G1502" s="59"/>
      <c r="H1502" s="64"/>
      <c r="I1502" s="106"/>
      <c r="J1502" s="105"/>
      <c r="K1502" s="106"/>
      <c r="L1502" s="105"/>
      <c r="M1502" s="106"/>
      <c r="N1502" s="105"/>
      <c r="O1502" s="106"/>
      <c r="P1502" s="105"/>
      <c r="Q1502" s="106"/>
      <c r="R1502" s="105"/>
      <c r="S1502" s="59"/>
      <c r="T1502" s="64"/>
      <c r="U1502" s="44"/>
      <c r="W1502" s="59"/>
      <c r="X1502" s="64"/>
      <c r="Y1502" s="106"/>
      <c r="Z1502" s="105"/>
      <c r="AA1502" s="106"/>
      <c r="AB1502" s="105"/>
      <c r="AC1502" s="106"/>
      <c r="AD1502" s="105"/>
      <c r="AE1502" s="106"/>
      <c r="AF1502" s="105"/>
      <c r="AG1502" s="106"/>
      <c r="AH1502" s="105"/>
      <c r="AI1502" s="59"/>
      <c r="AJ1502" s="64"/>
      <c r="AK1502" s="44"/>
      <c r="AM1502" s="49"/>
      <c r="AN1502" s="49"/>
      <c r="AO1502" s="49"/>
      <c r="AP1502" s="49"/>
      <c r="AQ1502" s="49"/>
      <c r="AR1502" s="40"/>
      <c r="AS1502" s="51"/>
      <c r="AU1502" s="49"/>
      <c r="AW1502" s="52"/>
      <c r="BA1502" s="2"/>
      <c r="BB1502" s="2"/>
      <c r="BC1502" s="101"/>
      <c r="BD1502" s="101"/>
    </row>
    <row r="1503" spans="2:56" s="84" customFormat="1" x14ac:dyDescent="0.35">
      <c r="B1503" s="30" t="str">
        <f>IF(B1429="","",B1429)</f>
        <v>Charbonneau, Samuel</v>
      </c>
      <c r="C1503" s="31"/>
      <c r="D1503" s="32"/>
      <c r="E1503" s="33">
        <f t="shared" si="590"/>
        <v>93540</v>
      </c>
      <c r="F1503" s="50">
        <f>B1489</f>
        <v>4</v>
      </c>
      <c r="G1503" s="69"/>
      <c r="H1503" s="70"/>
      <c r="I1503" s="104"/>
      <c r="J1503" s="103">
        <v>8</v>
      </c>
      <c r="K1503" s="104"/>
      <c r="L1503" s="103">
        <v>8</v>
      </c>
      <c r="M1503" s="104"/>
      <c r="N1503" s="103">
        <v>8</v>
      </c>
      <c r="O1503" s="104"/>
      <c r="P1503" s="103">
        <v>8</v>
      </c>
      <c r="Q1503" s="104"/>
      <c r="R1503" s="103">
        <v>7.5</v>
      </c>
      <c r="S1503" s="69"/>
      <c r="T1503" s="70"/>
      <c r="U1503" s="71">
        <f t="shared" ref="U1503" si="594">SUM(G1503:T1503)</f>
        <v>39.5</v>
      </c>
      <c r="V1503" s="72"/>
      <c r="W1503" s="69"/>
      <c r="X1503" s="70"/>
      <c r="Y1503" s="104"/>
      <c r="Z1503" s="103">
        <v>8</v>
      </c>
      <c r="AA1503" s="104"/>
      <c r="AB1503" s="103">
        <v>8</v>
      </c>
      <c r="AC1503" s="104"/>
      <c r="AD1503" s="103">
        <v>8</v>
      </c>
      <c r="AE1503" s="104"/>
      <c r="AF1503" s="103">
        <v>8</v>
      </c>
      <c r="AG1503" s="104"/>
      <c r="AH1503" s="103">
        <v>7.5</v>
      </c>
      <c r="AI1503" s="69"/>
      <c r="AJ1503" s="70"/>
      <c r="AK1503" s="71">
        <f>SUM(W1503:AJ1503)</f>
        <v>39.5</v>
      </c>
      <c r="AL1503" s="72"/>
      <c r="AM1503" s="73">
        <f>SUMIF($G1502:$T1502,"",$G1503:$T1503)+SUMIF($W1502:$AJ1502,"",$W1503:$AJ1503)-AN1503</f>
        <v>79</v>
      </c>
      <c r="AN1503" s="88">
        <f>IF(SUMIF($G1502:$T1502,"",$G1503:$T1503)+SUMIF($G1502:$T1502,"F",$G1503:$T1503)+SUMIF($G1502:$T1502,"V",$G1503:$T1503)-40&lt;0,0,SUMIF($G1502:$T1502,"",$G1503:$T1503)+SUMIF($G1502:$T1502,"F",$G1503:$T1503)+SUMIF($G1502:$T1502,"V",$G1503:$T1503)-($U$9/2))+IF(SUMIF($W1502:$AJ1502,"",$W1503:$AJ1503)+SUMIF($W1502:$AJ1502,"F",$W1503:$AJ1503)+SUMIF($W1502:$AJ1502,"V",$W1503:$AJ1503)-40&lt;0,0,SUMIF($W1502:$AJ1502,"",$W1503:$AJ1503)+SUMIF($W1502:$AJ1502,"F",$W1503:$AJ1503)+SUMIF($W1502:$AJ1502,"V",$W1503:$AJ1503)-($U$9/2))</f>
        <v>0</v>
      </c>
      <c r="AO1503" s="73">
        <f>SUMIF($G1502:$T1502,"M",$G1503:$T1503)+SUMIF($W1502:$AJ1502,"M",$W1503:$AJ1503)</f>
        <v>0</v>
      </c>
      <c r="AP1503" s="73">
        <f>SUMIF($G1502:$T1502,"F",$G1503:$T1503)+SUMIF($W1502:$AJ1502,"F",$W1503:$AJ1503)</f>
        <v>0</v>
      </c>
      <c r="AQ1503" s="73">
        <f>SUMIF($G1502:$T1502,"V",$G1503:$T1503)+SUMIF($W1502:$AJ1502,"V",$W1503:$AJ1503)</f>
        <v>0</v>
      </c>
      <c r="AR1503" s="74">
        <f>SUMIF($G1502:$T1502,"O",$G1503:$T1503)+SUMIF($W1502:$AJ1502,"O",$W1503:$AJ1503)</f>
        <v>0</v>
      </c>
      <c r="AS1503" s="75">
        <f>SUM(AM1503:AR1503)</f>
        <v>79</v>
      </c>
      <c r="AT1503" s="72"/>
      <c r="AU1503" s="73">
        <f>SUMIF($G1502:$T1502,"A",$G1503:$T1503)+SUMIF($W1502:$AJ1502,"A",$W1503:$AJ1503)</f>
        <v>0</v>
      </c>
      <c r="AV1503" s="72"/>
      <c r="AW1503" s="76">
        <f>IF(B1503="",0,IF($U$9="",0,$U$9))</f>
        <v>80</v>
      </c>
      <c r="BA1503" s="2"/>
      <c r="BB1503" s="2"/>
      <c r="BC1503" s="101"/>
      <c r="BD1503" s="101"/>
    </row>
    <row r="1504" spans="2:56" s="84" customFormat="1" x14ac:dyDescent="0.35">
      <c r="B1504" s="26"/>
      <c r="C1504" s="27"/>
      <c r="D1504" s="28" t="str">
        <f>IF(D1430="","",D1430)</f>
        <v/>
      </c>
      <c r="E1504" s="29" t="str">
        <f t="shared" si="590"/>
        <v/>
      </c>
      <c r="F1504" s="50">
        <f>B1489</f>
        <v>4</v>
      </c>
      <c r="G1504" s="59"/>
      <c r="H1504" s="64"/>
      <c r="I1504" s="106"/>
      <c r="J1504" s="105"/>
      <c r="K1504" s="106"/>
      <c r="L1504" s="105"/>
      <c r="M1504" s="106"/>
      <c r="N1504" s="105"/>
      <c r="O1504" s="106"/>
      <c r="P1504" s="105"/>
      <c r="Q1504" s="106"/>
      <c r="R1504" s="105"/>
      <c r="S1504" s="59"/>
      <c r="T1504" s="64"/>
      <c r="U1504" s="44"/>
      <c r="W1504" s="59"/>
      <c r="X1504" s="64"/>
      <c r="Y1504" s="106"/>
      <c r="Z1504" s="105"/>
      <c r="AA1504" s="106"/>
      <c r="AB1504" s="105"/>
      <c r="AC1504" s="106"/>
      <c r="AD1504" s="105"/>
      <c r="AE1504" s="106"/>
      <c r="AF1504" s="105"/>
      <c r="AG1504" s="106"/>
      <c r="AH1504" s="105"/>
      <c r="AI1504" s="59"/>
      <c r="AJ1504" s="64"/>
      <c r="AK1504" s="44"/>
      <c r="AM1504" s="49"/>
      <c r="AN1504" s="49"/>
      <c r="AO1504" s="49"/>
      <c r="AP1504" s="49"/>
      <c r="AQ1504" s="49"/>
      <c r="AR1504" s="40"/>
      <c r="AS1504" s="51"/>
      <c r="AU1504" s="49"/>
      <c r="AW1504" s="52"/>
      <c r="BA1504" s="2"/>
      <c r="BB1504" s="2"/>
      <c r="BC1504" s="101"/>
      <c r="BD1504" s="101"/>
    </row>
    <row r="1505" spans="2:56" s="84" customFormat="1" x14ac:dyDescent="0.35">
      <c r="B1505" s="30" t="str">
        <f>IF(B1431="","",B1431)</f>
        <v/>
      </c>
      <c r="C1505" s="31"/>
      <c r="D1505" s="32"/>
      <c r="E1505" s="33" t="str">
        <f t="shared" si="590"/>
        <v/>
      </c>
      <c r="F1505" s="50">
        <f>B1489</f>
        <v>4</v>
      </c>
      <c r="G1505" s="69"/>
      <c r="H1505" s="70"/>
      <c r="I1505" s="104"/>
      <c r="J1505" s="103"/>
      <c r="K1505" s="104"/>
      <c r="L1505" s="103"/>
      <c r="M1505" s="104"/>
      <c r="N1505" s="103"/>
      <c r="O1505" s="104"/>
      <c r="P1505" s="103"/>
      <c r="Q1505" s="104"/>
      <c r="R1505" s="103"/>
      <c r="S1505" s="69"/>
      <c r="T1505" s="70"/>
      <c r="U1505" s="71">
        <f t="shared" ref="U1505" si="595">SUM(G1505:T1505)</f>
        <v>0</v>
      </c>
      <c r="V1505" s="72"/>
      <c r="W1505" s="69"/>
      <c r="X1505" s="70"/>
      <c r="Y1505" s="104"/>
      <c r="Z1505" s="103"/>
      <c r="AA1505" s="104"/>
      <c r="AB1505" s="103"/>
      <c r="AC1505" s="104"/>
      <c r="AD1505" s="103"/>
      <c r="AE1505" s="104"/>
      <c r="AF1505" s="103"/>
      <c r="AG1505" s="104"/>
      <c r="AH1505" s="103"/>
      <c r="AI1505" s="69"/>
      <c r="AJ1505" s="70"/>
      <c r="AK1505" s="71">
        <f>SUM(W1505:AJ1505)</f>
        <v>0</v>
      </c>
      <c r="AL1505" s="72"/>
      <c r="AM1505" s="73">
        <f>SUMIF($G1504:$T1504,"",$G1505:$T1505)+SUMIF($W1504:$AJ1504,"",$W1505:$AJ1505)-AN1505</f>
        <v>0</v>
      </c>
      <c r="AN1505" s="88">
        <f>IF(SUMIF($G1504:$T1504,"",$G1505:$T1505)+SUMIF($G1504:$T1504,"F",$G1505:$T1505)+SUMIF($G1504:$T1504,"V",$G1505:$T1505)-40&lt;0,0,SUMIF($G1504:$T1504,"",$G1505:$T1505)+SUMIF($G1504:$T1504,"F",$G1505:$T1505)+SUMIF($G1504:$T1504,"V",$G1505:$T1505)-($U$9/2))+IF(SUMIF($W1504:$AJ1504,"",$W1505:$AJ1505)+SUMIF($W1504:$AJ1504,"F",$W1505:$AJ1505)+SUMIF($W1504:$AJ1504,"V",$W1505:$AJ1505)-40&lt;0,0,SUMIF($W1504:$AJ1504,"",$W1505:$AJ1505)+SUMIF($W1504:$AJ1504,"F",$W1505:$AJ1505)+SUMIF($W1504:$AJ1504,"V",$W1505:$AJ1505)-($U$9/2))</f>
        <v>0</v>
      </c>
      <c r="AO1505" s="73">
        <f>SUMIF($G1504:$T1504,"M",$G1505:$T1505)+SUMIF($W1504:$AJ1504,"M",$W1505:$AJ1505)</f>
        <v>0</v>
      </c>
      <c r="AP1505" s="73">
        <f>SUMIF($G1504:$T1504,"F",$G1505:$T1505)+SUMIF($W1504:$AJ1504,"F",$W1505:$AJ1505)</f>
        <v>0</v>
      </c>
      <c r="AQ1505" s="73">
        <f>SUMIF($G1504:$T1504,"V",$G1505:$T1505)+SUMIF($W1504:$AJ1504,"V",$W1505:$AJ1505)</f>
        <v>0</v>
      </c>
      <c r="AR1505" s="74">
        <f>SUMIF($G1504:$T1504,"O",$G1505:$T1505)+SUMIF($W1504:$AJ1504,"O",$W1505:$AJ1505)</f>
        <v>0</v>
      </c>
      <c r="AS1505" s="75">
        <f>SUM(AM1505:AR1505)</f>
        <v>0</v>
      </c>
      <c r="AT1505" s="72"/>
      <c r="AU1505" s="73">
        <f>SUMIF($G1504:$T1504,"A",$G1505:$T1505)+SUMIF($W1504:$AJ1504,"A",$W1505:$AJ1505)</f>
        <v>0</v>
      </c>
      <c r="AV1505" s="72"/>
      <c r="AW1505" s="76">
        <f>IF(B1505="",0,IF($U$9="",0,$U$9))</f>
        <v>0</v>
      </c>
      <c r="BA1505" s="2"/>
      <c r="BB1505" s="2"/>
      <c r="BC1505" s="101"/>
      <c r="BD1505" s="101"/>
    </row>
    <row r="1506" spans="2:56" s="84" customFormat="1" x14ac:dyDescent="0.35">
      <c r="B1506" s="26"/>
      <c r="C1506" s="27"/>
      <c r="D1506" s="28">
        <f>IF(D1432="","",D1432)</f>
        <v>79709</v>
      </c>
      <c r="E1506" s="29" t="str">
        <f t="shared" si="590"/>
        <v/>
      </c>
      <c r="F1506" s="50">
        <f>B1489</f>
        <v>4</v>
      </c>
      <c r="G1506" s="59"/>
      <c r="H1506" s="64"/>
      <c r="I1506" s="106"/>
      <c r="J1506" s="105"/>
      <c r="K1506" s="106"/>
      <c r="L1506" s="105"/>
      <c r="M1506" s="106"/>
      <c r="N1506" s="105"/>
      <c r="O1506" s="106"/>
      <c r="P1506" s="105"/>
      <c r="Q1506" s="106"/>
      <c r="R1506" s="105"/>
      <c r="S1506" s="59"/>
      <c r="T1506" s="64"/>
      <c r="U1506" s="44"/>
      <c r="W1506" s="59"/>
      <c r="X1506" s="64"/>
      <c r="Y1506" s="106"/>
      <c r="Z1506" s="105"/>
      <c r="AA1506" s="106"/>
      <c r="AB1506" s="105"/>
      <c r="AC1506" s="106"/>
      <c r="AD1506" s="105"/>
      <c r="AE1506" s="106"/>
      <c r="AF1506" s="105"/>
      <c r="AG1506" s="106"/>
      <c r="AH1506" s="105"/>
      <c r="AI1506" s="59"/>
      <c r="AJ1506" s="64"/>
      <c r="AK1506" s="44"/>
      <c r="AM1506" s="49"/>
      <c r="AN1506" s="49"/>
      <c r="AO1506" s="49"/>
      <c r="AP1506" s="49"/>
      <c r="AQ1506" s="49"/>
      <c r="AR1506" s="40"/>
      <c r="AS1506" s="51"/>
      <c r="AU1506" s="49"/>
      <c r="AW1506" s="52"/>
      <c r="BA1506" s="2"/>
      <c r="BB1506" s="2"/>
      <c r="BC1506" s="101"/>
      <c r="BD1506" s="101"/>
    </row>
    <row r="1507" spans="2:56" s="84" customFormat="1" x14ac:dyDescent="0.35">
      <c r="B1507" s="30" t="str">
        <f>IF(B1433="","",B1433)</f>
        <v>De Rose, Natale</v>
      </c>
      <c r="C1507" s="31"/>
      <c r="D1507" s="32"/>
      <c r="E1507" s="33">
        <f t="shared" si="590"/>
        <v>93595935</v>
      </c>
      <c r="F1507" s="50">
        <f>B1489</f>
        <v>4</v>
      </c>
      <c r="G1507" s="69"/>
      <c r="H1507" s="70"/>
      <c r="I1507" s="104"/>
      <c r="J1507" s="103">
        <v>8</v>
      </c>
      <c r="K1507" s="104"/>
      <c r="L1507" s="103">
        <v>8</v>
      </c>
      <c r="M1507" s="104"/>
      <c r="N1507" s="103">
        <v>8</v>
      </c>
      <c r="O1507" s="104"/>
      <c r="P1507" s="103">
        <v>8</v>
      </c>
      <c r="Q1507" s="104"/>
      <c r="R1507" s="103">
        <v>8</v>
      </c>
      <c r="S1507" s="69"/>
      <c r="T1507" s="70"/>
      <c r="U1507" s="71">
        <f t="shared" ref="U1507" si="596">SUM(G1507:T1507)</f>
        <v>40</v>
      </c>
      <c r="V1507" s="72"/>
      <c r="W1507" s="69"/>
      <c r="X1507" s="70"/>
      <c r="Y1507" s="104"/>
      <c r="Z1507" s="103">
        <v>8</v>
      </c>
      <c r="AA1507" s="104"/>
      <c r="AB1507" s="103">
        <v>8</v>
      </c>
      <c r="AC1507" s="104"/>
      <c r="AD1507" s="103">
        <v>8</v>
      </c>
      <c r="AE1507" s="104"/>
      <c r="AF1507" s="103">
        <v>8</v>
      </c>
      <c r="AG1507" s="104"/>
      <c r="AH1507" s="103">
        <v>8</v>
      </c>
      <c r="AI1507" s="69"/>
      <c r="AJ1507" s="70"/>
      <c r="AK1507" s="71">
        <f>SUM(W1507:AJ1507)</f>
        <v>40</v>
      </c>
      <c r="AL1507" s="72"/>
      <c r="AM1507" s="73">
        <f>SUMIF($G1506:$T1506,"",$G1507:$T1507)+SUMIF($W1506:$AJ1506,"",$W1507:$AJ1507)-AN1507</f>
        <v>80</v>
      </c>
      <c r="AN1507" s="88">
        <f>IF(SUMIF($G1506:$T1506,"",$G1507:$T1507)+SUMIF($G1506:$T1506,"F",$G1507:$T1507)+SUMIF($G1506:$T1506,"V",$G1507:$T1507)-40&lt;0,0,SUMIF($G1506:$T1506,"",$G1507:$T1507)+SUMIF($G1506:$T1506,"F",$G1507:$T1507)+SUMIF($G1506:$T1506,"V",$G1507:$T1507)-($U$9/2))+IF(SUMIF($W1506:$AJ1506,"",$W1507:$AJ1507)+SUMIF($W1506:$AJ1506,"F",$W1507:$AJ1507)+SUMIF($W1506:$AJ1506,"V",$W1507:$AJ1507)-40&lt;0,0,SUMIF($W1506:$AJ1506,"",$W1507:$AJ1507)+SUMIF($W1506:$AJ1506,"F",$W1507:$AJ1507)+SUMIF($W1506:$AJ1506,"V",$W1507:$AJ1507)-($U$9/2))</f>
        <v>0</v>
      </c>
      <c r="AO1507" s="73">
        <f>SUMIF($G1506:$T1506,"M",$G1507:$T1507)+SUMIF($W1506:$AJ1506,"M",$W1507:$AJ1507)</f>
        <v>0</v>
      </c>
      <c r="AP1507" s="73">
        <f>SUMIF($G1506:$T1506,"F",$G1507:$T1507)+SUMIF($W1506:$AJ1506,"F",$W1507:$AJ1507)</f>
        <v>0</v>
      </c>
      <c r="AQ1507" s="73">
        <f>SUMIF($G1506:$T1506,"V",$G1507:$T1507)+SUMIF($W1506:$AJ1506,"V",$W1507:$AJ1507)</f>
        <v>0</v>
      </c>
      <c r="AR1507" s="74">
        <f>SUMIF($G1506:$T1506,"O",$G1507:$T1507)+SUMIF($W1506:$AJ1506,"O",$W1507:$AJ1507)</f>
        <v>0</v>
      </c>
      <c r="AS1507" s="75">
        <f>SUM(AM1507:AR1507)</f>
        <v>80</v>
      </c>
      <c r="AT1507" s="72"/>
      <c r="AU1507" s="73">
        <f>SUMIF($G1506:$T1506,"A",$G1507:$T1507)+SUMIF($W1506:$AJ1506,"A",$W1507:$AJ1507)</f>
        <v>0</v>
      </c>
      <c r="AV1507" s="72"/>
      <c r="AW1507" s="76">
        <f>IF(B1507="",0,IF($U$9="",0,$U$9))</f>
        <v>80</v>
      </c>
      <c r="BA1507" s="2"/>
      <c r="BB1507" s="2"/>
      <c r="BC1507" s="101"/>
      <c r="BD1507" s="101"/>
    </row>
    <row r="1508" spans="2:56" s="84" customFormat="1" x14ac:dyDescent="0.35">
      <c r="B1508" s="26"/>
      <c r="C1508" s="27"/>
      <c r="D1508" s="28">
        <f>IF(D1434="","",D1434)</f>
        <v>92027</v>
      </c>
      <c r="E1508" s="29" t="str">
        <f t="shared" si="590"/>
        <v/>
      </c>
      <c r="F1508" s="50">
        <f>B1489</f>
        <v>4</v>
      </c>
      <c r="G1508" s="59"/>
      <c r="H1508" s="64"/>
      <c r="I1508" s="106"/>
      <c r="J1508" s="105"/>
      <c r="K1508" s="106"/>
      <c r="L1508" s="105"/>
      <c r="M1508" s="106"/>
      <c r="N1508" s="105"/>
      <c r="O1508" s="106"/>
      <c r="P1508" s="105"/>
      <c r="Q1508" s="106"/>
      <c r="R1508" s="105"/>
      <c r="S1508" s="59"/>
      <c r="T1508" s="64"/>
      <c r="U1508" s="44"/>
      <c r="W1508" s="59"/>
      <c r="X1508" s="64"/>
      <c r="Y1508" s="106"/>
      <c r="Z1508" s="105"/>
      <c r="AA1508" s="106"/>
      <c r="AB1508" s="105"/>
      <c r="AC1508" s="106"/>
      <c r="AD1508" s="105"/>
      <c r="AE1508" s="106"/>
      <c r="AF1508" s="105"/>
      <c r="AG1508" s="106"/>
      <c r="AH1508" s="105"/>
      <c r="AI1508" s="59"/>
      <c r="AJ1508" s="64"/>
      <c r="AK1508" s="44"/>
      <c r="AM1508" s="49"/>
      <c r="AN1508" s="49"/>
      <c r="AO1508" s="49"/>
      <c r="AP1508" s="49"/>
      <c r="AQ1508" s="49"/>
      <c r="AR1508" s="40"/>
      <c r="AS1508" s="51"/>
      <c r="AU1508" s="49"/>
      <c r="AW1508" s="52"/>
      <c r="BA1508" s="2"/>
      <c r="BB1508" s="2"/>
      <c r="BC1508" s="101"/>
      <c r="BD1508" s="101"/>
    </row>
    <row r="1509" spans="2:56" s="84" customFormat="1" x14ac:dyDescent="0.35">
      <c r="B1509" s="30" t="str">
        <f>IF(B1435="","",B1435)</f>
        <v>Descoteaux, Gerald</v>
      </c>
      <c r="C1509" s="31"/>
      <c r="D1509" s="32"/>
      <c r="E1509" s="33">
        <f t="shared" si="590"/>
        <v>93595935</v>
      </c>
      <c r="F1509" s="50">
        <f>B1489</f>
        <v>4</v>
      </c>
      <c r="G1509" s="69"/>
      <c r="H1509" s="70"/>
      <c r="I1509" s="104"/>
      <c r="J1509" s="103">
        <v>8</v>
      </c>
      <c r="K1509" s="104"/>
      <c r="L1509" s="103">
        <v>8</v>
      </c>
      <c r="M1509" s="104"/>
      <c r="N1509" s="103">
        <v>8</v>
      </c>
      <c r="O1509" s="104"/>
      <c r="P1509" s="103">
        <v>8</v>
      </c>
      <c r="Q1509" s="104"/>
      <c r="R1509" s="103">
        <v>8</v>
      </c>
      <c r="S1509" s="69"/>
      <c r="T1509" s="70"/>
      <c r="U1509" s="71">
        <f t="shared" ref="U1509" si="597">SUM(G1509:T1509)</f>
        <v>40</v>
      </c>
      <c r="V1509" s="72"/>
      <c r="W1509" s="69"/>
      <c r="X1509" s="70"/>
      <c r="Y1509" s="104"/>
      <c r="Z1509" s="103">
        <v>8</v>
      </c>
      <c r="AA1509" s="104"/>
      <c r="AB1509" s="103">
        <v>8</v>
      </c>
      <c r="AC1509" s="104"/>
      <c r="AD1509" s="103">
        <v>8</v>
      </c>
      <c r="AE1509" s="104"/>
      <c r="AF1509" s="103">
        <v>8</v>
      </c>
      <c r="AG1509" s="104"/>
      <c r="AH1509" s="103">
        <v>8</v>
      </c>
      <c r="AI1509" s="69"/>
      <c r="AJ1509" s="70"/>
      <c r="AK1509" s="71">
        <f>SUM(W1509:AJ1509)</f>
        <v>40</v>
      </c>
      <c r="AL1509" s="72"/>
      <c r="AM1509" s="73">
        <f>SUMIF($G1508:$T1508,"",$G1509:$T1509)+SUMIF($W1508:$AJ1508,"",$W1509:$AJ1509)-AN1509</f>
        <v>80</v>
      </c>
      <c r="AN1509" s="88">
        <f>IF(SUMIF($G1508:$T1508,"",$G1509:$T1509)+SUMIF($G1508:$T1508,"F",$G1509:$T1509)+SUMIF($G1508:$T1508,"V",$G1509:$T1509)-40&lt;0,0,SUMIF($G1508:$T1508,"",$G1509:$T1509)+SUMIF($G1508:$T1508,"F",$G1509:$T1509)+SUMIF($G1508:$T1508,"V",$G1509:$T1509)-($U$9/2))+IF(SUMIF($W1508:$AJ1508,"",$W1509:$AJ1509)+SUMIF($W1508:$AJ1508,"F",$W1509:$AJ1509)+SUMIF($W1508:$AJ1508,"V",$W1509:$AJ1509)-40&lt;0,0,SUMIF($W1508:$AJ1508,"",$W1509:$AJ1509)+SUMIF($W1508:$AJ1508,"F",$W1509:$AJ1509)+SUMIF($W1508:$AJ1508,"V",$W1509:$AJ1509)-($U$9/2))</f>
        <v>0</v>
      </c>
      <c r="AO1509" s="73">
        <f>SUMIF($G1508:$T1508,"M",$G1509:$T1509)+SUMIF($W1508:$AJ1508,"M",$W1509:$AJ1509)</f>
        <v>0</v>
      </c>
      <c r="AP1509" s="73">
        <f>SUMIF($G1508:$T1508,"F",$G1509:$T1509)+SUMIF($W1508:$AJ1508,"F",$W1509:$AJ1509)</f>
        <v>0</v>
      </c>
      <c r="AQ1509" s="73">
        <f>SUMIF($G1508:$T1508,"V",$G1509:$T1509)+SUMIF($W1508:$AJ1508,"V",$W1509:$AJ1509)</f>
        <v>0</v>
      </c>
      <c r="AR1509" s="74">
        <f>SUMIF($G1508:$T1508,"O",$G1509:$T1509)+SUMIF($W1508:$AJ1508,"O",$W1509:$AJ1509)</f>
        <v>0</v>
      </c>
      <c r="AS1509" s="75">
        <f>SUM(AM1509:AR1509)</f>
        <v>80</v>
      </c>
      <c r="AT1509" s="72"/>
      <c r="AU1509" s="73">
        <f>SUMIF($G1508:$T1508,"A",$G1509:$T1509)+SUMIF($W1508:$AJ1508,"A",$W1509:$AJ1509)</f>
        <v>0</v>
      </c>
      <c r="AV1509" s="72"/>
      <c r="AW1509" s="76">
        <f>IF(B1509="",0,IF($U$9="",0,$U$9))</f>
        <v>80</v>
      </c>
      <c r="BA1509" s="2"/>
      <c r="BB1509" s="2"/>
      <c r="BC1509" s="101"/>
      <c r="BD1509" s="101"/>
    </row>
    <row r="1510" spans="2:56" s="84" customFormat="1" x14ac:dyDescent="0.35">
      <c r="B1510" s="26"/>
      <c r="C1510" s="27"/>
      <c r="D1510" s="28">
        <f>IF(D1436="","",D1436)</f>
        <v>73795</v>
      </c>
      <c r="E1510" s="29" t="str">
        <f t="shared" si="590"/>
        <v/>
      </c>
      <c r="F1510" s="50">
        <f>B1489</f>
        <v>4</v>
      </c>
      <c r="G1510" s="59"/>
      <c r="H1510" s="64"/>
      <c r="I1510" s="106"/>
      <c r="J1510" s="105"/>
      <c r="K1510" s="106"/>
      <c r="L1510" s="105"/>
      <c r="M1510" s="106"/>
      <c r="N1510" s="105"/>
      <c r="O1510" s="106"/>
      <c r="P1510" s="105"/>
      <c r="Q1510" s="106"/>
      <c r="R1510" s="105"/>
      <c r="S1510" s="59"/>
      <c r="T1510" s="64"/>
      <c r="U1510" s="44"/>
      <c r="W1510" s="59"/>
      <c r="X1510" s="64"/>
      <c r="Y1510" s="106"/>
      <c r="Z1510" s="130" t="s">
        <v>1</v>
      </c>
      <c r="AA1510" s="106"/>
      <c r="AB1510" s="130" t="s">
        <v>1</v>
      </c>
      <c r="AC1510" s="106"/>
      <c r="AD1510" s="105"/>
      <c r="AE1510" s="106"/>
      <c r="AF1510" s="105"/>
      <c r="AG1510" s="106"/>
      <c r="AH1510" s="105"/>
      <c r="AI1510" s="59"/>
      <c r="AJ1510" s="64"/>
      <c r="AK1510" s="44"/>
      <c r="AM1510" s="49"/>
      <c r="AN1510" s="49"/>
      <c r="AO1510" s="49"/>
      <c r="AP1510" s="49"/>
      <c r="AQ1510" s="49"/>
      <c r="AR1510" s="40"/>
      <c r="AS1510" s="51"/>
      <c r="AU1510" s="49"/>
      <c r="AW1510" s="52"/>
      <c r="BA1510" s="2"/>
      <c r="BB1510" s="2"/>
      <c r="BC1510" s="101"/>
      <c r="BD1510" s="101"/>
    </row>
    <row r="1511" spans="2:56" s="84" customFormat="1" x14ac:dyDescent="0.35">
      <c r="B1511" s="30" t="str">
        <f>IF(B1437="","",B1437)</f>
        <v>Fortin, Veronique</v>
      </c>
      <c r="C1511" s="31"/>
      <c r="D1511" s="32"/>
      <c r="E1511" s="33">
        <f t="shared" si="590"/>
        <v>93540</v>
      </c>
      <c r="F1511" s="50">
        <f>B1489</f>
        <v>4</v>
      </c>
      <c r="G1511" s="69"/>
      <c r="H1511" s="70"/>
      <c r="I1511" s="104"/>
      <c r="J1511" s="103">
        <v>8</v>
      </c>
      <c r="K1511" s="104"/>
      <c r="L1511" s="103">
        <v>8</v>
      </c>
      <c r="M1511" s="104"/>
      <c r="N1511" s="103">
        <v>8</v>
      </c>
      <c r="O1511" s="104"/>
      <c r="P1511" s="103">
        <v>8</v>
      </c>
      <c r="Q1511" s="104"/>
      <c r="R1511" s="103">
        <v>8</v>
      </c>
      <c r="S1511" s="69"/>
      <c r="T1511" s="70"/>
      <c r="U1511" s="71">
        <f t="shared" ref="U1511" si="598">SUM(G1511:T1511)</f>
        <v>40</v>
      </c>
      <c r="V1511" s="72"/>
      <c r="W1511" s="69"/>
      <c r="X1511" s="70"/>
      <c r="Y1511" s="104"/>
      <c r="Z1511" s="103">
        <v>8</v>
      </c>
      <c r="AA1511" s="104"/>
      <c r="AB1511" s="103">
        <v>8</v>
      </c>
      <c r="AC1511" s="104"/>
      <c r="AD1511" s="103">
        <v>8</v>
      </c>
      <c r="AE1511" s="104"/>
      <c r="AF1511" s="103">
        <v>8</v>
      </c>
      <c r="AG1511" s="104"/>
      <c r="AH1511" s="103">
        <v>8</v>
      </c>
      <c r="AI1511" s="69"/>
      <c r="AJ1511" s="70"/>
      <c r="AK1511" s="71">
        <f>SUM(W1511:AJ1511)</f>
        <v>40</v>
      </c>
      <c r="AL1511" s="72"/>
      <c r="AM1511" s="73">
        <f>SUMIF($G1510:$T1510,"",$G1511:$T1511)+SUMIF($W1510:$AJ1510,"",$W1511:$AJ1511)-AN1511</f>
        <v>64</v>
      </c>
      <c r="AN1511" s="88">
        <f>IF(SUMIF($G1510:$T1510,"",$G1511:$T1511)+SUMIF($G1510:$T1510,"F",$G1511:$T1511)+SUMIF($G1510:$T1510,"V",$G1511:$T1511)-40&lt;0,0,SUMIF($G1510:$T1510,"",$G1511:$T1511)+SUMIF($G1510:$T1510,"F",$G1511:$T1511)+SUMIF($G1510:$T1510,"V",$G1511:$T1511)-($U$9/2))+IF(SUMIF($W1510:$AJ1510,"",$W1511:$AJ1511)+SUMIF($W1510:$AJ1510,"F",$W1511:$AJ1511)+SUMIF($W1510:$AJ1510,"V",$W1511:$AJ1511)-40&lt;0,0,SUMIF($W1510:$AJ1510,"",$W1511:$AJ1511)+SUMIF($W1510:$AJ1510,"F",$W1511:$AJ1511)+SUMIF($W1510:$AJ1510,"V",$W1511:$AJ1511)-($U$9/2))</f>
        <v>0</v>
      </c>
      <c r="AO1511" s="73">
        <f>SUMIF($G1510:$T1510,"M",$G1511:$T1511)+SUMIF($W1510:$AJ1510,"M",$W1511:$AJ1511)</f>
        <v>0</v>
      </c>
      <c r="AP1511" s="73">
        <f>SUMIF($G1510:$T1510,"F",$G1511:$T1511)+SUMIF($W1510:$AJ1510,"F",$W1511:$AJ1511)</f>
        <v>0</v>
      </c>
      <c r="AQ1511" s="73">
        <f>SUMIF($G1510:$T1510,"V",$G1511:$T1511)+SUMIF($W1510:$AJ1510,"V",$W1511:$AJ1511)</f>
        <v>16</v>
      </c>
      <c r="AR1511" s="74">
        <f>SUMIF($G1510:$T1510,"O",$G1511:$T1511)+SUMIF($W1510:$AJ1510,"O",$W1511:$AJ1511)</f>
        <v>0</v>
      </c>
      <c r="AS1511" s="75">
        <f>SUM(AM1511:AR1511)</f>
        <v>80</v>
      </c>
      <c r="AT1511" s="72"/>
      <c r="AU1511" s="73">
        <f>SUMIF($G1510:$T1510,"A",$G1511:$T1511)+SUMIF($W1510:$AJ1510,"A",$W1511:$AJ1511)</f>
        <v>0</v>
      </c>
      <c r="AV1511" s="72"/>
      <c r="AW1511" s="76">
        <f>IF(B1511="",0,IF($U$9="",0,$U$9))</f>
        <v>80</v>
      </c>
      <c r="BA1511" s="2"/>
      <c r="BB1511" s="2"/>
      <c r="BC1511" s="101"/>
      <c r="BD1511" s="101"/>
    </row>
    <row r="1512" spans="2:56" s="84" customFormat="1" x14ac:dyDescent="0.35">
      <c r="B1512" s="26"/>
      <c r="C1512" s="27"/>
      <c r="D1512" s="28">
        <f>IF(D1438="","",D1438)</f>
        <v>23206</v>
      </c>
      <c r="E1512" s="29" t="str">
        <f t="shared" si="590"/>
        <v/>
      </c>
      <c r="F1512" s="50">
        <f>B1489</f>
        <v>4</v>
      </c>
      <c r="G1512" s="59"/>
      <c r="H1512" s="64"/>
      <c r="I1512" s="106"/>
      <c r="J1512" s="105"/>
      <c r="K1512" s="106"/>
      <c r="L1512" s="105"/>
      <c r="M1512" s="106"/>
      <c r="N1512" s="105"/>
      <c r="O1512" s="106"/>
      <c r="P1512" s="105"/>
      <c r="Q1512" s="106"/>
      <c r="R1512" s="105"/>
      <c r="S1512" s="59"/>
      <c r="T1512" s="64"/>
      <c r="U1512" s="44"/>
      <c r="W1512" s="59"/>
      <c r="X1512" s="64"/>
      <c r="Y1512" s="106"/>
      <c r="Z1512" s="105"/>
      <c r="AA1512" s="106"/>
      <c r="AB1512" s="105"/>
      <c r="AC1512" s="106"/>
      <c r="AD1512" s="105"/>
      <c r="AE1512" s="106"/>
      <c r="AF1512" s="105"/>
      <c r="AG1512" s="106"/>
      <c r="AH1512" s="105"/>
      <c r="AI1512" s="59"/>
      <c r="AJ1512" s="64"/>
      <c r="AK1512" s="44"/>
      <c r="AM1512" s="49"/>
      <c r="AN1512" s="49"/>
      <c r="AO1512" s="49"/>
      <c r="AP1512" s="49"/>
      <c r="AQ1512" s="49"/>
      <c r="AR1512" s="40"/>
      <c r="AS1512" s="51"/>
      <c r="AU1512" s="49"/>
      <c r="AW1512" s="52"/>
      <c r="BA1512" s="2"/>
      <c r="BB1512" s="2"/>
      <c r="BC1512" s="101"/>
      <c r="BD1512" s="101"/>
    </row>
    <row r="1513" spans="2:56" s="84" customFormat="1" x14ac:dyDescent="0.35">
      <c r="B1513" s="30" t="str">
        <f>IF(B1439="","",B1439)</f>
        <v>Gadbois, Dominic</v>
      </c>
      <c r="C1513" s="31"/>
      <c r="D1513" s="32"/>
      <c r="E1513" s="33">
        <f t="shared" si="590"/>
        <v>93545</v>
      </c>
      <c r="F1513" s="50">
        <f>B1489</f>
        <v>4</v>
      </c>
      <c r="G1513" s="69"/>
      <c r="H1513" s="70"/>
      <c r="I1513" s="104"/>
      <c r="J1513" s="103">
        <v>8</v>
      </c>
      <c r="K1513" s="104"/>
      <c r="L1513" s="103">
        <v>8</v>
      </c>
      <c r="M1513" s="104"/>
      <c r="N1513" s="103">
        <v>8.25</v>
      </c>
      <c r="O1513" s="104"/>
      <c r="P1513" s="103">
        <v>7.75</v>
      </c>
      <c r="Q1513" s="104"/>
      <c r="R1513" s="103">
        <v>7.5</v>
      </c>
      <c r="S1513" s="69"/>
      <c r="T1513" s="70"/>
      <c r="U1513" s="71">
        <f t="shared" ref="U1513" si="599">SUM(G1513:T1513)</f>
        <v>39.5</v>
      </c>
      <c r="V1513" s="72"/>
      <c r="W1513" s="69"/>
      <c r="X1513" s="70"/>
      <c r="Y1513" s="104"/>
      <c r="Z1513" s="103">
        <v>8.25</v>
      </c>
      <c r="AA1513" s="104"/>
      <c r="AB1513" s="103">
        <v>8</v>
      </c>
      <c r="AC1513" s="104"/>
      <c r="AD1513" s="103">
        <v>8</v>
      </c>
      <c r="AE1513" s="104"/>
      <c r="AF1513" s="103">
        <v>8</v>
      </c>
      <c r="AG1513" s="104"/>
      <c r="AH1513" s="103">
        <v>7.75</v>
      </c>
      <c r="AI1513" s="69"/>
      <c r="AJ1513" s="70"/>
      <c r="AK1513" s="71">
        <f>SUM(W1513:AJ1513)</f>
        <v>40</v>
      </c>
      <c r="AL1513" s="72"/>
      <c r="AM1513" s="73">
        <f>SUMIF($G1512:$T1512,"",$G1513:$T1513)+SUMIF($W1512:$AJ1512,"",$W1513:$AJ1513)-AN1513</f>
        <v>79.5</v>
      </c>
      <c r="AN1513" s="88">
        <f>IF(SUMIF($G1512:$T1512,"",$G1513:$T1513)+SUMIF($G1512:$T1512,"F",$G1513:$T1513)+SUMIF($G1512:$T1512,"V",$G1513:$T1513)-40&lt;0,0,SUMIF($G1512:$T1512,"",$G1513:$T1513)+SUMIF($G1512:$T1512,"F",$G1513:$T1513)+SUMIF($G1512:$T1512,"V",$G1513:$T1513)-($U$9/2))+IF(SUMIF($W1512:$AJ1512,"",$W1513:$AJ1513)+SUMIF($W1512:$AJ1512,"F",$W1513:$AJ1513)+SUMIF($W1512:$AJ1512,"V",$W1513:$AJ1513)-40&lt;0,0,SUMIF($W1512:$AJ1512,"",$W1513:$AJ1513)+SUMIF($W1512:$AJ1512,"F",$W1513:$AJ1513)+SUMIF($W1512:$AJ1512,"V",$W1513:$AJ1513)-($U$9/2))</f>
        <v>0</v>
      </c>
      <c r="AO1513" s="73">
        <f>SUMIF($G1512:$T1512,"M",$G1513:$T1513)+SUMIF($W1512:$AJ1512,"M",$W1513:$AJ1513)</f>
        <v>0</v>
      </c>
      <c r="AP1513" s="73">
        <f>SUMIF($G1512:$T1512,"F",$G1513:$T1513)+SUMIF($W1512:$AJ1512,"F",$W1513:$AJ1513)</f>
        <v>0</v>
      </c>
      <c r="AQ1513" s="73">
        <f>SUMIF($G1512:$T1512,"V",$G1513:$T1513)+SUMIF($W1512:$AJ1512,"V",$W1513:$AJ1513)</f>
        <v>0</v>
      </c>
      <c r="AR1513" s="74">
        <f>SUMIF($G1512:$T1512,"O",$G1513:$T1513)+SUMIF($W1512:$AJ1512,"O",$W1513:$AJ1513)</f>
        <v>0</v>
      </c>
      <c r="AS1513" s="75">
        <f>SUM(AM1513:AR1513)</f>
        <v>79.5</v>
      </c>
      <c r="AT1513" s="72"/>
      <c r="AU1513" s="73">
        <f>SUMIF($G1512:$T1512,"A",$G1513:$T1513)+SUMIF($W1512:$AJ1512,"A",$W1513:$AJ1513)</f>
        <v>0</v>
      </c>
      <c r="AV1513" s="72"/>
      <c r="AW1513" s="76">
        <f>IF(B1513="",0,IF($U$9="",0,$U$9))</f>
        <v>80</v>
      </c>
      <c r="BA1513" s="2"/>
      <c r="BB1513" s="2"/>
      <c r="BC1513" s="101"/>
      <c r="BD1513" s="101"/>
    </row>
    <row r="1514" spans="2:56" s="84" customFormat="1" x14ac:dyDescent="0.35">
      <c r="B1514" s="26"/>
      <c r="C1514" s="27"/>
      <c r="D1514" s="28">
        <f>IF(D1440="","",D1440)</f>
        <v>33664</v>
      </c>
      <c r="E1514" s="29" t="str">
        <f t="shared" si="590"/>
        <v/>
      </c>
      <c r="F1514" s="50">
        <f>B1489</f>
        <v>4</v>
      </c>
      <c r="G1514" s="59"/>
      <c r="H1514" s="64"/>
      <c r="I1514" s="106"/>
      <c r="J1514" s="105"/>
      <c r="K1514" s="106"/>
      <c r="L1514" s="105"/>
      <c r="M1514" s="106"/>
      <c r="N1514" s="105"/>
      <c r="O1514" s="106"/>
      <c r="P1514" s="105"/>
      <c r="Q1514" s="106"/>
      <c r="R1514" s="105"/>
      <c r="S1514" s="59"/>
      <c r="T1514" s="64"/>
      <c r="U1514" s="44"/>
      <c r="W1514" s="59"/>
      <c r="X1514" s="64"/>
      <c r="Y1514" s="106"/>
      <c r="Z1514" s="105"/>
      <c r="AA1514" s="106"/>
      <c r="AB1514" s="105"/>
      <c r="AC1514" s="106"/>
      <c r="AD1514" s="105"/>
      <c r="AE1514" s="106"/>
      <c r="AF1514" s="105"/>
      <c r="AG1514" s="106"/>
      <c r="AH1514" s="105"/>
      <c r="AI1514" s="59"/>
      <c r="AJ1514" s="64"/>
      <c r="AK1514" s="44"/>
      <c r="AM1514" s="49"/>
      <c r="AN1514" s="49"/>
      <c r="AO1514" s="49"/>
      <c r="AP1514" s="49"/>
      <c r="AQ1514" s="49"/>
      <c r="AR1514" s="40"/>
      <c r="AS1514" s="51"/>
      <c r="AU1514" s="49"/>
      <c r="AW1514" s="52"/>
      <c r="BA1514" s="2"/>
      <c r="BB1514" s="2"/>
      <c r="BC1514" s="101"/>
      <c r="BD1514" s="101"/>
    </row>
    <row r="1515" spans="2:56" s="84" customFormat="1" x14ac:dyDescent="0.35">
      <c r="B1515" s="30" t="str">
        <f>IF(B1441="","",B1441)</f>
        <v>Knox Michaud, Jessy</v>
      </c>
      <c r="C1515" s="31"/>
      <c r="D1515" s="32"/>
      <c r="E1515" s="33">
        <f t="shared" si="590"/>
        <v>93542</v>
      </c>
      <c r="F1515" s="50">
        <f>B1489</f>
        <v>4</v>
      </c>
      <c r="G1515" s="69"/>
      <c r="H1515" s="70"/>
      <c r="I1515" s="104"/>
      <c r="J1515" s="103">
        <v>9.25</v>
      </c>
      <c r="K1515" s="104"/>
      <c r="L1515" s="103">
        <v>9</v>
      </c>
      <c r="M1515" s="104"/>
      <c r="N1515" s="103">
        <v>9</v>
      </c>
      <c r="O1515" s="104"/>
      <c r="P1515" s="103">
        <v>9</v>
      </c>
      <c r="Q1515" s="104"/>
      <c r="R1515" s="103">
        <v>9.5</v>
      </c>
      <c r="S1515" s="69"/>
      <c r="T1515" s="70"/>
      <c r="U1515" s="71">
        <f t="shared" ref="U1515" si="600">SUM(G1515:T1515)</f>
        <v>45.75</v>
      </c>
      <c r="V1515" s="72"/>
      <c r="W1515" s="69"/>
      <c r="X1515" s="70"/>
      <c r="Y1515" s="104"/>
      <c r="Z1515" s="103">
        <v>9</v>
      </c>
      <c r="AA1515" s="104"/>
      <c r="AB1515" s="103">
        <v>9</v>
      </c>
      <c r="AC1515" s="104"/>
      <c r="AD1515" s="103">
        <v>9</v>
      </c>
      <c r="AE1515" s="104"/>
      <c r="AF1515" s="103">
        <v>9</v>
      </c>
      <c r="AG1515" s="104"/>
      <c r="AH1515" s="103">
        <v>9</v>
      </c>
      <c r="AI1515" s="69"/>
      <c r="AJ1515" s="70"/>
      <c r="AK1515" s="71">
        <f>SUM(W1515:AJ1515)</f>
        <v>45</v>
      </c>
      <c r="AL1515" s="72"/>
      <c r="AM1515" s="73">
        <f>SUMIF($G1514:$T1514,"",$G1515:$T1515)+SUMIF($W1514:$AJ1514,"",$W1515:$AJ1515)-AN1515</f>
        <v>80</v>
      </c>
      <c r="AN1515" s="88">
        <f>IF(SUMIF($G1514:$T1514,"",$G1515:$T1515)+SUMIF($G1514:$T1514,"F",$G1515:$T1515)+SUMIF($G1514:$T1514,"V",$G1515:$T1515)-40&lt;0,0,SUMIF($G1514:$T1514,"",$G1515:$T1515)+SUMIF($G1514:$T1514,"F",$G1515:$T1515)+SUMIF($G1514:$T1514,"V",$G1515:$T1515)-($U$9/2))+IF(SUMIF($W1514:$AJ1514,"",$W1515:$AJ1515)+SUMIF($W1514:$AJ1514,"F",$W1515:$AJ1515)+SUMIF($W1514:$AJ1514,"V",$W1515:$AJ1515)-40&lt;0,0,SUMIF($W1514:$AJ1514,"",$W1515:$AJ1515)+SUMIF($W1514:$AJ1514,"F",$W1515:$AJ1515)+SUMIF($W1514:$AJ1514,"V",$W1515:$AJ1515)-($U$9/2))</f>
        <v>10.75</v>
      </c>
      <c r="AO1515" s="73">
        <f>SUMIF($G1514:$T1514,"M",$G1515:$T1515)+SUMIF($W1514:$AJ1514,"M",$W1515:$AJ1515)</f>
        <v>0</v>
      </c>
      <c r="AP1515" s="73">
        <f>SUMIF($G1514:$T1514,"F",$G1515:$T1515)+SUMIF($W1514:$AJ1514,"F",$W1515:$AJ1515)</f>
        <v>0</v>
      </c>
      <c r="AQ1515" s="73">
        <f>SUMIF($G1514:$T1514,"V",$G1515:$T1515)+SUMIF($W1514:$AJ1514,"V",$W1515:$AJ1515)</f>
        <v>0</v>
      </c>
      <c r="AR1515" s="74">
        <f>SUMIF($G1514:$T1514,"O",$G1515:$T1515)+SUMIF($W1514:$AJ1514,"O",$W1515:$AJ1515)</f>
        <v>0</v>
      </c>
      <c r="AS1515" s="75">
        <f>SUM(AM1515:AR1515)</f>
        <v>90.75</v>
      </c>
      <c r="AT1515" s="72"/>
      <c r="AU1515" s="73">
        <f>SUMIF($G1514:$T1514,"A",$G1515:$T1515)+SUMIF($W1514:$AJ1514,"A",$W1515:$AJ1515)</f>
        <v>0</v>
      </c>
      <c r="AV1515" s="72"/>
      <c r="AW1515" s="76">
        <f>IF(B1515="",0,IF($U$9="",0,$U$9))</f>
        <v>80</v>
      </c>
      <c r="BA1515" s="2"/>
      <c r="BB1515" s="2"/>
      <c r="BC1515" s="101"/>
      <c r="BD1515" s="101"/>
    </row>
    <row r="1516" spans="2:56" s="84" customFormat="1" x14ac:dyDescent="0.35">
      <c r="B1516" s="26"/>
      <c r="C1516" s="27"/>
      <c r="D1516" s="28">
        <f>IF(D1442="","",D1442)</f>
        <v>14206</v>
      </c>
      <c r="E1516" s="29" t="str">
        <f t="shared" si="590"/>
        <v/>
      </c>
      <c r="F1516" s="50">
        <f>B1489</f>
        <v>4</v>
      </c>
      <c r="G1516" s="59"/>
      <c r="H1516" s="64"/>
      <c r="I1516" s="106"/>
      <c r="J1516" s="105"/>
      <c r="K1516" s="106"/>
      <c r="L1516" s="105"/>
      <c r="M1516" s="106"/>
      <c r="N1516" s="105"/>
      <c r="O1516" s="106"/>
      <c r="P1516" s="105"/>
      <c r="Q1516" s="106"/>
      <c r="R1516" s="105"/>
      <c r="S1516" s="59"/>
      <c r="T1516" s="64"/>
      <c r="U1516" s="44"/>
      <c r="W1516" s="59"/>
      <c r="X1516" s="64"/>
      <c r="Y1516" s="106"/>
      <c r="Z1516" s="105"/>
      <c r="AA1516" s="106"/>
      <c r="AB1516" s="105"/>
      <c r="AC1516" s="106"/>
      <c r="AD1516" s="105"/>
      <c r="AE1516" s="106"/>
      <c r="AF1516" s="105"/>
      <c r="AG1516" s="106"/>
      <c r="AH1516" s="105"/>
      <c r="AI1516" s="59"/>
      <c r="AJ1516" s="64"/>
      <c r="AK1516" s="44"/>
      <c r="AM1516" s="49"/>
      <c r="AN1516" s="49"/>
      <c r="AO1516" s="49"/>
      <c r="AP1516" s="49"/>
      <c r="AQ1516" s="49"/>
      <c r="AR1516" s="40"/>
      <c r="AS1516" s="51"/>
      <c r="AU1516" s="49"/>
      <c r="AW1516" s="52"/>
      <c r="BA1516" s="2"/>
      <c r="BB1516" s="2"/>
      <c r="BC1516" s="101"/>
      <c r="BD1516" s="101"/>
    </row>
    <row r="1517" spans="2:56" s="84" customFormat="1" x14ac:dyDescent="0.35">
      <c r="B1517" s="30" t="str">
        <f>IF(B1443="","",B1443)</f>
        <v>Landry, Bernard</v>
      </c>
      <c r="C1517" s="31"/>
      <c r="D1517" s="32"/>
      <c r="E1517" s="33">
        <f t="shared" si="590"/>
        <v>93545</v>
      </c>
      <c r="F1517" s="50">
        <f>B1489</f>
        <v>4</v>
      </c>
      <c r="G1517" s="69"/>
      <c r="H1517" s="70"/>
      <c r="I1517" s="104"/>
      <c r="J1517" s="103">
        <v>8</v>
      </c>
      <c r="K1517" s="104"/>
      <c r="L1517" s="103">
        <v>8</v>
      </c>
      <c r="M1517" s="104"/>
      <c r="N1517" s="103">
        <v>8</v>
      </c>
      <c r="O1517" s="104"/>
      <c r="P1517" s="103">
        <v>8</v>
      </c>
      <c r="Q1517" s="104"/>
      <c r="R1517" s="103">
        <v>8</v>
      </c>
      <c r="S1517" s="69"/>
      <c r="T1517" s="70"/>
      <c r="U1517" s="71">
        <f t="shared" ref="U1517" si="601">SUM(G1517:T1517)</f>
        <v>40</v>
      </c>
      <c r="V1517" s="72"/>
      <c r="W1517" s="69"/>
      <c r="X1517" s="70"/>
      <c r="Y1517" s="104"/>
      <c r="Z1517" s="103">
        <v>8</v>
      </c>
      <c r="AA1517" s="104"/>
      <c r="AB1517" s="103">
        <v>8</v>
      </c>
      <c r="AC1517" s="104"/>
      <c r="AD1517" s="103">
        <v>8</v>
      </c>
      <c r="AE1517" s="104"/>
      <c r="AF1517" s="103">
        <v>8</v>
      </c>
      <c r="AG1517" s="104"/>
      <c r="AH1517" s="103">
        <v>8</v>
      </c>
      <c r="AI1517" s="69"/>
      <c r="AJ1517" s="70"/>
      <c r="AK1517" s="71">
        <f>SUM(W1517:AJ1517)</f>
        <v>40</v>
      </c>
      <c r="AL1517" s="72"/>
      <c r="AM1517" s="73">
        <f>SUMIF($G1516:$T1516,"",$G1517:$T1517)+SUMIF($W1516:$AJ1516,"",$W1517:$AJ1517)-AN1517</f>
        <v>80</v>
      </c>
      <c r="AN1517" s="88">
        <f>IF(SUMIF($G1516:$T1516,"",$G1517:$T1517)+SUMIF($G1516:$T1516,"F",$G1517:$T1517)+SUMIF($G1516:$T1516,"V",$G1517:$T1517)-40&lt;0,0,SUMIF($G1516:$T1516,"",$G1517:$T1517)+SUMIF($G1516:$T1516,"F",$G1517:$T1517)+SUMIF($G1516:$T1516,"V",$G1517:$T1517)-($U$9/2))+IF(SUMIF($W1516:$AJ1516,"",$W1517:$AJ1517)+SUMIF($W1516:$AJ1516,"F",$W1517:$AJ1517)+SUMIF($W1516:$AJ1516,"V",$W1517:$AJ1517)-40&lt;0,0,SUMIF($W1516:$AJ1516,"",$W1517:$AJ1517)+SUMIF($W1516:$AJ1516,"F",$W1517:$AJ1517)+SUMIF($W1516:$AJ1516,"V",$W1517:$AJ1517)-($U$9/2))</f>
        <v>0</v>
      </c>
      <c r="AO1517" s="73">
        <f>SUMIF($G1516:$T1516,"M",$G1517:$T1517)+SUMIF($W1516:$AJ1516,"M",$W1517:$AJ1517)</f>
        <v>0</v>
      </c>
      <c r="AP1517" s="73">
        <f>SUMIF($G1516:$T1516,"F",$G1517:$T1517)+SUMIF($W1516:$AJ1516,"F",$W1517:$AJ1517)</f>
        <v>0</v>
      </c>
      <c r="AQ1517" s="73">
        <f>SUMIF($G1516:$T1516,"V",$G1517:$T1517)+SUMIF($W1516:$AJ1516,"V",$W1517:$AJ1517)</f>
        <v>0</v>
      </c>
      <c r="AR1517" s="74">
        <f>SUMIF($G1516:$T1516,"O",$G1517:$T1517)+SUMIF($W1516:$AJ1516,"O",$W1517:$AJ1517)</f>
        <v>0</v>
      </c>
      <c r="AS1517" s="75">
        <f>SUM(AM1517:AR1517)</f>
        <v>80</v>
      </c>
      <c r="AT1517" s="72"/>
      <c r="AU1517" s="73">
        <f>SUMIF($G1516:$T1516,"A",$G1517:$T1517)+SUMIF($W1516:$AJ1516,"A",$W1517:$AJ1517)</f>
        <v>0</v>
      </c>
      <c r="AV1517" s="72"/>
      <c r="AW1517" s="76">
        <f>IF(B1517="",0,IF($U$9="",0,$U$9))</f>
        <v>80</v>
      </c>
      <c r="BA1517" s="2"/>
      <c r="BB1517" s="2"/>
      <c r="BC1517" s="101"/>
      <c r="BD1517" s="101"/>
    </row>
    <row r="1518" spans="2:56" s="84" customFormat="1" x14ac:dyDescent="0.35">
      <c r="B1518" s="26"/>
      <c r="C1518" s="27"/>
      <c r="D1518" s="28">
        <f>IF(D1444="","",D1444)</f>
        <v>92257</v>
      </c>
      <c r="E1518" s="29" t="str">
        <f t="shared" si="590"/>
        <v/>
      </c>
      <c r="F1518" s="50">
        <f>B1489</f>
        <v>4</v>
      </c>
      <c r="G1518" s="59"/>
      <c r="H1518" s="64"/>
      <c r="I1518" s="106"/>
      <c r="J1518" s="105"/>
      <c r="K1518" s="106"/>
      <c r="L1518" s="105"/>
      <c r="M1518" s="106"/>
      <c r="N1518" s="105"/>
      <c r="O1518" s="106"/>
      <c r="P1518" s="105"/>
      <c r="Q1518" s="106"/>
      <c r="R1518" s="105"/>
      <c r="S1518" s="59"/>
      <c r="T1518" s="64"/>
      <c r="U1518" s="44"/>
      <c r="W1518" s="59"/>
      <c r="X1518" s="64"/>
      <c r="Y1518" s="106"/>
      <c r="Z1518" s="105"/>
      <c r="AA1518" s="106"/>
      <c r="AB1518" s="105"/>
      <c r="AC1518" s="106"/>
      <c r="AD1518" s="105"/>
      <c r="AE1518" s="106"/>
      <c r="AF1518" s="105"/>
      <c r="AG1518" s="106"/>
      <c r="AH1518" s="105"/>
      <c r="AI1518" s="59"/>
      <c r="AJ1518" s="64"/>
      <c r="AK1518" s="44"/>
      <c r="AM1518" s="49"/>
      <c r="AN1518" s="49"/>
      <c r="AO1518" s="49"/>
      <c r="AP1518" s="49"/>
      <c r="AQ1518" s="49"/>
      <c r="AR1518" s="40"/>
      <c r="AS1518" s="51"/>
      <c r="AU1518" s="49"/>
      <c r="AW1518" s="52"/>
      <c r="BA1518" s="2"/>
      <c r="BB1518" s="2"/>
      <c r="BC1518" s="101"/>
      <c r="BD1518" s="101"/>
    </row>
    <row r="1519" spans="2:56" s="84" customFormat="1" x14ac:dyDescent="0.35">
      <c r="B1519" s="30" t="str">
        <f>IF(B1445="","",B1445)</f>
        <v>Lelievre, Anik</v>
      </c>
      <c r="C1519" s="31"/>
      <c r="D1519" s="32"/>
      <c r="E1519" s="33">
        <f t="shared" si="590"/>
        <v>93513</v>
      </c>
      <c r="F1519" s="50">
        <f>B1489</f>
        <v>4</v>
      </c>
      <c r="G1519" s="69"/>
      <c r="H1519" s="70"/>
      <c r="I1519" s="104"/>
      <c r="J1519" s="103">
        <v>8</v>
      </c>
      <c r="K1519" s="104"/>
      <c r="L1519" s="103">
        <v>8</v>
      </c>
      <c r="M1519" s="104"/>
      <c r="N1519" s="103">
        <v>8</v>
      </c>
      <c r="O1519" s="104"/>
      <c r="P1519" s="103">
        <v>8</v>
      </c>
      <c r="Q1519" s="104"/>
      <c r="R1519" s="103">
        <v>8</v>
      </c>
      <c r="S1519" s="69"/>
      <c r="T1519" s="70"/>
      <c r="U1519" s="71">
        <f t="shared" ref="U1519" si="602">SUM(G1519:T1519)</f>
        <v>40</v>
      </c>
      <c r="V1519" s="72"/>
      <c r="W1519" s="69"/>
      <c r="X1519" s="70"/>
      <c r="Y1519" s="104"/>
      <c r="Z1519" s="103">
        <v>8</v>
      </c>
      <c r="AA1519" s="104"/>
      <c r="AB1519" s="103">
        <v>8</v>
      </c>
      <c r="AC1519" s="104"/>
      <c r="AD1519" s="103">
        <v>8</v>
      </c>
      <c r="AE1519" s="104"/>
      <c r="AF1519" s="103">
        <v>8</v>
      </c>
      <c r="AG1519" s="104"/>
      <c r="AH1519" s="103">
        <v>8</v>
      </c>
      <c r="AI1519" s="69"/>
      <c r="AJ1519" s="70"/>
      <c r="AK1519" s="71">
        <f>SUM(W1519:AJ1519)</f>
        <v>40</v>
      </c>
      <c r="AL1519" s="72"/>
      <c r="AM1519" s="73">
        <f>SUMIF($G1518:$T1518,"",$G1519:$T1519)+SUMIF($W1518:$AJ1518,"",$W1519:$AJ1519)-AN1519</f>
        <v>80</v>
      </c>
      <c r="AN1519" s="88">
        <f>IF(SUMIF($G1518:$T1518,"",$G1519:$T1519)+SUMIF($G1518:$T1518,"F",$G1519:$T1519)+SUMIF($G1518:$T1518,"V",$G1519:$T1519)-40&lt;0,0,SUMIF($G1518:$T1518,"",$G1519:$T1519)+SUMIF($G1518:$T1518,"F",$G1519:$T1519)+SUMIF($G1518:$T1518,"V",$G1519:$T1519)-($U$9/2))+IF(SUMIF($W1518:$AJ1518,"",$W1519:$AJ1519)+SUMIF($W1518:$AJ1518,"F",$W1519:$AJ1519)+SUMIF($W1518:$AJ1518,"V",$W1519:$AJ1519)-40&lt;0,0,SUMIF($W1518:$AJ1518,"",$W1519:$AJ1519)+SUMIF($W1518:$AJ1518,"F",$W1519:$AJ1519)+SUMIF($W1518:$AJ1518,"V",$W1519:$AJ1519)-($U$9/2))</f>
        <v>0</v>
      </c>
      <c r="AO1519" s="73">
        <f>SUMIF($G1518:$T1518,"M",$G1519:$T1519)+SUMIF($W1518:$AJ1518,"M",$W1519:$AJ1519)</f>
        <v>0</v>
      </c>
      <c r="AP1519" s="73">
        <f>SUMIF($G1518:$T1518,"F",$G1519:$T1519)+SUMIF($W1518:$AJ1518,"F",$W1519:$AJ1519)</f>
        <v>0</v>
      </c>
      <c r="AQ1519" s="73">
        <f>SUMIF($G1518:$T1518,"V",$G1519:$T1519)+SUMIF($W1518:$AJ1518,"V",$W1519:$AJ1519)</f>
        <v>0</v>
      </c>
      <c r="AR1519" s="74">
        <f>SUMIF($G1518:$T1518,"O",$G1519:$T1519)+SUMIF($W1518:$AJ1518,"O",$W1519:$AJ1519)</f>
        <v>0</v>
      </c>
      <c r="AS1519" s="75">
        <f>SUM(AM1519:AR1519)</f>
        <v>80</v>
      </c>
      <c r="AT1519" s="72"/>
      <c r="AU1519" s="73">
        <f>SUMIF($G1518:$T1518,"A",$G1519:$T1519)+SUMIF($W1518:$AJ1518,"A",$W1519:$AJ1519)</f>
        <v>0</v>
      </c>
      <c r="AV1519" s="72"/>
      <c r="AW1519" s="76">
        <f>IF(B1519="",0,IF($U$9="",0,$U$9))</f>
        <v>80</v>
      </c>
      <c r="BA1519" s="2"/>
      <c r="BB1519" s="2"/>
      <c r="BC1519" s="101"/>
      <c r="BD1519" s="101"/>
    </row>
    <row r="1520" spans="2:56" s="84" customFormat="1" x14ac:dyDescent="0.35">
      <c r="B1520" s="26"/>
      <c r="C1520" s="27"/>
      <c r="D1520" s="28">
        <f>IF(D1446="","",D1446)</f>
        <v>81042</v>
      </c>
      <c r="E1520" s="29" t="str">
        <f t="shared" si="590"/>
        <v/>
      </c>
      <c r="F1520" s="50">
        <f>B1489</f>
        <v>4</v>
      </c>
      <c r="G1520" s="59"/>
      <c r="H1520" s="64"/>
      <c r="I1520" s="106"/>
      <c r="J1520" s="105" t="s">
        <v>3</v>
      </c>
      <c r="K1520" s="106"/>
      <c r="L1520" s="105" t="s">
        <v>3</v>
      </c>
      <c r="M1520" s="106"/>
      <c r="N1520" s="105" t="s">
        <v>3</v>
      </c>
      <c r="O1520" s="106"/>
      <c r="P1520" s="105" t="s">
        <v>3</v>
      </c>
      <c r="Q1520" s="106"/>
      <c r="R1520" s="105" t="s">
        <v>3</v>
      </c>
      <c r="S1520" s="59"/>
      <c r="T1520" s="64"/>
      <c r="U1520" s="44"/>
      <c r="W1520" s="59"/>
      <c r="X1520" s="64"/>
      <c r="Y1520" s="106"/>
      <c r="Z1520" s="105"/>
      <c r="AA1520" s="106"/>
      <c r="AB1520" s="105"/>
      <c r="AC1520" s="106"/>
      <c r="AD1520" s="105"/>
      <c r="AE1520" s="106"/>
      <c r="AF1520" s="105"/>
      <c r="AG1520" s="106"/>
      <c r="AH1520" s="105"/>
      <c r="AI1520" s="59"/>
      <c r="AJ1520" s="64"/>
      <c r="AK1520" s="44"/>
      <c r="AM1520" s="49"/>
      <c r="AN1520" s="49"/>
      <c r="AO1520" s="49"/>
      <c r="AP1520" s="49"/>
      <c r="AQ1520" s="49"/>
      <c r="AR1520" s="40"/>
      <c r="AS1520" s="51"/>
      <c r="AU1520" s="49"/>
      <c r="AW1520" s="52"/>
      <c r="BA1520" s="2"/>
      <c r="BB1520" s="2"/>
      <c r="BC1520" s="101"/>
      <c r="BD1520" s="101"/>
    </row>
    <row r="1521" spans="1:56" s="84" customFormat="1" x14ac:dyDescent="0.35">
      <c r="B1521" s="30" t="str">
        <f>IF(B1447="","",B1447)</f>
        <v>Letarte, Martin</v>
      </c>
      <c r="C1521" s="31"/>
      <c r="D1521" s="32"/>
      <c r="E1521" s="33">
        <f t="shared" si="590"/>
        <v>93545</v>
      </c>
      <c r="F1521" s="50">
        <f>B1489</f>
        <v>4</v>
      </c>
      <c r="G1521" s="69"/>
      <c r="H1521" s="70"/>
      <c r="I1521" s="104"/>
      <c r="J1521" s="103">
        <v>0</v>
      </c>
      <c r="K1521" s="104"/>
      <c r="L1521" s="103">
        <v>0</v>
      </c>
      <c r="M1521" s="104"/>
      <c r="N1521" s="103">
        <v>0</v>
      </c>
      <c r="O1521" s="104"/>
      <c r="P1521" s="103">
        <v>0</v>
      </c>
      <c r="Q1521" s="104"/>
      <c r="R1521" s="103">
        <v>0</v>
      </c>
      <c r="S1521" s="69"/>
      <c r="T1521" s="70"/>
      <c r="U1521" s="71">
        <f t="shared" ref="U1521" si="603">SUM(G1521:T1521)</f>
        <v>0</v>
      </c>
      <c r="V1521" s="72"/>
      <c r="W1521" s="69"/>
      <c r="X1521" s="70"/>
      <c r="Y1521" s="104"/>
      <c r="Z1521" s="103">
        <v>8</v>
      </c>
      <c r="AA1521" s="104"/>
      <c r="AB1521" s="103">
        <v>8</v>
      </c>
      <c r="AC1521" s="104"/>
      <c r="AD1521" s="103">
        <v>8</v>
      </c>
      <c r="AE1521" s="104"/>
      <c r="AF1521" s="103">
        <v>8</v>
      </c>
      <c r="AG1521" s="104"/>
      <c r="AH1521" s="103">
        <v>8</v>
      </c>
      <c r="AI1521" s="69"/>
      <c r="AJ1521" s="70"/>
      <c r="AK1521" s="71">
        <f>SUM(W1521:AJ1521)</f>
        <v>40</v>
      </c>
      <c r="AL1521" s="72"/>
      <c r="AM1521" s="73">
        <f>SUMIF($G1520:$T1520,"",$G1521:$T1521)+SUMIF($W1520:$AJ1520,"",$W1521:$AJ1521)-AN1521</f>
        <v>40</v>
      </c>
      <c r="AN1521" s="88">
        <f>IF(SUMIF($G1520:$T1520,"",$G1521:$T1521)+SUMIF($G1520:$T1520,"F",$G1521:$T1521)+SUMIF($G1520:$T1520,"V",$G1521:$T1521)-40&lt;0,0,SUMIF($G1520:$T1520,"",$G1521:$T1521)+SUMIF($G1520:$T1520,"F",$G1521:$T1521)+SUMIF($G1520:$T1520,"V",$G1521:$T1521)-($U$9/2))+IF(SUMIF($W1520:$AJ1520,"",$W1521:$AJ1521)+SUMIF($W1520:$AJ1520,"F",$W1521:$AJ1521)+SUMIF($W1520:$AJ1520,"V",$W1521:$AJ1521)-40&lt;0,0,SUMIF($W1520:$AJ1520,"",$W1521:$AJ1521)+SUMIF($W1520:$AJ1520,"F",$W1521:$AJ1521)+SUMIF($W1520:$AJ1520,"V",$W1521:$AJ1521)-($U$9/2))</f>
        <v>0</v>
      </c>
      <c r="AO1521" s="73">
        <f>SUMIF($G1520:$T1520,"M",$G1521:$T1521)+SUMIF($W1520:$AJ1520,"M",$W1521:$AJ1521)</f>
        <v>0</v>
      </c>
      <c r="AP1521" s="73">
        <f>SUMIF($G1520:$T1520,"F",$G1521:$T1521)+SUMIF($W1520:$AJ1520,"F",$W1521:$AJ1521)</f>
        <v>0</v>
      </c>
      <c r="AQ1521" s="73">
        <f>SUMIF($G1520:$T1520,"V",$G1521:$T1521)+SUMIF($W1520:$AJ1520,"V",$W1521:$AJ1521)</f>
        <v>0</v>
      </c>
      <c r="AR1521" s="74">
        <f>SUMIF($G1520:$T1520,"O",$G1521:$T1521)+SUMIF($W1520:$AJ1520,"O",$W1521:$AJ1521)</f>
        <v>0</v>
      </c>
      <c r="AS1521" s="75">
        <f>SUM(AM1521:AR1521)</f>
        <v>40</v>
      </c>
      <c r="AT1521" s="72"/>
      <c r="AU1521" s="73">
        <f>SUMIF($G1520:$T1520,"A",$G1521:$T1521)+SUMIF($W1520:$AJ1520,"A",$W1521:$AJ1521)</f>
        <v>0</v>
      </c>
      <c r="AV1521" s="72"/>
      <c r="AW1521" s="76">
        <f>IF(B1521="",0,IF($U$9="",0,$U$9))</f>
        <v>80</v>
      </c>
      <c r="BA1521" s="2"/>
      <c r="BB1521" s="2"/>
      <c r="BC1521" s="101"/>
      <c r="BD1521" s="101"/>
    </row>
    <row r="1522" spans="1:56" s="84" customFormat="1" x14ac:dyDescent="0.35">
      <c r="B1522" s="26"/>
      <c r="C1522" s="27"/>
      <c r="D1522" s="28" t="str">
        <f>IF(D1448="","",D1448)</f>
        <v/>
      </c>
      <c r="E1522" s="29" t="str">
        <f t="shared" si="590"/>
        <v/>
      </c>
      <c r="F1522" s="50">
        <f>B1489</f>
        <v>4</v>
      </c>
      <c r="G1522" s="59"/>
      <c r="H1522" s="64"/>
      <c r="I1522" s="106"/>
      <c r="J1522" s="105"/>
      <c r="K1522" s="106"/>
      <c r="L1522" s="105"/>
      <c r="M1522" s="106"/>
      <c r="N1522" s="105"/>
      <c r="O1522" s="106"/>
      <c r="P1522" s="105"/>
      <c r="Q1522" s="106"/>
      <c r="R1522" s="105"/>
      <c r="S1522" s="59"/>
      <c r="T1522" s="64"/>
      <c r="U1522" s="44"/>
      <c r="W1522" s="59"/>
      <c r="X1522" s="64"/>
      <c r="Y1522" s="106"/>
      <c r="Z1522" s="105"/>
      <c r="AA1522" s="106"/>
      <c r="AB1522" s="105"/>
      <c r="AC1522" s="106"/>
      <c r="AD1522" s="105"/>
      <c r="AE1522" s="106"/>
      <c r="AF1522" s="105"/>
      <c r="AG1522" s="106"/>
      <c r="AH1522" s="105"/>
      <c r="AI1522" s="59"/>
      <c r="AJ1522" s="64"/>
      <c r="AK1522" s="44"/>
      <c r="AM1522" s="49"/>
      <c r="AN1522" s="49"/>
      <c r="AO1522" s="49"/>
      <c r="AP1522" s="49"/>
      <c r="AQ1522" s="49"/>
      <c r="AR1522" s="40"/>
      <c r="AS1522" s="51"/>
      <c r="AU1522" s="49"/>
      <c r="AW1522" s="52"/>
      <c r="BA1522" s="2"/>
      <c r="BB1522" s="2"/>
      <c r="BC1522" s="101"/>
      <c r="BD1522" s="101"/>
    </row>
    <row r="1523" spans="1:56" s="84" customFormat="1" x14ac:dyDescent="0.35">
      <c r="B1523" s="30" t="str">
        <f>IF(B1449="","",B1449)</f>
        <v/>
      </c>
      <c r="C1523" s="31"/>
      <c r="D1523" s="32"/>
      <c r="E1523" s="33" t="str">
        <f t="shared" si="590"/>
        <v/>
      </c>
      <c r="F1523" s="50">
        <f>B1489</f>
        <v>4</v>
      </c>
      <c r="G1523" s="69"/>
      <c r="H1523" s="70"/>
      <c r="I1523" s="104"/>
      <c r="J1523" s="103"/>
      <c r="K1523" s="104"/>
      <c r="L1523" s="103"/>
      <c r="M1523" s="104"/>
      <c r="N1523" s="103"/>
      <c r="O1523" s="104"/>
      <c r="P1523" s="103"/>
      <c r="Q1523" s="104"/>
      <c r="R1523" s="103"/>
      <c r="S1523" s="69"/>
      <c r="T1523" s="70"/>
      <c r="U1523" s="71">
        <f t="shared" ref="U1523" si="604">SUM(G1523:T1523)</f>
        <v>0</v>
      </c>
      <c r="V1523" s="72"/>
      <c r="W1523" s="69"/>
      <c r="X1523" s="70"/>
      <c r="Y1523" s="104"/>
      <c r="Z1523" s="103"/>
      <c r="AA1523" s="104"/>
      <c r="AB1523" s="103"/>
      <c r="AC1523" s="104"/>
      <c r="AD1523" s="103"/>
      <c r="AE1523" s="104"/>
      <c r="AF1523" s="103"/>
      <c r="AG1523" s="104"/>
      <c r="AH1523" s="103"/>
      <c r="AI1523" s="69"/>
      <c r="AJ1523" s="70"/>
      <c r="AK1523" s="71">
        <f>SUM(W1523:AJ1523)</f>
        <v>0</v>
      </c>
      <c r="AL1523" s="72"/>
      <c r="AM1523" s="73">
        <f>SUMIF($G1522:$T1522,"",$G1523:$T1523)+SUMIF($W1522:$AJ1522,"",$W1523:$AJ1523)-AN1523</f>
        <v>0</v>
      </c>
      <c r="AN1523" s="88">
        <f>IF(SUMIF($G1522:$T1522,"",$G1523:$T1523)+SUMIF($G1522:$T1522,"F",$G1523:$T1523)+SUMIF($G1522:$T1522,"V",$G1523:$T1523)-40&lt;0,0,SUMIF($G1522:$T1522,"",$G1523:$T1523)+SUMIF($G1522:$T1522,"F",$G1523:$T1523)+SUMIF($G1522:$T1522,"V",$G1523:$T1523)-($U$9/2))+IF(SUMIF($W1522:$AJ1522,"",$W1523:$AJ1523)+SUMIF($W1522:$AJ1522,"F",$W1523:$AJ1523)+SUMIF($W1522:$AJ1522,"V",$W1523:$AJ1523)-40&lt;0,0,SUMIF($W1522:$AJ1522,"",$W1523:$AJ1523)+SUMIF($W1522:$AJ1522,"F",$W1523:$AJ1523)+SUMIF($W1522:$AJ1522,"V",$W1523:$AJ1523)-($U$9/2))</f>
        <v>0</v>
      </c>
      <c r="AO1523" s="73">
        <f>SUMIF($G1522:$T1522,"M",$G1523:$T1523)+SUMIF($W1522:$AJ1522,"M",$W1523:$AJ1523)</f>
        <v>0</v>
      </c>
      <c r="AP1523" s="73">
        <f>SUMIF($G1522:$T1522,"F",$G1523:$T1523)+SUMIF($W1522:$AJ1522,"F",$W1523:$AJ1523)</f>
        <v>0</v>
      </c>
      <c r="AQ1523" s="73">
        <f>SUMIF($G1522:$T1522,"V",$G1523:$T1523)+SUMIF($W1522:$AJ1522,"V",$W1523:$AJ1523)</f>
        <v>0</v>
      </c>
      <c r="AR1523" s="74">
        <f>SUMIF($G1522:$T1522,"O",$G1523:$T1523)+SUMIF($W1522:$AJ1522,"O",$W1523:$AJ1523)</f>
        <v>0</v>
      </c>
      <c r="AS1523" s="75">
        <f>SUM(AM1523:AR1523)</f>
        <v>0</v>
      </c>
      <c r="AT1523" s="72"/>
      <c r="AU1523" s="73">
        <f>SUMIF($G1522:$T1522,"A",$G1523:$T1523)+SUMIF($W1522:$AJ1522,"A",$W1523:$AJ1523)</f>
        <v>0</v>
      </c>
      <c r="AV1523" s="72"/>
      <c r="AW1523" s="76">
        <f>IF(B1523="",0,IF($U$9="",0,$U$9))</f>
        <v>0</v>
      </c>
      <c r="BA1523" s="2"/>
      <c r="BB1523" s="2"/>
      <c r="BC1523" s="101"/>
      <c r="BD1523" s="101"/>
    </row>
    <row r="1524" spans="1:56" s="84" customFormat="1" x14ac:dyDescent="0.35">
      <c r="B1524" s="26"/>
      <c r="C1524" s="27"/>
      <c r="D1524" s="28">
        <f>IF(D1450="","",D1450)</f>
        <v>11792</v>
      </c>
      <c r="E1524" s="29" t="str">
        <f t="shared" si="590"/>
        <v/>
      </c>
      <c r="F1524" s="50">
        <f>B1489</f>
        <v>4</v>
      </c>
      <c r="G1524" s="59"/>
      <c r="H1524" s="64"/>
      <c r="I1524" s="106"/>
      <c r="J1524" s="105"/>
      <c r="K1524" s="106"/>
      <c r="L1524" s="105"/>
      <c r="M1524" s="106"/>
      <c r="N1524" s="105"/>
      <c r="O1524" s="106"/>
      <c r="P1524" s="105"/>
      <c r="Q1524" s="106"/>
      <c r="R1524" s="105"/>
      <c r="S1524" s="59"/>
      <c r="T1524" s="64"/>
      <c r="U1524" s="44"/>
      <c r="W1524" s="59"/>
      <c r="X1524" s="64"/>
      <c r="Y1524" s="106"/>
      <c r="Z1524" s="105"/>
      <c r="AA1524" s="106"/>
      <c r="AB1524" s="105"/>
      <c r="AC1524" s="106"/>
      <c r="AD1524" s="105"/>
      <c r="AE1524" s="106"/>
      <c r="AF1524" s="105"/>
      <c r="AG1524" s="106"/>
      <c r="AH1524" s="105"/>
      <c r="AI1524" s="59"/>
      <c r="AJ1524" s="64"/>
      <c r="AK1524" s="44"/>
      <c r="AM1524" s="49"/>
      <c r="AN1524" s="49"/>
      <c r="AO1524" s="49"/>
      <c r="AP1524" s="49"/>
      <c r="AQ1524" s="49"/>
      <c r="AR1524" s="40"/>
      <c r="AS1524" s="51"/>
      <c r="AU1524" s="49"/>
      <c r="AW1524" s="52"/>
      <c r="BA1524" s="2"/>
      <c r="BB1524" s="2"/>
      <c r="BC1524" s="101"/>
      <c r="BD1524" s="101"/>
    </row>
    <row r="1525" spans="1:56" s="84" customFormat="1" x14ac:dyDescent="0.35">
      <c r="B1525" s="30" t="str">
        <f>IF(B1451="","",B1451)</f>
        <v>Pellerin, Pierre</v>
      </c>
      <c r="C1525" s="31"/>
      <c r="D1525" s="32"/>
      <c r="E1525" s="33">
        <f t="shared" si="590"/>
        <v>93595935</v>
      </c>
      <c r="F1525" s="50">
        <f>B1489</f>
        <v>4</v>
      </c>
      <c r="G1525" s="69"/>
      <c r="H1525" s="70"/>
      <c r="I1525" s="104"/>
      <c r="J1525" s="103">
        <v>8</v>
      </c>
      <c r="K1525" s="104"/>
      <c r="L1525" s="103">
        <v>8</v>
      </c>
      <c r="M1525" s="104"/>
      <c r="N1525" s="103">
        <v>8</v>
      </c>
      <c r="O1525" s="104"/>
      <c r="P1525" s="103">
        <v>8</v>
      </c>
      <c r="Q1525" s="104"/>
      <c r="R1525" s="103">
        <v>8</v>
      </c>
      <c r="S1525" s="69"/>
      <c r="T1525" s="70"/>
      <c r="U1525" s="71">
        <f t="shared" ref="U1525" si="605">SUM(G1525:T1525)</f>
        <v>40</v>
      </c>
      <c r="V1525" s="72"/>
      <c r="W1525" s="69"/>
      <c r="X1525" s="70"/>
      <c r="Y1525" s="104"/>
      <c r="Z1525" s="103">
        <v>8</v>
      </c>
      <c r="AA1525" s="104"/>
      <c r="AB1525" s="103">
        <v>8</v>
      </c>
      <c r="AC1525" s="104"/>
      <c r="AD1525" s="103">
        <v>8</v>
      </c>
      <c r="AE1525" s="104"/>
      <c r="AF1525" s="103">
        <v>8</v>
      </c>
      <c r="AG1525" s="104"/>
      <c r="AH1525" s="103">
        <v>8</v>
      </c>
      <c r="AI1525" s="69"/>
      <c r="AJ1525" s="70"/>
      <c r="AK1525" s="71">
        <f>SUM(Z1525:AH1525)</f>
        <v>40</v>
      </c>
      <c r="AL1525" s="72"/>
      <c r="AM1525" s="73">
        <f>SUMIF($G1524:$T1524,"",$G1525:$T1525)+SUMIF($W1524:$AJ1524,"",$W1525:$AJ1525)-AN1525</f>
        <v>80</v>
      </c>
      <c r="AN1525" s="88">
        <f>IF(SUMIF($G1524:$T1524,"",$G1525:$T1525)+SUMIF($G1524:$T1524,"F",$G1525:$T1525)+SUMIF($G1524:$T1524,"V",$G1525:$T1525)-40&lt;0,0,SUMIF($G1524:$T1524,"",$G1525:$T1525)+SUMIF($G1524:$T1524,"F",$G1525:$T1525)+SUMIF($G1524:$T1524,"V",$G1525:$T1525)-($U$9/2))+IF(SUMIF($W1524:$AJ1524,"",$W1525:$AJ1525)+SUMIF($W1524:$AJ1524,"F",$W1525:$AJ1525)+SUMIF($W1524:$AJ1524,"V",$W1525:$AJ1525)-40&lt;0,0,SUMIF($W1524:$AJ1524,"",$W1525:$AJ1525)+SUMIF($W1524:$AJ1524,"F",$W1525:$AJ1525)+SUMIF($W1524:$AJ1524,"V",$W1525:$AJ1525)-($U$9/2))</f>
        <v>0</v>
      </c>
      <c r="AO1525" s="73">
        <f>SUMIF($G1524:$T1524,"M",$G1525:$T1525)+SUMIF($W1524:$AJ1524,"M",$W1525:$AJ1525)</f>
        <v>0</v>
      </c>
      <c r="AP1525" s="73">
        <f>SUMIF($G1524:$T1524,"F",$G1525:$T1525)+SUMIF($W1524:$AJ1524,"F",$W1525:$AJ1525)</f>
        <v>0</v>
      </c>
      <c r="AQ1525" s="73">
        <f>SUMIF($G1524:$T1524,"V",$G1525:$T1525)+SUMIF($W1524:$AJ1524,"V",$W1525:$AJ1525)</f>
        <v>0</v>
      </c>
      <c r="AR1525" s="74">
        <f>SUMIF($G1524:$T1524,"O",$G1525:$T1525)+SUMIF($W1524:$AJ1524,"O",$W1525:$AJ1525)</f>
        <v>0</v>
      </c>
      <c r="AS1525" s="75">
        <f>SUM(AM1525:AR1525)</f>
        <v>80</v>
      </c>
      <c r="AT1525" s="72"/>
      <c r="AU1525" s="73">
        <f>SUMIF($G1524:$T1524,"A",$G1525:$T1525)+SUMIF($W1524:$AJ1524,"A",$W1525:$AJ1525)</f>
        <v>0</v>
      </c>
      <c r="AV1525" s="72"/>
      <c r="AW1525" s="76">
        <f>IF(B1525="",0,IF($U$9="",0,$U$9))</f>
        <v>80</v>
      </c>
      <c r="BA1525" s="2"/>
      <c r="BB1525" s="2"/>
      <c r="BC1525" s="101"/>
      <c r="BD1525" s="101"/>
    </row>
    <row r="1526" spans="1:56" s="84" customFormat="1" x14ac:dyDescent="0.35">
      <c r="B1526" s="26"/>
      <c r="C1526" s="27"/>
      <c r="D1526" s="28">
        <f>IF(D1452="","",D1452)</f>
        <v>81043</v>
      </c>
      <c r="E1526" s="29" t="str">
        <f t="shared" si="590"/>
        <v/>
      </c>
      <c r="F1526" s="50">
        <f>B1489</f>
        <v>4</v>
      </c>
      <c r="G1526" s="59"/>
      <c r="H1526" s="64"/>
      <c r="I1526" s="106"/>
      <c r="J1526" s="105"/>
      <c r="K1526" s="106"/>
      <c r="L1526" s="105"/>
      <c r="M1526" s="106"/>
      <c r="N1526" s="105"/>
      <c r="O1526" s="106"/>
      <c r="P1526" s="105"/>
      <c r="Q1526" s="106"/>
      <c r="R1526" s="105"/>
      <c r="S1526" s="59"/>
      <c r="T1526" s="64"/>
      <c r="U1526" s="44"/>
      <c r="W1526" s="59"/>
      <c r="X1526" s="64"/>
      <c r="Y1526" s="106"/>
      <c r="Z1526" s="105"/>
      <c r="AA1526" s="106"/>
      <c r="AB1526" s="105"/>
      <c r="AC1526" s="106"/>
      <c r="AD1526" s="105"/>
      <c r="AE1526" s="106"/>
      <c r="AF1526" s="105"/>
      <c r="AG1526" s="106"/>
      <c r="AH1526" s="105"/>
      <c r="AI1526" s="59"/>
      <c r="AJ1526" s="64"/>
      <c r="AK1526" s="44"/>
      <c r="AM1526" s="49"/>
      <c r="AN1526" s="49"/>
      <c r="AO1526" s="49"/>
      <c r="AP1526" s="49"/>
      <c r="AQ1526" s="49"/>
      <c r="AR1526" s="40"/>
      <c r="AS1526" s="51"/>
      <c r="AU1526" s="49"/>
      <c r="AW1526" s="52"/>
      <c r="BA1526" s="2"/>
      <c r="BB1526" s="2"/>
      <c r="BC1526" s="101"/>
      <c r="BD1526" s="101"/>
    </row>
    <row r="1527" spans="1:56" s="84" customFormat="1" x14ac:dyDescent="0.35">
      <c r="B1527" s="30" t="str">
        <f>IF(B1453="","",B1453)</f>
        <v>Rodrigue, Frank</v>
      </c>
      <c r="C1527" s="31"/>
      <c r="D1527" s="32"/>
      <c r="E1527" s="33">
        <f t="shared" ref="E1527:E1543" si="606">IF(E1453="","",E1453)</f>
        <v>93545</v>
      </c>
      <c r="F1527" s="50">
        <f>B1489</f>
        <v>4</v>
      </c>
      <c r="G1527" s="69"/>
      <c r="H1527" s="70"/>
      <c r="I1527" s="104"/>
      <c r="J1527" s="103">
        <v>8</v>
      </c>
      <c r="K1527" s="104"/>
      <c r="L1527" s="103">
        <v>8</v>
      </c>
      <c r="M1527" s="104"/>
      <c r="N1527" s="103">
        <v>8</v>
      </c>
      <c r="O1527" s="104"/>
      <c r="P1527" s="103">
        <v>8</v>
      </c>
      <c r="Q1527" s="104"/>
      <c r="R1527" s="103">
        <v>8</v>
      </c>
      <c r="S1527" s="69"/>
      <c r="T1527" s="70"/>
      <c r="U1527" s="71">
        <f t="shared" ref="U1527" si="607">SUM(G1527:T1527)</f>
        <v>40</v>
      </c>
      <c r="V1527" s="72"/>
      <c r="W1527" s="69"/>
      <c r="X1527" s="70"/>
      <c r="Y1527" s="104"/>
      <c r="Z1527" s="103">
        <v>8</v>
      </c>
      <c r="AA1527" s="104"/>
      <c r="AB1527" s="103">
        <v>8</v>
      </c>
      <c r="AC1527" s="104"/>
      <c r="AD1527" s="103">
        <v>8</v>
      </c>
      <c r="AE1527" s="104"/>
      <c r="AF1527" s="103">
        <v>8</v>
      </c>
      <c r="AG1527" s="104"/>
      <c r="AH1527" s="103">
        <v>8</v>
      </c>
      <c r="AI1527" s="69"/>
      <c r="AJ1527" s="70"/>
      <c r="AK1527" s="71">
        <f>SUM(W1527:AJ1527)</f>
        <v>40</v>
      </c>
      <c r="AL1527" s="72"/>
      <c r="AM1527" s="73">
        <f>SUMIF($G1526:$T1526,"",$G1527:$T1527)+SUMIF($W1526:$AJ1526,"",$W1527:$AJ1527)-AN1527</f>
        <v>80</v>
      </c>
      <c r="AN1527" s="88">
        <f>IF(SUMIF($G1526:$T1526,"",$G1527:$T1527)+SUMIF($G1526:$T1526,"F",$G1527:$T1527)+SUMIF($G1526:$T1526,"V",$G1527:$T1527)-40&lt;0,0,SUMIF($G1526:$T1526,"",$G1527:$T1527)+SUMIF($G1526:$T1526,"F",$G1527:$T1527)+SUMIF($G1526:$T1526,"V",$G1527:$T1527)-($U$9/2))+IF(SUMIF($W1526:$AJ1526,"",$W1527:$AJ1527)+SUMIF($W1526:$AJ1526,"F",$W1527:$AJ1527)+SUMIF($W1526:$AJ1526,"V",$W1527:$AJ1527)-40&lt;0,0,SUMIF($W1526:$AJ1526,"",$W1527:$AJ1527)+SUMIF($W1526:$AJ1526,"F",$W1527:$AJ1527)+SUMIF($W1526:$AJ1526,"V",$W1527:$AJ1527)-($U$9/2))</f>
        <v>0</v>
      </c>
      <c r="AO1527" s="73">
        <f>SUMIF($G1526:$T1526,"M",$G1527:$T1527)+SUMIF($W1526:$AJ1526,"M",$W1527:$AJ1527)</f>
        <v>0</v>
      </c>
      <c r="AP1527" s="73">
        <f>SUMIF($G1526:$T1526,"F",$G1527:$T1527)+SUMIF($W1526:$AJ1526,"F",$W1527:$AJ1527)</f>
        <v>0</v>
      </c>
      <c r="AQ1527" s="73">
        <f>SUMIF($G1526:$T1526,"V",$G1527:$T1527)+SUMIF($W1526:$AJ1526,"V",$W1527:$AJ1527)</f>
        <v>0</v>
      </c>
      <c r="AR1527" s="74">
        <f>SUMIF($G1526:$T1526,"O",$G1527:$T1527)+SUMIF($W1526:$AJ1526,"O",$W1527:$AJ1527)</f>
        <v>0</v>
      </c>
      <c r="AS1527" s="75">
        <f>SUM(AM1527:AR1527)</f>
        <v>80</v>
      </c>
      <c r="AT1527" s="72"/>
      <c r="AU1527" s="73">
        <f>SUMIF($G1526:$T1526,"A",$G1527:$T1527)+SUMIF($W1526:$AJ1526,"A",$W1527:$AJ1527)</f>
        <v>0</v>
      </c>
      <c r="AV1527" s="72"/>
      <c r="AW1527" s="76">
        <f>IF(B1527="",0,IF($U$9="",0,$U$9))</f>
        <v>80</v>
      </c>
      <c r="BA1527" s="2"/>
      <c r="BB1527" s="2"/>
      <c r="BC1527" s="101"/>
      <c r="BD1527" s="101"/>
    </row>
    <row r="1528" spans="1:56" s="84" customFormat="1" x14ac:dyDescent="0.35">
      <c r="B1528" s="26"/>
      <c r="C1528" s="27"/>
      <c r="D1528" s="28">
        <f>IF(D1454="","",D1454)</f>
        <v>72673</v>
      </c>
      <c r="E1528" s="29" t="str">
        <f t="shared" si="606"/>
        <v/>
      </c>
      <c r="F1528" s="50">
        <f>B1489</f>
        <v>4</v>
      </c>
      <c r="G1528" s="59"/>
      <c r="H1528" s="64"/>
      <c r="I1528" s="106"/>
      <c r="J1528" s="105"/>
      <c r="K1528" s="106"/>
      <c r="L1528" s="105"/>
      <c r="M1528" s="106"/>
      <c r="N1528" s="105"/>
      <c r="O1528" s="106"/>
      <c r="P1528" s="105"/>
      <c r="Q1528" s="106"/>
      <c r="R1528" s="105"/>
      <c r="S1528" s="59"/>
      <c r="T1528" s="64"/>
      <c r="U1528" s="44"/>
      <c r="W1528" s="59"/>
      <c r="X1528" s="64"/>
      <c r="Y1528" s="106"/>
      <c r="Z1528" s="105"/>
      <c r="AA1528" s="106"/>
      <c r="AB1528" s="105"/>
      <c r="AC1528" s="106"/>
      <c r="AD1528" s="105"/>
      <c r="AE1528" s="106"/>
      <c r="AF1528" s="105"/>
      <c r="AG1528" s="106"/>
      <c r="AH1528" s="105"/>
      <c r="AI1528" s="59"/>
      <c r="AJ1528" s="64"/>
      <c r="AK1528" s="44"/>
      <c r="AM1528" s="49"/>
      <c r="AN1528" s="49"/>
      <c r="AO1528" s="49"/>
      <c r="AP1528" s="49"/>
      <c r="AQ1528" s="49"/>
      <c r="AR1528" s="40"/>
      <c r="AS1528" s="51"/>
      <c r="AU1528" s="49"/>
      <c r="AW1528" s="52"/>
      <c r="BA1528" s="2"/>
      <c r="BB1528" s="2"/>
      <c r="BC1528" s="101"/>
      <c r="BD1528" s="101"/>
    </row>
    <row r="1529" spans="1:56" s="84" customFormat="1" x14ac:dyDescent="0.35">
      <c r="B1529" s="30" t="str">
        <f>IF(B1455="","",B1455)</f>
        <v>St-Georges, Manuel (avance $2,000)</v>
      </c>
      <c r="C1529" s="31"/>
      <c r="D1529" s="32"/>
      <c r="E1529" s="33">
        <f t="shared" si="606"/>
        <v>93595935</v>
      </c>
      <c r="F1529" s="50">
        <f>B1489</f>
        <v>4</v>
      </c>
      <c r="G1529" s="69"/>
      <c r="H1529" s="70"/>
      <c r="I1529" s="104"/>
      <c r="J1529" s="103" t="s">
        <v>69</v>
      </c>
      <c r="K1529" s="104"/>
      <c r="L1529" s="103" t="s">
        <v>69</v>
      </c>
      <c r="M1529" s="104"/>
      <c r="N1529" s="103" t="s">
        <v>69</v>
      </c>
      <c r="O1529" s="104"/>
      <c r="P1529" s="103" t="s">
        <v>69</v>
      </c>
      <c r="Q1529" s="104"/>
      <c r="R1529" s="103" t="s">
        <v>69</v>
      </c>
      <c r="S1529" s="69"/>
      <c r="T1529" s="70"/>
      <c r="U1529" s="71">
        <f t="shared" ref="U1529" si="608">SUM(G1529:T1529)</f>
        <v>0</v>
      </c>
      <c r="V1529" s="72"/>
      <c r="W1529" s="69"/>
      <c r="X1529" s="70"/>
      <c r="Y1529" s="104"/>
      <c r="Z1529" s="103" t="s">
        <v>69</v>
      </c>
      <c r="AA1529" s="104"/>
      <c r="AB1529" s="103" t="s">
        <v>69</v>
      </c>
      <c r="AC1529" s="104"/>
      <c r="AD1529" s="103" t="s">
        <v>69</v>
      </c>
      <c r="AE1529" s="104"/>
      <c r="AF1529" s="103" t="s">
        <v>69</v>
      </c>
      <c r="AG1529" s="104"/>
      <c r="AH1529" s="103" t="s">
        <v>69</v>
      </c>
      <c r="AI1529" s="69"/>
      <c r="AJ1529" s="70"/>
      <c r="AK1529" s="71">
        <f>SUM(W1529:AJ1529)</f>
        <v>0</v>
      </c>
      <c r="AL1529" s="72"/>
      <c r="AM1529" s="73">
        <f>SUMIF($G1528:$T1528,"",$G1529:$T1529)+SUMIF($W1528:$AJ1528,"",$W1529:$AJ1529)-AN1529</f>
        <v>0</v>
      </c>
      <c r="AN1529" s="88">
        <f>IF(SUMIF($G1528:$T1528,"",$G1529:$T1529)+SUMIF($G1528:$T1528,"F",$G1529:$T1529)+SUMIF($G1528:$T1528,"V",$G1529:$T1529)-40&lt;0,0,SUMIF($G1528:$T1528,"",$G1529:$T1529)+SUMIF($G1528:$T1528,"F",$G1529:$T1529)+SUMIF($G1528:$T1528,"V",$G1529:$T1529)-($U$9/2))+IF(SUMIF($W1528:$AJ1528,"",$W1529:$AJ1529)+SUMIF($W1528:$AJ1528,"F",$W1529:$AJ1529)+SUMIF($W1528:$AJ1528,"V",$W1529:$AJ1529)-40&lt;0,0,SUMIF($W1528:$AJ1528,"",$W1529:$AJ1529)+SUMIF($W1528:$AJ1528,"F",$W1529:$AJ1529)+SUMIF($W1528:$AJ1528,"V",$W1529:$AJ1529)-($U$9/2))</f>
        <v>0</v>
      </c>
      <c r="AO1529" s="73">
        <f>SUMIF($G1528:$T1528,"M",$G1529:$T1529)+SUMIF($W1528:$AJ1528,"M",$W1529:$AJ1529)</f>
        <v>0</v>
      </c>
      <c r="AP1529" s="73">
        <f>SUMIF($G1528:$T1528,"F",$G1529:$T1529)+SUMIF($W1528:$AJ1528,"F",$W1529:$AJ1529)</f>
        <v>0</v>
      </c>
      <c r="AQ1529" s="73">
        <f>SUMIF($G1528:$T1528,"V",$G1529:$T1529)+SUMIF($W1528:$AJ1528,"V",$W1529:$AJ1529)</f>
        <v>0</v>
      </c>
      <c r="AR1529" s="74">
        <f>SUMIF($G1528:$T1528,"O",$G1529:$T1529)+SUMIF($W1528:$AJ1528,"O",$W1529:$AJ1529)</f>
        <v>0</v>
      </c>
      <c r="AS1529" s="75">
        <f>SUM(AM1529:AR1529)</f>
        <v>0</v>
      </c>
      <c r="AT1529" s="72"/>
      <c r="AU1529" s="73">
        <f>SUMIF($G1528:$T1528,"A",$G1529:$T1529)+SUMIF($W1528:$AJ1528,"A",$W1529:$AJ1529)</f>
        <v>0</v>
      </c>
      <c r="AV1529" s="72"/>
      <c r="AW1529" s="76">
        <f>IF(B1529="",0,IF($U$9="",0,$U$9))</f>
        <v>80</v>
      </c>
      <c r="BA1529" s="2"/>
      <c r="BB1529" s="2"/>
      <c r="BC1529" s="101"/>
      <c r="BD1529" s="101"/>
    </row>
    <row r="1530" spans="1:56" s="84" customFormat="1" x14ac:dyDescent="0.35">
      <c r="B1530" s="26"/>
      <c r="C1530" s="27"/>
      <c r="D1530" s="28" t="str">
        <f>IF(D1456="","",D1456)</f>
        <v/>
      </c>
      <c r="E1530" s="29" t="str">
        <f t="shared" si="606"/>
        <v/>
      </c>
      <c r="F1530" s="50">
        <f>B1489</f>
        <v>4</v>
      </c>
      <c r="G1530" s="59"/>
      <c r="H1530" s="64"/>
      <c r="I1530" s="106"/>
      <c r="J1530" s="105"/>
      <c r="K1530" s="106"/>
      <c r="L1530" s="105"/>
      <c r="M1530" s="106"/>
      <c r="N1530" s="105"/>
      <c r="O1530" s="106"/>
      <c r="P1530" s="105"/>
      <c r="Q1530" s="106"/>
      <c r="R1530" s="105"/>
      <c r="S1530" s="59"/>
      <c r="T1530" s="64"/>
      <c r="U1530" s="44"/>
      <c r="W1530" s="59"/>
      <c r="X1530" s="64"/>
      <c r="Y1530" s="106"/>
      <c r="Z1530" s="105"/>
      <c r="AA1530" s="106"/>
      <c r="AB1530" s="105"/>
      <c r="AC1530" s="106"/>
      <c r="AD1530" s="105"/>
      <c r="AE1530" s="106"/>
      <c r="AF1530" s="105"/>
      <c r="AG1530" s="106"/>
      <c r="AH1530" s="105"/>
      <c r="AI1530" s="59"/>
      <c r="AJ1530" s="64"/>
      <c r="AK1530" s="44"/>
      <c r="AM1530" s="49"/>
      <c r="AN1530" s="49"/>
      <c r="AO1530" s="49"/>
      <c r="AP1530" s="49"/>
      <c r="AQ1530" s="49"/>
      <c r="AR1530" s="40"/>
      <c r="AS1530" s="51"/>
      <c r="AU1530" s="49"/>
      <c r="AW1530" s="52"/>
      <c r="BA1530" s="2"/>
      <c r="BB1530" s="2"/>
      <c r="BC1530" s="101"/>
      <c r="BD1530" s="101"/>
    </row>
    <row r="1531" spans="1:56" s="84" customFormat="1" x14ac:dyDescent="0.35">
      <c r="B1531" s="30" t="str">
        <f>IF(B1457="","",B1457)</f>
        <v/>
      </c>
      <c r="C1531" s="31"/>
      <c r="D1531" s="32"/>
      <c r="E1531" s="33" t="str">
        <f t="shared" si="606"/>
        <v/>
      </c>
      <c r="F1531" s="50">
        <f>B1489</f>
        <v>4</v>
      </c>
      <c r="G1531" s="69"/>
      <c r="H1531" s="70"/>
      <c r="I1531" s="104"/>
      <c r="J1531" s="103"/>
      <c r="K1531" s="104"/>
      <c r="L1531" s="103"/>
      <c r="M1531" s="104"/>
      <c r="N1531" s="103"/>
      <c r="O1531" s="104"/>
      <c r="P1531" s="103"/>
      <c r="Q1531" s="104"/>
      <c r="R1531" s="103"/>
      <c r="S1531" s="69"/>
      <c r="T1531" s="70"/>
      <c r="U1531" s="71">
        <f t="shared" ref="U1531" si="609">SUM(G1531:T1531)</f>
        <v>0</v>
      </c>
      <c r="V1531" s="72"/>
      <c r="W1531" s="69"/>
      <c r="X1531" s="70"/>
      <c r="Y1531" s="104"/>
      <c r="Z1531" s="103"/>
      <c r="AA1531" s="104"/>
      <c r="AB1531" s="103"/>
      <c r="AC1531" s="104"/>
      <c r="AD1531" s="103"/>
      <c r="AE1531" s="104"/>
      <c r="AF1531" s="103"/>
      <c r="AG1531" s="104"/>
      <c r="AH1531" s="103"/>
      <c r="AI1531" s="69"/>
      <c r="AJ1531" s="70"/>
      <c r="AK1531" s="71">
        <f>SUM(W1531:AJ1531)</f>
        <v>0</v>
      </c>
      <c r="AL1531" s="72"/>
      <c r="AM1531" s="73">
        <f>SUMIF($G1530:$T1530,"",$G1531:$T1531)+SUMIF($W1530:$AJ1530,"",$W1531:$AJ1531)-AN1531</f>
        <v>0</v>
      </c>
      <c r="AN1531" s="88">
        <f>IF(SUMIF($G1530:$T1530,"",$G1531:$T1531)+SUMIF($G1530:$T1530,"F",$G1531:$T1531)+SUMIF($G1530:$T1530,"V",$G1531:$T1531)-40&lt;0,0,SUMIF($G1530:$T1530,"",$G1531:$T1531)+SUMIF($G1530:$T1530,"F",$G1531:$T1531)+SUMIF($G1530:$T1530,"V",$G1531:$T1531)-($U$9/2))+IF(SUMIF($W1530:$AJ1530,"",$W1531:$AJ1531)+SUMIF($W1530:$AJ1530,"F",$W1531:$AJ1531)+SUMIF($W1530:$AJ1530,"V",$W1531:$AJ1531)-40&lt;0,0,SUMIF($W1530:$AJ1530,"",$W1531:$AJ1531)+SUMIF($W1530:$AJ1530,"F",$W1531:$AJ1531)+SUMIF($W1530:$AJ1530,"V",$W1531:$AJ1531)-($U$9/2))</f>
        <v>0</v>
      </c>
      <c r="AO1531" s="73">
        <f>SUMIF($G1530:$T1530,"M",$G1531:$T1531)+SUMIF($W1530:$AJ1530,"M",$W1531:$AJ1531)</f>
        <v>0</v>
      </c>
      <c r="AP1531" s="73">
        <f>SUMIF($G1530:$T1530,"F",$G1531:$T1531)+SUMIF($W1530:$AJ1530,"F",$W1531:$AJ1531)</f>
        <v>0</v>
      </c>
      <c r="AQ1531" s="73">
        <f>SUMIF($G1530:$T1530,"V",$G1531:$T1531)+SUMIF($W1530:$AJ1530,"V",$W1531:$AJ1531)</f>
        <v>0</v>
      </c>
      <c r="AR1531" s="74">
        <f>SUMIF($G1530:$T1530,"O",$G1531:$T1531)+SUMIF($W1530:$AJ1530,"O",$W1531:$AJ1531)</f>
        <v>0</v>
      </c>
      <c r="AS1531" s="75">
        <f>SUM(AM1531:AR1531)</f>
        <v>0</v>
      </c>
      <c r="AT1531" s="72"/>
      <c r="AU1531" s="73">
        <f>SUMIF($G1530:$T1530,"A",$G1531:$T1531)+SUMIF($W1530:$AJ1530,"A",$W1531:$AJ1531)</f>
        <v>0</v>
      </c>
      <c r="AV1531" s="72"/>
      <c r="AW1531" s="76">
        <f>IF(B1531="",0,IF($U$9="",0,$U$9))</f>
        <v>0</v>
      </c>
      <c r="BA1531" s="2"/>
      <c r="BB1531" s="2"/>
      <c r="BC1531" s="101"/>
      <c r="BD1531" s="101"/>
    </row>
    <row r="1532" spans="1:56" s="84" customFormat="1" x14ac:dyDescent="0.35">
      <c r="B1532" s="26"/>
      <c r="C1532" s="27"/>
      <c r="D1532" s="28">
        <f>IF(D1458="","",D1458)</f>
        <v>23736</v>
      </c>
      <c r="E1532" s="29" t="str">
        <f t="shared" si="606"/>
        <v/>
      </c>
      <c r="F1532" s="50">
        <f>B1489</f>
        <v>4</v>
      </c>
      <c r="G1532" s="59"/>
      <c r="H1532" s="64"/>
      <c r="I1532" s="106"/>
      <c r="J1532" s="105"/>
      <c r="K1532" s="106"/>
      <c r="L1532" s="105"/>
      <c r="M1532" s="106"/>
      <c r="N1532" s="105"/>
      <c r="O1532" s="106"/>
      <c r="P1532" s="105"/>
      <c r="Q1532" s="106"/>
      <c r="R1532" s="105"/>
      <c r="S1532" s="59"/>
      <c r="T1532" s="64"/>
      <c r="U1532" s="44"/>
      <c r="W1532" s="59"/>
      <c r="X1532" s="64"/>
      <c r="Y1532" s="106"/>
      <c r="Z1532" s="130" t="s">
        <v>12</v>
      </c>
      <c r="AA1532" s="106"/>
      <c r="AB1532" s="130" t="s">
        <v>12</v>
      </c>
      <c r="AC1532" s="106"/>
      <c r="AD1532" s="105"/>
      <c r="AE1532" s="106"/>
      <c r="AF1532" s="105"/>
      <c r="AG1532" s="106"/>
      <c r="AH1532" s="105"/>
      <c r="AI1532" s="59"/>
      <c r="AJ1532" s="64"/>
      <c r="AK1532" s="44"/>
      <c r="AM1532" s="49"/>
      <c r="AN1532" s="49"/>
      <c r="AO1532" s="49"/>
      <c r="AP1532" s="49"/>
      <c r="AQ1532" s="49"/>
      <c r="AR1532" s="40"/>
      <c r="AS1532" s="51"/>
      <c r="AU1532" s="49"/>
      <c r="AW1532" s="52"/>
      <c r="BA1532" s="2"/>
      <c r="BB1532" s="2"/>
      <c r="BC1532" s="101"/>
      <c r="BD1532" s="101"/>
    </row>
    <row r="1533" spans="1:56" s="84" customFormat="1" x14ac:dyDescent="0.35">
      <c r="B1533" s="30" t="str">
        <f>IF(B1459="","",B1459)</f>
        <v>Voster, Jean-Michel</v>
      </c>
      <c r="C1533" s="31"/>
      <c r="D1533" s="32"/>
      <c r="E1533" s="33">
        <f t="shared" si="606"/>
        <v>93545</v>
      </c>
      <c r="F1533" s="50">
        <f>B1489</f>
        <v>4</v>
      </c>
      <c r="G1533" s="69"/>
      <c r="H1533" s="70"/>
      <c r="I1533" s="104"/>
      <c r="J1533" s="103">
        <v>8</v>
      </c>
      <c r="K1533" s="104"/>
      <c r="L1533" s="103">
        <v>7.75</v>
      </c>
      <c r="M1533" s="104"/>
      <c r="N1533" s="103">
        <v>8</v>
      </c>
      <c r="O1533" s="104"/>
      <c r="P1533" s="103">
        <v>8</v>
      </c>
      <c r="Q1533" s="104"/>
      <c r="R1533" s="103">
        <v>7.75</v>
      </c>
      <c r="S1533" s="69"/>
      <c r="T1533" s="70"/>
      <c r="U1533" s="71">
        <f t="shared" ref="U1533" si="610">SUM(G1533:T1533)</f>
        <v>39.5</v>
      </c>
      <c r="V1533" s="72"/>
      <c r="W1533" s="69"/>
      <c r="X1533" s="70"/>
      <c r="Y1533" s="104"/>
      <c r="Z1533" s="103">
        <v>8</v>
      </c>
      <c r="AA1533" s="104"/>
      <c r="AB1533" s="103">
        <v>8</v>
      </c>
      <c r="AC1533" s="104"/>
      <c r="AD1533" s="103">
        <v>7.25</v>
      </c>
      <c r="AE1533" s="104"/>
      <c r="AF1533" s="103">
        <v>8</v>
      </c>
      <c r="AG1533" s="104"/>
      <c r="AH1533" s="103">
        <v>7.5</v>
      </c>
      <c r="AI1533" s="69"/>
      <c r="AJ1533" s="70"/>
      <c r="AK1533" s="71">
        <f>SUM(W1533:AJ1533)</f>
        <v>38.75</v>
      </c>
      <c r="AL1533" s="72"/>
      <c r="AM1533" s="73">
        <f>SUMIF($G1532:$T1532,"",$G1533:$T1533)+SUMIF($W1532:$AJ1532,"",$W1533:$AJ1533)-AN1533</f>
        <v>62.25</v>
      </c>
      <c r="AN1533" s="88">
        <f>IF(SUMIF($G1532:$T1532,"",$G1533:$T1533)+SUMIF($G1532:$T1532,"F",$G1533:$T1533)+SUMIF($G1532:$T1532,"V",$G1533:$T1533)-40&lt;0,0,SUMIF($G1532:$T1532,"",$G1533:$T1533)+SUMIF($G1532:$T1532,"F",$G1533:$T1533)+SUMIF($G1532:$T1532,"V",$G1533:$T1533)-($U$9/2))+IF(SUMIF($W1532:$AJ1532,"",$W1533:$AJ1533)+SUMIF($W1532:$AJ1532,"F",$W1533:$AJ1533)+SUMIF($W1532:$AJ1532,"V",$W1533:$AJ1533)-40&lt;0,0,SUMIF($W1532:$AJ1532,"",$W1533:$AJ1533)+SUMIF($W1532:$AJ1532,"F",$W1533:$AJ1533)+SUMIF($W1532:$AJ1532,"V",$W1533:$AJ1533)-($U$9/2))</f>
        <v>0</v>
      </c>
      <c r="AO1533" s="73">
        <f>SUMIF($G1532:$T1532,"M",$G1533:$T1533)+SUMIF($W1532:$AJ1532,"M",$W1533:$AJ1533)</f>
        <v>16</v>
      </c>
      <c r="AP1533" s="73">
        <f>SUMIF($G1532:$T1532,"F",$G1533:$T1533)+SUMIF($W1532:$AJ1532,"F",$W1533:$AJ1533)</f>
        <v>0</v>
      </c>
      <c r="AQ1533" s="73">
        <f>SUMIF($G1532:$T1532,"V",$G1533:$T1533)+SUMIF($W1532:$AJ1532,"V",$W1533:$AJ1533)</f>
        <v>0</v>
      </c>
      <c r="AR1533" s="74">
        <f>SUMIF($G1532:$T1532,"O",$G1533:$T1533)+SUMIF($W1532:$AJ1532,"O",$W1533:$AJ1533)</f>
        <v>0</v>
      </c>
      <c r="AS1533" s="75">
        <f>SUM(AM1533:AR1533)</f>
        <v>78.25</v>
      </c>
      <c r="AT1533" s="72"/>
      <c r="AU1533" s="73">
        <f>SUMIF($G1532:$T1532,"A",$G1533:$T1533)+SUMIF($W1532:$AJ1532,"A",$W1533:$AJ1533)</f>
        <v>0</v>
      </c>
      <c r="AV1533" s="72"/>
      <c r="AW1533" s="76">
        <f>IF(B1533="",0,IF($U$9="",0,$U$9))</f>
        <v>80</v>
      </c>
      <c r="BA1533" s="2"/>
      <c r="BB1533" s="2"/>
      <c r="BC1533" s="101"/>
      <c r="BD1533" s="101"/>
    </row>
    <row r="1534" spans="1:56" s="53" customFormat="1" ht="15" customHeight="1" x14ac:dyDescent="0.35">
      <c r="A1534" s="84"/>
      <c r="B1534" s="26"/>
      <c r="C1534" s="27"/>
      <c r="D1534" s="28" t="str">
        <f>IF(D1460="","",D1460)</f>
        <v/>
      </c>
      <c r="E1534" s="29" t="str">
        <f t="shared" si="606"/>
        <v/>
      </c>
      <c r="F1534" s="50">
        <f>B1489</f>
        <v>4</v>
      </c>
      <c r="G1534" s="59"/>
      <c r="H1534" s="64"/>
      <c r="I1534" s="106"/>
      <c r="J1534" s="105"/>
      <c r="K1534" s="106"/>
      <c r="L1534" s="105"/>
      <c r="M1534" s="106"/>
      <c r="N1534" s="105"/>
      <c r="O1534" s="106"/>
      <c r="P1534" s="105"/>
      <c r="Q1534" s="106"/>
      <c r="R1534" s="105"/>
      <c r="S1534" s="59"/>
      <c r="T1534" s="64"/>
      <c r="U1534" s="44"/>
      <c r="V1534" s="84"/>
      <c r="W1534" s="59"/>
      <c r="X1534" s="64"/>
      <c r="Y1534" s="106"/>
      <c r="Z1534" s="105"/>
      <c r="AA1534" s="106"/>
      <c r="AB1534" s="105"/>
      <c r="AC1534" s="106"/>
      <c r="AD1534" s="105"/>
      <c r="AE1534" s="106"/>
      <c r="AF1534" s="105"/>
      <c r="AG1534" s="106"/>
      <c r="AH1534" s="105"/>
      <c r="AI1534" s="59"/>
      <c r="AJ1534" s="64"/>
      <c r="AK1534" s="44"/>
      <c r="AL1534" s="84"/>
      <c r="AM1534" s="49"/>
      <c r="AN1534" s="49"/>
      <c r="AO1534" s="49"/>
      <c r="AP1534" s="49"/>
      <c r="AQ1534" s="49"/>
      <c r="AR1534" s="40"/>
      <c r="AS1534" s="51"/>
      <c r="AT1534" s="84"/>
      <c r="AU1534" s="49"/>
      <c r="AV1534" s="84"/>
      <c r="AW1534" s="52"/>
      <c r="AX1534" s="84"/>
      <c r="BA1534" s="2"/>
      <c r="BB1534" s="2"/>
      <c r="BC1534" s="101"/>
      <c r="BD1534" s="101"/>
    </row>
    <row r="1535" spans="1:56" s="57" customFormat="1" ht="15" customHeight="1" x14ac:dyDescent="0.35">
      <c r="A1535" s="84"/>
      <c r="B1535" s="30" t="str">
        <f>IF(B1461="","",B1461)</f>
        <v/>
      </c>
      <c r="C1535" s="31"/>
      <c r="D1535" s="32"/>
      <c r="E1535" s="33" t="str">
        <f t="shared" si="606"/>
        <v/>
      </c>
      <c r="F1535" s="50">
        <f>B1489</f>
        <v>4</v>
      </c>
      <c r="G1535" s="69"/>
      <c r="H1535" s="70"/>
      <c r="I1535" s="104"/>
      <c r="J1535" s="103"/>
      <c r="K1535" s="104"/>
      <c r="L1535" s="103"/>
      <c r="M1535" s="104"/>
      <c r="N1535" s="103"/>
      <c r="O1535" s="104"/>
      <c r="P1535" s="103"/>
      <c r="Q1535" s="104"/>
      <c r="R1535" s="103"/>
      <c r="S1535" s="69"/>
      <c r="T1535" s="70"/>
      <c r="U1535" s="71">
        <f t="shared" ref="U1535" si="611">SUM(G1535:T1535)</f>
        <v>0</v>
      </c>
      <c r="V1535" s="72"/>
      <c r="W1535" s="69"/>
      <c r="X1535" s="70"/>
      <c r="Y1535" s="104"/>
      <c r="Z1535" s="103"/>
      <c r="AA1535" s="104"/>
      <c r="AB1535" s="103"/>
      <c r="AC1535" s="104"/>
      <c r="AD1535" s="103"/>
      <c r="AE1535" s="104"/>
      <c r="AF1535" s="103"/>
      <c r="AG1535" s="104"/>
      <c r="AH1535" s="103"/>
      <c r="AI1535" s="69"/>
      <c r="AJ1535" s="70"/>
      <c r="AK1535" s="71">
        <f>SUM(W1535:AJ1535)</f>
        <v>0</v>
      </c>
      <c r="AL1535" s="72"/>
      <c r="AM1535" s="73">
        <f>SUMIF($G1534:$T1534,"",$G1535:$T1535)+SUMIF($W1534:$AJ1534,"",$W1535:$AJ1535)-AN1535</f>
        <v>0</v>
      </c>
      <c r="AN1535" s="88">
        <f>IF(SUMIF($G1534:$T1534,"",$G1535:$T1535)+SUMIF($G1534:$T1534,"F",$G1535:$T1535)+SUMIF($G1534:$T1534,"V",$G1535:$T1535)-40&lt;0,0,SUMIF($G1534:$T1534,"",$G1535:$T1535)+SUMIF($G1534:$T1534,"F",$G1535:$T1535)+SUMIF($G1534:$T1534,"V",$G1535:$T1535)-($U$9/2))+IF(SUMIF($W1534:$AJ1534,"",$W1535:$AJ1535)+SUMIF($W1534:$AJ1534,"F",$W1535:$AJ1535)+SUMIF($W1534:$AJ1534,"V",$W1535:$AJ1535)-40&lt;0,0,SUMIF($W1534:$AJ1534,"",$W1535:$AJ1535)+SUMIF($W1534:$AJ1534,"F",$W1535:$AJ1535)+SUMIF($W1534:$AJ1534,"V",$W1535:$AJ1535)-($U$9/2))</f>
        <v>0</v>
      </c>
      <c r="AO1535" s="73">
        <f>SUMIF($G1534:$T1534,"M",$G1535:$T1535)+SUMIF($W1534:$AJ1534,"M",$W1535:$AJ1535)</f>
        <v>0</v>
      </c>
      <c r="AP1535" s="73">
        <f>SUMIF($G1534:$T1534,"F",$G1535:$T1535)+SUMIF($W1534:$AJ1534,"F",$W1535:$AJ1535)</f>
        <v>0</v>
      </c>
      <c r="AQ1535" s="73">
        <f>SUMIF($G1534:$T1534,"V",$G1535:$T1535)+SUMIF($W1534:$AJ1534,"V",$W1535:$AJ1535)</f>
        <v>0</v>
      </c>
      <c r="AR1535" s="74">
        <f>SUMIF($G1534:$T1534,"O",$G1535:$T1535)+SUMIF($W1534:$AJ1534,"O",$W1535:$AJ1535)</f>
        <v>0</v>
      </c>
      <c r="AS1535" s="75">
        <f>SUM(AM1535:AR1535)</f>
        <v>0</v>
      </c>
      <c r="AT1535" s="72"/>
      <c r="AU1535" s="73">
        <f>SUMIF($G1534:$T1534,"A",$G1535:$T1535)+SUMIF($W1534:$AJ1534,"A",$W1535:$AJ1535)</f>
        <v>0</v>
      </c>
      <c r="AV1535" s="72"/>
      <c r="AW1535" s="76">
        <f>IF(B1535="",0,IF($U$9="",0,$U$9))</f>
        <v>0</v>
      </c>
      <c r="AX1535" s="84"/>
      <c r="BA1535" s="2"/>
      <c r="BB1535" s="2"/>
      <c r="BC1535" s="101"/>
      <c r="BD1535" s="101"/>
    </row>
    <row r="1536" spans="1:56" s="53" customFormat="1" ht="15" customHeight="1" x14ac:dyDescent="0.35">
      <c r="A1536" s="84"/>
      <c r="B1536" s="26"/>
      <c r="C1536" s="27"/>
      <c r="D1536" s="28">
        <v>35135</v>
      </c>
      <c r="E1536" s="29" t="str">
        <f t="shared" si="606"/>
        <v/>
      </c>
      <c r="F1536" s="50">
        <f>B1489</f>
        <v>4</v>
      </c>
      <c r="G1536" s="59"/>
      <c r="H1536" s="64"/>
      <c r="I1536" s="106"/>
      <c r="J1536" s="105"/>
      <c r="K1536" s="106"/>
      <c r="L1536" s="105"/>
      <c r="M1536" s="106"/>
      <c r="N1536" s="105"/>
      <c r="O1536" s="106"/>
      <c r="P1536" s="105"/>
      <c r="Q1536" s="106"/>
      <c r="R1536" s="105"/>
      <c r="S1536" s="59"/>
      <c r="T1536" s="64"/>
      <c r="U1536" s="44"/>
      <c r="V1536" s="84"/>
      <c r="W1536" s="59"/>
      <c r="X1536" s="64"/>
      <c r="Y1536" s="106"/>
      <c r="Z1536" s="105"/>
      <c r="AA1536" s="106"/>
      <c r="AB1536" s="105"/>
      <c r="AC1536" s="106"/>
      <c r="AD1536" s="105"/>
      <c r="AE1536" s="106"/>
      <c r="AF1536" s="105"/>
      <c r="AG1536" s="106"/>
      <c r="AH1536" s="105"/>
      <c r="AI1536" s="59"/>
      <c r="AJ1536" s="64"/>
      <c r="AK1536" s="44"/>
      <c r="AL1536" s="84"/>
      <c r="AM1536" s="49"/>
      <c r="AN1536" s="49"/>
      <c r="AO1536" s="49"/>
      <c r="AP1536" s="49"/>
      <c r="AQ1536" s="49"/>
      <c r="AR1536" s="40"/>
      <c r="AS1536" s="51"/>
      <c r="AT1536" s="84"/>
      <c r="AU1536" s="49"/>
      <c r="AV1536" s="84"/>
      <c r="AW1536" s="52"/>
      <c r="AX1536" s="84"/>
      <c r="BA1536" s="2"/>
      <c r="BB1536" s="2"/>
      <c r="BC1536" s="101"/>
      <c r="BD1536" s="101"/>
    </row>
    <row r="1537" spans="1:56" s="53" customFormat="1" x14ac:dyDescent="0.35">
      <c r="A1537" s="84"/>
      <c r="B1537" s="30" t="str">
        <f>IF(B1463="","",B1463)</f>
        <v>Dupont,Catherine</v>
      </c>
      <c r="C1537" s="31"/>
      <c r="D1537" s="32"/>
      <c r="E1537" s="33">
        <f t="shared" si="606"/>
        <v>93545</v>
      </c>
      <c r="F1537" s="50">
        <f>B1489</f>
        <v>4</v>
      </c>
      <c r="G1537" s="69"/>
      <c r="H1537" s="70"/>
      <c r="I1537" s="104"/>
      <c r="J1537" s="103">
        <v>8</v>
      </c>
      <c r="K1537" s="104"/>
      <c r="L1537" s="103">
        <v>8</v>
      </c>
      <c r="M1537" s="104"/>
      <c r="N1537" s="103">
        <v>8.25</v>
      </c>
      <c r="O1537" s="104"/>
      <c r="P1537" s="103">
        <v>8</v>
      </c>
      <c r="Q1537" s="104"/>
      <c r="R1537" s="103">
        <v>8</v>
      </c>
      <c r="S1537" s="69"/>
      <c r="T1537" s="70"/>
      <c r="U1537" s="71">
        <f t="shared" ref="U1537" si="612">SUM(G1537:T1537)</f>
        <v>40.25</v>
      </c>
      <c r="V1537" s="72"/>
      <c r="W1537" s="69"/>
      <c r="X1537" s="70"/>
      <c r="Y1537" s="104"/>
      <c r="Z1537" s="103">
        <v>8</v>
      </c>
      <c r="AA1537" s="104"/>
      <c r="AB1537" s="103">
        <v>8</v>
      </c>
      <c r="AC1537" s="104"/>
      <c r="AD1537" s="103">
        <v>8</v>
      </c>
      <c r="AE1537" s="104"/>
      <c r="AF1537" s="103">
        <v>8</v>
      </c>
      <c r="AG1537" s="104"/>
      <c r="AH1537" s="103">
        <v>7.5</v>
      </c>
      <c r="AI1537" s="69"/>
      <c r="AJ1537" s="70"/>
      <c r="AK1537" s="71">
        <f>SUM(W1537:AJ1537)</f>
        <v>39.5</v>
      </c>
      <c r="AL1537" s="72"/>
      <c r="AM1537" s="73">
        <f>SUMIF($G1536:$T1536,"",$G1537:$T1537)+SUMIF($W1536:$AJ1536,"",$W1537:$AJ1537)-AN1537</f>
        <v>79.5</v>
      </c>
      <c r="AN1537" s="88">
        <f>IF(SUMIF($G1536:$T1536,"",$G1537:$T1537)+SUMIF($G1536:$T1536,"F",$G1537:$T1537)+SUMIF($G1536:$T1536,"V",$G1537:$T1537)-40&lt;0,0,SUMIF($G1536:$T1536,"",$G1537:$T1537)+SUMIF($G1536:$T1536,"F",$G1537:$T1537)+SUMIF($G1536:$T1536,"V",$G1537:$T1537)-($U$9/2))+IF(SUMIF($W1536:$AJ1536,"",$W1537:$AJ1537)+SUMIF($W1536:$AJ1536,"F",$W1537:$AJ1537)+SUMIF($W1536:$AJ1536,"V",$W1537:$AJ1537)-40&lt;0,0,SUMIF($W1536:$AJ1536,"",$W1537:$AJ1537)+SUMIF($W1536:$AJ1536,"F",$W1537:$AJ1537)+SUMIF($W1536:$AJ1536,"V",$W1537:$AJ1537)-($U$9/2))</f>
        <v>0.25</v>
      </c>
      <c r="AO1537" s="73">
        <f>SUMIF($G1536:$T1536,"M",$G1537:$T1537)+SUMIF($W1536:$AJ1536,"M",$W1537:$AJ1537)</f>
        <v>0</v>
      </c>
      <c r="AP1537" s="73">
        <f>SUMIF($G1536:$T1536,"F",$G1537:$T1537)+SUMIF($W1536:$AJ1536,"F",$W1537:$AJ1537)</f>
        <v>0</v>
      </c>
      <c r="AQ1537" s="73">
        <f>SUMIF($G1536:$T1536,"V",$G1537:$T1537)+SUMIF($W1536:$AJ1536,"V",$W1537:$AJ1537)</f>
        <v>0</v>
      </c>
      <c r="AR1537" s="74">
        <f>SUMIF($G1536:$T1536,"O",$G1537:$T1537)+SUMIF($W1536:$AJ1536,"O",$W1537:$AJ1537)</f>
        <v>0</v>
      </c>
      <c r="AS1537" s="75">
        <f>SUM(AM1537:AR1537)</f>
        <v>79.75</v>
      </c>
      <c r="AT1537" s="72"/>
      <c r="AU1537" s="73">
        <f>SUMIF($G1536:$T1536,"A",$G1537:$T1537)+SUMIF($W1536:$AJ1536,"A",$W1537:$AJ1537)</f>
        <v>0</v>
      </c>
      <c r="AV1537" s="72"/>
      <c r="AW1537" s="76">
        <f>IF(B1537="",0,IF($U$9="",0,$U$9))</f>
        <v>80</v>
      </c>
      <c r="AX1537" s="84"/>
      <c r="BA1537" s="2"/>
      <c r="BB1537" s="2"/>
      <c r="BC1537" s="101"/>
      <c r="BD1537" s="101"/>
    </row>
    <row r="1538" spans="1:56" s="53" customFormat="1" x14ac:dyDescent="0.35">
      <c r="A1538" s="84"/>
      <c r="B1538" s="26"/>
      <c r="C1538" s="27"/>
      <c r="D1538" s="28" t="str">
        <f>IF(D1464="","",D1464)</f>
        <v/>
      </c>
      <c r="E1538" s="29" t="str">
        <f t="shared" si="606"/>
        <v/>
      </c>
      <c r="F1538" s="50">
        <f>B1489</f>
        <v>4</v>
      </c>
      <c r="G1538" s="59"/>
      <c r="H1538" s="64"/>
      <c r="I1538" s="58"/>
      <c r="J1538" s="65"/>
      <c r="K1538" s="58"/>
      <c r="L1538" s="65"/>
      <c r="M1538" s="58"/>
      <c r="N1538" s="65"/>
      <c r="O1538" s="58"/>
      <c r="P1538" s="65"/>
      <c r="Q1538" s="58"/>
      <c r="R1538" s="65"/>
      <c r="S1538" s="59"/>
      <c r="T1538" s="64"/>
      <c r="U1538" s="44"/>
      <c r="V1538" s="84"/>
      <c r="W1538" s="59"/>
      <c r="X1538" s="64"/>
      <c r="Y1538" s="58"/>
      <c r="Z1538" s="65"/>
      <c r="AA1538" s="58"/>
      <c r="AB1538" s="65"/>
      <c r="AC1538" s="58"/>
      <c r="AD1538" s="65"/>
      <c r="AE1538" s="58"/>
      <c r="AF1538" s="65"/>
      <c r="AG1538" s="58"/>
      <c r="AH1538" s="65"/>
      <c r="AI1538" s="59"/>
      <c r="AJ1538" s="64"/>
      <c r="AK1538" s="44"/>
      <c r="AL1538" s="84"/>
      <c r="AM1538" s="49"/>
      <c r="AN1538" s="49"/>
      <c r="AO1538" s="49"/>
      <c r="AP1538" s="49"/>
      <c r="AQ1538" s="49"/>
      <c r="AR1538" s="40"/>
      <c r="AS1538" s="51"/>
      <c r="AT1538" s="84"/>
      <c r="AU1538" s="49"/>
      <c r="AV1538" s="84"/>
      <c r="AW1538" s="52"/>
      <c r="AX1538" s="84"/>
      <c r="BA1538" s="2"/>
      <c r="BB1538" s="2"/>
      <c r="BC1538" s="101"/>
      <c r="BD1538" s="101"/>
    </row>
    <row r="1539" spans="1:56" s="53" customFormat="1" x14ac:dyDescent="0.35">
      <c r="A1539" s="84"/>
      <c r="B1539" s="30" t="str">
        <f>IF(B1465="","",B1465)</f>
        <v/>
      </c>
      <c r="C1539" s="31"/>
      <c r="D1539" s="32"/>
      <c r="E1539" s="33" t="str">
        <f t="shared" si="606"/>
        <v/>
      </c>
      <c r="F1539" s="50">
        <f>B1489</f>
        <v>4</v>
      </c>
      <c r="G1539" s="69"/>
      <c r="H1539" s="70"/>
      <c r="I1539" s="67"/>
      <c r="J1539" s="68"/>
      <c r="K1539" s="67"/>
      <c r="L1539" s="68"/>
      <c r="M1539" s="67"/>
      <c r="N1539" s="68"/>
      <c r="O1539" s="67"/>
      <c r="P1539" s="68"/>
      <c r="Q1539" s="67"/>
      <c r="R1539" s="68"/>
      <c r="S1539" s="69"/>
      <c r="T1539" s="70"/>
      <c r="U1539" s="71">
        <f t="shared" ref="U1539" si="613">SUM(G1539:T1539)</f>
        <v>0</v>
      </c>
      <c r="V1539" s="72"/>
      <c r="W1539" s="69"/>
      <c r="X1539" s="70"/>
      <c r="Y1539" s="67"/>
      <c r="Z1539" s="68"/>
      <c r="AA1539" s="67"/>
      <c r="AB1539" s="68"/>
      <c r="AC1539" s="67"/>
      <c r="AD1539" s="68"/>
      <c r="AE1539" s="67"/>
      <c r="AF1539" s="68"/>
      <c r="AG1539" s="67"/>
      <c r="AH1539" s="68"/>
      <c r="AI1539" s="69"/>
      <c r="AJ1539" s="70"/>
      <c r="AK1539" s="71">
        <v>0</v>
      </c>
      <c r="AL1539" s="72"/>
      <c r="AM1539" s="73">
        <f>SUMIF($G1538:$T1538,"",$G1539:$T1539)+SUMIF($W1538:$AJ1538,"",$W1539:$AJ1539)-AN1539</f>
        <v>0</v>
      </c>
      <c r="AN1539" s="88">
        <f>IF(SUMIF($G1538:$T1538,"",$G1539:$T1539)+SUMIF($G1538:$T1538,"F",$G1539:$T1539)+SUMIF($G1538:$T1538,"V",$G1539:$T1539)-40&lt;0,0,SUMIF($G1538:$T1538,"",$G1539:$T1539)+SUMIF($G1538:$T1538,"F",$G1539:$T1539)+SUMIF($G1538:$T1538,"V",$G1539:$T1539)-($U$9/2))+IF(SUMIF($W1538:$AJ1538,"",$W1539:$AJ1539)+SUMIF($W1538:$AJ1538,"F",$W1539:$AJ1539)+SUMIF($W1538:$AJ1538,"V",$W1539:$AJ1539)-40&lt;0,0,SUMIF($W1538:$AJ1538,"",$W1539:$AJ1539)+SUMIF($W1538:$AJ1538,"F",$W1539:$AJ1539)+SUMIF($W1538:$AJ1538,"V",$W1539:$AJ1539)-($U$9/2))</f>
        <v>0</v>
      </c>
      <c r="AO1539" s="73">
        <f>SUMIF($G1538:$T1538,"M",$G1539:$T1539)+SUMIF($W1538:$AJ1538,"M",$W1539:$AJ1539)</f>
        <v>0</v>
      </c>
      <c r="AP1539" s="73">
        <f>SUMIF($G1538:$T1538,"F",$G1539:$T1539)+SUMIF($W1538:$AJ1538,"F",$W1539:$AJ1539)</f>
        <v>0</v>
      </c>
      <c r="AQ1539" s="73">
        <f>SUMIF($G1538:$T1538,"V",$G1539:$T1539)+SUMIF($W1538:$AJ1538,"V",$W1539:$AJ1539)</f>
        <v>0</v>
      </c>
      <c r="AR1539" s="74">
        <f>SUMIF($G1538:$T1538,"O",$G1539:$T1539)+SUMIF($W1538:$AJ1538,"O",$W1539:$AJ1539)</f>
        <v>0</v>
      </c>
      <c r="AS1539" s="75">
        <f>SUM(AM1539:AR1539)</f>
        <v>0</v>
      </c>
      <c r="AT1539" s="72"/>
      <c r="AU1539" s="73">
        <f>SUMIF($G1538:$T1538,"A",$G1539:$T1539)+SUMIF($W1538:$AJ1538,"A",$W1539:$AJ1539)</f>
        <v>0</v>
      </c>
      <c r="AV1539" s="72"/>
      <c r="AW1539" s="76">
        <f>IF(B1539="",0,IF($U$9="",0,$U$9))</f>
        <v>0</v>
      </c>
      <c r="AX1539" s="84"/>
      <c r="BA1539" s="2"/>
      <c r="BB1539" s="2"/>
      <c r="BC1539" s="101"/>
      <c r="BD1539" s="101"/>
    </row>
    <row r="1540" spans="1:56" s="53" customFormat="1" x14ac:dyDescent="0.35">
      <c r="A1540" s="84"/>
      <c r="B1540" s="26"/>
      <c r="C1540" s="27"/>
      <c r="D1540" s="28" t="str">
        <f>IF(D1466="","",D1466)</f>
        <v/>
      </c>
      <c r="E1540" s="29" t="str">
        <f t="shared" si="606"/>
        <v/>
      </c>
      <c r="F1540" s="50">
        <f>B1489</f>
        <v>4</v>
      </c>
      <c r="G1540" s="59"/>
      <c r="H1540" s="64"/>
      <c r="I1540" s="58"/>
      <c r="J1540" s="65"/>
      <c r="K1540" s="58"/>
      <c r="L1540" s="65"/>
      <c r="M1540" s="58"/>
      <c r="N1540" s="65"/>
      <c r="O1540" s="58"/>
      <c r="P1540" s="65"/>
      <c r="Q1540" s="58"/>
      <c r="R1540" s="65"/>
      <c r="S1540" s="59"/>
      <c r="T1540" s="64"/>
      <c r="U1540" s="44"/>
      <c r="V1540" s="84"/>
      <c r="W1540" s="59"/>
      <c r="X1540" s="64"/>
      <c r="Y1540" s="58"/>
      <c r="Z1540" s="65"/>
      <c r="AA1540" s="58"/>
      <c r="AB1540" s="65"/>
      <c r="AC1540" s="58"/>
      <c r="AD1540" s="65"/>
      <c r="AE1540" s="58"/>
      <c r="AF1540" s="65"/>
      <c r="AG1540" s="58"/>
      <c r="AH1540" s="65"/>
      <c r="AI1540" s="59"/>
      <c r="AJ1540" s="64"/>
      <c r="AK1540" s="44"/>
      <c r="AL1540" s="84"/>
      <c r="AM1540" s="49"/>
      <c r="AN1540" s="49"/>
      <c r="AO1540" s="49"/>
      <c r="AP1540" s="49"/>
      <c r="AQ1540" s="49"/>
      <c r="AR1540" s="40"/>
      <c r="AS1540" s="51"/>
      <c r="AT1540" s="84"/>
      <c r="AU1540" s="49"/>
      <c r="AV1540" s="84"/>
      <c r="AW1540" s="52"/>
      <c r="AX1540" s="84"/>
      <c r="BA1540" s="2"/>
      <c r="BB1540" s="2"/>
      <c r="BC1540" s="101"/>
      <c r="BD1540" s="101"/>
    </row>
    <row r="1541" spans="1:56" s="53" customFormat="1" x14ac:dyDescent="0.35">
      <c r="A1541" s="84"/>
      <c r="B1541" s="30" t="str">
        <f>IF(B1467="","",B1467)</f>
        <v/>
      </c>
      <c r="C1541" s="31"/>
      <c r="D1541" s="32"/>
      <c r="E1541" s="33" t="str">
        <f t="shared" si="606"/>
        <v/>
      </c>
      <c r="F1541" s="50">
        <f>B1489</f>
        <v>4</v>
      </c>
      <c r="G1541" s="69"/>
      <c r="H1541" s="70"/>
      <c r="I1541" s="67"/>
      <c r="J1541" s="68"/>
      <c r="K1541" s="67"/>
      <c r="L1541" s="68"/>
      <c r="M1541" s="67"/>
      <c r="N1541" s="68"/>
      <c r="O1541" s="67"/>
      <c r="P1541" s="68"/>
      <c r="Q1541" s="67"/>
      <c r="R1541" s="68"/>
      <c r="S1541" s="69"/>
      <c r="T1541" s="70"/>
      <c r="U1541" s="71">
        <f t="shared" ref="U1541" si="614">SUM(G1541:T1541)</f>
        <v>0</v>
      </c>
      <c r="V1541" s="72"/>
      <c r="W1541" s="69"/>
      <c r="X1541" s="70"/>
      <c r="Y1541" s="67"/>
      <c r="Z1541" s="68"/>
      <c r="AA1541" s="67"/>
      <c r="AB1541" s="68"/>
      <c r="AC1541" s="67"/>
      <c r="AD1541" s="68"/>
      <c r="AE1541" s="67"/>
      <c r="AF1541" s="68"/>
      <c r="AG1541" s="67"/>
      <c r="AH1541" s="68"/>
      <c r="AI1541" s="69"/>
      <c r="AJ1541" s="70"/>
      <c r="AK1541" s="71">
        <v>0</v>
      </c>
      <c r="AL1541" s="72"/>
      <c r="AM1541" s="73">
        <v>0</v>
      </c>
      <c r="AN1541" s="88">
        <v>0</v>
      </c>
      <c r="AO1541" s="73">
        <v>0</v>
      </c>
      <c r="AP1541" s="73">
        <v>0</v>
      </c>
      <c r="AQ1541" s="73">
        <v>0</v>
      </c>
      <c r="AR1541" s="74">
        <v>0</v>
      </c>
      <c r="AS1541" s="75">
        <v>0</v>
      </c>
      <c r="AT1541" s="72"/>
      <c r="AU1541" s="73">
        <f>SUMIF($G1540:$T1540,"A",$G1541:$T1541)+SUMIF($W1540:$AJ1540,"A",$W1541:$AJ1541)</f>
        <v>0</v>
      </c>
      <c r="AV1541" s="72"/>
      <c r="AW1541" s="76">
        <f>IF(B1541="",0,IF($U$9="",0,$U$9))</f>
        <v>0</v>
      </c>
      <c r="AX1541" s="84"/>
      <c r="BA1541" s="2"/>
      <c r="BB1541" s="2"/>
      <c r="BC1541" s="101"/>
      <c r="BD1541" s="101"/>
    </row>
    <row r="1542" spans="1:56" s="53" customFormat="1" x14ac:dyDescent="0.35">
      <c r="A1542" s="84"/>
      <c r="B1542" s="26"/>
      <c r="C1542" s="27"/>
      <c r="D1542" s="28" t="str">
        <f>IF(D1468="","",D1468)</f>
        <v/>
      </c>
      <c r="E1542" s="29" t="str">
        <f t="shared" si="606"/>
        <v/>
      </c>
      <c r="F1542" s="50">
        <f>B1489</f>
        <v>4</v>
      </c>
      <c r="G1542" s="59"/>
      <c r="H1542" s="64"/>
      <c r="I1542" s="58"/>
      <c r="J1542" s="65"/>
      <c r="K1542" s="58"/>
      <c r="L1542" s="65"/>
      <c r="M1542" s="58"/>
      <c r="N1542" s="65"/>
      <c r="O1542" s="58"/>
      <c r="P1542" s="65"/>
      <c r="Q1542" s="58"/>
      <c r="R1542" s="65"/>
      <c r="S1542" s="59"/>
      <c r="T1542" s="64"/>
      <c r="U1542" s="44"/>
      <c r="V1542" s="84"/>
      <c r="W1542" s="59"/>
      <c r="X1542" s="64"/>
      <c r="Y1542" s="58"/>
      <c r="Z1542" s="65"/>
      <c r="AA1542" s="58"/>
      <c r="AB1542" s="65"/>
      <c r="AC1542" s="58"/>
      <c r="AD1542" s="65"/>
      <c r="AE1542" s="58"/>
      <c r="AF1542" s="65"/>
      <c r="AG1542" s="58"/>
      <c r="AH1542" s="65"/>
      <c r="AI1542" s="59"/>
      <c r="AJ1542" s="64"/>
      <c r="AK1542" s="44"/>
      <c r="AL1542" s="84"/>
      <c r="AM1542" s="49"/>
      <c r="AN1542" s="49"/>
      <c r="AO1542" s="49"/>
      <c r="AP1542" s="49"/>
      <c r="AQ1542" s="49"/>
      <c r="AR1542" s="40"/>
      <c r="AS1542" s="51"/>
      <c r="AT1542" s="84"/>
      <c r="AU1542" s="49"/>
      <c r="AV1542" s="84"/>
      <c r="AW1542" s="52"/>
      <c r="AX1542" s="84"/>
      <c r="BA1542" s="2"/>
      <c r="BB1542" s="2"/>
      <c r="BC1542" s="101"/>
      <c r="BD1542" s="101"/>
    </row>
    <row r="1543" spans="1:56" s="53" customFormat="1" ht="15" thickBot="1" x14ac:dyDescent="0.4">
      <c r="A1543" s="84"/>
      <c r="B1543" s="30" t="str">
        <f>IF(B1469="","",B1469)</f>
        <v/>
      </c>
      <c r="C1543" s="31"/>
      <c r="D1543" s="32"/>
      <c r="E1543" s="33" t="str">
        <f t="shared" si="606"/>
        <v/>
      </c>
      <c r="F1543" s="50">
        <f>B1489</f>
        <v>4</v>
      </c>
      <c r="G1543" s="69"/>
      <c r="H1543" s="70"/>
      <c r="I1543" s="67"/>
      <c r="J1543" s="68"/>
      <c r="K1543" s="67"/>
      <c r="L1543" s="68"/>
      <c r="M1543" s="67"/>
      <c r="N1543" s="68"/>
      <c r="O1543" s="67"/>
      <c r="P1543" s="68"/>
      <c r="Q1543" s="67"/>
      <c r="R1543" s="68"/>
      <c r="S1543" s="69"/>
      <c r="T1543" s="70"/>
      <c r="U1543" s="71">
        <f t="shared" ref="U1543" si="615">SUM(G1543:T1543)</f>
        <v>0</v>
      </c>
      <c r="V1543" s="72"/>
      <c r="W1543" s="69"/>
      <c r="X1543" s="70"/>
      <c r="Y1543" s="67"/>
      <c r="Z1543" s="68"/>
      <c r="AA1543" s="67"/>
      <c r="AB1543" s="68"/>
      <c r="AC1543" s="67"/>
      <c r="AD1543" s="68"/>
      <c r="AE1543" s="67"/>
      <c r="AF1543" s="68"/>
      <c r="AG1543" s="67"/>
      <c r="AH1543" s="68"/>
      <c r="AI1543" s="69"/>
      <c r="AJ1543" s="70"/>
      <c r="AK1543" s="71">
        <v>0</v>
      </c>
      <c r="AL1543" s="72"/>
      <c r="AM1543" s="73">
        <v>0</v>
      </c>
      <c r="AN1543" s="88">
        <v>0</v>
      </c>
      <c r="AO1543" s="73">
        <v>0</v>
      </c>
      <c r="AP1543" s="73">
        <v>0</v>
      </c>
      <c r="AQ1543" s="73">
        <v>0</v>
      </c>
      <c r="AR1543" s="74">
        <v>0</v>
      </c>
      <c r="AS1543" s="75">
        <v>0</v>
      </c>
      <c r="AT1543" s="72"/>
      <c r="AU1543" s="73">
        <f>SUMIF($G1542:$T1542,"A",$G1543:$T1543)+SUMIF($W1542:$AJ1542,"A",$W1543:$AJ1543)</f>
        <v>0</v>
      </c>
      <c r="AV1543" s="72"/>
      <c r="AW1543" s="76">
        <f>IF(B1543="",0,IF($U$9="",0,$U$9))</f>
        <v>0</v>
      </c>
      <c r="AX1543" s="84"/>
      <c r="BA1543" s="2"/>
      <c r="BB1543" s="2"/>
      <c r="BC1543" s="101"/>
      <c r="BD1543" s="101"/>
    </row>
    <row r="1544" spans="1:56" s="53" customFormat="1" ht="27.75" customHeight="1" thickBot="1" x14ac:dyDescent="0.4">
      <c r="A1544" s="84"/>
      <c r="B1544" s="149" t="s">
        <v>7</v>
      </c>
      <c r="C1544" s="150"/>
      <c r="D1544" s="150"/>
      <c r="E1544" s="151"/>
      <c r="F1544" s="97"/>
      <c r="G1544" s="152">
        <f>SUM(G1494:H1543)</f>
        <v>0</v>
      </c>
      <c r="H1544" s="152"/>
      <c r="I1544" s="152">
        <f>SUM(I1494:J1543)</f>
        <v>113.25</v>
      </c>
      <c r="J1544" s="152"/>
      <c r="K1544" s="152">
        <f>SUM(K1494:L1543)</f>
        <v>113.25</v>
      </c>
      <c r="L1544" s="152"/>
      <c r="M1544" s="152">
        <f>SUM(M1494:N1543)</f>
        <v>113.5</v>
      </c>
      <c r="N1544" s="152"/>
      <c r="O1544" s="152">
        <f>SUM(O1494:P1543)</f>
        <v>113.25</v>
      </c>
      <c r="P1544" s="152"/>
      <c r="Q1544" s="152">
        <f>SUM(Q1494:R1543)</f>
        <v>111.75</v>
      </c>
      <c r="R1544" s="152"/>
      <c r="S1544" s="152">
        <f>SUM(S1494:T1543)</f>
        <v>0</v>
      </c>
      <c r="T1544" s="153"/>
      <c r="U1544" s="77">
        <f>SUM(U1494:U1543)</f>
        <v>565</v>
      </c>
      <c r="V1544" s="78"/>
      <c r="W1544" s="152">
        <f>SUM(W1494:X1543)</f>
        <v>0</v>
      </c>
      <c r="X1544" s="152"/>
      <c r="Y1544" s="152">
        <f>SUM(Y1494:Z1543)</f>
        <v>121.25</v>
      </c>
      <c r="Z1544" s="152"/>
      <c r="AA1544" s="152">
        <f>SUM(AA1494:AB1543)</f>
        <v>121</v>
      </c>
      <c r="AB1544" s="152"/>
      <c r="AC1544" s="152">
        <f>SUM(AC1494:AD1543)</f>
        <v>120.25</v>
      </c>
      <c r="AD1544" s="152"/>
      <c r="AE1544" s="152">
        <f>SUM(AE1494:AF1543)</f>
        <v>121</v>
      </c>
      <c r="AF1544" s="152"/>
      <c r="AG1544" s="152">
        <f>SUM(AG1494:AH1543)</f>
        <v>118.75</v>
      </c>
      <c r="AH1544" s="152"/>
      <c r="AI1544" s="152">
        <f>SUM(AI1494:AJ1543)</f>
        <v>0</v>
      </c>
      <c r="AJ1544" s="152"/>
      <c r="AK1544" s="77">
        <f>SUM(AK1494:AK1543)</f>
        <v>602.25</v>
      </c>
      <c r="AL1544" s="78"/>
      <c r="AM1544" s="79">
        <f t="shared" ref="AM1544:AS1544" si="616">SUM(AM1494:AM1543)</f>
        <v>1115.25</v>
      </c>
      <c r="AN1544" s="79">
        <f t="shared" si="616"/>
        <v>12</v>
      </c>
      <c r="AO1544" s="79">
        <f t="shared" si="616"/>
        <v>24</v>
      </c>
      <c r="AP1544" s="79">
        <f t="shared" si="616"/>
        <v>0</v>
      </c>
      <c r="AQ1544" s="79">
        <f t="shared" si="616"/>
        <v>16</v>
      </c>
      <c r="AR1544" s="80">
        <f t="shared" si="616"/>
        <v>0</v>
      </c>
      <c r="AS1544" s="81">
        <f t="shared" si="616"/>
        <v>1167.25</v>
      </c>
      <c r="AT1544" s="78"/>
      <c r="AU1544" s="82">
        <f>SUM(AU1494:AU1543)</f>
        <v>0</v>
      </c>
      <c r="AV1544" s="78"/>
      <c r="AW1544" s="83">
        <f>SUM(AW1494:AW1543)</f>
        <v>1440</v>
      </c>
      <c r="AX1544" s="84"/>
      <c r="BA1544" s="2"/>
      <c r="BB1544" s="2"/>
      <c r="BC1544" s="101"/>
      <c r="BD1544" s="101"/>
    </row>
    <row r="1545" spans="1:56" s="53" customFormat="1" ht="15" thickTop="1" x14ac:dyDescent="0.35">
      <c r="B1545" s="54"/>
      <c r="F1545" s="98"/>
      <c r="G1545" s="55"/>
      <c r="H1545" s="55"/>
      <c r="I1545" s="55"/>
      <c r="J1545" s="55"/>
      <c r="K1545" s="55"/>
      <c r="L1545" s="55"/>
      <c r="M1545" s="55"/>
      <c r="N1545" s="55"/>
      <c r="O1545" s="55"/>
      <c r="P1545" s="55"/>
      <c r="Q1545" s="55"/>
      <c r="R1545" s="55"/>
      <c r="S1545" s="55"/>
      <c r="T1545" s="55"/>
      <c r="U1545" s="56"/>
      <c r="V1545" s="55"/>
      <c r="W1545" s="55"/>
      <c r="X1545" s="55"/>
      <c r="Y1545" s="55"/>
      <c r="Z1545" s="55"/>
      <c r="AA1545" s="55"/>
      <c r="AB1545" s="55"/>
      <c r="AC1545" s="55"/>
      <c r="AD1545" s="55"/>
      <c r="AE1545" s="55"/>
      <c r="AF1545" s="55"/>
      <c r="AG1545" s="55"/>
      <c r="AH1545" s="55"/>
      <c r="AI1545" s="55"/>
      <c r="AJ1545" s="55"/>
      <c r="AK1545" s="56"/>
      <c r="AL1545" s="55"/>
      <c r="AM1545" s="55"/>
      <c r="AN1545" s="55"/>
      <c r="AO1545" s="55"/>
      <c r="AP1545" s="55"/>
      <c r="AQ1545" s="55"/>
      <c r="AR1545" s="55"/>
      <c r="AS1545" s="55"/>
      <c r="AT1545" s="55"/>
      <c r="AU1545" s="55"/>
      <c r="AV1545" s="55"/>
      <c r="AW1545" s="55"/>
      <c r="BA1545" s="2"/>
      <c r="BB1545" s="2"/>
      <c r="BC1545" s="101"/>
      <c r="BD1545" s="101"/>
    </row>
    <row r="1546" spans="1:56" s="53" customFormat="1" x14ac:dyDescent="0.35">
      <c r="B1546" s="54" t="s">
        <v>52</v>
      </c>
      <c r="D1546" s="141" t="s">
        <v>107</v>
      </c>
      <c r="E1546" s="141"/>
      <c r="F1546" s="141"/>
      <c r="G1546" s="141"/>
      <c r="H1546" s="141"/>
      <c r="I1546" s="141"/>
      <c r="J1546" s="141"/>
      <c r="K1546" s="141"/>
      <c r="L1546" s="141"/>
      <c r="M1546" s="141"/>
      <c r="N1546" s="141"/>
      <c r="O1546" s="141"/>
      <c r="P1546" s="141"/>
      <c r="Q1546" s="141"/>
      <c r="R1546" s="141"/>
      <c r="S1546" s="141"/>
      <c r="T1546" s="141"/>
      <c r="U1546" s="141"/>
      <c r="V1546" s="141"/>
      <c r="W1546" s="141"/>
      <c r="X1546" s="141"/>
      <c r="Y1546" s="141"/>
      <c r="Z1546" s="141"/>
      <c r="AA1546" s="141"/>
      <c r="AB1546" s="141"/>
      <c r="AC1546" s="141"/>
      <c r="AD1546" s="141"/>
      <c r="AE1546" s="141"/>
      <c r="AF1546" s="141"/>
      <c r="AG1546" s="141"/>
      <c r="AH1546" s="141"/>
      <c r="AI1546" s="141"/>
      <c r="AJ1546" s="141"/>
      <c r="AK1546" s="56"/>
      <c r="AL1546" s="55"/>
      <c r="AM1546" s="55"/>
      <c r="AN1546" s="55"/>
      <c r="AO1546" s="55"/>
      <c r="AP1546" s="55"/>
      <c r="AQ1546" s="55"/>
      <c r="AR1546" s="55"/>
      <c r="AS1546" s="55"/>
      <c r="AT1546" s="55"/>
      <c r="AU1546" s="55"/>
      <c r="AV1546" s="55"/>
      <c r="AW1546" s="55"/>
      <c r="BA1546" s="2"/>
      <c r="BB1546" s="2"/>
      <c r="BC1546" s="101"/>
      <c r="BD1546" s="101"/>
    </row>
    <row r="1547" spans="1:56" s="84" customFormat="1" x14ac:dyDescent="0.35">
      <c r="A1547" s="53"/>
      <c r="B1547" s="54"/>
      <c r="C1547" s="53"/>
      <c r="D1547" s="141" t="s">
        <v>108</v>
      </c>
      <c r="E1547" s="141"/>
      <c r="F1547" s="141"/>
      <c r="G1547" s="141"/>
      <c r="H1547" s="141"/>
      <c r="I1547" s="141"/>
      <c r="J1547" s="141"/>
      <c r="K1547" s="141"/>
      <c r="L1547" s="141"/>
      <c r="M1547" s="141"/>
      <c r="N1547" s="141"/>
      <c r="O1547" s="141"/>
      <c r="P1547" s="141"/>
      <c r="Q1547" s="141"/>
      <c r="R1547" s="141"/>
      <c r="S1547" s="141"/>
      <c r="T1547" s="141"/>
      <c r="U1547" s="141"/>
      <c r="V1547" s="141"/>
      <c r="W1547" s="141"/>
      <c r="X1547" s="141"/>
      <c r="Y1547" s="141"/>
      <c r="Z1547" s="141"/>
      <c r="AA1547" s="141"/>
      <c r="AB1547" s="141"/>
      <c r="AC1547" s="141"/>
      <c r="AD1547" s="141"/>
      <c r="AE1547" s="141"/>
      <c r="AF1547" s="141"/>
      <c r="AG1547" s="141"/>
      <c r="AH1547" s="141"/>
      <c r="AI1547" s="141"/>
      <c r="AJ1547" s="141"/>
      <c r="AK1547" s="56"/>
      <c r="AL1547" s="55"/>
      <c r="AM1547" s="55"/>
      <c r="AN1547" s="55"/>
      <c r="AO1547" s="55"/>
      <c r="AP1547" s="55"/>
      <c r="AQ1547" s="55"/>
      <c r="AR1547" s="55"/>
      <c r="AS1547" s="55"/>
      <c r="AT1547" s="55"/>
      <c r="AU1547" s="55"/>
      <c r="AV1547" s="55"/>
      <c r="AW1547" s="55"/>
      <c r="AX1547" s="53"/>
      <c r="BA1547" s="2"/>
      <c r="BB1547" s="2"/>
      <c r="BC1547" s="101"/>
      <c r="BD1547" s="101"/>
    </row>
    <row r="1548" spans="1:56" s="84" customFormat="1" x14ac:dyDescent="0.35">
      <c r="A1548" s="53"/>
      <c r="B1548" s="54"/>
      <c r="C1548" s="53"/>
      <c r="D1548" s="141" t="s">
        <v>80</v>
      </c>
      <c r="E1548" s="141"/>
      <c r="F1548" s="141"/>
      <c r="G1548" s="141"/>
      <c r="H1548" s="141"/>
      <c r="I1548" s="141"/>
      <c r="J1548" s="141"/>
      <c r="K1548" s="141"/>
      <c r="L1548" s="141"/>
      <c r="M1548" s="141"/>
      <c r="N1548" s="141"/>
      <c r="O1548" s="141"/>
      <c r="P1548" s="141"/>
      <c r="Q1548" s="141"/>
      <c r="R1548" s="141"/>
      <c r="S1548" s="141"/>
      <c r="T1548" s="141"/>
      <c r="U1548" s="141"/>
      <c r="V1548" s="141"/>
      <c r="W1548" s="141"/>
      <c r="X1548" s="141"/>
      <c r="Y1548" s="141"/>
      <c r="Z1548" s="141"/>
      <c r="AA1548" s="141"/>
      <c r="AB1548" s="141"/>
      <c r="AC1548" s="141"/>
      <c r="AD1548" s="141"/>
      <c r="AE1548" s="141"/>
      <c r="AF1548" s="141"/>
      <c r="AG1548" s="141"/>
      <c r="AH1548" s="141"/>
      <c r="AI1548" s="141"/>
      <c r="AJ1548" s="141"/>
      <c r="AK1548" s="56"/>
      <c r="AL1548" s="55"/>
      <c r="AM1548" s="55"/>
      <c r="AN1548" s="55"/>
      <c r="AO1548" s="55"/>
      <c r="AP1548" s="55"/>
      <c r="AQ1548" s="55"/>
      <c r="AR1548" s="55"/>
      <c r="AS1548" s="55"/>
      <c r="AT1548" s="55"/>
      <c r="AU1548" s="55"/>
      <c r="AV1548" s="55"/>
      <c r="AW1548" s="55"/>
      <c r="AX1548" s="53"/>
      <c r="BA1548" s="2"/>
      <c r="BB1548" s="2"/>
      <c r="BC1548" s="101"/>
      <c r="BD1548" s="101"/>
    </row>
    <row r="1549" spans="1:56" s="84" customFormat="1" ht="15" customHeight="1" x14ac:dyDescent="0.35">
      <c r="A1549" s="53"/>
      <c r="B1549" s="54"/>
      <c r="C1549" s="53"/>
      <c r="D1549" s="53"/>
      <c r="E1549" s="53"/>
      <c r="F1549" s="98"/>
      <c r="G1549" s="55"/>
      <c r="H1549" s="55"/>
      <c r="I1549" s="55"/>
      <c r="J1549" s="55"/>
      <c r="K1549" s="55"/>
      <c r="L1549" s="55"/>
      <c r="M1549" s="55"/>
      <c r="N1549" s="55"/>
      <c r="O1549" s="55"/>
      <c r="P1549" s="55"/>
      <c r="Q1549" s="55"/>
      <c r="R1549" s="55"/>
      <c r="S1549" s="55"/>
      <c r="T1549" s="55"/>
      <c r="U1549" s="56"/>
      <c r="V1549" s="55"/>
      <c r="W1549" s="55"/>
      <c r="X1549" s="55"/>
      <c r="Y1549" s="55"/>
      <c r="Z1549" s="55"/>
      <c r="AA1549" s="55"/>
      <c r="AB1549" s="55"/>
      <c r="AC1549" s="55"/>
      <c r="AD1549" s="55"/>
      <c r="AE1549" s="55"/>
      <c r="AF1549" s="55"/>
      <c r="AG1549" s="55"/>
      <c r="AH1549" s="55"/>
      <c r="AI1549" s="55"/>
      <c r="AJ1549" s="55"/>
      <c r="AK1549" s="56"/>
      <c r="AL1549" s="55"/>
      <c r="AM1549" s="55"/>
      <c r="AN1549" s="55"/>
      <c r="AO1549" s="55"/>
      <c r="AP1549" s="55"/>
      <c r="AQ1549" s="55"/>
      <c r="AR1549" s="55"/>
      <c r="AS1549" s="55"/>
      <c r="AT1549" s="55"/>
      <c r="AU1549" s="55"/>
      <c r="AV1549" s="55"/>
      <c r="AW1549" s="55"/>
      <c r="AX1549" s="53"/>
      <c r="BA1549" s="2"/>
      <c r="BB1549" s="2"/>
      <c r="BC1549" s="101"/>
      <c r="BD1549" s="101"/>
    </row>
    <row r="1550" spans="1:56" s="84" customFormat="1" ht="15" customHeight="1" x14ac:dyDescent="0.35">
      <c r="A1550" s="53"/>
      <c r="B1550" s="54" t="s">
        <v>53</v>
      </c>
      <c r="C1550" s="53"/>
      <c r="D1550" s="31" t="s">
        <v>74</v>
      </c>
      <c r="E1550" s="34"/>
      <c r="F1550" s="99"/>
      <c r="G1550" s="34"/>
      <c r="H1550" s="34"/>
      <c r="I1550" s="34"/>
      <c r="J1550" s="34"/>
      <c r="K1550" s="53"/>
      <c r="L1550" s="55" t="s">
        <v>8</v>
      </c>
      <c r="M1550" s="53"/>
      <c r="N1550" s="142">
        <f ca="1">NOW()</f>
        <v>44720.650928935182</v>
      </c>
      <c r="O1550" s="142"/>
      <c r="P1550" s="142"/>
      <c r="Q1550" s="53"/>
      <c r="R1550" s="53"/>
      <c r="S1550" s="53"/>
      <c r="T1550" s="53"/>
      <c r="U1550" s="53"/>
      <c r="V1550" s="55"/>
      <c r="W1550" s="55"/>
      <c r="X1550" s="55"/>
      <c r="Y1550" s="55"/>
      <c r="Z1550" s="55"/>
      <c r="AA1550" s="55"/>
      <c r="AB1550" s="55"/>
      <c r="AC1550" s="55"/>
      <c r="AD1550" s="55"/>
      <c r="AE1550" s="55"/>
      <c r="AF1550" s="55"/>
      <c r="AG1550" s="55"/>
      <c r="AH1550" s="55"/>
      <c r="AI1550" s="55"/>
      <c r="AJ1550" s="55"/>
      <c r="AK1550" s="56"/>
      <c r="AL1550" s="55"/>
      <c r="AM1550" s="55"/>
      <c r="AN1550" s="55"/>
      <c r="AO1550" s="55"/>
      <c r="AP1550" s="55"/>
      <c r="AQ1550" s="55"/>
      <c r="AR1550" s="55"/>
      <c r="AS1550" s="55"/>
      <c r="AT1550" s="55"/>
      <c r="AU1550" s="55"/>
      <c r="AV1550" s="55"/>
      <c r="AW1550" s="55"/>
      <c r="AX1550" s="53"/>
      <c r="BA1550" s="2"/>
      <c r="BB1550" s="2"/>
      <c r="BC1550" s="101"/>
      <c r="BD1550" s="101"/>
    </row>
    <row r="1551" spans="1:56" s="84" customFormat="1" x14ac:dyDescent="0.35">
      <c r="A1551" s="53"/>
      <c r="B1551" s="54"/>
      <c r="C1551" s="53"/>
      <c r="D1551" s="53"/>
      <c r="E1551" s="53"/>
      <c r="F1551" s="98"/>
      <c r="G1551" s="55"/>
      <c r="H1551" s="55"/>
      <c r="I1551" s="55"/>
      <c r="J1551" s="55"/>
      <c r="K1551" s="53"/>
      <c r="L1551" s="55"/>
      <c r="M1551" s="53"/>
      <c r="N1551" s="55"/>
      <c r="O1551" s="56"/>
      <c r="P1551" s="53"/>
      <c r="Q1551" s="53"/>
      <c r="R1551" s="53"/>
      <c r="S1551" s="53"/>
      <c r="T1551" s="53"/>
      <c r="U1551" s="53"/>
      <c r="V1551" s="55"/>
      <c r="W1551" s="55"/>
      <c r="X1551" s="55"/>
      <c r="Y1551" s="55"/>
      <c r="Z1551" s="55"/>
      <c r="AA1551" s="55"/>
      <c r="AB1551" s="55"/>
      <c r="AC1551" s="55"/>
      <c r="AD1551" s="55"/>
      <c r="AE1551" s="55"/>
      <c r="AF1551" s="55"/>
      <c r="AG1551" s="55"/>
      <c r="AH1551" s="55"/>
      <c r="AI1551" s="55"/>
      <c r="AJ1551" s="55"/>
      <c r="AK1551" s="56"/>
      <c r="AL1551" s="55"/>
      <c r="AM1551" s="55"/>
      <c r="AN1551" s="55"/>
      <c r="AO1551" s="55"/>
      <c r="AP1551" s="55"/>
      <c r="AQ1551" s="55"/>
      <c r="AR1551" s="55"/>
      <c r="AS1551" s="55"/>
      <c r="AT1551" s="55"/>
      <c r="AU1551" s="55"/>
      <c r="AV1551" s="55"/>
      <c r="AW1551" s="55"/>
      <c r="AX1551" s="53"/>
      <c r="BA1551" s="2"/>
      <c r="BB1551" s="2"/>
      <c r="BC1551" s="101"/>
      <c r="BD1551" s="101"/>
    </row>
    <row r="1552" spans="1:56" s="84" customFormat="1" x14ac:dyDescent="0.35">
      <c r="A1552" s="53"/>
      <c r="B1552" s="54" t="s">
        <v>54</v>
      </c>
      <c r="C1552" s="53"/>
      <c r="D1552" s="31"/>
      <c r="E1552" s="34"/>
      <c r="F1552" s="99"/>
      <c r="G1552" s="34"/>
      <c r="H1552" s="34"/>
      <c r="I1552" s="34"/>
      <c r="J1552" s="34"/>
      <c r="K1552" s="53"/>
      <c r="L1552" s="55" t="s">
        <v>8</v>
      </c>
      <c r="M1552" s="53"/>
      <c r="N1552" s="142">
        <f ca="1">NOW()</f>
        <v>44720.650928935182</v>
      </c>
      <c r="O1552" s="142"/>
      <c r="P1552" s="142"/>
      <c r="Q1552" s="53"/>
      <c r="R1552" s="53"/>
      <c r="S1552" s="53"/>
      <c r="T1552" s="53"/>
      <c r="U1552" s="53"/>
      <c r="V1552" s="55"/>
      <c r="W1552" s="55"/>
      <c r="X1552" s="55"/>
      <c r="Y1552" s="55"/>
      <c r="Z1552" s="55"/>
      <c r="AA1552" s="55"/>
      <c r="AB1552" s="55"/>
      <c r="AC1552" s="55"/>
      <c r="AD1552" s="55"/>
      <c r="AE1552" s="55"/>
      <c r="AF1552" s="55"/>
      <c r="AG1552" s="55"/>
      <c r="AH1552" s="55"/>
      <c r="AI1552" s="55"/>
      <c r="AJ1552" s="55"/>
      <c r="AK1552" s="56"/>
      <c r="AL1552" s="55"/>
      <c r="AM1552" s="55"/>
      <c r="AN1552" s="55"/>
      <c r="AO1552" s="55"/>
      <c r="AP1552" s="55"/>
      <c r="AQ1552" s="55"/>
      <c r="AR1552" s="55"/>
      <c r="AS1552" s="55"/>
      <c r="AT1552" s="55"/>
      <c r="AU1552" s="55"/>
      <c r="AV1552" s="55"/>
      <c r="AW1552" s="55"/>
      <c r="AX1552" s="53"/>
      <c r="BA1552" s="2"/>
      <c r="BB1552" s="2"/>
      <c r="BC1552" s="101"/>
      <c r="BD1552" s="101"/>
    </row>
    <row r="1553" spans="1:56" s="84" customFormat="1" x14ac:dyDescent="0.35">
      <c r="A1553" s="53"/>
      <c r="B1553" s="54"/>
      <c r="C1553" s="53"/>
      <c r="D1553" s="53"/>
      <c r="E1553" s="53"/>
      <c r="F1553" s="98"/>
      <c r="G1553" s="55"/>
      <c r="H1553" s="55"/>
      <c r="I1553" s="55"/>
      <c r="J1553" s="55"/>
      <c r="K1553" s="55"/>
      <c r="L1553" s="55"/>
      <c r="M1553" s="55"/>
      <c r="N1553" s="55"/>
      <c r="O1553" s="55"/>
      <c r="P1553" s="55"/>
      <c r="Q1553" s="55"/>
      <c r="R1553" s="55"/>
      <c r="S1553" s="55"/>
      <c r="T1553" s="55"/>
      <c r="U1553" s="56"/>
      <c r="V1553" s="55"/>
      <c r="W1553" s="55"/>
      <c r="X1553" s="55"/>
      <c r="Y1553" s="55"/>
      <c r="Z1553" s="55"/>
      <c r="AA1553" s="55"/>
      <c r="AB1553" s="55"/>
      <c r="AC1553" s="55"/>
      <c r="AD1553" s="55"/>
      <c r="AE1553" s="55"/>
      <c r="AF1553" s="55"/>
      <c r="AG1553" s="55"/>
      <c r="AH1553" s="55"/>
      <c r="AI1553" s="55"/>
      <c r="AJ1553" s="55"/>
      <c r="AK1553" s="56"/>
      <c r="AL1553" s="55"/>
      <c r="AM1553" s="55"/>
      <c r="AN1553" s="55"/>
      <c r="AO1553" s="55"/>
      <c r="AP1553" s="55"/>
      <c r="AQ1553" s="55"/>
      <c r="AR1553" s="55"/>
      <c r="AS1553" s="55"/>
      <c r="AT1553" s="55"/>
      <c r="AU1553" s="55"/>
      <c r="AV1553" s="55"/>
      <c r="AW1553" s="55"/>
      <c r="AX1553" s="53"/>
      <c r="BA1553" s="2"/>
      <c r="BB1553" s="2"/>
      <c r="BC1553" s="101"/>
      <c r="BD1553" s="101"/>
    </row>
    <row r="1554" spans="1:56" s="84" customFormat="1" x14ac:dyDescent="0.35">
      <c r="A1554" s="53"/>
      <c r="B1554" s="54" t="s">
        <v>9</v>
      </c>
      <c r="C1554" s="53"/>
      <c r="D1554" s="53"/>
      <c r="E1554" s="53"/>
      <c r="F1554" s="98"/>
      <c r="G1554" s="55"/>
      <c r="H1554" s="55"/>
      <c r="I1554" s="55"/>
      <c r="J1554" s="55"/>
      <c r="K1554" s="55"/>
      <c r="L1554" s="55"/>
      <c r="M1554" s="55"/>
      <c r="N1554" s="55"/>
      <c r="O1554" s="55"/>
      <c r="P1554" s="55"/>
      <c r="Q1554" s="55"/>
      <c r="R1554" s="55"/>
      <c r="S1554" s="55"/>
      <c r="T1554" s="55"/>
      <c r="U1554" s="56"/>
      <c r="V1554" s="55"/>
      <c r="W1554" s="55"/>
      <c r="X1554" s="55"/>
      <c r="Y1554" s="55"/>
      <c r="Z1554" s="55"/>
      <c r="AA1554" s="55"/>
      <c r="AB1554" s="55"/>
      <c r="AC1554" s="55"/>
      <c r="AD1554" s="55"/>
      <c r="AE1554" s="55"/>
      <c r="AF1554" s="55"/>
      <c r="AG1554" s="55"/>
      <c r="AH1554" s="55"/>
      <c r="AI1554" s="55"/>
      <c r="AJ1554" s="55"/>
      <c r="AK1554" s="56"/>
      <c r="AL1554" s="55"/>
      <c r="AM1554" s="55"/>
      <c r="AN1554" s="55"/>
      <c r="AO1554" s="55"/>
      <c r="AP1554" s="55"/>
      <c r="AQ1554" s="55"/>
      <c r="AR1554" s="55"/>
      <c r="AS1554" s="55"/>
      <c r="AT1554" s="55"/>
      <c r="AU1554" s="55"/>
      <c r="AV1554" s="55"/>
      <c r="AW1554" s="55"/>
      <c r="AX1554" s="53"/>
      <c r="BA1554" s="2"/>
      <c r="BB1554" s="2"/>
      <c r="BC1554" s="101"/>
      <c r="BD1554" s="101"/>
    </row>
    <row r="1555" spans="1:56" x14ac:dyDescent="0.35">
      <c r="BA1555" s="2"/>
      <c r="BB1555" s="2"/>
      <c r="BC1555" s="101"/>
      <c r="BD1555" s="101"/>
    </row>
    <row r="1556" spans="1:56" x14ac:dyDescent="0.35">
      <c r="BA1556" s="2"/>
      <c r="BB1556" s="2"/>
      <c r="BC1556" s="101"/>
      <c r="BD1556" s="101"/>
    </row>
    <row r="1557" spans="1:56" s="84" customFormat="1" ht="28.5" x14ac:dyDescent="0.65">
      <c r="F1557" s="50"/>
      <c r="G1557" s="143" t="s">
        <v>10</v>
      </c>
      <c r="H1557" s="143"/>
      <c r="I1557" s="143"/>
      <c r="J1557" s="143"/>
      <c r="K1557" s="143"/>
      <c r="L1557" s="143"/>
      <c r="M1557" s="143"/>
      <c r="N1557" s="143"/>
      <c r="O1557" s="143"/>
      <c r="P1557" s="143"/>
      <c r="Q1557" s="143"/>
      <c r="R1557" s="143"/>
      <c r="S1557" s="143"/>
      <c r="T1557" s="143"/>
      <c r="U1557" s="143"/>
      <c r="W1557" s="37" t="s">
        <v>12</v>
      </c>
      <c r="X1557" s="86" t="s">
        <v>11</v>
      </c>
      <c r="BA1557" s="2"/>
      <c r="BB1557" s="2"/>
      <c r="BC1557" s="101"/>
      <c r="BD1557" s="101"/>
    </row>
    <row r="1558" spans="1:56" s="84" customFormat="1" x14ac:dyDescent="0.35">
      <c r="F1558" s="50"/>
      <c r="G1558" s="84" t="s">
        <v>0</v>
      </c>
      <c r="W1558" s="37" t="s">
        <v>13</v>
      </c>
      <c r="X1558" s="86" t="s">
        <v>14</v>
      </c>
      <c r="BA1558" s="2"/>
      <c r="BB1558" s="2"/>
      <c r="BC1558" s="101"/>
      <c r="BD1558" s="101"/>
    </row>
    <row r="1559" spans="1:56" s="84" customFormat="1" x14ac:dyDescent="0.35">
      <c r="F1559" s="50"/>
      <c r="W1559" s="37" t="s">
        <v>1</v>
      </c>
      <c r="X1559" s="86" t="s">
        <v>15</v>
      </c>
      <c r="BA1559" s="2"/>
      <c r="BB1559" s="2"/>
      <c r="BC1559" s="101"/>
      <c r="BD1559" s="101"/>
    </row>
    <row r="1560" spans="1:56" s="84" customFormat="1" x14ac:dyDescent="0.35">
      <c r="F1560" s="50"/>
      <c r="W1560" s="37" t="s">
        <v>2</v>
      </c>
      <c r="X1560" s="86" t="s">
        <v>16</v>
      </c>
      <c r="BA1560" s="2"/>
      <c r="BB1560" s="2"/>
      <c r="BC1560" s="101"/>
      <c r="BD1560" s="101"/>
    </row>
    <row r="1561" spans="1:56" s="84" customFormat="1" ht="15" customHeight="1" x14ac:dyDescent="0.35">
      <c r="B1561" s="154" t="s">
        <v>35</v>
      </c>
      <c r="F1561" s="50"/>
      <c r="G1561" s="154" t="s">
        <v>36</v>
      </c>
      <c r="H1561" s="154"/>
      <c r="I1561" s="154"/>
      <c r="K1561" s="154" t="s">
        <v>36</v>
      </c>
      <c r="L1561" s="154"/>
      <c r="M1561" s="154"/>
      <c r="W1561" s="37" t="s">
        <v>3</v>
      </c>
      <c r="X1561" s="86" t="s">
        <v>17</v>
      </c>
      <c r="BA1561" s="2"/>
      <c r="BB1561" s="2"/>
      <c r="BC1561" s="101"/>
      <c r="BD1561" s="101"/>
    </row>
    <row r="1562" spans="1:56" s="84" customFormat="1" x14ac:dyDescent="0.35">
      <c r="B1562" s="155"/>
      <c r="D1562" s="37" t="s">
        <v>34</v>
      </c>
      <c r="F1562" s="50"/>
      <c r="G1562" s="154"/>
      <c r="H1562" s="154"/>
      <c r="I1562" s="154"/>
      <c r="K1562" s="154"/>
      <c r="L1562" s="154"/>
      <c r="M1562" s="154"/>
      <c r="W1562" s="38"/>
      <c r="BA1562" s="2"/>
      <c r="BB1562" s="2"/>
      <c r="BC1562" s="101"/>
      <c r="BD1562" s="101"/>
    </row>
    <row r="1563" spans="1:56" s="84" customFormat="1" x14ac:dyDescent="0.35">
      <c r="B1563" s="100">
        <f>B1489+1</f>
        <v>5</v>
      </c>
      <c r="D1563" s="100">
        <f>D1489</f>
        <v>2022</v>
      </c>
      <c r="E1563" s="87" t="s">
        <v>38</v>
      </c>
      <c r="F1563" s="50"/>
      <c r="G1563" s="156">
        <f>K1489+1</f>
        <v>44605</v>
      </c>
      <c r="H1563" s="157"/>
      <c r="I1563" s="158"/>
      <c r="J1563" s="37" t="s">
        <v>37</v>
      </c>
      <c r="K1563" s="156">
        <f>IF(G1563="","",G1563+13)</f>
        <v>44618</v>
      </c>
      <c r="L1563" s="157"/>
      <c r="M1563" s="158"/>
      <c r="P1563" s="159" t="s">
        <v>39</v>
      </c>
      <c r="Q1563" s="160"/>
      <c r="R1563" s="160"/>
      <c r="S1563" s="160"/>
      <c r="T1563" s="161"/>
      <c r="U1563" s="24">
        <v>80</v>
      </c>
      <c r="BA1563" s="2"/>
      <c r="BB1563" s="2"/>
      <c r="BC1563" s="101"/>
      <c r="BD1563" s="101"/>
    </row>
    <row r="1564" spans="1:56" s="84" customFormat="1" x14ac:dyDescent="0.35">
      <c r="F1564" s="50"/>
      <c r="AM1564" s="144" t="s">
        <v>4</v>
      </c>
      <c r="AN1564" s="144"/>
      <c r="AO1564" s="144"/>
      <c r="AP1564" s="144"/>
      <c r="AQ1564" s="144"/>
      <c r="AR1564" s="144"/>
      <c r="AS1564" s="144"/>
      <c r="AU1564" s="100" t="s">
        <v>4</v>
      </c>
      <c r="BA1564" s="2"/>
      <c r="BB1564" s="2"/>
      <c r="BC1564" s="101"/>
      <c r="BD1564" s="101"/>
    </row>
    <row r="1565" spans="1:56" s="84" customFormat="1" ht="15" customHeight="1" x14ac:dyDescent="0.35">
      <c r="B1565" s="40"/>
      <c r="C1565" s="41"/>
      <c r="D1565" s="42" t="s">
        <v>32</v>
      </c>
      <c r="E1565" s="43" t="s">
        <v>5</v>
      </c>
      <c r="F1565" s="50"/>
      <c r="G1565" s="162">
        <f>G1563</f>
        <v>44605</v>
      </c>
      <c r="H1565" s="163"/>
      <c r="I1565" s="162">
        <f>IF(G1565="","",G1565+1)</f>
        <v>44606</v>
      </c>
      <c r="J1565" s="163"/>
      <c r="K1565" s="162">
        <f>IF(I1565="","",I1565+1)</f>
        <v>44607</v>
      </c>
      <c r="L1565" s="163"/>
      <c r="M1565" s="162">
        <f>IF(K1565="","",K1565+1)</f>
        <v>44608</v>
      </c>
      <c r="N1565" s="163"/>
      <c r="O1565" s="162">
        <f>IF(M1565="","",M1565+1)</f>
        <v>44609</v>
      </c>
      <c r="P1565" s="163"/>
      <c r="Q1565" s="162">
        <f>IF(O1565="","",O1565+1)</f>
        <v>44610</v>
      </c>
      <c r="R1565" s="163"/>
      <c r="S1565" s="162">
        <f>IF(Q1565="","",Q1565+1)</f>
        <v>44611</v>
      </c>
      <c r="T1565" s="164"/>
      <c r="U1565" s="44"/>
      <c r="W1565" s="162">
        <f>IF(S1565="","",S1565+1)</f>
        <v>44612</v>
      </c>
      <c r="X1565" s="163"/>
      <c r="Y1565" s="162">
        <f>IF(W1565="","",W1565+1)</f>
        <v>44613</v>
      </c>
      <c r="Z1565" s="163"/>
      <c r="AA1565" s="162">
        <f>IF(Y1565="","",Y1565+1)</f>
        <v>44614</v>
      </c>
      <c r="AB1565" s="163"/>
      <c r="AC1565" s="162">
        <f>IF(AA1565="","",AA1565+1)</f>
        <v>44615</v>
      </c>
      <c r="AD1565" s="163"/>
      <c r="AE1565" s="162">
        <f>IF(AC1565="","",AC1565+1)</f>
        <v>44616</v>
      </c>
      <c r="AF1565" s="163"/>
      <c r="AG1565" s="162">
        <f>IF(AE1565="","",AE1565+1)</f>
        <v>44617</v>
      </c>
      <c r="AH1565" s="163"/>
      <c r="AI1565" s="162">
        <f>IF(AG1565="","",AG1565+1)</f>
        <v>44618</v>
      </c>
      <c r="AJ1565" s="164"/>
      <c r="AK1565" s="44"/>
      <c r="AM1565" s="145" t="s">
        <v>18</v>
      </c>
      <c r="AN1565" s="165" t="s">
        <v>55</v>
      </c>
      <c r="AO1565" s="145" t="s">
        <v>19</v>
      </c>
      <c r="AP1565" s="145" t="s">
        <v>20</v>
      </c>
      <c r="AQ1565" s="145" t="s">
        <v>21</v>
      </c>
      <c r="AR1565" s="166" t="s">
        <v>22</v>
      </c>
      <c r="AS1565" s="167" t="s">
        <v>23</v>
      </c>
      <c r="AU1565" s="144" t="s">
        <v>6</v>
      </c>
      <c r="AW1565" s="145" t="s">
        <v>24</v>
      </c>
      <c r="BA1565" s="2"/>
      <c r="BB1565" s="2"/>
      <c r="BC1565" s="101"/>
      <c r="BD1565" s="101"/>
    </row>
    <row r="1566" spans="1:56" s="84" customFormat="1" x14ac:dyDescent="0.35">
      <c r="B1566" s="45" t="s">
        <v>33</v>
      </c>
      <c r="C1566" s="46"/>
      <c r="D1566" s="47"/>
      <c r="E1566" s="47"/>
      <c r="F1566" s="50"/>
      <c r="G1566" s="146" t="s">
        <v>25</v>
      </c>
      <c r="H1566" s="147"/>
      <c r="I1566" s="146" t="s">
        <v>26</v>
      </c>
      <c r="J1566" s="147"/>
      <c r="K1566" s="146" t="s">
        <v>27</v>
      </c>
      <c r="L1566" s="147"/>
      <c r="M1566" s="146" t="s">
        <v>28</v>
      </c>
      <c r="N1566" s="147"/>
      <c r="O1566" s="146" t="s">
        <v>29</v>
      </c>
      <c r="P1566" s="147"/>
      <c r="Q1566" s="146" t="s">
        <v>30</v>
      </c>
      <c r="R1566" s="147"/>
      <c r="S1566" s="146" t="s">
        <v>31</v>
      </c>
      <c r="T1566" s="148"/>
      <c r="U1566" s="48" t="s">
        <v>7</v>
      </c>
      <c r="W1566" s="146" t="s">
        <v>25</v>
      </c>
      <c r="X1566" s="147"/>
      <c r="Y1566" s="146" t="s">
        <v>26</v>
      </c>
      <c r="Z1566" s="147"/>
      <c r="AA1566" s="146" t="s">
        <v>27</v>
      </c>
      <c r="AB1566" s="147"/>
      <c r="AC1566" s="146" t="s">
        <v>28</v>
      </c>
      <c r="AD1566" s="147"/>
      <c r="AE1566" s="146" t="s">
        <v>29</v>
      </c>
      <c r="AF1566" s="147"/>
      <c r="AG1566" s="146" t="s">
        <v>30</v>
      </c>
      <c r="AH1566" s="147"/>
      <c r="AI1566" s="146" t="s">
        <v>31</v>
      </c>
      <c r="AJ1566" s="148"/>
      <c r="AK1566" s="48" t="s">
        <v>7</v>
      </c>
      <c r="AM1566" s="145"/>
      <c r="AN1566" s="165"/>
      <c r="AO1566" s="145"/>
      <c r="AP1566" s="145"/>
      <c r="AQ1566" s="145"/>
      <c r="AR1566" s="166"/>
      <c r="AS1566" s="167"/>
      <c r="AU1566" s="144"/>
      <c r="AW1566" s="145"/>
      <c r="BA1566" s="2"/>
      <c r="BB1566" s="2"/>
      <c r="BC1566" s="101"/>
      <c r="BD1566" s="101"/>
    </row>
    <row r="1567" spans="1:56" s="84" customFormat="1" x14ac:dyDescent="0.35">
      <c r="B1567" s="63"/>
      <c r="C1567" s="25"/>
      <c r="D1567" s="25"/>
      <c r="E1567" s="25"/>
      <c r="F1567" s="50"/>
      <c r="BA1567" s="2"/>
      <c r="BB1567" s="2"/>
      <c r="BC1567" s="101"/>
      <c r="BD1567" s="101"/>
    </row>
    <row r="1568" spans="1:56" s="84" customFormat="1" x14ac:dyDescent="0.35">
      <c r="B1568" s="26"/>
      <c r="C1568" s="27"/>
      <c r="D1568" s="28">
        <f>IF(D1494="","",D1494)</f>
        <v>31428</v>
      </c>
      <c r="E1568" s="29" t="str">
        <f>IF(E1494="","",E1494)</f>
        <v/>
      </c>
      <c r="F1568" s="50">
        <f>B1563</f>
        <v>5</v>
      </c>
      <c r="G1568" s="59"/>
      <c r="H1568" s="64"/>
      <c r="I1568" s="106"/>
      <c r="J1568" s="105"/>
      <c r="K1568" s="106"/>
      <c r="L1568" s="105"/>
      <c r="M1568" s="106"/>
      <c r="N1568" s="105"/>
      <c r="O1568" s="106"/>
      <c r="P1568" s="105"/>
      <c r="Q1568" s="106"/>
      <c r="R1568" s="105"/>
      <c r="S1568" s="59"/>
      <c r="T1568" s="64"/>
      <c r="U1568" s="44"/>
      <c r="W1568" s="59"/>
      <c r="X1568" s="64"/>
      <c r="Y1568" s="106"/>
      <c r="Z1568" s="105"/>
      <c r="AA1568" s="106"/>
      <c r="AB1568" s="105"/>
      <c r="AC1568" s="106"/>
      <c r="AD1568" s="105"/>
      <c r="AE1568" s="106"/>
      <c r="AF1568" s="105"/>
      <c r="AG1568" s="106"/>
      <c r="AH1568" s="105"/>
      <c r="AI1568" s="59"/>
      <c r="AJ1568" s="64"/>
      <c r="AK1568" s="44"/>
      <c r="AM1568" s="49"/>
      <c r="AN1568" s="49"/>
      <c r="AO1568" s="49"/>
      <c r="AP1568" s="49"/>
      <c r="AQ1568" s="49"/>
      <c r="AR1568" s="40"/>
      <c r="AS1568" s="51"/>
      <c r="AU1568" s="49"/>
      <c r="AW1568" s="52"/>
      <c r="BA1568" s="2"/>
      <c r="BB1568" s="2"/>
      <c r="BC1568" s="101"/>
      <c r="BD1568" s="101"/>
    </row>
    <row r="1569" spans="2:56" s="84" customFormat="1" x14ac:dyDescent="0.35">
      <c r="B1569" s="30" t="str">
        <f>IF(B1495="","",B1495)</f>
        <v>Gaulin, Francis</v>
      </c>
      <c r="C1569" s="31"/>
      <c r="D1569" s="32"/>
      <c r="E1569" s="33">
        <f t="shared" ref="E1569:E1600" si="617">IF(E1495="","",E1495)</f>
        <v>93542</v>
      </c>
      <c r="F1569" s="50">
        <f>B1563</f>
        <v>5</v>
      </c>
      <c r="G1569" s="95"/>
      <c r="H1569" s="70"/>
      <c r="I1569" s="104"/>
      <c r="J1569" s="103">
        <v>8</v>
      </c>
      <c r="K1569" s="104"/>
      <c r="L1569" s="103">
        <v>8</v>
      </c>
      <c r="M1569" s="104"/>
      <c r="N1569" s="103">
        <v>8</v>
      </c>
      <c r="O1569" s="104"/>
      <c r="P1569" s="103">
        <v>8</v>
      </c>
      <c r="Q1569" s="104"/>
      <c r="R1569" s="103">
        <v>7.5</v>
      </c>
      <c r="S1569" s="69"/>
      <c r="T1569" s="70"/>
      <c r="U1569" s="71">
        <f>SUM(G1569:T1569)</f>
        <v>39.5</v>
      </c>
      <c r="V1569" s="72"/>
      <c r="W1569" s="69"/>
      <c r="X1569" s="70"/>
      <c r="Y1569" s="104"/>
      <c r="Z1569" s="103">
        <v>8</v>
      </c>
      <c r="AA1569" s="104"/>
      <c r="AB1569" s="103">
        <v>8</v>
      </c>
      <c r="AC1569" s="104"/>
      <c r="AD1569" s="103">
        <v>8</v>
      </c>
      <c r="AE1569" s="104"/>
      <c r="AF1569" s="103">
        <v>8</v>
      </c>
      <c r="AG1569" s="104"/>
      <c r="AH1569" s="103">
        <v>7.5</v>
      </c>
      <c r="AI1569" s="69"/>
      <c r="AJ1569" s="70"/>
      <c r="AK1569" s="71">
        <f>SUM(W1569:AJ1569)</f>
        <v>39.5</v>
      </c>
      <c r="AL1569" s="72"/>
      <c r="AM1569" s="73">
        <f>SUMIF($G1568:$T1568,"",$G1569:$T1569)+SUMIF($W1568:$AJ1568,"",$W1569:$AJ1569)-AN1569</f>
        <v>79</v>
      </c>
      <c r="AN1569" s="88">
        <f>IF(SUMIF($G1568:$T1568,"",$G1569:$T1569)+SUMIF($G1568:$T1568,"F",$G1569:$T1569)+SUMIF($G1568:$T1568,"V",$G1569:$T1569)-40&lt;0,0,SUMIF($G1568:$T1568,"",$G1569:$T1569)+SUMIF($G1568:$T1568,"F",$G1569:$T1569)+SUMIF($G1568:$T1568,"V",$G1569:$T1569)-($U$9/2))+IF(SUMIF($W1568:$AJ1568,"",$W1569:$AJ1569)+SUMIF($W1568:$AJ1568,"F",$W1569:$AJ1569)+SUMIF($W1568:$AJ1568,"V",$W1569:$AJ1569)-40&lt;0,0,SUMIF($W1568:$AJ1568,"",$W1569:$AJ1569)+SUMIF($W1568:$AJ1568,"F",$W1569:$AJ1569)+SUMIF($W1568:$AJ1568,"V",$W1569:$AJ1569)-($U$9/2))</f>
        <v>0</v>
      </c>
      <c r="AO1569" s="73">
        <f>SUMIF($G1568:$T1568,"M",$G1569:$T1569)+SUMIF($W1568:$AJ1568,"M",$W1569:$AJ1569)</f>
        <v>0</v>
      </c>
      <c r="AP1569" s="73">
        <f>SUMIF($G1568:$T1568,"F",$G1569:$T1569)+SUMIF($W1568:$AJ1568,"F",$W1569:$AJ1569)</f>
        <v>0</v>
      </c>
      <c r="AQ1569" s="73">
        <f>SUMIF($G1568:$T1568,"V",$G1569:$T1569)+SUMIF($W1568:$AJ1568,"V",$W1569:$AJ1569)</f>
        <v>0</v>
      </c>
      <c r="AR1569" s="74">
        <f>SUMIF($G1568:$T1568,"O",$G1569:$T1569)+SUMIF($W1568:$AJ1568,"O",$W1569:$AJ1569)</f>
        <v>0</v>
      </c>
      <c r="AS1569" s="75">
        <f>SUM(AM1569:AR1569)</f>
        <v>79</v>
      </c>
      <c r="AT1569" s="72"/>
      <c r="AU1569" s="73">
        <f>SUMIF($G1568:$T1568,"A",$G1569:$T1569)+SUMIF($W1568:$AJ1568,"A",$W1569:$AJ1569)</f>
        <v>0</v>
      </c>
      <c r="AV1569" s="72"/>
      <c r="AW1569" s="76">
        <f>IF(B1569="",0,IF($U$9="",0,$U$9))</f>
        <v>80</v>
      </c>
      <c r="BA1569" s="2"/>
      <c r="BB1569" s="2"/>
      <c r="BC1569" s="101"/>
      <c r="BD1569" s="101"/>
    </row>
    <row r="1570" spans="2:56" s="84" customFormat="1" x14ac:dyDescent="0.35">
      <c r="B1570" s="26"/>
      <c r="C1570" s="27"/>
      <c r="D1570" s="28">
        <f>IF(D1496="","",D1496)</f>
        <v>24287</v>
      </c>
      <c r="E1570" s="29" t="str">
        <f t="shared" si="617"/>
        <v/>
      </c>
      <c r="F1570" s="50">
        <f>B1563</f>
        <v>5</v>
      </c>
      <c r="G1570" s="59"/>
      <c r="H1570" s="64"/>
      <c r="I1570" s="106"/>
      <c r="J1570" s="105"/>
      <c r="K1570" s="106"/>
      <c r="L1570" s="105"/>
      <c r="M1570" s="106"/>
      <c r="N1570" s="105"/>
      <c r="O1570" s="106"/>
      <c r="P1570" s="105"/>
      <c r="Q1570" s="106"/>
      <c r="R1570" s="105"/>
      <c r="S1570" s="59"/>
      <c r="T1570" s="64"/>
      <c r="U1570" s="44"/>
      <c r="W1570" s="59"/>
      <c r="X1570" s="64"/>
      <c r="Y1570" s="106"/>
      <c r="Z1570" s="105"/>
      <c r="AA1570" s="106"/>
      <c r="AB1570" s="105"/>
      <c r="AC1570" s="106"/>
      <c r="AD1570" s="105"/>
      <c r="AE1570" s="106"/>
      <c r="AF1570" s="105"/>
      <c r="AG1570" s="106"/>
      <c r="AH1570" s="105"/>
      <c r="AI1570" s="59"/>
      <c r="AJ1570" s="64"/>
      <c r="AK1570" s="44"/>
      <c r="AM1570" s="49"/>
      <c r="AN1570" s="49"/>
      <c r="AO1570" s="49"/>
      <c r="AP1570" s="49"/>
      <c r="AQ1570" s="49"/>
      <c r="AR1570" s="40"/>
      <c r="AS1570" s="51"/>
      <c r="AU1570" s="49"/>
      <c r="AW1570" s="52"/>
      <c r="BA1570" s="2"/>
      <c r="BB1570" s="2"/>
      <c r="BC1570" s="101"/>
      <c r="BD1570" s="101"/>
    </row>
    <row r="1571" spans="2:56" s="84" customFormat="1" x14ac:dyDescent="0.35">
      <c r="B1571" s="30" t="str">
        <f>IF(B1497="","",B1497)</f>
        <v>Barrata, Dominic(Avance $500.00)</v>
      </c>
      <c r="C1571" s="31"/>
      <c r="D1571" s="32"/>
      <c r="E1571" s="33">
        <f t="shared" si="617"/>
        <v>93595935</v>
      </c>
      <c r="F1571" s="50">
        <f>B1563</f>
        <v>5</v>
      </c>
      <c r="G1571" s="69"/>
      <c r="H1571" s="70"/>
      <c r="I1571" s="104"/>
      <c r="J1571" s="103" t="s">
        <v>69</v>
      </c>
      <c r="K1571" s="104"/>
      <c r="L1571" s="103" t="s">
        <v>69</v>
      </c>
      <c r="M1571" s="104"/>
      <c r="N1571" s="103" t="s">
        <v>69</v>
      </c>
      <c r="O1571" s="104"/>
      <c r="P1571" s="103" t="s">
        <v>69</v>
      </c>
      <c r="Q1571" s="104"/>
      <c r="R1571" s="103" t="s">
        <v>69</v>
      </c>
      <c r="S1571" s="69"/>
      <c r="T1571" s="70"/>
      <c r="U1571" s="71">
        <f t="shared" ref="U1571" si="618">SUM(G1571:T1571)</f>
        <v>0</v>
      </c>
      <c r="V1571" s="72"/>
      <c r="W1571" s="69"/>
      <c r="X1571" s="70"/>
      <c r="Y1571" s="104"/>
      <c r="Z1571" s="103" t="s">
        <v>69</v>
      </c>
      <c r="AA1571" s="104"/>
      <c r="AB1571" s="103" t="s">
        <v>69</v>
      </c>
      <c r="AC1571" s="104"/>
      <c r="AD1571" s="103" t="s">
        <v>69</v>
      </c>
      <c r="AE1571" s="104"/>
      <c r="AF1571" s="103" t="s">
        <v>69</v>
      </c>
      <c r="AG1571" s="104"/>
      <c r="AH1571" s="103" t="s">
        <v>69</v>
      </c>
      <c r="AI1571" s="69"/>
      <c r="AJ1571" s="70"/>
      <c r="AK1571" s="71">
        <f>SUM(W1571:AJ1571)</f>
        <v>0</v>
      </c>
      <c r="AL1571" s="72"/>
      <c r="AM1571" s="73">
        <f>SUMIF($G1570:$T1570,"",$G1571:$T1571)+SUMIF($W1570:$AJ1570,"",$W1571:$AJ1571)-AN1571</f>
        <v>0</v>
      </c>
      <c r="AN1571" s="88">
        <f>IF(SUMIF($G1570:$T1570,"",$G1571:$T1571)+SUMIF($G1570:$T1570,"F",$G1571:$T1571)+SUMIF($G1570:$T1570,"V",$G1571:$T1571)-40&lt;0,0,SUMIF($G1570:$T1570,"",$G1571:$T1571)+SUMIF($G1570:$T1570,"F",$G1571:$T1571)+SUMIF($G1570:$T1570,"V",$G1571:$T1571)-($U$9/2))+IF(SUMIF($W1570:$AJ1570,"",$W1571:$AJ1571)+SUMIF($W1570:$AJ1570,"F",$W1571:$AJ1571)+SUMIF($W1570:$AJ1570,"V",$W1571:$AJ1571)-40&lt;0,0,SUMIF($W1570:$AJ1570,"",$W1571:$AJ1571)+SUMIF($W1570:$AJ1570,"F",$W1571:$AJ1571)+SUMIF($W1570:$AJ1570,"V",$W1571:$AJ1571)-($U$9/2))</f>
        <v>0</v>
      </c>
      <c r="AO1571" s="73">
        <f>SUMIF($G1570:$T1570,"M",$G1571:$T1571)+SUMIF($W1570:$AJ1570,"M",$W1571:$AJ1571)</f>
        <v>0</v>
      </c>
      <c r="AP1571" s="73">
        <f>SUMIF($G1570:$T1570,"F",$G1571:$T1571)+SUMIF($W1570:$AJ1570,"F",$W1571:$AJ1571)</f>
        <v>0</v>
      </c>
      <c r="AQ1571" s="73">
        <f>SUMIF($G1570:$T1570,"V",$G1571:$T1571)+SUMIF($W1570:$AJ1570,"V",$W1571:$AJ1571)</f>
        <v>0</v>
      </c>
      <c r="AR1571" s="74">
        <f>SUMIF($G1570:$T1570,"O",$G1571:$T1571)+SUMIF($W1570:$AJ1570,"O",$W1571:$AJ1571)</f>
        <v>0</v>
      </c>
      <c r="AS1571" s="75">
        <f>SUM(AM1571:AR1571)</f>
        <v>0</v>
      </c>
      <c r="AT1571" s="72"/>
      <c r="AU1571" s="73">
        <f>SUMIF($G1570:$T1570,"A",$G1571:$T1571)+SUMIF($W1570:$AJ1570,"A",$W1571:$AJ1571)</f>
        <v>0</v>
      </c>
      <c r="AV1571" s="72"/>
      <c r="AW1571" s="76">
        <f>IF(B1571="",0,IF($U$9="",0,$U$9))</f>
        <v>80</v>
      </c>
      <c r="BA1571" s="2"/>
      <c r="BB1571" s="2"/>
      <c r="BC1571" s="101"/>
      <c r="BD1571" s="101"/>
    </row>
    <row r="1572" spans="2:56" s="84" customFormat="1" x14ac:dyDescent="0.35">
      <c r="B1572" s="26"/>
      <c r="C1572" s="27"/>
      <c r="D1572" s="28">
        <f>IF(D1498="","",D1498)</f>
        <v>92032</v>
      </c>
      <c r="E1572" s="29" t="str">
        <f t="shared" si="617"/>
        <v/>
      </c>
      <c r="F1572" s="50">
        <f>B1563</f>
        <v>5</v>
      </c>
      <c r="G1572" s="59"/>
      <c r="H1572" s="64"/>
      <c r="I1572" s="106"/>
      <c r="J1572" s="105"/>
      <c r="K1572" s="106"/>
      <c r="L1572" s="105"/>
      <c r="M1572" s="106"/>
      <c r="N1572" s="105"/>
      <c r="O1572" s="106"/>
      <c r="P1572" s="105"/>
      <c r="Q1572" s="106"/>
      <c r="R1572" s="105"/>
      <c r="S1572" s="59"/>
      <c r="T1572" s="64"/>
      <c r="U1572" s="44"/>
      <c r="W1572" s="59"/>
      <c r="X1572" s="64"/>
      <c r="Y1572" s="106"/>
      <c r="Z1572" s="105"/>
      <c r="AA1572" s="106"/>
      <c r="AB1572" s="105"/>
      <c r="AC1572" s="106"/>
      <c r="AD1572" s="105"/>
      <c r="AE1572" s="106"/>
      <c r="AF1572" s="105"/>
      <c r="AG1572" s="106"/>
      <c r="AH1572" s="105"/>
      <c r="AI1572" s="59"/>
      <c r="AJ1572" s="64"/>
      <c r="AK1572" s="44"/>
      <c r="AM1572" s="49"/>
      <c r="AN1572" s="49"/>
      <c r="AO1572" s="49"/>
      <c r="AP1572" s="49"/>
      <c r="AQ1572" s="49"/>
      <c r="AR1572" s="40"/>
      <c r="AS1572" s="51"/>
      <c r="AU1572" s="49"/>
      <c r="AW1572" s="52"/>
      <c r="BA1572" s="2"/>
      <c r="BB1572" s="2"/>
      <c r="BC1572" s="101"/>
      <c r="BD1572" s="101"/>
    </row>
    <row r="1573" spans="2:56" s="84" customFormat="1" x14ac:dyDescent="0.35">
      <c r="B1573" s="30" t="str">
        <f>IF(B1499="","",B1499)</f>
        <v>Benoit, Jean-Paul(Avance $1,600.00)</v>
      </c>
      <c r="C1573" s="31"/>
      <c r="D1573" s="32"/>
      <c r="E1573" s="33">
        <f t="shared" si="617"/>
        <v>93595935</v>
      </c>
      <c r="F1573" s="50">
        <f>B1563</f>
        <v>5</v>
      </c>
      <c r="G1573" s="69"/>
      <c r="H1573" s="70"/>
      <c r="I1573" s="104"/>
      <c r="J1573" s="103" t="s">
        <v>69</v>
      </c>
      <c r="K1573" s="104"/>
      <c r="L1573" s="103" t="s">
        <v>69</v>
      </c>
      <c r="M1573" s="104"/>
      <c r="N1573" s="103" t="s">
        <v>69</v>
      </c>
      <c r="O1573" s="104"/>
      <c r="P1573" s="103" t="s">
        <v>69</v>
      </c>
      <c r="Q1573" s="104"/>
      <c r="R1573" s="103" t="s">
        <v>69</v>
      </c>
      <c r="S1573" s="69"/>
      <c r="T1573" s="70"/>
      <c r="U1573" s="71">
        <f t="shared" ref="U1573" si="619">SUM(G1573:T1573)</f>
        <v>0</v>
      </c>
      <c r="V1573" s="72"/>
      <c r="W1573" s="69"/>
      <c r="X1573" s="70"/>
      <c r="Y1573" s="104"/>
      <c r="Z1573" s="103" t="s">
        <v>69</v>
      </c>
      <c r="AA1573" s="104"/>
      <c r="AB1573" s="103" t="s">
        <v>69</v>
      </c>
      <c r="AC1573" s="104"/>
      <c r="AD1573" s="103" t="s">
        <v>69</v>
      </c>
      <c r="AE1573" s="104"/>
      <c r="AF1573" s="103" t="s">
        <v>69</v>
      </c>
      <c r="AG1573" s="104"/>
      <c r="AH1573" s="103" t="s">
        <v>69</v>
      </c>
      <c r="AI1573" s="69"/>
      <c r="AJ1573" s="70"/>
      <c r="AK1573" s="71">
        <f>SUM(W1573:AJ1573)</f>
        <v>0</v>
      </c>
      <c r="AL1573" s="72"/>
      <c r="AM1573" s="73">
        <f>SUMIF($G1572:$T1572,"",$G1573:$T1573)+SUMIF($W1572:$AJ1572,"",$W1573:$AJ1573)-AN1573</f>
        <v>0</v>
      </c>
      <c r="AN1573" s="88">
        <f>IF(SUMIF($G1572:$T1572,"",$G1573:$T1573)+SUMIF($G1572:$T1572,"F",$G1573:$T1573)+SUMIF($G1572:$T1572,"V",$G1573:$T1573)-40&lt;0,0,SUMIF($G1572:$T1572,"",$G1573:$T1573)+SUMIF($G1572:$T1572,"F",$G1573:$T1573)+SUMIF($G1572:$T1572,"V",$G1573:$T1573)-($U$9/2))+IF(SUMIF($W1572:$AJ1572,"",$W1573:$AJ1573)+SUMIF($W1572:$AJ1572,"F",$W1573:$AJ1573)+SUMIF($W1572:$AJ1572,"V",$W1573:$AJ1573)-40&lt;0,0,SUMIF($W1572:$AJ1572,"",$W1573:$AJ1573)+SUMIF($W1572:$AJ1572,"F",$W1573:$AJ1573)+SUMIF($W1572:$AJ1572,"V",$W1573:$AJ1573)-($U$9/2))</f>
        <v>0</v>
      </c>
      <c r="AO1573" s="73">
        <f>SUMIF($G1572:$T1572,"M",$G1573:$T1573)+SUMIF($W1572:$AJ1572,"M",$W1573:$AJ1573)</f>
        <v>0</v>
      </c>
      <c r="AP1573" s="73">
        <f>SUMIF($G1572:$T1572,"F",$G1573:$T1573)+SUMIF($W1572:$AJ1572,"F",$W1573:$AJ1573)</f>
        <v>0</v>
      </c>
      <c r="AQ1573" s="73">
        <f>SUMIF($G1572:$T1572,"V",$G1573:$T1573)+SUMIF($W1572:$AJ1572,"V",$W1573:$AJ1573)</f>
        <v>0</v>
      </c>
      <c r="AR1573" s="74">
        <f>SUMIF($G1572:$T1572,"O",$G1573:$T1573)+SUMIF($W1572:$AJ1572,"O",$W1573:$AJ1573)</f>
        <v>0</v>
      </c>
      <c r="AS1573" s="75">
        <f>SUM(AM1573:AR1573)</f>
        <v>0</v>
      </c>
      <c r="AT1573" s="72"/>
      <c r="AU1573" s="73">
        <f>SUMIF($G1572:$T1572,"A",$G1573:$T1573)+SUMIF($W1572:$AJ1572,"A",$W1573:$AJ1573)</f>
        <v>0</v>
      </c>
      <c r="AV1573" s="72"/>
      <c r="AW1573" s="76">
        <f>IF(B1573="",0,IF($U$9="",0,$U$9))</f>
        <v>80</v>
      </c>
      <c r="BA1573" s="2"/>
      <c r="BB1573" s="2"/>
      <c r="BC1573" s="101"/>
      <c r="BD1573" s="101"/>
    </row>
    <row r="1574" spans="2:56" s="84" customFormat="1" x14ac:dyDescent="0.35">
      <c r="B1574" s="26"/>
      <c r="C1574" s="27"/>
      <c r="D1574" s="28">
        <f>IF(D1500="","",D1500)</f>
        <v>81077</v>
      </c>
      <c r="E1574" s="29" t="str">
        <f t="shared" si="617"/>
        <v/>
      </c>
      <c r="F1574" s="50">
        <f>B1563</f>
        <v>5</v>
      </c>
      <c r="G1574" s="93"/>
      <c r="H1574" s="94"/>
      <c r="I1574" s="106"/>
      <c r="J1574" s="105"/>
      <c r="K1574" s="106"/>
      <c r="L1574" s="105"/>
      <c r="M1574" s="106"/>
      <c r="N1574" s="105"/>
      <c r="O1574" s="106"/>
      <c r="P1574" s="105"/>
      <c r="Q1574" s="106"/>
      <c r="R1574" s="105"/>
      <c r="S1574" s="59"/>
      <c r="T1574" s="64"/>
      <c r="U1574" s="44"/>
      <c r="W1574" s="59"/>
      <c r="X1574" s="64"/>
      <c r="Y1574" s="106"/>
      <c r="Z1574" s="105"/>
      <c r="AA1574" s="106"/>
      <c r="AB1574" s="105"/>
      <c r="AC1574" s="106"/>
      <c r="AD1574" s="105"/>
      <c r="AE1574" s="106"/>
      <c r="AF1574" s="105"/>
      <c r="AG1574" s="106"/>
      <c r="AH1574" s="105" t="s">
        <v>1</v>
      </c>
      <c r="AI1574" s="59"/>
      <c r="AJ1574" s="64"/>
      <c r="AK1574" s="44"/>
      <c r="AM1574" s="49"/>
      <c r="AN1574" s="49"/>
      <c r="AO1574" s="49"/>
      <c r="AP1574" s="49"/>
      <c r="AQ1574" s="49"/>
      <c r="AR1574" s="40"/>
      <c r="AS1574" s="51"/>
      <c r="AU1574" s="49"/>
      <c r="AW1574" s="52"/>
      <c r="BA1574" s="2"/>
      <c r="BB1574" s="2"/>
      <c r="BC1574" s="101"/>
      <c r="BD1574" s="101"/>
    </row>
    <row r="1575" spans="2:56" s="84" customFormat="1" x14ac:dyDescent="0.35">
      <c r="B1575" s="30" t="str">
        <f>IF(B1501="","",B1501)</f>
        <v>Bourassa, Julie</v>
      </c>
      <c r="C1575" s="31"/>
      <c r="D1575" s="32"/>
      <c r="E1575" s="33">
        <f t="shared" si="617"/>
        <v>93540</v>
      </c>
      <c r="F1575" s="50">
        <f>B1563</f>
        <v>5</v>
      </c>
      <c r="G1575" s="93"/>
      <c r="H1575" s="94"/>
      <c r="I1575" s="104"/>
      <c r="J1575" s="103">
        <v>8</v>
      </c>
      <c r="K1575" s="104"/>
      <c r="L1575" s="103">
        <v>8</v>
      </c>
      <c r="M1575" s="104"/>
      <c r="N1575" s="103">
        <v>8.25</v>
      </c>
      <c r="O1575" s="104"/>
      <c r="P1575" s="103">
        <v>8.25</v>
      </c>
      <c r="Q1575" s="104"/>
      <c r="R1575" s="103">
        <v>7.5</v>
      </c>
      <c r="S1575" s="69"/>
      <c r="T1575" s="70"/>
      <c r="U1575" s="71">
        <f t="shared" ref="U1575" si="620">SUM(G1575:T1575)</f>
        <v>40</v>
      </c>
      <c r="V1575" s="72"/>
      <c r="W1575" s="69"/>
      <c r="X1575" s="70"/>
      <c r="Y1575" s="104"/>
      <c r="Z1575" s="103">
        <v>8</v>
      </c>
      <c r="AA1575" s="104"/>
      <c r="AB1575" s="103">
        <v>8.25</v>
      </c>
      <c r="AC1575" s="104"/>
      <c r="AD1575" s="103">
        <v>8</v>
      </c>
      <c r="AE1575" s="104"/>
      <c r="AF1575" s="103">
        <v>8</v>
      </c>
      <c r="AG1575" s="104"/>
      <c r="AH1575" s="103">
        <v>8</v>
      </c>
      <c r="AI1575" s="69"/>
      <c r="AJ1575" s="70"/>
      <c r="AK1575" s="71">
        <f>SUM(W1575:AJ1575)</f>
        <v>40.25</v>
      </c>
      <c r="AL1575" s="72"/>
      <c r="AM1575" s="73">
        <f>SUMIF($G1574:$T1574,"",$G1575:$T1575)+SUMIF($W1574:$AJ1574,"",$W1575:$AJ1575)-AN1575</f>
        <v>72</v>
      </c>
      <c r="AN1575" s="88">
        <f>IF(SUMIF($G1574:$T1574,"",$G1575:$T1575)+SUMIF($G1574:$T1574,"F",$G1575:$T1575)+SUMIF($G1574:$T1574,"V",$G1575:$T1575)-40&lt;0,0,SUMIF($G1574:$T1574,"",$G1575:$T1575)+SUMIF($G1574:$T1574,"F",$G1575:$T1575)+SUMIF($G1574:$T1574,"V",$G1575:$T1575)-($U$9/2))+IF(SUMIF($W1574:$AJ1574,"",$W1575:$AJ1575)+SUMIF($W1574:$AJ1574,"F",$W1575:$AJ1575)+SUMIF($W1574:$AJ1574,"V",$W1575:$AJ1575)-40&lt;0,0,SUMIF($W1574:$AJ1574,"",$W1575:$AJ1575)+SUMIF($W1574:$AJ1574,"F",$W1575:$AJ1575)+SUMIF($W1574:$AJ1574,"V",$W1575:$AJ1575)-($U$9/2))</f>
        <v>0.25</v>
      </c>
      <c r="AO1575" s="73">
        <f>SUMIF($G1574:$T1574,"M",$G1575:$T1575)+SUMIF($W1574:$AJ1574,"M",$W1575:$AJ1575)</f>
        <v>0</v>
      </c>
      <c r="AP1575" s="73">
        <f>SUMIF($G1574:$T1574,"F",$G1575:$T1575)+SUMIF($W1574:$AJ1574,"F",$W1575:$AJ1575)</f>
        <v>0</v>
      </c>
      <c r="AQ1575" s="73">
        <f>SUMIF($G1574:$T1574,"V",$G1575:$T1575)+SUMIF($W1574:$AJ1574,"V",$W1575:$AJ1575)</f>
        <v>8</v>
      </c>
      <c r="AR1575" s="74">
        <f>SUMIF($G1574:$T1574,"O",$G1575:$T1575)+SUMIF($W1574:$AJ1574,"O",$W1575:$AJ1575)</f>
        <v>0</v>
      </c>
      <c r="AS1575" s="75">
        <f>SUM(AM1575:AR1575)</f>
        <v>80.25</v>
      </c>
      <c r="AT1575" s="72"/>
      <c r="AU1575" s="73">
        <f>SUMIF($G1574:$T1574,"A",$G1575:$T1575)+SUMIF($W1574:$AJ1574,"A",$W1575:$AJ1575)</f>
        <v>0</v>
      </c>
      <c r="AV1575" s="72"/>
      <c r="AW1575" s="76">
        <f>IF(B1575="",0,IF($U$9="",0,$U$9))</f>
        <v>80</v>
      </c>
      <c r="BA1575" s="2"/>
      <c r="BB1575" s="2"/>
      <c r="BC1575" s="101"/>
      <c r="BD1575" s="101"/>
    </row>
    <row r="1576" spans="2:56" s="84" customFormat="1" x14ac:dyDescent="0.35">
      <c r="B1576" s="26"/>
      <c r="C1576" s="27"/>
      <c r="D1576" s="28">
        <f>IF(D1502="","",D1502)</f>
        <v>78475</v>
      </c>
      <c r="E1576" s="29" t="str">
        <f t="shared" si="617"/>
        <v/>
      </c>
      <c r="F1576" s="50">
        <f>B1563</f>
        <v>5</v>
      </c>
      <c r="G1576" s="59"/>
      <c r="H1576" s="64"/>
      <c r="I1576" s="106"/>
      <c r="J1576" s="105"/>
      <c r="K1576" s="106"/>
      <c r="L1576" s="105"/>
      <c r="M1576" s="106"/>
      <c r="N1576" s="105" t="s">
        <v>3</v>
      </c>
      <c r="O1576" s="106"/>
      <c r="P1576" s="105" t="s">
        <v>3</v>
      </c>
      <c r="Q1576" s="106"/>
      <c r="R1576" s="105" t="s">
        <v>3</v>
      </c>
      <c r="S1576" s="59"/>
      <c r="T1576" s="64"/>
      <c r="U1576" s="44"/>
      <c r="W1576" s="59"/>
      <c r="X1576" s="64"/>
      <c r="Y1576" s="106"/>
      <c r="Z1576" s="105" t="s">
        <v>3</v>
      </c>
      <c r="AA1576" s="106"/>
      <c r="AB1576" s="105" t="s">
        <v>3</v>
      </c>
      <c r="AC1576" s="106"/>
      <c r="AD1576" s="105" t="s">
        <v>3</v>
      </c>
      <c r="AE1576" s="106"/>
      <c r="AF1576" s="105"/>
      <c r="AG1576" s="106"/>
      <c r="AH1576" s="105"/>
      <c r="AI1576" s="59"/>
      <c r="AJ1576" s="64"/>
      <c r="AK1576" s="44"/>
      <c r="AM1576" s="49"/>
      <c r="AN1576" s="49"/>
      <c r="AO1576" s="49"/>
      <c r="AP1576" s="49"/>
      <c r="AQ1576" s="49"/>
      <c r="AR1576" s="40"/>
      <c r="AS1576" s="51"/>
      <c r="AU1576" s="49"/>
      <c r="AW1576" s="52"/>
      <c r="BA1576" s="2"/>
      <c r="BB1576" s="2"/>
      <c r="BC1576" s="101"/>
      <c r="BD1576" s="101"/>
    </row>
    <row r="1577" spans="2:56" s="84" customFormat="1" x14ac:dyDescent="0.35">
      <c r="B1577" s="30" t="str">
        <f>IF(B1503="","",B1503)</f>
        <v>Charbonneau, Samuel</v>
      </c>
      <c r="C1577" s="31"/>
      <c r="D1577" s="32"/>
      <c r="E1577" s="33">
        <f t="shared" si="617"/>
        <v>93540</v>
      </c>
      <c r="F1577" s="50">
        <f>B1563</f>
        <v>5</v>
      </c>
      <c r="G1577" s="69"/>
      <c r="H1577" s="70"/>
      <c r="I1577" s="104"/>
      <c r="J1577" s="103">
        <v>8</v>
      </c>
      <c r="K1577" s="104"/>
      <c r="L1577" s="103">
        <v>8</v>
      </c>
      <c r="M1577" s="104"/>
      <c r="N1577" s="103">
        <v>0</v>
      </c>
      <c r="O1577" s="104"/>
      <c r="P1577" s="103">
        <v>0</v>
      </c>
      <c r="Q1577" s="104"/>
      <c r="R1577" s="103">
        <v>0</v>
      </c>
      <c r="S1577" s="69"/>
      <c r="T1577" s="70"/>
      <c r="U1577" s="71">
        <f t="shared" ref="U1577" si="621">SUM(G1577:T1577)</f>
        <v>16</v>
      </c>
      <c r="V1577" s="72"/>
      <c r="W1577" s="69"/>
      <c r="X1577" s="70"/>
      <c r="Y1577" s="104"/>
      <c r="Z1577" s="103">
        <v>0</v>
      </c>
      <c r="AA1577" s="104"/>
      <c r="AB1577" s="103">
        <v>0</v>
      </c>
      <c r="AC1577" s="104"/>
      <c r="AD1577" s="103">
        <v>0</v>
      </c>
      <c r="AE1577" s="104"/>
      <c r="AF1577" s="103">
        <v>9</v>
      </c>
      <c r="AG1577" s="104"/>
      <c r="AH1577" s="103">
        <v>9</v>
      </c>
      <c r="AI1577" s="69"/>
      <c r="AJ1577" s="70"/>
      <c r="AK1577" s="71">
        <f>SUM(W1577:AJ1577)</f>
        <v>18</v>
      </c>
      <c r="AL1577" s="72"/>
      <c r="AM1577" s="73">
        <f>SUMIF($G1576:$T1576,"",$G1577:$T1577)+SUMIF($W1576:$AJ1576,"",$W1577:$AJ1577)-AN1577</f>
        <v>34</v>
      </c>
      <c r="AN1577" s="88">
        <f>IF(SUMIF($G1576:$T1576,"",$G1577:$T1577)+SUMIF($G1576:$T1576,"F",$G1577:$T1577)+SUMIF($G1576:$T1576,"V",$G1577:$T1577)-40&lt;0,0,SUMIF($G1576:$T1576,"",$G1577:$T1577)+SUMIF($G1576:$T1576,"F",$G1577:$T1577)+SUMIF($G1576:$T1576,"V",$G1577:$T1577)-($U$9/2))+IF(SUMIF($W1576:$AJ1576,"",$W1577:$AJ1577)+SUMIF($W1576:$AJ1576,"F",$W1577:$AJ1577)+SUMIF($W1576:$AJ1576,"V",$W1577:$AJ1577)-40&lt;0,0,SUMIF($W1576:$AJ1576,"",$W1577:$AJ1577)+SUMIF($W1576:$AJ1576,"F",$W1577:$AJ1577)+SUMIF($W1576:$AJ1576,"V",$W1577:$AJ1577)-($U$9/2))</f>
        <v>0</v>
      </c>
      <c r="AO1577" s="73">
        <f>SUMIF($G1576:$T1576,"M",$G1577:$T1577)+SUMIF($W1576:$AJ1576,"M",$W1577:$AJ1577)</f>
        <v>0</v>
      </c>
      <c r="AP1577" s="73">
        <f>SUMIF($G1576:$T1576,"F",$G1577:$T1577)+SUMIF($W1576:$AJ1576,"F",$W1577:$AJ1577)</f>
        <v>0</v>
      </c>
      <c r="AQ1577" s="73">
        <f>SUMIF($G1576:$T1576,"V",$G1577:$T1577)+SUMIF($W1576:$AJ1576,"V",$W1577:$AJ1577)</f>
        <v>0</v>
      </c>
      <c r="AR1577" s="74">
        <f>SUMIF($G1576:$T1576,"O",$G1577:$T1577)+SUMIF($W1576:$AJ1576,"O",$W1577:$AJ1577)</f>
        <v>0</v>
      </c>
      <c r="AS1577" s="75">
        <f>SUM(AM1577:AR1577)</f>
        <v>34</v>
      </c>
      <c r="AT1577" s="72"/>
      <c r="AU1577" s="73">
        <f>SUMIF($G1576:$T1576,"A",$G1577:$T1577)+SUMIF($W1576:$AJ1576,"A",$W1577:$AJ1577)</f>
        <v>0</v>
      </c>
      <c r="AV1577" s="72"/>
      <c r="AW1577" s="76">
        <f>IF(B1577="",0,IF($U$9="",0,$U$9))</f>
        <v>80</v>
      </c>
      <c r="BA1577" s="2"/>
      <c r="BB1577" s="2"/>
      <c r="BC1577" s="101"/>
      <c r="BD1577" s="101"/>
    </row>
    <row r="1578" spans="2:56" s="84" customFormat="1" x14ac:dyDescent="0.35">
      <c r="B1578" s="26"/>
      <c r="C1578" s="27"/>
      <c r="D1578" s="28" t="str">
        <f>IF(D1504="","",D1504)</f>
        <v/>
      </c>
      <c r="E1578" s="29" t="str">
        <f t="shared" si="617"/>
        <v/>
      </c>
      <c r="F1578" s="50">
        <f>B1563</f>
        <v>5</v>
      </c>
      <c r="G1578" s="59"/>
      <c r="H1578" s="64"/>
      <c r="I1578" s="106"/>
      <c r="J1578" s="105"/>
      <c r="K1578" s="106"/>
      <c r="L1578" s="105"/>
      <c r="M1578" s="106"/>
      <c r="N1578" s="105"/>
      <c r="O1578" s="106"/>
      <c r="P1578" s="105"/>
      <c r="Q1578" s="106"/>
      <c r="R1578" s="105"/>
      <c r="S1578" s="59"/>
      <c r="T1578" s="64"/>
      <c r="U1578" s="44"/>
      <c r="W1578" s="59"/>
      <c r="X1578" s="64"/>
      <c r="Y1578" s="106"/>
      <c r="Z1578" s="105"/>
      <c r="AA1578" s="106"/>
      <c r="AB1578" s="105"/>
      <c r="AC1578" s="106"/>
      <c r="AD1578" s="105"/>
      <c r="AE1578" s="106"/>
      <c r="AF1578" s="105"/>
      <c r="AG1578" s="106"/>
      <c r="AH1578" s="105"/>
      <c r="AI1578" s="59"/>
      <c r="AJ1578" s="64"/>
      <c r="AK1578" s="44"/>
      <c r="AM1578" s="49"/>
      <c r="AN1578" s="49"/>
      <c r="AO1578" s="49"/>
      <c r="AP1578" s="49"/>
      <c r="AQ1578" s="49"/>
      <c r="AR1578" s="40"/>
      <c r="AS1578" s="51"/>
      <c r="AU1578" s="49"/>
      <c r="AW1578" s="52"/>
      <c r="BA1578" s="2"/>
      <c r="BB1578" s="2"/>
      <c r="BC1578" s="101"/>
      <c r="BD1578" s="101"/>
    </row>
    <row r="1579" spans="2:56" s="84" customFormat="1" x14ac:dyDescent="0.35">
      <c r="B1579" s="30" t="str">
        <f>IF(B1505="","",B1505)</f>
        <v/>
      </c>
      <c r="C1579" s="31"/>
      <c r="D1579" s="32"/>
      <c r="E1579" s="33" t="str">
        <f t="shared" si="617"/>
        <v/>
      </c>
      <c r="F1579" s="50">
        <f>B1563</f>
        <v>5</v>
      </c>
      <c r="G1579" s="69"/>
      <c r="H1579" s="70"/>
      <c r="I1579" s="104"/>
      <c r="J1579" s="103"/>
      <c r="K1579" s="104"/>
      <c r="L1579" s="103"/>
      <c r="M1579" s="104"/>
      <c r="N1579" s="103"/>
      <c r="O1579" s="104"/>
      <c r="P1579" s="103"/>
      <c r="Q1579" s="104"/>
      <c r="R1579" s="103"/>
      <c r="S1579" s="69"/>
      <c r="T1579" s="70"/>
      <c r="U1579" s="71">
        <f t="shared" ref="U1579" si="622">SUM(G1579:T1579)</f>
        <v>0</v>
      </c>
      <c r="V1579" s="72"/>
      <c r="W1579" s="69"/>
      <c r="X1579" s="70"/>
      <c r="Y1579" s="104"/>
      <c r="Z1579" s="103"/>
      <c r="AA1579" s="104"/>
      <c r="AB1579" s="103"/>
      <c r="AC1579" s="104"/>
      <c r="AD1579" s="103"/>
      <c r="AE1579" s="104"/>
      <c r="AF1579" s="103"/>
      <c r="AG1579" s="104"/>
      <c r="AH1579" s="103"/>
      <c r="AI1579" s="69"/>
      <c r="AJ1579" s="70"/>
      <c r="AK1579" s="71">
        <f>SUM(W1579:AJ1579)</f>
        <v>0</v>
      </c>
      <c r="AL1579" s="72"/>
      <c r="AM1579" s="73">
        <f>SUMIF($G1578:$T1578,"",$G1579:$T1579)+SUMIF($W1578:$AJ1578,"",$W1579:$AJ1579)-AN1579</f>
        <v>0</v>
      </c>
      <c r="AN1579" s="88">
        <f>IF(SUMIF($G1578:$T1578,"",$G1579:$T1579)+SUMIF($G1578:$T1578,"F",$G1579:$T1579)+SUMIF($G1578:$T1578,"V",$G1579:$T1579)-40&lt;0,0,SUMIF($G1578:$T1578,"",$G1579:$T1579)+SUMIF($G1578:$T1578,"F",$G1579:$T1579)+SUMIF($G1578:$T1578,"V",$G1579:$T1579)-($U$9/2))+IF(SUMIF($W1578:$AJ1578,"",$W1579:$AJ1579)+SUMIF($W1578:$AJ1578,"F",$W1579:$AJ1579)+SUMIF($W1578:$AJ1578,"V",$W1579:$AJ1579)-40&lt;0,0,SUMIF($W1578:$AJ1578,"",$W1579:$AJ1579)+SUMIF($W1578:$AJ1578,"F",$W1579:$AJ1579)+SUMIF($W1578:$AJ1578,"V",$W1579:$AJ1579)-($U$9/2))</f>
        <v>0</v>
      </c>
      <c r="AO1579" s="73">
        <f>SUMIF($G1578:$T1578,"M",$G1579:$T1579)+SUMIF($W1578:$AJ1578,"M",$W1579:$AJ1579)</f>
        <v>0</v>
      </c>
      <c r="AP1579" s="73">
        <f>SUMIF($G1578:$T1578,"F",$G1579:$T1579)+SUMIF($W1578:$AJ1578,"F",$W1579:$AJ1579)</f>
        <v>0</v>
      </c>
      <c r="AQ1579" s="73">
        <f>SUMIF($G1578:$T1578,"V",$G1579:$T1579)+SUMIF($W1578:$AJ1578,"V",$W1579:$AJ1579)</f>
        <v>0</v>
      </c>
      <c r="AR1579" s="74">
        <f>SUMIF($G1578:$T1578,"O",$G1579:$T1579)+SUMIF($W1578:$AJ1578,"O",$W1579:$AJ1579)</f>
        <v>0</v>
      </c>
      <c r="AS1579" s="75">
        <f>SUM(AM1579:AR1579)</f>
        <v>0</v>
      </c>
      <c r="AT1579" s="72"/>
      <c r="AU1579" s="73">
        <f>SUMIF($G1578:$T1578,"A",$G1579:$T1579)+SUMIF($W1578:$AJ1578,"A",$W1579:$AJ1579)</f>
        <v>0</v>
      </c>
      <c r="AV1579" s="72"/>
      <c r="AW1579" s="76">
        <f>IF(B1579="",0,IF($U$9="",0,$U$9))</f>
        <v>0</v>
      </c>
      <c r="BA1579" s="2"/>
      <c r="BB1579" s="2"/>
      <c r="BC1579" s="101"/>
      <c r="BD1579" s="101"/>
    </row>
    <row r="1580" spans="2:56" s="84" customFormat="1" x14ac:dyDescent="0.35">
      <c r="B1580" s="26"/>
      <c r="C1580" s="27"/>
      <c r="D1580" s="28">
        <f>IF(D1506="","",D1506)</f>
        <v>79709</v>
      </c>
      <c r="E1580" s="29" t="str">
        <f t="shared" si="617"/>
        <v/>
      </c>
      <c r="F1580" s="50">
        <f>B1563</f>
        <v>5</v>
      </c>
      <c r="G1580" s="59"/>
      <c r="H1580" s="64"/>
      <c r="I1580" s="106"/>
      <c r="J1580" s="105"/>
      <c r="K1580" s="106"/>
      <c r="L1580" s="105"/>
      <c r="M1580" s="106"/>
      <c r="N1580" s="105"/>
      <c r="O1580" s="106"/>
      <c r="P1580" s="105"/>
      <c r="Q1580" s="106"/>
      <c r="R1580" s="105"/>
      <c r="S1580" s="59"/>
      <c r="T1580" s="64"/>
      <c r="U1580" s="44"/>
      <c r="W1580" s="59"/>
      <c r="X1580" s="64"/>
      <c r="Y1580" s="106"/>
      <c r="Z1580" s="105"/>
      <c r="AA1580" s="106"/>
      <c r="AB1580" s="105"/>
      <c r="AC1580" s="106"/>
      <c r="AD1580" s="105"/>
      <c r="AE1580" s="106"/>
      <c r="AF1580" s="105"/>
      <c r="AG1580" s="106"/>
      <c r="AH1580" s="105"/>
      <c r="AI1580" s="59"/>
      <c r="AJ1580" s="64"/>
      <c r="AK1580" s="44"/>
      <c r="AM1580" s="49"/>
      <c r="AN1580" s="49"/>
      <c r="AO1580" s="49"/>
      <c r="AP1580" s="49"/>
      <c r="AQ1580" s="49"/>
      <c r="AR1580" s="40"/>
      <c r="AS1580" s="51"/>
      <c r="AU1580" s="49"/>
      <c r="AW1580" s="52"/>
      <c r="BA1580" s="2"/>
      <c r="BB1580" s="2"/>
      <c r="BC1580" s="101"/>
      <c r="BD1580" s="101"/>
    </row>
    <row r="1581" spans="2:56" s="84" customFormat="1" x14ac:dyDescent="0.35">
      <c r="B1581" s="30" t="str">
        <f>IF(B1507="","",B1507)</f>
        <v>De Rose, Natale</v>
      </c>
      <c r="C1581" s="31"/>
      <c r="D1581" s="32"/>
      <c r="E1581" s="33">
        <f t="shared" si="617"/>
        <v>93595935</v>
      </c>
      <c r="F1581" s="50">
        <f>B1563</f>
        <v>5</v>
      </c>
      <c r="G1581" s="69"/>
      <c r="H1581" s="70"/>
      <c r="I1581" s="104"/>
      <c r="J1581" s="103">
        <v>8</v>
      </c>
      <c r="K1581" s="104"/>
      <c r="L1581" s="103">
        <v>8</v>
      </c>
      <c r="M1581" s="104"/>
      <c r="N1581" s="103">
        <v>8</v>
      </c>
      <c r="O1581" s="104"/>
      <c r="P1581" s="103">
        <v>8</v>
      </c>
      <c r="Q1581" s="104"/>
      <c r="R1581" s="103">
        <v>8</v>
      </c>
      <c r="S1581" s="69"/>
      <c r="T1581" s="70"/>
      <c r="U1581" s="71">
        <f t="shared" ref="U1581" si="623">SUM(G1581:T1581)</f>
        <v>40</v>
      </c>
      <c r="V1581" s="72"/>
      <c r="W1581" s="69"/>
      <c r="X1581" s="70"/>
      <c r="Y1581" s="104"/>
      <c r="Z1581" s="103">
        <v>8</v>
      </c>
      <c r="AA1581" s="104"/>
      <c r="AB1581" s="103">
        <v>8</v>
      </c>
      <c r="AC1581" s="104"/>
      <c r="AD1581" s="103">
        <v>8</v>
      </c>
      <c r="AE1581" s="104"/>
      <c r="AF1581" s="103">
        <v>8</v>
      </c>
      <c r="AG1581" s="104"/>
      <c r="AH1581" s="103">
        <v>8</v>
      </c>
      <c r="AI1581" s="69"/>
      <c r="AJ1581" s="70"/>
      <c r="AK1581" s="71">
        <f>SUM(W1581:AJ1581)</f>
        <v>40</v>
      </c>
      <c r="AL1581" s="72"/>
      <c r="AM1581" s="73">
        <f>SUMIF($G1580:$T1580,"",$G1581:$T1581)+SUMIF($W1580:$AJ1580,"",$W1581:$AJ1581)-AN1581</f>
        <v>80</v>
      </c>
      <c r="AN1581" s="88">
        <f>IF(SUMIF($G1580:$T1580,"",$G1581:$T1581)+SUMIF($G1580:$T1580,"F",$G1581:$T1581)+SUMIF($G1580:$T1580,"V",$G1581:$T1581)-40&lt;0,0,SUMIF($G1580:$T1580,"",$G1581:$T1581)+SUMIF($G1580:$T1580,"F",$G1581:$T1581)+SUMIF($G1580:$T1580,"V",$G1581:$T1581)-($U$9/2))+IF(SUMIF($W1580:$AJ1580,"",$W1581:$AJ1581)+SUMIF($W1580:$AJ1580,"F",$W1581:$AJ1581)+SUMIF($W1580:$AJ1580,"V",$W1581:$AJ1581)-40&lt;0,0,SUMIF($W1580:$AJ1580,"",$W1581:$AJ1581)+SUMIF($W1580:$AJ1580,"F",$W1581:$AJ1581)+SUMIF($W1580:$AJ1580,"V",$W1581:$AJ1581)-($U$9/2))</f>
        <v>0</v>
      </c>
      <c r="AO1581" s="73">
        <f>SUMIF($G1580:$T1580,"M",$G1581:$T1581)+SUMIF($W1580:$AJ1580,"M",$W1581:$AJ1581)</f>
        <v>0</v>
      </c>
      <c r="AP1581" s="73">
        <f>SUMIF($G1580:$T1580,"F",$G1581:$T1581)+SUMIF($W1580:$AJ1580,"F",$W1581:$AJ1581)</f>
        <v>0</v>
      </c>
      <c r="AQ1581" s="73">
        <f>SUMIF($G1580:$T1580,"V",$G1581:$T1581)+SUMIF($W1580:$AJ1580,"V",$W1581:$AJ1581)</f>
        <v>0</v>
      </c>
      <c r="AR1581" s="74">
        <f>SUMIF($G1580:$T1580,"O",$G1581:$T1581)+SUMIF($W1580:$AJ1580,"O",$W1581:$AJ1581)</f>
        <v>0</v>
      </c>
      <c r="AS1581" s="75">
        <f>SUM(AM1581:AR1581)</f>
        <v>80</v>
      </c>
      <c r="AT1581" s="72"/>
      <c r="AU1581" s="73">
        <f>SUMIF($G1580:$T1580,"A",$G1581:$T1581)+SUMIF($W1580:$AJ1580,"A",$W1581:$AJ1581)</f>
        <v>0</v>
      </c>
      <c r="AV1581" s="72"/>
      <c r="AW1581" s="76">
        <f>IF(B1581="",0,IF($U$9="",0,$U$9))</f>
        <v>80</v>
      </c>
      <c r="BA1581" s="2"/>
      <c r="BB1581" s="2"/>
      <c r="BC1581" s="101"/>
      <c r="BD1581" s="101"/>
    </row>
    <row r="1582" spans="2:56" s="84" customFormat="1" x14ac:dyDescent="0.35">
      <c r="B1582" s="26"/>
      <c r="C1582" s="27"/>
      <c r="D1582" s="28">
        <f>IF(D1508="","",D1508)</f>
        <v>92027</v>
      </c>
      <c r="E1582" s="29" t="str">
        <f t="shared" si="617"/>
        <v/>
      </c>
      <c r="F1582" s="50">
        <f>B1563</f>
        <v>5</v>
      </c>
      <c r="G1582" s="59"/>
      <c r="H1582" s="64"/>
      <c r="I1582" s="106"/>
      <c r="J1582" s="105"/>
      <c r="K1582" s="106"/>
      <c r="L1582" s="105"/>
      <c r="M1582" s="106"/>
      <c r="N1582" s="105"/>
      <c r="O1582" s="106"/>
      <c r="P1582" s="105"/>
      <c r="Q1582" s="106"/>
      <c r="R1582" s="105"/>
      <c r="S1582" s="59"/>
      <c r="T1582" s="64"/>
      <c r="U1582" s="44"/>
      <c r="W1582" s="59"/>
      <c r="X1582" s="64"/>
      <c r="Y1582" s="106"/>
      <c r="Z1582" s="105"/>
      <c r="AA1582" s="106"/>
      <c r="AB1582" s="105"/>
      <c r="AC1582" s="106"/>
      <c r="AD1582" s="105"/>
      <c r="AE1582" s="106"/>
      <c r="AF1582" s="105"/>
      <c r="AG1582" s="106"/>
      <c r="AH1582" s="105"/>
      <c r="AI1582" s="59"/>
      <c r="AJ1582" s="64"/>
      <c r="AK1582" s="44"/>
      <c r="AM1582" s="49"/>
      <c r="AN1582" s="49"/>
      <c r="AO1582" s="49"/>
      <c r="AP1582" s="49"/>
      <c r="AQ1582" s="49"/>
      <c r="AR1582" s="40"/>
      <c r="AS1582" s="51"/>
      <c r="AU1582" s="49"/>
      <c r="AW1582" s="52"/>
      <c r="BA1582" s="2"/>
      <c r="BB1582" s="2"/>
      <c r="BC1582" s="101"/>
      <c r="BD1582" s="101"/>
    </row>
    <row r="1583" spans="2:56" s="84" customFormat="1" x14ac:dyDescent="0.35">
      <c r="B1583" s="30" t="str">
        <f>IF(B1509="","",B1509)</f>
        <v>Descoteaux, Gerald</v>
      </c>
      <c r="C1583" s="31"/>
      <c r="D1583" s="32"/>
      <c r="E1583" s="33">
        <f t="shared" si="617"/>
        <v>93595935</v>
      </c>
      <c r="F1583" s="50">
        <f>B1563</f>
        <v>5</v>
      </c>
      <c r="G1583" s="69"/>
      <c r="H1583" s="70"/>
      <c r="I1583" s="104"/>
      <c r="J1583" s="103">
        <v>8</v>
      </c>
      <c r="K1583" s="104"/>
      <c r="L1583" s="103">
        <v>8</v>
      </c>
      <c r="M1583" s="104"/>
      <c r="N1583" s="103">
        <v>8</v>
      </c>
      <c r="O1583" s="104"/>
      <c r="P1583" s="103">
        <v>8</v>
      </c>
      <c r="Q1583" s="104"/>
      <c r="R1583" s="103">
        <v>8</v>
      </c>
      <c r="S1583" s="69"/>
      <c r="T1583" s="70"/>
      <c r="U1583" s="71">
        <f t="shared" ref="U1583" si="624">SUM(G1583:T1583)</f>
        <v>40</v>
      </c>
      <c r="V1583" s="72"/>
      <c r="W1583" s="69"/>
      <c r="X1583" s="70"/>
      <c r="Y1583" s="104"/>
      <c r="Z1583" s="103">
        <v>8</v>
      </c>
      <c r="AA1583" s="104"/>
      <c r="AB1583" s="103">
        <v>8</v>
      </c>
      <c r="AC1583" s="104"/>
      <c r="AD1583" s="103">
        <v>8</v>
      </c>
      <c r="AE1583" s="104"/>
      <c r="AF1583" s="103">
        <v>8</v>
      </c>
      <c r="AG1583" s="104"/>
      <c r="AH1583" s="103">
        <v>8</v>
      </c>
      <c r="AI1583" s="69"/>
      <c r="AJ1583" s="70"/>
      <c r="AK1583" s="71">
        <f>SUM(W1583:AJ1583)</f>
        <v>40</v>
      </c>
      <c r="AL1583" s="72"/>
      <c r="AM1583" s="73">
        <f>SUMIF($G1582:$T1582,"",$G1583:$T1583)+SUMIF($W1582:$AJ1582,"",$W1583:$AJ1583)-AN1583</f>
        <v>80</v>
      </c>
      <c r="AN1583" s="88">
        <f>IF(SUMIF($G1582:$T1582,"",$G1583:$T1583)+SUMIF($G1582:$T1582,"F",$G1583:$T1583)+SUMIF($G1582:$T1582,"V",$G1583:$T1583)-40&lt;0,0,SUMIF($G1582:$T1582,"",$G1583:$T1583)+SUMIF($G1582:$T1582,"F",$G1583:$T1583)+SUMIF($G1582:$T1582,"V",$G1583:$T1583)-($U$9/2))+IF(SUMIF($W1582:$AJ1582,"",$W1583:$AJ1583)+SUMIF($W1582:$AJ1582,"F",$W1583:$AJ1583)+SUMIF($W1582:$AJ1582,"V",$W1583:$AJ1583)-40&lt;0,0,SUMIF($W1582:$AJ1582,"",$W1583:$AJ1583)+SUMIF($W1582:$AJ1582,"F",$W1583:$AJ1583)+SUMIF($W1582:$AJ1582,"V",$W1583:$AJ1583)-($U$9/2))</f>
        <v>0</v>
      </c>
      <c r="AO1583" s="73">
        <f>SUMIF($G1582:$T1582,"M",$G1583:$T1583)+SUMIF($W1582:$AJ1582,"M",$W1583:$AJ1583)</f>
        <v>0</v>
      </c>
      <c r="AP1583" s="73">
        <f>SUMIF($G1582:$T1582,"F",$G1583:$T1583)+SUMIF($W1582:$AJ1582,"F",$W1583:$AJ1583)</f>
        <v>0</v>
      </c>
      <c r="AQ1583" s="73">
        <f>SUMIF($G1582:$T1582,"V",$G1583:$T1583)+SUMIF($W1582:$AJ1582,"V",$W1583:$AJ1583)</f>
        <v>0</v>
      </c>
      <c r="AR1583" s="74">
        <f>SUMIF($G1582:$T1582,"O",$G1583:$T1583)+SUMIF($W1582:$AJ1582,"O",$W1583:$AJ1583)</f>
        <v>0</v>
      </c>
      <c r="AS1583" s="75">
        <f>SUM(AM1583:AR1583)</f>
        <v>80</v>
      </c>
      <c r="AT1583" s="72"/>
      <c r="AU1583" s="73">
        <f>SUMIF($G1582:$T1582,"A",$G1583:$T1583)+SUMIF($W1582:$AJ1582,"A",$W1583:$AJ1583)</f>
        <v>0</v>
      </c>
      <c r="AV1583" s="72"/>
      <c r="AW1583" s="76">
        <f>IF(B1583="",0,IF($U$9="",0,$U$9))</f>
        <v>80</v>
      </c>
      <c r="BA1583" s="2"/>
      <c r="BB1583" s="2"/>
      <c r="BC1583" s="101"/>
      <c r="BD1583" s="101"/>
    </row>
    <row r="1584" spans="2:56" s="84" customFormat="1" x14ac:dyDescent="0.35">
      <c r="B1584" s="26"/>
      <c r="C1584" s="27"/>
      <c r="D1584" s="28">
        <f>IF(D1510="","",D1510)</f>
        <v>73795</v>
      </c>
      <c r="E1584" s="29" t="str">
        <f t="shared" si="617"/>
        <v/>
      </c>
      <c r="F1584" s="50">
        <f>B1563</f>
        <v>5</v>
      </c>
      <c r="G1584" s="59"/>
      <c r="H1584" s="64"/>
      <c r="I1584" s="106"/>
      <c r="J1584" s="105"/>
      <c r="K1584" s="106"/>
      <c r="L1584" s="105"/>
      <c r="M1584" s="106"/>
      <c r="N1584" s="105"/>
      <c r="O1584" s="106"/>
      <c r="P1584" s="105"/>
      <c r="Q1584" s="106"/>
      <c r="R1584" s="105"/>
      <c r="S1584" s="59"/>
      <c r="T1584" s="64"/>
      <c r="U1584" s="44"/>
      <c r="W1584" s="59"/>
      <c r="X1584" s="64"/>
      <c r="Y1584" s="106"/>
      <c r="Z1584" s="105"/>
      <c r="AA1584" s="106"/>
      <c r="AB1584" s="105"/>
      <c r="AC1584" s="106"/>
      <c r="AD1584" s="105"/>
      <c r="AE1584" s="106"/>
      <c r="AF1584" s="105"/>
      <c r="AG1584" s="106"/>
      <c r="AH1584" s="105"/>
      <c r="AI1584" s="59"/>
      <c r="AJ1584" s="64"/>
      <c r="AK1584" s="44"/>
      <c r="AM1584" s="49"/>
      <c r="AN1584" s="49"/>
      <c r="AO1584" s="49"/>
      <c r="AP1584" s="49"/>
      <c r="AQ1584" s="49"/>
      <c r="AR1584" s="40"/>
      <c r="AS1584" s="51"/>
      <c r="AU1584" s="49"/>
      <c r="AW1584" s="52"/>
      <c r="BA1584" s="2"/>
      <c r="BB1584" s="2"/>
      <c r="BC1584" s="101"/>
      <c r="BD1584" s="101"/>
    </row>
    <row r="1585" spans="2:56" s="84" customFormat="1" x14ac:dyDescent="0.35">
      <c r="B1585" s="30" t="str">
        <f>IF(B1511="","",B1511)</f>
        <v>Fortin, Veronique</v>
      </c>
      <c r="C1585" s="31"/>
      <c r="D1585" s="32"/>
      <c r="E1585" s="33">
        <f t="shared" si="617"/>
        <v>93540</v>
      </c>
      <c r="F1585" s="50">
        <f>B1563</f>
        <v>5</v>
      </c>
      <c r="G1585" s="69"/>
      <c r="H1585" s="70"/>
      <c r="I1585" s="104"/>
      <c r="J1585" s="103">
        <v>8</v>
      </c>
      <c r="K1585" s="104"/>
      <c r="L1585" s="103">
        <v>8</v>
      </c>
      <c r="M1585" s="104"/>
      <c r="N1585" s="103">
        <v>8</v>
      </c>
      <c r="O1585" s="104"/>
      <c r="P1585" s="103">
        <v>8</v>
      </c>
      <c r="Q1585" s="104"/>
      <c r="R1585" s="103">
        <v>8</v>
      </c>
      <c r="S1585" s="69"/>
      <c r="T1585" s="70"/>
      <c r="U1585" s="71">
        <f t="shared" ref="U1585" si="625">SUM(G1585:T1585)</f>
        <v>40</v>
      </c>
      <c r="V1585" s="72"/>
      <c r="W1585" s="69"/>
      <c r="X1585" s="70"/>
      <c r="Y1585" s="104"/>
      <c r="Z1585" s="103">
        <v>8</v>
      </c>
      <c r="AA1585" s="104"/>
      <c r="AB1585" s="103">
        <v>8</v>
      </c>
      <c r="AC1585" s="104"/>
      <c r="AD1585" s="103">
        <v>8</v>
      </c>
      <c r="AE1585" s="104"/>
      <c r="AF1585" s="103">
        <v>8</v>
      </c>
      <c r="AG1585" s="104"/>
      <c r="AH1585" s="103">
        <v>8</v>
      </c>
      <c r="AI1585" s="69"/>
      <c r="AJ1585" s="70"/>
      <c r="AK1585" s="71">
        <f>SUM(W1585:AJ1585)</f>
        <v>40</v>
      </c>
      <c r="AL1585" s="72"/>
      <c r="AM1585" s="73">
        <f>SUMIF($G1584:$T1584,"",$G1585:$T1585)+SUMIF($W1584:$AJ1584,"",$W1585:$AJ1585)-AN1585</f>
        <v>80</v>
      </c>
      <c r="AN1585" s="88">
        <f>IF(SUMIF($G1584:$T1584,"",$G1585:$T1585)+SUMIF($G1584:$T1584,"F",$G1585:$T1585)+SUMIF($G1584:$T1584,"V",$G1585:$T1585)-40&lt;0,0,SUMIF($G1584:$T1584,"",$G1585:$T1585)+SUMIF($G1584:$T1584,"F",$G1585:$T1585)+SUMIF($G1584:$T1584,"V",$G1585:$T1585)-($U$9/2))+IF(SUMIF($W1584:$AJ1584,"",$W1585:$AJ1585)+SUMIF($W1584:$AJ1584,"F",$W1585:$AJ1585)+SUMIF($W1584:$AJ1584,"V",$W1585:$AJ1585)-40&lt;0,0,SUMIF($W1584:$AJ1584,"",$W1585:$AJ1585)+SUMIF($W1584:$AJ1584,"F",$W1585:$AJ1585)+SUMIF($W1584:$AJ1584,"V",$W1585:$AJ1585)-($U$9/2))</f>
        <v>0</v>
      </c>
      <c r="AO1585" s="73">
        <f>SUMIF($G1584:$T1584,"M",$G1585:$T1585)+SUMIF($W1584:$AJ1584,"M",$W1585:$AJ1585)</f>
        <v>0</v>
      </c>
      <c r="AP1585" s="73">
        <f>SUMIF($G1584:$T1584,"F",$G1585:$T1585)+SUMIF($W1584:$AJ1584,"F",$W1585:$AJ1585)</f>
        <v>0</v>
      </c>
      <c r="AQ1585" s="73">
        <f>SUMIF($G1584:$T1584,"V",$G1585:$T1585)+SUMIF($W1584:$AJ1584,"V",$W1585:$AJ1585)</f>
        <v>0</v>
      </c>
      <c r="AR1585" s="74">
        <f>SUMIF($G1584:$T1584,"O",$G1585:$T1585)+SUMIF($W1584:$AJ1584,"O",$W1585:$AJ1585)</f>
        <v>0</v>
      </c>
      <c r="AS1585" s="75">
        <f>SUM(AM1585:AR1585)</f>
        <v>80</v>
      </c>
      <c r="AT1585" s="72"/>
      <c r="AU1585" s="73">
        <f>SUMIF($G1584:$T1584,"A",$G1585:$T1585)+SUMIF($W1584:$AJ1584,"A",$W1585:$AJ1585)</f>
        <v>0</v>
      </c>
      <c r="AV1585" s="72"/>
      <c r="AW1585" s="76">
        <f>IF(B1585="",0,IF($U$9="",0,$U$9))</f>
        <v>80</v>
      </c>
      <c r="BA1585" s="2"/>
      <c r="BB1585" s="2"/>
      <c r="BC1585" s="101"/>
      <c r="BD1585" s="101"/>
    </row>
    <row r="1586" spans="2:56" s="84" customFormat="1" x14ac:dyDescent="0.35">
      <c r="B1586" s="26"/>
      <c r="C1586" s="27"/>
      <c r="D1586" s="28">
        <f>IF(D1512="","",D1512)</f>
        <v>23206</v>
      </c>
      <c r="E1586" s="29" t="str">
        <f t="shared" si="617"/>
        <v/>
      </c>
      <c r="F1586" s="50">
        <f>B1563</f>
        <v>5</v>
      </c>
      <c r="G1586" s="59"/>
      <c r="H1586" s="64"/>
      <c r="I1586" s="106"/>
      <c r="J1586" s="105"/>
      <c r="K1586" s="106"/>
      <c r="L1586" s="105"/>
      <c r="M1586" s="106"/>
      <c r="N1586" s="105"/>
      <c r="O1586" s="106"/>
      <c r="P1586" s="105"/>
      <c r="Q1586" s="106"/>
      <c r="R1586" s="105"/>
      <c r="S1586" s="59"/>
      <c r="T1586" s="64"/>
      <c r="U1586" s="44"/>
      <c r="W1586" s="59"/>
      <c r="X1586" s="64"/>
      <c r="Y1586" s="106"/>
      <c r="Z1586" s="105"/>
      <c r="AA1586" s="106"/>
      <c r="AB1586" s="105"/>
      <c r="AC1586" s="106"/>
      <c r="AD1586" s="105"/>
      <c r="AE1586" s="106"/>
      <c r="AF1586" s="105"/>
      <c r="AG1586" s="106"/>
      <c r="AH1586" s="105" t="s">
        <v>12</v>
      </c>
      <c r="AI1586" s="59"/>
      <c r="AJ1586" s="64"/>
      <c r="AK1586" s="44"/>
      <c r="AM1586" s="49"/>
      <c r="AN1586" s="49"/>
      <c r="AO1586" s="49"/>
      <c r="AP1586" s="49"/>
      <c r="AQ1586" s="49"/>
      <c r="AR1586" s="40"/>
      <c r="AS1586" s="51"/>
      <c r="AU1586" s="49"/>
      <c r="AW1586" s="52"/>
      <c r="BA1586" s="2"/>
      <c r="BB1586" s="2"/>
      <c r="BC1586" s="101"/>
      <c r="BD1586" s="101"/>
    </row>
    <row r="1587" spans="2:56" s="84" customFormat="1" x14ac:dyDescent="0.35">
      <c r="B1587" s="30" t="str">
        <f>IF(B1513="","",B1513)</f>
        <v>Gadbois, Dominic</v>
      </c>
      <c r="C1587" s="31"/>
      <c r="D1587" s="32"/>
      <c r="E1587" s="33">
        <f t="shared" si="617"/>
        <v>93545</v>
      </c>
      <c r="F1587" s="50">
        <f>B1563</f>
        <v>5</v>
      </c>
      <c r="G1587" s="69"/>
      <c r="H1587" s="70"/>
      <c r="I1587" s="104"/>
      <c r="J1587" s="103">
        <v>7.75</v>
      </c>
      <c r="K1587" s="104"/>
      <c r="L1587" s="103">
        <v>8.25</v>
      </c>
      <c r="M1587" s="104"/>
      <c r="N1587" s="103">
        <v>7.5</v>
      </c>
      <c r="O1587" s="104"/>
      <c r="P1587" s="103">
        <v>7.5</v>
      </c>
      <c r="Q1587" s="104"/>
      <c r="R1587" s="103">
        <v>7.75</v>
      </c>
      <c r="S1587" s="69"/>
      <c r="T1587" s="70"/>
      <c r="U1587" s="71">
        <f t="shared" ref="U1587" si="626">SUM(G1587:T1587)</f>
        <v>38.75</v>
      </c>
      <c r="V1587" s="72"/>
      <c r="W1587" s="69"/>
      <c r="X1587" s="70"/>
      <c r="Y1587" s="104"/>
      <c r="Z1587" s="103">
        <v>7.5</v>
      </c>
      <c r="AA1587" s="104"/>
      <c r="AB1587" s="103">
        <v>7.5</v>
      </c>
      <c r="AC1587" s="104"/>
      <c r="AD1587" s="103">
        <v>6.75</v>
      </c>
      <c r="AE1587" s="104"/>
      <c r="AF1587" s="103">
        <v>7.5</v>
      </c>
      <c r="AG1587" s="104"/>
      <c r="AH1587" s="103">
        <v>8</v>
      </c>
      <c r="AI1587" s="69"/>
      <c r="AJ1587" s="70"/>
      <c r="AK1587" s="71">
        <f>SUM(W1587:AJ1587)</f>
        <v>37.25</v>
      </c>
      <c r="AL1587" s="72"/>
      <c r="AM1587" s="73">
        <f>SUMIF($G1586:$T1586,"",$G1587:$T1587)+SUMIF($W1586:$AJ1586,"",$W1587:$AJ1587)-AN1587</f>
        <v>68</v>
      </c>
      <c r="AN1587" s="88">
        <f>IF(SUMIF($G1586:$T1586,"",$G1587:$T1587)+SUMIF($G1586:$T1586,"F",$G1587:$T1587)+SUMIF($G1586:$T1586,"V",$G1587:$T1587)-40&lt;0,0,SUMIF($G1586:$T1586,"",$G1587:$T1587)+SUMIF($G1586:$T1586,"F",$G1587:$T1587)+SUMIF($G1586:$T1586,"V",$G1587:$T1587)-($U$9/2))+IF(SUMIF($W1586:$AJ1586,"",$W1587:$AJ1587)+SUMIF($W1586:$AJ1586,"F",$W1587:$AJ1587)+SUMIF($W1586:$AJ1586,"V",$W1587:$AJ1587)-40&lt;0,0,SUMIF($W1586:$AJ1586,"",$W1587:$AJ1587)+SUMIF($W1586:$AJ1586,"F",$W1587:$AJ1587)+SUMIF($W1586:$AJ1586,"V",$W1587:$AJ1587)-($U$9/2))</f>
        <v>0</v>
      </c>
      <c r="AO1587" s="73">
        <f>SUMIF($G1586:$T1586,"M",$G1587:$T1587)+SUMIF($W1586:$AJ1586,"M",$W1587:$AJ1587)</f>
        <v>8</v>
      </c>
      <c r="AP1587" s="73">
        <f>SUMIF($G1586:$T1586,"F",$G1587:$T1587)+SUMIF($W1586:$AJ1586,"F",$W1587:$AJ1587)</f>
        <v>0</v>
      </c>
      <c r="AQ1587" s="73">
        <f>SUMIF($G1586:$T1586,"V",$G1587:$T1587)+SUMIF($W1586:$AJ1586,"V",$W1587:$AJ1587)</f>
        <v>0</v>
      </c>
      <c r="AR1587" s="74">
        <f>SUMIF($G1586:$T1586,"O",$G1587:$T1587)+SUMIF($W1586:$AJ1586,"O",$W1587:$AJ1587)</f>
        <v>0</v>
      </c>
      <c r="AS1587" s="75">
        <f>SUM(AM1587:AR1587)</f>
        <v>76</v>
      </c>
      <c r="AT1587" s="72"/>
      <c r="AU1587" s="73">
        <f>SUMIF($G1586:$T1586,"A",$G1587:$T1587)+SUMIF($W1586:$AJ1586,"A",$W1587:$AJ1587)</f>
        <v>0</v>
      </c>
      <c r="AV1587" s="72"/>
      <c r="AW1587" s="76">
        <f>IF(B1587="",0,IF($U$9="",0,$U$9))</f>
        <v>80</v>
      </c>
      <c r="BA1587" s="2"/>
      <c r="BB1587" s="2"/>
      <c r="BC1587" s="101"/>
      <c r="BD1587" s="101"/>
    </row>
    <row r="1588" spans="2:56" s="84" customFormat="1" x14ac:dyDescent="0.35">
      <c r="B1588" s="26"/>
      <c r="C1588" s="27"/>
      <c r="D1588" s="28">
        <f>IF(D1514="","",D1514)</f>
        <v>33664</v>
      </c>
      <c r="E1588" s="29" t="str">
        <f t="shared" si="617"/>
        <v/>
      </c>
      <c r="F1588" s="50">
        <f>B1563</f>
        <v>5</v>
      </c>
      <c r="G1588" s="59"/>
      <c r="H1588" s="64"/>
      <c r="I1588" s="106"/>
      <c r="J1588" s="105"/>
      <c r="K1588" s="106"/>
      <c r="L1588" s="105"/>
      <c r="M1588" s="106"/>
      <c r="N1588" s="105"/>
      <c r="O1588" s="106"/>
      <c r="P1588" s="105"/>
      <c r="Q1588" s="106"/>
      <c r="R1588" s="105"/>
      <c r="S1588" s="59"/>
      <c r="T1588" s="64"/>
      <c r="U1588" s="44"/>
      <c r="W1588" s="59"/>
      <c r="X1588" s="64"/>
      <c r="Y1588" s="106"/>
      <c r="Z1588" s="105"/>
      <c r="AA1588" s="106"/>
      <c r="AB1588" s="105"/>
      <c r="AC1588" s="106"/>
      <c r="AD1588" s="105"/>
      <c r="AE1588" s="106"/>
      <c r="AF1588" s="105"/>
      <c r="AG1588" s="106"/>
      <c r="AH1588" s="105"/>
      <c r="AI1588" s="59"/>
      <c r="AJ1588" s="64"/>
      <c r="AK1588" s="44"/>
      <c r="AM1588" s="49"/>
      <c r="AN1588" s="49"/>
      <c r="AO1588" s="49"/>
      <c r="AP1588" s="49"/>
      <c r="AQ1588" s="49"/>
      <c r="AR1588" s="40"/>
      <c r="AS1588" s="51"/>
      <c r="AU1588" s="49"/>
      <c r="AW1588" s="52"/>
      <c r="BA1588" s="2"/>
      <c r="BB1588" s="2"/>
      <c r="BC1588" s="101"/>
      <c r="BD1588" s="101"/>
    </row>
    <row r="1589" spans="2:56" s="84" customFormat="1" x14ac:dyDescent="0.35">
      <c r="B1589" s="30" t="str">
        <f>IF(B1515="","",B1515)</f>
        <v>Knox Michaud, Jessy</v>
      </c>
      <c r="C1589" s="31"/>
      <c r="D1589" s="32"/>
      <c r="E1589" s="33">
        <f t="shared" si="617"/>
        <v>93542</v>
      </c>
      <c r="F1589" s="50">
        <f>B1563</f>
        <v>5</v>
      </c>
      <c r="G1589" s="69"/>
      <c r="H1589" s="70"/>
      <c r="I1589" s="104"/>
      <c r="J1589" s="103">
        <v>9</v>
      </c>
      <c r="K1589" s="104"/>
      <c r="L1589" s="103">
        <v>9.25</v>
      </c>
      <c r="M1589" s="104"/>
      <c r="N1589" s="103">
        <v>9</v>
      </c>
      <c r="O1589" s="104"/>
      <c r="P1589" s="103">
        <v>9</v>
      </c>
      <c r="Q1589" s="104"/>
      <c r="R1589" s="103">
        <v>8.75</v>
      </c>
      <c r="S1589" s="69"/>
      <c r="T1589" s="70"/>
      <c r="U1589" s="71">
        <f t="shared" ref="U1589" si="627">SUM(G1589:T1589)</f>
        <v>45</v>
      </c>
      <c r="V1589" s="72"/>
      <c r="W1589" s="69"/>
      <c r="X1589" s="70"/>
      <c r="Y1589" s="104"/>
      <c r="Z1589" s="103">
        <v>9</v>
      </c>
      <c r="AA1589" s="104"/>
      <c r="AB1589" s="103">
        <v>9.5</v>
      </c>
      <c r="AC1589" s="104"/>
      <c r="AD1589" s="103">
        <v>9</v>
      </c>
      <c r="AE1589" s="104"/>
      <c r="AF1589" s="103">
        <v>9</v>
      </c>
      <c r="AG1589" s="104"/>
      <c r="AH1589" s="103">
        <v>9</v>
      </c>
      <c r="AI1589" s="69"/>
      <c r="AJ1589" s="70"/>
      <c r="AK1589" s="71">
        <f>SUM(W1589:AJ1589)</f>
        <v>45.5</v>
      </c>
      <c r="AL1589" s="72"/>
      <c r="AM1589" s="73">
        <f>SUMIF($G1588:$T1588,"",$G1589:$T1589)+SUMIF($W1588:$AJ1588,"",$W1589:$AJ1589)-AN1589</f>
        <v>80</v>
      </c>
      <c r="AN1589" s="88">
        <f>IF(SUMIF($G1588:$T1588,"",$G1589:$T1589)+SUMIF($G1588:$T1588,"F",$G1589:$T1589)+SUMIF($G1588:$T1588,"V",$G1589:$T1589)-40&lt;0,0,SUMIF($G1588:$T1588,"",$G1589:$T1589)+SUMIF($G1588:$T1588,"F",$G1589:$T1589)+SUMIF($G1588:$T1588,"V",$G1589:$T1589)-($U$9/2))+IF(SUMIF($W1588:$AJ1588,"",$W1589:$AJ1589)+SUMIF($W1588:$AJ1588,"F",$W1589:$AJ1589)+SUMIF($W1588:$AJ1588,"V",$W1589:$AJ1589)-40&lt;0,0,SUMIF($W1588:$AJ1588,"",$W1589:$AJ1589)+SUMIF($W1588:$AJ1588,"F",$W1589:$AJ1589)+SUMIF($W1588:$AJ1588,"V",$W1589:$AJ1589)-($U$9/2))</f>
        <v>10.5</v>
      </c>
      <c r="AO1589" s="73">
        <f>SUMIF($G1588:$T1588,"M",$G1589:$T1589)+SUMIF($W1588:$AJ1588,"M",$W1589:$AJ1589)</f>
        <v>0</v>
      </c>
      <c r="AP1589" s="73">
        <f>SUMIF($G1588:$T1588,"F",$G1589:$T1589)+SUMIF($W1588:$AJ1588,"F",$W1589:$AJ1589)</f>
        <v>0</v>
      </c>
      <c r="AQ1589" s="73">
        <f>SUMIF($G1588:$T1588,"V",$G1589:$T1589)+SUMIF($W1588:$AJ1588,"V",$W1589:$AJ1589)</f>
        <v>0</v>
      </c>
      <c r="AR1589" s="74">
        <f>SUMIF($G1588:$T1588,"O",$G1589:$T1589)+SUMIF($W1588:$AJ1588,"O",$W1589:$AJ1589)</f>
        <v>0</v>
      </c>
      <c r="AS1589" s="75">
        <f>SUM(AM1589:AR1589)</f>
        <v>90.5</v>
      </c>
      <c r="AT1589" s="72"/>
      <c r="AU1589" s="73">
        <f>SUMIF($G1588:$T1588,"A",$G1589:$T1589)+SUMIF($W1588:$AJ1588,"A",$W1589:$AJ1589)</f>
        <v>0</v>
      </c>
      <c r="AV1589" s="72"/>
      <c r="AW1589" s="76">
        <f>IF(B1589="",0,IF($U$9="",0,$U$9))</f>
        <v>80</v>
      </c>
      <c r="BA1589" s="2"/>
      <c r="BB1589" s="2"/>
      <c r="BC1589" s="101"/>
      <c r="BD1589" s="101"/>
    </row>
    <row r="1590" spans="2:56" s="84" customFormat="1" x14ac:dyDescent="0.35">
      <c r="B1590" s="26"/>
      <c r="C1590" s="27"/>
      <c r="D1590" s="28">
        <f>IF(D1516="","",D1516)</f>
        <v>14206</v>
      </c>
      <c r="E1590" s="29" t="str">
        <f t="shared" si="617"/>
        <v/>
      </c>
      <c r="F1590" s="50">
        <f>B1563</f>
        <v>5</v>
      </c>
      <c r="G1590" s="59"/>
      <c r="H1590" s="64"/>
      <c r="I1590" s="106"/>
      <c r="J1590" s="105"/>
      <c r="K1590" s="106"/>
      <c r="L1590" s="105"/>
      <c r="M1590" s="106"/>
      <c r="N1590" s="105"/>
      <c r="O1590" s="106"/>
      <c r="P1590" s="105"/>
      <c r="Q1590" s="106"/>
      <c r="R1590" s="105"/>
      <c r="S1590" s="59"/>
      <c r="T1590" s="64"/>
      <c r="U1590" s="44"/>
      <c r="W1590" s="59"/>
      <c r="X1590" s="64"/>
      <c r="Y1590" s="106"/>
      <c r="Z1590" s="105"/>
      <c r="AA1590" s="106"/>
      <c r="AB1590" s="105"/>
      <c r="AC1590" s="106"/>
      <c r="AD1590" s="105"/>
      <c r="AE1590" s="106"/>
      <c r="AF1590" s="105"/>
      <c r="AG1590" s="106"/>
      <c r="AH1590" s="105"/>
      <c r="AI1590" s="59"/>
      <c r="AJ1590" s="64"/>
      <c r="AK1590" s="44"/>
      <c r="AM1590" s="49"/>
      <c r="AN1590" s="49"/>
      <c r="AO1590" s="49"/>
      <c r="AP1590" s="49"/>
      <c r="AQ1590" s="49"/>
      <c r="AR1590" s="40"/>
      <c r="AS1590" s="51"/>
      <c r="AU1590" s="49"/>
      <c r="AW1590" s="52"/>
      <c r="BA1590" s="2"/>
      <c r="BB1590" s="2"/>
      <c r="BC1590" s="101"/>
      <c r="BD1590" s="101"/>
    </row>
    <row r="1591" spans="2:56" s="84" customFormat="1" x14ac:dyDescent="0.35">
      <c r="B1591" s="30" t="str">
        <f>IF(B1517="","",B1517)</f>
        <v>Landry, Bernard</v>
      </c>
      <c r="C1591" s="31"/>
      <c r="D1591" s="32"/>
      <c r="E1591" s="33">
        <f t="shared" si="617"/>
        <v>93545</v>
      </c>
      <c r="F1591" s="50">
        <f>B1563</f>
        <v>5</v>
      </c>
      <c r="G1591" s="69"/>
      <c r="H1591" s="70"/>
      <c r="I1591" s="104"/>
      <c r="J1591" s="103">
        <v>8</v>
      </c>
      <c r="K1591" s="104"/>
      <c r="L1591" s="103">
        <v>8</v>
      </c>
      <c r="M1591" s="104"/>
      <c r="N1591" s="103">
        <v>8</v>
      </c>
      <c r="O1591" s="104"/>
      <c r="P1591" s="103">
        <v>8</v>
      </c>
      <c r="Q1591" s="104"/>
      <c r="R1591" s="103">
        <v>8</v>
      </c>
      <c r="S1591" s="69"/>
      <c r="T1591" s="70"/>
      <c r="U1591" s="71">
        <f t="shared" ref="U1591" si="628">SUM(G1591:T1591)</f>
        <v>40</v>
      </c>
      <c r="V1591" s="72"/>
      <c r="W1591" s="69"/>
      <c r="X1591" s="70"/>
      <c r="Y1591" s="104"/>
      <c r="Z1591" s="103">
        <v>8</v>
      </c>
      <c r="AA1591" s="104"/>
      <c r="AB1591" s="103">
        <v>8</v>
      </c>
      <c r="AC1591" s="104"/>
      <c r="AD1591" s="103">
        <v>8</v>
      </c>
      <c r="AE1591" s="104"/>
      <c r="AF1591" s="103">
        <v>8</v>
      </c>
      <c r="AG1591" s="104"/>
      <c r="AH1591" s="103">
        <v>8</v>
      </c>
      <c r="AI1591" s="69"/>
      <c r="AJ1591" s="70"/>
      <c r="AK1591" s="71">
        <f>SUM(W1591:AJ1591)</f>
        <v>40</v>
      </c>
      <c r="AL1591" s="72"/>
      <c r="AM1591" s="73">
        <f>SUMIF($G1590:$T1590,"",$G1591:$T1591)+SUMIF($W1590:$AJ1590,"",$W1591:$AJ1591)-AN1591</f>
        <v>80</v>
      </c>
      <c r="AN1591" s="88">
        <f>IF(SUMIF($G1590:$T1590,"",$G1591:$T1591)+SUMIF($G1590:$T1590,"F",$G1591:$T1591)+SUMIF($G1590:$T1590,"V",$G1591:$T1591)-40&lt;0,0,SUMIF($G1590:$T1590,"",$G1591:$T1591)+SUMIF($G1590:$T1590,"F",$G1591:$T1591)+SUMIF($G1590:$T1590,"V",$G1591:$T1591)-($U$9/2))+IF(SUMIF($W1590:$AJ1590,"",$W1591:$AJ1591)+SUMIF($W1590:$AJ1590,"F",$W1591:$AJ1591)+SUMIF($W1590:$AJ1590,"V",$W1591:$AJ1591)-40&lt;0,0,SUMIF($W1590:$AJ1590,"",$W1591:$AJ1591)+SUMIF($W1590:$AJ1590,"F",$W1591:$AJ1591)+SUMIF($W1590:$AJ1590,"V",$W1591:$AJ1591)-($U$9/2))</f>
        <v>0</v>
      </c>
      <c r="AO1591" s="73">
        <f>SUMIF($G1590:$T1590,"M",$G1591:$T1591)+SUMIF($W1590:$AJ1590,"M",$W1591:$AJ1591)</f>
        <v>0</v>
      </c>
      <c r="AP1591" s="73">
        <f>SUMIF($G1590:$T1590,"F",$G1591:$T1591)+SUMIF($W1590:$AJ1590,"F",$W1591:$AJ1591)</f>
        <v>0</v>
      </c>
      <c r="AQ1591" s="73">
        <f>SUMIF($G1590:$T1590,"V",$G1591:$T1591)+SUMIF($W1590:$AJ1590,"V",$W1591:$AJ1591)</f>
        <v>0</v>
      </c>
      <c r="AR1591" s="74">
        <f>SUMIF($G1590:$T1590,"O",$G1591:$T1591)+SUMIF($W1590:$AJ1590,"O",$W1591:$AJ1591)</f>
        <v>0</v>
      </c>
      <c r="AS1591" s="75">
        <f>SUM(AM1591:AR1591)</f>
        <v>80</v>
      </c>
      <c r="AT1591" s="72"/>
      <c r="AU1591" s="73">
        <f>SUMIF($G1590:$T1590,"A",$G1591:$T1591)+SUMIF($W1590:$AJ1590,"A",$W1591:$AJ1591)</f>
        <v>0</v>
      </c>
      <c r="AV1591" s="72"/>
      <c r="AW1591" s="76">
        <f>IF(B1591="",0,IF($U$9="",0,$U$9))</f>
        <v>80</v>
      </c>
      <c r="BA1591" s="2"/>
      <c r="BB1591" s="2"/>
      <c r="BC1591" s="101"/>
      <c r="BD1591" s="101"/>
    </row>
    <row r="1592" spans="2:56" s="84" customFormat="1" x14ac:dyDescent="0.35">
      <c r="B1592" s="26"/>
      <c r="C1592" s="27"/>
      <c r="D1592" s="28">
        <f>IF(D1518="","",D1518)</f>
        <v>92257</v>
      </c>
      <c r="E1592" s="29" t="str">
        <f t="shared" si="617"/>
        <v/>
      </c>
      <c r="F1592" s="50">
        <f>B1563</f>
        <v>5</v>
      </c>
      <c r="G1592" s="59"/>
      <c r="H1592" s="64"/>
      <c r="I1592" s="106"/>
      <c r="J1592" s="105"/>
      <c r="K1592" s="106"/>
      <c r="L1592" s="105"/>
      <c r="M1592" s="106"/>
      <c r="N1592" s="105"/>
      <c r="O1592" s="106"/>
      <c r="P1592" s="105"/>
      <c r="Q1592" s="106"/>
      <c r="R1592" s="105"/>
      <c r="S1592" s="59"/>
      <c r="T1592" s="64"/>
      <c r="U1592" s="44"/>
      <c r="W1592" s="59"/>
      <c r="X1592" s="64"/>
      <c r="Y1592" s="106"/>
      <c r="Z1592" s="105"/>
      <c r="AA1592" s="106"/>
      <c r="AB1592" s="105"/>
      <c r="AC1592" s="106"/>
      <c r="AD1592" s="105"/>
      <c r="AE1592" s="106"/>
      <c r="AF1592" s="105"/>
      <c r="AG1592" s="106"/>
      <c r="AH1592" s="105"/>
      <c r="AI1592" s="59"/>
      <c r="AJ1592" s="64"/>
      <c r="AK1592" s="44"/>
      <c r="AM1592" s="49"/>
      <c r="AN1592" s="49"/>
      <c r="AO1592" s="49"/>
      <c r="AP1592" s="49"/>
      <c r="AQ1592" s="49"/>
      <c r="AR1592" s="40"/>
      <c r="AS1592" s="51"/>
      <c r="AU1592" s="49"/>
      <c r="AW1592" s="52"/>
      <c r="BA1592" s="2"/>
      <c r="BB1592" s="2"/>
      <c r="BC1592" s="101"/>
      <c r="BD1592" s="101"/>
    </row>
    <row r="1593" spans="2:56" s="84" customFormat="1" x14ac:dyDescent="0.35">
      <c r="B1593" s="30" t="str">
        <f>IF(B1519="","",B1519)</f>
        <v>Lelievre, Anik</v>
      </c>
      <c r="C1593" s="31"/>
      <c r="D1593" s="32"/>
      <c r="E1593" s="33">
        <f t="shared" si="617"/>
        <v>93513</v>
      </c>
      <c r="F1593" s="50">
        <f>B1563</f>
        <v>5</v>
      </c>
      <c r="G1593" s="69"/>
      <c r="H1593" s="70"/>
      <c r="I1593" s="104"/>
      <c r="J1593" s="103">
        <v>8</v>
      </c>
      <c r="K1593" s="104"/>
      <c r="L1593" s="103">
        <v>8</v>
      </c>
      <c r="M1593" s="104"/>
      <c r="N1593" s="103">
        <v>8</v>
      </c>
      <c r="O1593" s="104"/>
      <c r="P1593" s="103">
        <v>8</v>
      </c>
      <c r="Q1593" s="104"/>
      <c r="R1593" s="103">
        <v>8</v>
      </c>
      <c r="S1593" s="69"/>
      <c r="T1593" s="70"/>
      <c r="U1593" s="71">
        <f t="shared" ref="U1593" si="629">SUM(G1593:T1593)</f>
        <v>40</v>
      </c>
      <c r="V1593" s="72"/>
      <c r="W1593" s="69"/>
      <c r="X1593" s="70"/>
      <c r="Y1593" s="104"/>
      <c r="Z1593" s="103">
        <v>8</v>
      </c>
      <c r="AA1593" s="104"/>
      <c r="AB1593" s="103">
        <v>8</v>
      </c>
      <c r="AC1593" s="104"/>
      <c r="AD1593" s="103">
        <v>8</v>
      </c>
      <c r="AE1593" s="104"/>
      <c r="AF1593" s="103">
        <v>8</v>
      </c>
      <c r="AG1593" s="104"/>
      <c r="AH1593" s="103">
        <v>8</v>
      </c>
      <c r="AI1593" s="69"/>
      <c r="AJ1593" s="70"/>
      <c r="AK1593" s="71">
        <f>SUM(W1593:AJ1593)</f>
        <v>40</v>
      </c>
      <c r="AL1593" s="72"/>
      <c r="AM1593" s="73">
        <f>SUMIF($G1592:$T1592,"",$G1593:$T1593)+SUMIF($W1592:$AJ1592,"",$W1593:$AJ1593)-AN1593</f>
        <v>80</v>
      </c>
      <c r="AN1593" s="88">
        <f>IF(SUMIF($G1592:$T1592,"",$G1593:$T1593)+SUMIF($G1592:$T1592,"F",$G1593:$T1593)+SUMIF($G1592:$T1592,"V",$G1593:$T1593)-40&lt;0,0,SUMIF($G1592:$T1592,"",$G1593:$T1593)+SUMIF($G1592:$T1592,"F",$G1593:$T1593)+SUMIF($G1592:$T1592,"V",$G1593:$T1593)-($U$9/2))+IF(SUMIF($W1592:$AJ1592,"",$W1593:$AJ1593)+SUMIF($W1592:$AJ1592,"F",$W1593:$AJ1593)+SUMIF($W1592:$AJ1592,"V",$W1593:$AJ1593)-40&lt;0,0,SUMIF($W1592:$AJ1592,"",$W1593:$AJ1593)+SUMIF($W1592:$AJ1592,"F",$W1593:$AJ1593)+SUMIF($W1592:$AJ1592,"V",$W1593:$AJ1593)-($U$9/2))</f>
        <v>0</v>
      </c>
      <c r="AO1593" s="73">
        <f>SUMIF($G1592:$T1592,"M",$G1593:$T1593)+SUMIF($W1592:$AJ1592,"M",$W1593:$AJ1593)</f>
        <v>0</v>
      </c>
      <c r="AP1593" s="73">
        <f>SUMIF($G1592:$T1592,"F",$G1593:$T1593)+SUMIF($W1592:$AJ1592,"F",$W1593:$AJ1593)</f>
        <v>0</v>
      </c>
      <c r="AQ1593" s="73">
        <f>SUMIF($G1592:$T1592,"V",$G1593:$T1593)+SUMIF($W1592:$AJ1592,"V",$W1593:$AJ1593)</f>
        <v>0</v>
      </c>
      <c r="AR1593" s="74">
        <f>SUMIF($G1592:$T1592,"O",$G1593:$T1593)+SUMIF($W1592:$AJ1592,"O",$W1593:$AJ1593)</f>
        <v>0</v>
      </c>
      <c r="AS1593" s="75">
        <f>SUM(AM1593:AR1593)</f>
        <v>80</v>
      </c>
      <c r="AT1593" s="72"/>
      <c r="AU1593" s="73">
        <f>SUMIF($G1592:$T1592,"A",$G1593:$T1593)+SUMIF($W1592:$AJ1592,"A",$W1593:$AJ1593)</f>
        <v>0</v>
      </c>
      <c r="AV1593" s="72"/>
      <c r="AW1593" s="76">
        <f>IF(B1593="",0,IF($U$9="",0,$U$9))</f>
        <v>80</v>
      </c>
      <c r="BA1593" s="2"/>
      <c r="BB1593" s="2"/>
      <c r="BC1593" s="101"/>
      <c r="BD1593" s="101"/>
    </row>
    <row r="1594" spans="2:56" s="84" customFormat="1" x14ac:dyDescent="0.35">
      <c r="B1594" s="26"/>
      <c r="C1594" s="27"/>
      <c r="D1594" s="28">
        <f>IF(D1520="","",D1520)</f>
        <v>81042</v>
      </c>
      <c r="E1594" s="29" t="str">
        <f t="shared" si="617"/>
        <v/>
      </c>
      <c r="F1594" s="50">
        <f>B1563</f>
        <v>5</v>
      </c>
      <c r="G1594" s="59"/>
      <c r="H1594" s="64"/>
      <c r="I1594" s="106"/>
      <c r="J1594" s="105"/>
      <c r="K1594" s="106"/>
      <c r="L1594" s="105"/>
      <c r="M1594" s="106"/>
      <c r="N1594" s="105"/>
      <c r="O1594" s="106"/>
      <c r="P1594" s="105"/>
      <c r="Q1594" s="106"/>
      <c r="R1594" s="105"/>
      <c r="S1594" s="59"/>
      <c r="T1594" s="64"/>
      <c r="U1594" s="44"/>
      <c r="W1594" s="59"/>
      <c r="X1594" s="64"/>
      <c r="Y1594" s="106"/>
      <c r="Z1594" s="105"/>
      <c r="AA1594" s="106"/>
      <c r="AB1594" s="105"/>
      <c r="AC1594" s="106"/>
      <c r="AD1594" s="105"/>
      <c r="AE1594" s="106"/>
      <c r="AF1594" s="105"/>
      <c r="AG1594" s="106"/>
      <c r="AH1594" s="105"/>
      <c r="AI1594" s="59"/>
      <c r="AJ1594" s="64"/>
      <c r="AK1594" s="44"/>
      <c r="AM1594" s="49"/>
      <c r="AN1594" s="49"/>
      <c r="AO1594" s="49"/>
      <c r="AP1594" s="49"/>
      <c r="AQ1594" s="49"/>
      <c r="AR1594" s="40"/>
      <c r="AS1594" s="51"/>
      <c r="AU1594" s="49"/>
      <c r="AW1594" s="52"/>
      <c r="BA1594" s="2"/>
      <c r="BB1594" s="2"/>
      <c r="BC1594" s="101"/>
      <c r="BD1594" s="101"/>
    </row>
    <row r="1595" spans="2:56" s="84" customFormat="1" x14ac:dyDescent="0.35">
      <c r="B1595" s="30" t="str">
        <f>IF(B1521="","",B1521)</f>
        <v>Letarte, Martin</v>
      </c>
      <c r="C1595" s="31"/>
      <c r="D1595" s="32"/>
      <c r="E1595" s="33">
        <f t="shared" si="617"/>
        <v>93545</v>
      </c>
      <c r="F1595" s="50">
        <f>B1563</f>
        <v>5</v>
      </c>
      <c r="G1595" s="69"/>
      <c r="H1595" s="70"/>
      <c r="I1595" s="104"/>
      <c r="J1595" s="103">
        <v>8</v>
      </c>
      <c r="K1595" s="104"/>
      <c r="L1595" s="103">
        <v>8</v>
      </c>
      <c r="M1595" s="104"/>
      <c r="N1595" s="103">
        <v>8</v>
      </c>
      <c r="O1595" s="104"/>
      <c r="P1595" s="103">
        <v>8</v>
      </c>
      <c r="Q1595" s="104"/>
      <c r="R1595" s="103">
        <v>8</v>
      </c>
      <c r="S1595" s="69"/>
      <c r="T1595" s="70"/>
      <c r="U1595" s="71">
        <f t="shared" ref="U1595" si="630">SUM(G1595:T1595)</f>
        <v>40</v>
      </c>
      <c r="V1595" s="72"/>
      <c r="W1595" s="69"/>
      <c r="X1595" s="70"/>
      <c r="Y1595" s="104"/>
      <c r="Z1595" s="103">
        <v>8</v>
      </c>
      <c r="AA1595" s="104"/>
      <c r="AB1595" s="103">
        <v>8</v>
      </c>
      <c r="AC1595" s="104"/>
      <c r="AD1595" s="103">
        <v>8</v>
      </c>
      <c r="AE1595" s="104"/>
      <c r="AF1595" s="103">
        <v>8</v>
      </c>
      <c r="AG1595" s="104"/>
      <c r="AH1595" s="103">
        <v>8</v>
      </c>
      <c r="AI1595" s="69"/>
      <c r="AJ1595" s="70"/>
      <c r="AK1595" s="71">
        <f>SUM(W1595:AJ1595)</f>
        <v>40</v>
      </c>
      <c r="AL1595" s="72"/>
      <c r="AM1595" s="73">
        <f>SUMIF($G1594:$T1594,"",$G1595:$T1595)+SUMIF($W1594:$AJ1594,"",$W1595:$AJ1595)-AN1595</f>
        <v>80</v>
      </c>
      <c r="AN1595" s="88">
        <f>IF(SUMIF($G1594:$T1594,"",$G1595:$T1595)+SUMIF($G1594:$T1594,"F",$G1595:$T1595)+SUMIF($G1594:$T1594,"V",$G1595:$T1595)-40&lt;0,0,SUMIF($G1594:$T1594,"",$G1595:$T1595)+SUMIF($G1594:$T1594,"F",$G1595:$T1595)+SUMIF($G1594:$T1594,"V",$G1595:$T1595)-($U$9/2))+IF(SUMIF($W1594:$AJ1594,"",$W1595:$AJ1595)+SUMIF($W1594:$AJ1594,"F",$W1595:$AJ1595)+SUMIF($W1594:$AJ1594,"V",$W1595:$AJ1595)-40&lt;0,0,SUMIF($W1594:$AJ1594,"",$W1595:$AJ1595)+SUMIF($W1594:$AJ1594,"F",$W1595:$AJ1595)+SUMIF($W1594:$AJ1594,"V",$W1595:$AJ1595)-($U$9/2))</f>
        <v>0</v>
      </c>
      <c r="AO1595" s="73">
        <f>SUMIF($G1594:$T1594,"M",$G1595:$T1595)+SUMIF($W1594:$AJ1594,"M",$W1595:$AJ1595)</f>
        <v>0</v>
      </c>
      <c r="AP1595" s="73">
        <f>SUMIF($G1594:$T1594,"F",$G1595:$T1595)+SUMIF($W1594:$AJ1594,"F",$W1595:$AJ1595)</f>
        <v>0</v>
      </c>
      <c r="AQ1595" s="73">
        <f>SUMIF($G1594:$T1594,"V",$G1595:$T1595)+SUMIF($W1594:$AJ1594,"V",$W1595:$AJ1595)</f>
        <v>0</v>
      </c>
      <c r="AR1595" s="74">
        <f>SUMIF($G1594:$T1594,"O",$G1595:$T1595)+SUMIF($W1594:$AJ1594,"O",$W1595:$AJ1595)</f>
        <v>0</v>
      </c>
      <c r="AS1595" s="75">
        <f>SUM(AM1595:AR1595)</f>
        <v>80</v>
      </c>
      <c r="AT1595" s="72"/>
      <c r="AU1595" s="73">
        <f>SUMIF($G1594:$T1594,"A",$G1595:$T1595)+SUMIF($W1594:$AJ1594,"A",$W1595:$AJ1595)</f>
        <v>0</v>
      </c>
      <c r="AV1595" s="72"/>
      <c r="AW1595" s="76">
        <f>IF(B1595="",0,IF($U$9="",0,$U$9))</f>
        <v>80</v>
      </c>
      <c r="BA1595" s="2"/>
      <c r="BB1595" s="2"/>
      <c r="BC1595" s="101"/>
      <c r="BD1595" s="101"/>
    </row>
    <row r="1596" spans="2:56" s="84" customFormat="1" x14ac:dyDescent="0.35">
      <c r="B1596" s="26"/>
      <c r="C1596" s="27"/>
      <c r="D1596" s="28" t="str">
        <f>IF(D1522="","",D1522)</f>
        <v/>
      </c>
      <c r="E1596" s="29" t="str">
        <f t="shared" si="617"/>
        <v/>
      </c>
      <c r="F1596" s="50">
        <f>B1563</f>
        <v>5</v>
      </c>
      <c r="G1596" s="59"/>
      <c r="H1596" s="64"/>
      <c r="I1596" s="106"/>
      <c r="J1596" s="105"/>
      <c r="K1596" s="106"/>
      <c r="L1596" s="105"/>
      <c r="M1596" s="106"/>
      <c r="N1596" s="105"/>
      <c r="O1596" s="106"/>
      <c r="P1596" s="105"/>
      <c r="Q1596" s="106"/>
      <c r="R1596" s="105"/>
      <c r="S1596" s="59"/>
      <c r="T1596" s="64"/>
      <c r="U1596" s="44"/>
      <c r="W1596" s="59"/>
      <c r="X1596" s="64"/>
      <c r="Y1596" s="106"/>
      <c r="Z1596" s="105"/>
      <c r="AA1596" s="106"/>
      <c r="AB1596" s="105"/>
      <c r="AC1596" s="106"/>
      <c r="AD1596" s="105"/>
      <c r="AE1596" s="106"/>
      <c r="AF1596" s="105"/>
      <c r="AG1596" s="106"/>
      <c r="AH1596" s="105"/>
      <c r="AI1596" s="59"/>
      <c r="AJ1596" s="64"/>
      <c r="AK1596" s="44"/>
      <c r="AM1596" s="49"/>
      <c r="AN1596" s="49"/>
      <c r="AO1596" s="49"/>
      <c r="AP1596" s="49"/>
      <c r="AQ1596" s="49"/>
      <c r="AR1596" s="40"/>
      <c r="AS1596" s="51"/>
      <c r="AU1596" s="49"/>
      <c r="AW1596" s="52"/>
      <c r="BA1596" s="2"/>
      <c r="BB1596" s="2"/>
      <c r="BC1596" s="101"/>
      <c r="BD1596" s="101"/>
    </row>
    <row r="1597" spans="2:56" s="84" customFormat="1" x14ac:dyDescent="0.35">
      <c r="B1597" s="30" t="str">
        <f>IF(B1523="","",B1523)</f>
        <v/>
      </c>
      <c r="C1597" s="31"/>
      <c r="D1597" s="32"/>
      <c r="E1597" s="33" t="str">
        <f t="shared" si="617"/>
        <v/>
      </c>
      <c r="F1597" s="50">
        <f>B1563</f>
        <v>5</v>
      </c>
      <c r="G1597" s="69"/>
      <c r="H1597" s="70"/>
      <c r="I1597" s="104"/>
      <c r="J1597" s="103"/>
      <c r="K1597" s="104"/>
      <c r="L1597" s="103"/>
      <c r="M1597" s="104"/>
      <c r="N1597" s="103"/>
      <c r="O1597" s="104"/>
      <c r="P1597" s="103"/>
      <c r="Q1597" s="104"/>
      <c r="R1597" s="103"/>
      <c r="S1597" s="69"/>
      <c r="T1597" s="70"/>
      <c r="U1597" s="71">
        <f t="shared" ref="U1597" si="631">SUM(G1597:T1597)</f>
        <v>0</v>
      </c>
      <c r="V1597" s="72"/>
      <c r="W1597" s="69"/>
      <c r="X1597" s="70"/>
      <c r="Y1597" s="104"/>
      <c r="Z1597" s="103"/>
      <c r="AA1597" s="104"/>
      <c r="AB1597" s="103"/>
      <c r="AC1597" s="104"/>
      <c r="AD1597" s="103"/>
      <c r="AE1597" s="104"/>
      <c r="AF1597" s="103"/>
      <c r="AG1597" s="104"/>
      <c r="AH1597" s="103"/>
      <c r="AI1597" s="69"/>
      <c r="AJ1597" s="70"/>
      <c r="AK1597" s="71">
        <f>SUM(W1597:AJ1597)</f>
        <v>0</v>
      </c>
      <c r="AL1597" s="72"/>
      <c r="AM1597" s="73">
        <f>SUMIF($G1596:$T1596,"",$G1597:$T1597)+SUMIF($W1596:$AJ1596,"",$W1597:$AJ1597)-AN1597</f>
        <v>0</v>
      </c>
      <c r="AN1597" s="88">
        <f>IF(SUMIF($G1596:$T1596,"",$G1597:$T1597)+SUMIF($G1596:$T1596,"F",$G1597:$T1597)+SUMIF($G1596:$T1596,"V",$G1597:$T1597)-40&lt;0,0,SUMIF($G1596:$T1596,"",$G1597:$T1597)+SUMIF($G1596:$T1596,"F",$G1597:$T1597)+SUMIF($G1596:$T1596,"V",$G1597:$T1597)-($U$9/2))+IF(SUMIF($W1596:$AJ1596,"",$W1597:$AJ1597)+SUMIF($W1596:$AJ1596,"F",$W1597:$AJ1597)+SUMIF($W1596:$AJ1596,"V",$W1597:$AJ1597)-40&lt;0,0,SUMIF($W1596:$AJ1596,"",$W1597:$AJ1597)+SUMIF($W1596:$AJ1596,"F",$W1597:$AJ1597)+SUMIF($W1596:$AJ1596,"V",$W1597:$AJ1597)-($U$9/2))</f>
        <v>0</v>
      </c>
      <c r="AO1597" s="73">
        <f>SUMIF($G1596:$T1596,"M",$G1597:$T1597)+SUMIF($W1596:$AJ1596,"M",$W1597:$AJ1597)</f>
        <v>0</v>
      </c>
      <c r="AP1597" s="73">
        <f>SUMIF($G1596:$T1596,"F",$G1597:$T1597)+SUMIF($W1596:$AJ1596,"F",$W1597:$AJ1597)</f>
        <v>0</v>
      </c>
      <c r="AQ1597" s="73">
        <f>SUMIF($G1596:$T1596,"V",$G1597:$T1597)+SUMIF($W1596:$AJ1596,"V",$W1597:$AJ1597)</f>
        <v>0</v>
      </c>
      <c r="AR1597" s="74">
        <f>SUMIF($G1596:$T1596,"O",$G1597:$T1597)+SUMIF($W1596:$AJ1596,"O",$W1597:$AJ1597)</f>
        <v>0</v>
      </c>
      <c r="AS1597" s="75">
        <f>SUM(AM1597:AR1597)</f>
        <v>0</v>
      </c>
      <c r="AT1597" s="72"/>
      <c r="AU1597" s="73">
        <f>SUMIF($G1596:$T1596,"A",$G1597:$T1597)+SUMIF($W1596:$AJ1596,"A",$W1597:$AJ1597)</f>
        <v>0</v>
      </c>
      <c r="AV1597" s="72"/>
      <c r="AW1597" s="76">
        <f>IF(B1597="",0,IF($U$9="",0,$U$9))</f>
        <v>0</v>
      </c>
      <c r="BA1597" s="2"/>
      <c r="BB1597" s="2"/>
      <c r="BC1597" s="101"/>
      <c r="BD1597" s="101"/>
    </row>
    <row r="1598" spans="2:56" s="84" customFormat="1" x14ac:dyDescent="0.35">
      <c r="B1598" s="26"/>
      <c r="C1598" s="27"/>
      <c r="D1598" s="28">
        <f>IF(D1524="","",D1524)</f>
        <v>11792</v>
      </c>
      <c r="E1598" s="29" t="str">
        <f t="shared" si="617"/>
        <v/>
      </c>
      <c r="F1598" s="50">
        <f>B1563</f>
        <v>5</v>
      </c>
      <c r="G1598" s="59"/>
      <c r="H1598" s="64"/>
      <c r="I1598" s="106"/>
      <c r="J1598" s="105"/>
      <c r="K1598" s="106"/>
      <c r="L1598" s="105"/>
      <c r="M1598" s="106"/>
      <c r="N1598" s="105"/>
      <c r="O1598" s="106"/>
      <c r="P1598" s="105"/>
      <c r="Q1598" s="106"/>
      <c r="R1598" s="105"/>
      <c r="S1598" s="59"/>
      <c r="T1598" s="64"/>
      <c r="U1598" s="44"/>
      <c r="W1598" s="59"/>
      <c r="X1598" s="64"/>
      <c r="Y1598" s="106"/>
      <c r="Z1598" s="105"/>
      <c r="AA1598" s="106"/>
      <c r="AB1598" s="105"/>
      <c r="AC1598" s="106"/>
      <c r="AD1598" s="105"/>
      <c r="AE1598" s="106"/>
      <c r="AF1598" s="105"/>
      <c r="AG1598" s="106"/>
      <c r="AH1598" s="105"/>
      <c r="AI1598" s="59"/>
      <c r="AJ1598" s="64"/>
      <c r="AK1598" s="44"/>
      <c r="AM1598" s="49"/>
      <c r="AN1598" s="49"/>
      <c r="AO1598" s="49"/>
      <c r="AP1598" s="49"/>
      <c r="AQ1598" s="49"/>
      <c r="AR1598" s="40"/>
      <c r="AS1598" s="51"/>
      <c r="AU1598" s="49"/>
      <c r="AW1598" s="52"/>
      <c r="BA1598" s="2"/>
      <c r="BB1598" s="2"/>
      <c r="BC1598" s="101"/>
      <c r="BD1598" s="101"/>
    </row>
    <row r="1599" spans="2:56" s="84" customFormat="1" x14ac:dyDescent="0.35">
      <c r="B1599" s="30" t="str">
        <f>IF(B1525="","",B1525)</f>
        <v>Pellerin, Pierre</v>
      </c>
      <c r="C1599" s="31"/>
      <c r="D1599" s="32"/>
      <c r="E1599" s="33">
        <f t="shared" si="617"/>
        <v>93595935</v>
      </c>
      <c r="F1599" s="50">
        <f>B1563</f>
        <v>5</v>
      </c>
      <c r="G1599" s="69"/>
      <c r="H1599" s="70"/>
      <c r="I1599" s="104"/>
      <c r="J1599" s="103">
        <v>8</v>
      </c>
      <c r="K1599" s="104"/>
      <c r="L1599" s="103">
        <v>8</v>
      </c>
      <c r="M1599" s="104"/>
      <c r="N1599" s="103">
        <v>8</v>
      </c>
      <c r="O1599" s="104"/>
      <c r="P1599" s="103">
        <v>8</v>
      </c>
      <c r="Q1599" s="104"/>
      <c r="R1599" s="103">
        <v>8</v>
      </c>
      <c r="S1599" s="69"/>
      <c r="T1599" s="70"/>
      <c r="U1599" s="71">
        <f t="shared" ref="U1599" si="632">SUM(G1599:T1599)</f>
        <v>40</v>
      </c>
      <c r="V1599" s="72"/>
      <c r="W1599" s="69"/>
      <c r="X1599" s="70"/>
      <c r="Y1599" s="104"/>
      <c r="Z1599" s="103">
        <v>8</v>
      </c>
      <c r="AA1599" s="104"/>
      <c r="AB1599" s="103">
        <v>8</v>
      </c>
      <c r="AC1599" s="104"/>
      <c r="AD1599" s="103">
        <v>8</v>
      </c>
      <c r="AE1599" s="104"/>
      <c r="AF1599" s="103">
        <v>8</v>
      </c>
      <c r="AG1599" s="104"/>
      <c r="AH1599" s="103">
        <v>8</v>
      </c>
      <c r="AI1599" s="69"/>
      <c r="AJ1599" s="70"/>
      <c r="AK1599" s="71">
        <f>SUM(Z1599:AH1599)</f>
        <v>40</v>
      </c>
      <c r="AL1599" s="72"/>
      <c r="AM1599" s="73">
        <f>SUMIF($G1598:$T1598,"",$G1599:$T1599)+SUMIF($W1598:$AJ1598,"",$W1599:$AJ1599)-AN1599</f>
        <v>80</v>
      </c>
      <c r="AN1599" s="88">
        <f>IF(SUMIF($G1598:$T1598,"",$G1599:$T1599)+SUMIF($G1598:$T1598,"F",$G1599:$T1599)+SUMIF($G1598:$T1598,"V",$G1599:$T1599)-40&lt;0,0,SUMIF($G1598:$T1598,"",$G1599:$T1599)+SUMIF($G1598:$T1598,"F",$G1599:$T1599)+SUMIF($G1598:$T1598,"V",$G1599:$T1599)-($U$9/2))+IF(SUMIF($W1598:$AJ1598,"",$W1599:$AJ1599)+SUMIF($W1598:$AJ1598,"F",$W1599:$AJ1599)+SUMIF($W1598:$AJ1598,"V",$W1599:$AJ1599)-40&lt;0,0,SUMIF($W1598:$AJ1598,"",$W1599:$AJ1599)+SUMIF($W1598:$AJ1598,"F",$W1599:$AJ1599)+SUMIF($W1598:$AJ1598,"V",$W1599:$AJ1599)-($U$9/2))</f>
        <v>0</v>
      </c>
      <c r="AO1599" s="73">
        <f>SUMIF($G1598:$T1598,"M",$G1599:$T1599)+SUMIF($W1598:$AJ1598,"M",$W1599:$AJ1599)</f>
        <v>0</v>
      </c>
      <c r="AP1599" s="73">
        <f>SUMIF($G1598:$T1598,"F",$G1599:$T1599)+SUMIF($W1598:$AJ1598,"F",$W1599:$AJ1599)</f>
        <v>0</v>
      </c>
      <c r="AQ1599" s="73">
        <f>SUMIF($G1598:$T1598,"V",$G1599:$T1599)+SUMIF($W1598:$AJ1598,"V",$W1599:$AJ1599)</f>
        <v>0</v>
      </c>
      <c r="AR1599" s="74">
        <f>SUMIF($G1598:$T1598,"O",$G1599:$T1599)+SUMIF($W1598:$AJ1598,"O",$W1599:$AJ1599)</f>
        <v>0</v>
      </c>
      <c r="AS1599" s="75">
        <f>SUM(AM1599:AR1599)</f>
        <v>80</v>
      </c>
      <c r="AT1599" s="72"/>
      <c r="AU1599" s="73">
        <f>SUMIF($G1598:$T1598,"A",$G1599:$T1599)+SUMIF($W1598:$AJ1598,"A",$W1599:$AJ1599)</f>
        <v>0</v>
      </c>
      <c r="AV1599" s="72"/>
      <c r="AW1599" s="76">
        <f>IF(B1599="",0,IF($U$9="",0,$U$9))</f>
        <v>80</v>
      </c>
      <c r="BA1599" s="2"/>
      <c r="BB1599" s="2"/>
      <c r="BC1599" s="101"/>
      <c r="BD1599" s="101"/>
    </row>
    <row r="1600" spans="2:56" s="84" customFormat="1" x14ac:dyDescent="0.35">
      <c r="B1600" s="26"/>
      <c r="C1600" s="27"/>
      <c r="D1600" s="28">
        <f>IF(D1526="","",D1526)</f>
        <v>81043</v>
      </c>
      <c r="E1600" s="29" t="str">
        <f t="shared" si="617"/>
        <v/>
      </c>
      <c r="F1600" s="50">
        <f>B1563</f>
        <v>5</v>
      </c>
      <c r="G1600" s="59"/>
      <c r="H1600" s="64"/>
      <c r="I1600" s="106"/>
      <c r="J1600" s="105"/>
      <c r="K1600" s="106"/>
      <c r="L1600" s="105"/>
      <c r="M1600" s="106"/>
      <c r="N1600" s="105"/>
      <c r="O1600" s="106"/>
      <c r="P1600" s="105"/>
      <c r="Q1600" s="106"/>
      <c r="R1600" s="105"/>
      <c r="S1600" s="59"/>
      <c r="T1600" s="64"/>
      <c r="U1600" s="44"/>
      <c r="W1600" s="59"/>
      <c r="X1600" s="64"/>
      <c r="Y1600" s="106"/>
      <c r="Z1600" s="105"/>
      <c r="AA1600" s="106"/>
      <c r="AB1600" s="105"/>
      <c r="AC1600" s="106"/>
      <c r="AD1600" s="105"/>
      <c r="AE1600" s="106"/>
      <c r="AF1600" s="105"/>
      <c r="AG1600" s="106"/>
      <c r="AH1600" s="105"/>
      <c r="AI1600" s="59"/>
      <c r="AJ1600" s="64"/>
      <c r="AK1600" s="44"/>
      <c r="AM1600" s="49"/>
      <c r="AN1600" s="49"/>
      <c r="AO1600" s="49"/>
      <c r="AP1600" s="49"/>
      <c r="AQ1600" s="49"/>
      <c r="AR1600" s="40"/>
      <c r="AS1600" s="51"/>
      <c r="AU1600" s="49"/>
      <c r="AW1600" s="52"/>
      <c r="BA1600" s="2"/>
      <c r="BB1600" s="2"/>
      <c r="BC1600" s="101"/>
      <c r="BD1600" s="101"/>
    </row>
    <row r="1601" spans="1:56" s="84" customFormat="1" x14ac:dyDescent="0.35">
      <c r="B1601" s="30" t="str">
        <f>IF(B1527="","",B1527)</f>
        <v>Rodrigue, Frank</v>
      </c>
      <c r="C1601" s="31"/>
      <c r="D1601" s="32"/>
      <c r="E1601" s="33">
        <f t="shared" ref="E1601:E1617" si="633">IF(E1527="","",E1527)</f>
        <v>93545</v>
      </c>
      <c r="F1601" s="50">
        <f>B1563</f>
        <v>5</v>
      </c>
      <c r="G1601" s="69"/>
      <c r="H1601" s="70"/>
      <c r="I1601" s="104"/>
      <c r="J1601" s="103">
        <v>8</v>
      </c>
      <c r="K1601" s="104"/>
      <c r="L1601" s="103">
        <v>8</v>
      </c>
      <c r="M1601" s="104"/>
      <c r="N1601" s="103">
        <v>8</v>
      </c>
      <c r="O1601" s="104"/>
      <c r="P1601" s="103">
        <v>8</v>
      </c>
      <c r="Q1601" s="104"/>
      <c r="R1601" s="103">
        <v>8</v>
      </c>
      <c r="S1601" s="69"/>
      <c r="T1601" s="70"/>
      <c r="U1601" s="71">
        <f t="shared" ref="U1601" si="634">SUM(G1601:T1601)</f>
        <v>40</v>
      </c>
      <c r="V1601" s="72"/>
      <c r="W1601" s="69"/>
      <c r="X1601" s="70"/>
      <c r="Y1601" s="104"/>
      <c r="Z1601" s="103">
        <v>8</v>
      </c>
      <c r="AA1601" s="104"/>
      <c r="AB1601" s="103">
        <v>8</v>
      </c>
      <c r="AC1601" s="104"/>
      <c r="AD1601" s="103">
        <v>8</v>
      </c>
      <c r="AE1601" s="104"/>
      <c r="AF1601" s="103">
        <v>8</v>
      </c>
      <c r="AG1601" s="104"/>
      <c r="AH1601" s="103">
        <v>8</v>
      </c>
      <c r="AI1601" s="69"/>
      <c r="AJ1601" s="70"/>
      <c r="AK1601" s="71">
        <f>SUM(W1601:AJ1601)</f>
        <v>40</v>
      </c>
      <c r="AL1601" s="72"/>
      <c r="AM1601" s="73">
        <f>SUMIF($G1600:$T1600,"",$G1601:$T1601)+SUMIF($W1600:$AJ1600,"",$W1601:$AJ1601)-AN1601</f>
        <v>80</v>
      </c>
      <c r="AN1601" s="88">
        <f>IF(SUMIF($G1600:$T1600,"",$G1601:$T1601)+SUMIF($G1600:$T1600,"F",$G1601:$T1601)+SUMIF($G1600:$T1600,"V",$G1601:$T1601)-40&lt;0,0,SUMIF($G1600:$T1600,"",$G1601:$T1601)+SUMIF($G1600:$T1600,"F",$G1601:$T1601)+SUMIF($G1600:$T1600,"V",$G1601:$T1601)-($U$9/2))+IF(SUMIF($W1600:$AJ1600,"",$W1601:$AJ1601)+SUMIF($W1600:$AJ1600,"F",$W1601:$AJ1601)+SUMIF($W1600:$AJ1600,"V",$W1601:$AJ1601)-40&lt;0,0,SUMIF($W1600:$AJ1600,"",$W1601:$AJ1601)+SUMIF($W1600:$AJ1600,"F",$W1601:$AJ1601)+SUMIF($W1600:$AJ1600,"V",$W1601:$AJ1601)-($U$9/2))</f>
        <v>0</v>
      </c>
      <c r="AO1601" s="73">
        <f>SUMIF($G1600:$T1600,"M",$G1601:$T1601)+SUMIF($W1600:$AJ1600,"M",$W1601:$AJ1601)</f>
        <v>0</v>
      </c>
      <c r="AP1601" s="73">
        <f>SUMIF($G1600:$T1600,"F",$G1601:$T1601)+SUMIF($W1600:$AJ1600,"F",$W1601:$AJ1601)</f>
        <v>0</v>
      </c>
      <c r="AQ1601" s="73">
        <f>SUMIF($G1600:$T1600,"V",$G1601:$T1601)+SUMIF($W1600:$AJ1600,"V",$W1601:$AJ1601)</f>
        <v>0</v>
      </c>
      <c r="AR1601" s="74">
        <f>SUMIF($G1600:$T1600,"O",$G1601:$T1601)+SUMIF($W1600:$AJ1600,"O",$W1601:$AJ1601)</f>
        <v>0</v>
      </c>
      <c r="AS1601" s="75">
        <f>SUM(AM1601:AR1601)</f>
        <v>80</v>
      </c>
      <c r="AT1601" s="72"/>
      <c r="AU1601" s="73">
        <f>SUMIF($G1600:$T1600,"A",$G1601:$T1601)+SUMIF($W1600:$AJ1600,"A",$W1601:$AJ1601)</f>
        <v>0</v>
      </c>
      <c r="AV1601" s="72"/>
      <c r="AW1601" s="76">
        <f>IF(B1601="",0,IF($U$9="",0,$U$9))</f>
        <v>80</v>
      </c>
      <c r="BA1601" s="2"/>
      <c r="BB1601" s="2"/>
      <c r="BC1601" s="101"/>
      <c r="BD1601" s="101"/>
    </row>
    <row r="1602" spans="1:56" s="84" customFormat="1" x14ac:dyDescent="0.35">
      <c r="B1602" s="26"/>
      <c r="C1602" s="27"/>
      <c r="D1602" s="28">
        <f>IF(D1528="","",D1528)</f>
        <v>72673</v>
      </c>
      <c r="E1602" s="29" t="str">
        <f t="shared" si="633"/>
        <v/>
      </c>
      <c r="F1602" s="50">
        <f>B1563</f>
        <v>5</v>
      </c>
      <c r="G1602" s="59"/>
      <c r="H1602" s="64"/>
      <c r="I1602" s="106"/>
      <c r="J1602" s="105"/>
      <c r="K1602" s="106"/>
      <c r="L1602" s="105"/>
      <c r="M1602" s="106"/>
      <c r="N1602" s="105"/>
      <c r="O1602" s="106"/>
      <c r="P1602" s="105"/>
      <c r="Q1602" s="106"/>
      <c r="R1602" s="105"/>
      <c r="S1602" s="59"/>
      <c r="T1602" s="64"/>
      <c r="U1602" s="44"/>
      <c r="W1602" s="59"/>
      <c r="X1602" s="64"/>
      <c r="Y1602" s="106"/>
      <c r="Z1602" s="105"/>
      <c r="AA1602" s="106"/>
      <c r="AB1602" s="105"/>
      <c r="AC1602" s="106"/>
      <c r="AD1602" s="105"/>
      <c r="AE1602" s="106"/>
      <c r="AF1602" s="105"/>
      <c r="AG1602" s="106"/>
      <c r="AH1602" s="105"/>
      <c r="AI1602" s="59"/>
      <c r="AJ1602" s="64"/>
      <c r="AK1602" s="44"/>
      <c r="AM1602" s="49"/>
      <c r="AN1602" s="49"/>
      <c r="AO1602" s="49"/>
      <c r="AP1602" s="49"/>
      <c r="AQ1602" s="49"/>
      <c r="AR1602" s="40"/>
      <c r="AS1602" s="51"/>
      <c r="AU1602" s="49"/>
      <c r="AW1602" s="52"/>
      <c r="BA1602" s="2"/>
      <c r="BB1602" s="2"/>
      <c r="BC1602" s="101"/>
      <c r="BD1602" s="101"/>
    </row>
    <row r="1603" spans="1:56" s="84" customFormat="1" x14ac:dyDescent="0.35">
      <c r="B1603" s="30" t="str">
        <f>IF(B1529="","",B1529)</f>
        <v>St-Georges, Manuel (avance $2,000)</v>
      </c>
      <c r="C1603" s="31"/>
      <c r="D1603" s="32"/>
      <c r="E1603" s="33">
        <f t="shared" si="633"/>
        <v>93595935</v>
      </c>
      <c r="F1603" s="50">
        <f>B1563</f>
        <v>5</v>
      </c>
      <c r="G1603" s="69"/>
      <c r="H1603" s="70"/>
      <c r="I1603" s="104"/>
      <c r="J1603" s="103" t="s">
        <v>69</v>
      </c>
      <c r="K1603" s="104"/>
      <c r="L1603" s="103" t="s">
        <v>69</v>
      </c>
      <c r="M1603" s="104"/>
      <c r="N1603" s="103" t="s">
        <v>69</v>
      </c>
      <c r="O1603" s="104"/>
      <c r="P1603" s="103" t="s">
        <v>69</v>
      </c>
      <c r="Q1603" s="104"/>
      <c r="R1603" s="103" t="s">
        <v>69</v>
      </c>
      <c r="S1603" s="69"/>
      <c r="T1603" s="70"/>
      <c r="U1603" s="71">
        <f t="shared" ref="U1603" si="635">SUM(G1603:T1603)</f>
        <v>0</v>
      </c>
      <c r="V1603" s="72"/>
      <c r="W1603" s="69"/>
      <c r="X1603" s="70"/>
      <c r="Y1603" s="104"/>
      <c r="Z1603" s="103" t="s">
        <v>69</v>
      </c>
      <c r="AA1603" s="104"/>
      <c r="AB1603" s="103" t="s">
        <v>69</v>
      </c>
      <c r="AC1603" s="104"/>
      <c r="AD1603" s="103" t="s">
        <v>69</v>
      </c>
      <c r="AE1603" s="104"/>
      <c r="AF1603" s="103" t="s">
        <v>69</v>
      </c>
      <c r="AG1603" s="104"/>
      <c r="AH1603" s="103" t="s">
        <v>69</v>
      </c>
      <c r="AI1603" s="69"/>
      <c r="AJ1603" s="70"/>
      <c r="AK1603" s="71">
        <f>SUM(W1603:AJ1603)</f>
        <v>0</v>
      </c>
      <c r="AL1603" s="72"/>
      <c r="AM1603" s="73">
        <f>SUMIF($G1602:$T1602,"",$G1603:$T1603)+SUMIF($W1602:$AJ1602,"",$W1603:$AJ1603)-AN1603</f>
        <v>0</v>
      </c>
      <c r="AN1603" s="88">
        <f>IF(SUMIF($G1602:$T1602,"",$G1603:$T1603)+SUMIF($G1602:$T1602,"F",$G1603:$T1603)+SUMIF($G1602:$T1602,"V",$G1603:$T1603)-40&lt;0,0,SUMIF($G1602:$T1602,"",$G1603:$T1603)+SUMIF($G1602:$T1602,"F",$G1603:$T1603)+SUMIF($G1602:$T1602,"V",$G1603:$T1603)-($U$9/2))+IF(SUMIF($W1602:$AJ1602,"",$W1603:$AJ1603)+SUMIF($W1602:$AJ1602,"F",$W1603:$AJ1603)+SUMIF($W1602:$AJ1602,"V",$W1603:$AJ1603)-40&lt;0,0,SUMIF($W1602:$AJ1602,"",$W1603:$AJ1603)+SUMIF($W1602:$AJ1602,"F",$W1603:$AJ1603)+SUMIF($W1602:$AJ1602,"V",$W1603:$AJ1603)-($U$9/2))</f>
        <v>0</v>
      </c>
      <c r="AO1603" s="73">
        <f>SUMIF($G1602:$T1602,"M",$G1603:$T1603)+SUMIF($W1602:$AJ1602,"M",$W1603:$AJ1603)</f>
        <v>0</v>
      </c>
      <c r="AP1603" s="73">
        <f>SUMIF($G1602:$T1602,"F",$G1603:$T1603)+SUMIF($W1602:$AJ1602,"F",$W1603:$AJ1603)</f>
        <v>0</v>
      </c>
      <c r="AQ1603" s="73">
        <f>SUMIF($G1602:$T1602,"V",$G1603:$T1603)+SUMIF($W1602:$AJ1602,"V",$W1603:$AJ1603)</f>
        <v>0</v>
      </c>
      <c r="AR1603" s="74">
        <f>SUMIF($G1602:$T1602,"O",$G1603:$T1603)+SUMIF($W1602:$AJ1602,"O",$W1603:$AJ1603)</f>
        <v>0</v>
      </c>
      <c r="AS1603" s="75">
        <f>SUM(AM1603:AR1603)</f>
        <v>0</v>
      </c>
      <c r="AT1603" s="72"/>
      <c r="AU1603" s="73">
        <f>SUMIF($G1602:$T1602,"A",$G1603:$T1603)+SUMIF($W1602:$AJ1602,"A",$W1603:$AJ1603)</f>
        <v>0</v>
      </c>
      <c r="AV1603" s="72"/>
      <c r="AW1603" s="76">
        <f>IF(B1603="",0,IF($U$9="",0,$U$9))</f>
        <v>80</v>
      </c>
      <c r="BA1603" s="2"/>
      <c r="BB1603" s="2"/>
      <c r="BC1603" s="101"/>
      <c r="BD1603" s="101"/>
    </row>
    <row r="1604" spans="1:56" s="84" customFormat="1" x14ac:dyDescent="0.35">
      <c r="B1604" s="26"/>
      <c r="C1604" s="27"/>
      <c r="D1604" s="28" t="str">
        <f>IF(D1530="","",D1530)</f>
        <v/>
      </c>
      <c r="E1604" s="29" t="str">
        <f t="shared" si="633"/>
        <v/>
      </c>
      <c r="F1604" s="50">
        <f>B1563</f>
        <v>5</v>
      </c>
      <c r="G1604" s="59"/>
      <c r="H1604" s="64"/>
      <c r="I1604" s="106"/>
      <c r="J1604" s="105"/>
      <c r="K1604" s="106"/>
      <c r="L1604" s="105"/>
      <c r="M1604" s="106"/>
      <c r="N1604" s="105"/>
      <c r="O1604" s="106"/>
      <c r="P1604" s="105"/>
      <c r="Q1604" s="106"/>
      <c r="R1604" s="105"/>
      <c r="S1604" s="59"/>
      <c r="T1604" s="64"/>
      <c r="U1604" s="44"/>
      <c r="W1604" s="59"/>
      <c r="X1604" s="64"/>
      <c r="Y1604" s="106"/>
      <c r="Z1604" s="105"/>
      <c r="AA1604" s="106"/>
      <c r="AB1604" s="105"/>
      <c r="AC1604" s="106"/>
      <c r="AD1604" s="105"/>
      <c r="AE1604" s="106"/>
      <c r="AF1604" s="105"/>
      <c r="AG1604" s="106"/>
      <c r="AH1604" s="105"/>
      <c r="AI1604" s="59"/>
      <c r="AJ1604" s="64"/>
      <c r="AK1604" s="44"/>
      <c r="AM1604" s="49"/>
      <c r="AN1604" s="49"/>
      <c r="AO1604" s="49"/>
      <c r="AP1604" s="49"/>
      <c r="AQ1604" s="49"/>
      <c r="AR1604" s="40"/>
      <c r="AS1604" s="51"/>
      <c r="AU1604" s="49"/>
      <c r="AW1604" s="52"/>
      <c r="BA1604" s="2"/>
      <c r="BB1604" s="2"/>
      <c r="BC1604" s="101"/>
      <c r="BD1604" s="101"/>
    </row>
    <row r="1605" spans="1:56" s="84" customFormat="1" x14ac:dyDescent="0.35">
      <c r="B1605" s="30" t="str">
        <f>IF(B1531="","",B1531)</f>
        <v/>
      </c>
      <c r="C1605" s="31"/>
      <c r="D1605" s="32"/>
      <c r="E1605" s="33" t="str">
        <f t="shared" si="633"/>
        <v/>
      </c>
      <c r="F1605" s="50">
        <f>B1563</f>
        <v>5</v>
      </c>
      <c r="G1605" s="69"/>
      <c r="H1605" s="70"/>
      <c r="I1605" s="104"/>
      <c r="J1605" s="103"/>
      <c r="K1605" s="104"/>
      <c r="L1605" s="103"/>
      <c r="M1605" s="104"/>
      <c r="N1605" s="103"/>
      <c r="O1605" s="104"/>
      <c r="P1605" s="103"/>
      <c r="Q1605" s="104"/>
      <c r="R1605" s="103"/>
      <c r="S1605" s="69"/>
      <c r="T1605" s="70"/>
      <c r="U1605" s="71">
        <f t="shared" ref="U1605" si="636">SUM(G1605:T1605)</f>
        <v>0</v>
      </c>
      <c r="V1605" s="72"/>
      <c r="W1605" s="69"/>
      <c r="X1605" s="70"/>
      <c r="Y1605" s="104"/>
      <c r="Z1605" s="103"/>
      <c r="AA1605" s="104"/>
      <c r="AB1605" s="103"/>
      <c r="AC1605" s="104"/>
      <c r="AD1605" s="103"/>
      <c r="AE1605" s="104"/>
      <c r="AF1605" s="103"/>
      <c r="AG1605" s="104"/>
      <c r="AH1605" s="103"/>
      <c r="AI1605" s="69"/>
      <c r="AJ1605" s="70"/>
      <c r="AK1605" s="71">
        <f>SUM(W1605:AJ1605)</f>
        <v>0</v>
      </c>
      <c r="AL1605" s="72"/>
      <c r="AM1605" s="73">
        <f>SUMIF($G1604:$T1604,"",$G1605:$T1605)+SUMIF($W1604:$AJ1604,"",$W1605:$AJ1605)-AN1605</f>
        <v>0</v>
      </c>
      <c r="AN1605" s="88">
        <f>IF(SUMIF($G1604:$T1604,"",$G1605:$T1605)+SUMIF($G1604:$T1604,"F",$G1605:$T1605)+SUMIF($G1604:$T1604,"V",$G1605:$T1605)-40&lt;0,0,SUMIF($G1604:$T1604,"",$G1605:$T1605)+SUMIF($G1604:$T1604,"F",$G1605:$T1605)+SUMIF($G1604:$T1604,"V",$G1605:$T1605)-($U$9/2))+IF(SUMIF($W1604:$AJ1604,"",$W1605:$AJ1605)+SUMIF($W1604:$AJ1604,"F",$W1605:$AJ1605)+SUMIF($W1604:$AJ1604,"V",$W1605:$AJ1605)-40&lt;0,0,SUMIF($W1604:$AJ1604,"",$W1605:$AJ1605)+SUMIF($W1604:$AJ1604,"F",$W1605:$AJ1605)+SUMIF($W1604:$AJ1604,"V",$W1605:$AJ1605)-($U$9/2))</f>
        <v>0</v>
      </c>
      <c r="AO1605" s="73">
        <f>SUMIF($G1604:$T1604,"M",$G1605:$T1605)+SUMIF($W1604:$AJ1604,"M",$W1605:$AJ1605)</f>
        <v>0</v>
      </c>
      <c r="AP1605" s="73">
        <f>SUMIF($G1604:$T1604,"F",$G1605:$T1605)+SUMIF($W1604:$AJ1604,"F",$W1605:$AJ1605)</f>
        <v>0</v>
      </c>
      <c r="AQ1605" s="73">
        <f>SUMIF($G1604:$T1604,"V",$G1605:$T1605)+SUMIF($W1604:$AJ1604,"V",$W1605:$AJ1605)</f>
        <v>0</v>
      </c>
      <c r="AR1605" s="74">
        <f>SUMIF($G1604:$T1604,"O",$G1605:$T1605)+SUMIF($W1604:$AJ1604,"O",$W1605:$AJ1605)</f>
        <v>0</v>
      </c>
      <c r="AS1605" s="75">
        <f>SUM(AM1605:AR1605)</f>
        <v>0</v>
      </c>
      <c r="AT1605" s="72"/>
      <c r="AU1605" s="73">
        <f>SUMIF($G1604:$T1604,"A",$G1605:$T1605)+SUMIF($W1604:$AJ1604,"A",$W1605:$AJ1605)</f>
        <v>0</v>
      </c>
      <c r="AV1605" s="72"/>
      <c r="AW1605" s="76">
        <f>IF(B1605="",0,IF($U$9="",0,$U$9))</f>
        <v>0</v>
      </c>
      <c r="BA1605" s="2"/>
      <c r="BB1605" s="2"/>
      <c r="BC1605" s="101"/>
      <c r="BD1605" s="101"/>
    </row>
    <row r="1606" spans="1:56" s="84" customFormat="1" x14ac:dyDescent="0.35">
      <c r="B1606" s="26"/>
      <c r="C1606" s="27"/>
      <c r="D1606" s="28">
        <f>IF(D1532="","",D1532)</f>
        <v>23736</v>
      </c>
      <c r="E1606" s="29" t="str">
        <f t="shared" si="633"/>
        <v/>
      </c>
      <c r="F1606" s="50">
        <f>B1563</f>
        <v>5</v>
      </c>
      <c r="G1606" s="59"/>
      <c r="H1606" s="64"/>
      <c r="I1606" s="106"/>
      <c r="J1606" s="105"/>
      <c r="K1606" s="106"/>
      <c r="L1606" s="105"/>
      <c r="M1606" s="106"/>
      <c r="N1606" s="105"/>
      <c r="O1606" s="106"/>
      <c r="P1606" s="105"/>
      <c r="Q1606" s="106"/>
      <c r="R1606" s="105"/>
      <c r="S1606" s="59"/>
      <c r="T1606" s="64"/>
      <c r="U1606" s="44"/>
      <c r="W1606" s="59"/>
      <c r="X1606" s="64"/>
      <c r="Y1606" s="106"/>
      <c r="Z1606" s="105"/>
      <c r="AA1606" s="106"/>
      <c r="AB1606" s="105"/>
      <c r="AC1606" s="106"/>
      <c r="AD1606" s="105"/>
      <c r="AE1606" s="106"/>
      <c r="AF1606" s="105"/>
      <c r="AG1606" s="106"/>
      <c r="AH1606" s="105"/>
      <c r="AI1606" s="59"/>
      <c r="AJ1606" s="64"/>
      <c r="AK1606" s="44"/>
      <c r="AM1606" s="49"/>
      <c r="AN1606" s="49"/>
      <c r="AO1606" s="49"/>
      <c r="AP1606" s="49"/>
      <c r="AQ1606" s="49"/>
      <c r="AR1606" s="40"/>
      <c r="AS1606" s="51"/>
      <c r="AU1606" s="49"/>
      <c r="AW1606" s="52"/>
      <c r="BA1606" s="2"/>
      <c r="BB1606" s="2"/>
      <c r="BC1606" s="101"/>
      <c r="BD1606" s="101"/>
    </row>
    <row r="1607" spans="1:56" s="84" customFormat="1" x14ac:dyDescent="0.35">
      <c r="B1607" s="30" t="str">
        <f>IF(B1533="","",B1533)</f>
        <v>Voster, Jean-Michel</v>
      </c>
      <c r="C1607" s="31"/>
      <c r="D1607" s="32"/>
      <c r="E1607" s="33">
        <f t="shared" si="633"/>
        <v>93545</v>
      </c>
      <c r="F1607" s="50">
        <f>B1563</f>
        <v>5</v>
      </c>
      <c r="G1607" s="69"/>
      <c r="H1607" s="70"/>
      <c r="I1607" s="104"/>
      <c r="J1607" s="103">
        <v>8</v>
      </c>
      <c r="K1607" s="104"/>
      <c r="L1607" s="103">
        <v>7.75</v>
      </c>
      <c r="M1607" s="104"/>
      <c r="N1607" s="103">
        <v>8</v>
      </c>
      <c r="O1607" s="104"/>
      <c r="P1607" s="103">
        <v>8.5</v>
      </c>
      <c r="Q1607" s="104"/>
      <c r="R1607" s="103">
        <v>7.25</v>
      </c>
      <c r="S1607" s="69"/>
      <c r="T1607" s="70"/>
      <c r="U1607" s="71">
        <f t="shared" ref="U1607" si="637">SUM(G1607:T1607)</f>
        <v>39.5</v>
      </c>
      <c r="V1607" s="72"/>
      <c r="W1607" s="69"/>
      <c r="X1607" s="70"/>
      <c r="Y1607" s="104"/>
      <c r="Z1607" s="103">
        <v>8</v>
      </c>
      <c r="AA1607" s="104"/>
      <c r="AB1607" s="103">
        <v>7.5</v>
      </c>
      <c r="AC1607" s="104"/>
      <c r="AD1607" s="103">
        <v>8.5</v>
      </c>
      <c r="AE1607" s="104"/>
      <c r="AF1607" s="103">
        <v>8</v>
      </c>
      <c r="AG1607" s="104"/>
      <c r="AH1607" s="103">
        <v>8</v>
      </c>
      <c r="AI1607" s="69"/>
      <c r="AJ1607" s="70"/>
      <c r="AK1607" s="71">
        <f>SUM(W1607:AJ1607)</f>
        <v>40</v>
      </c>
      <c r="AL1607" s="72"/>
      <c r="AM1607" s="73">
        <f>SUMIF($G1606:$T1606,"",$G1607:$T1607)+SUMIF($W1606:$AJ1606,"",$W1607:$AJ1607)-AN1607</f>
        <v>79.5</v>
      </c>
      <c r="AN1607" s="88">
        <f>IF(SUMIF($G1606:$T1606,"",$G1607:$T1607)+SUMIF($G1606:$T1606,"F",$G1607:$T1607)+SUMIF($G1606:$T1606,"V",$G1607:$T1607)-40&lt;0,0,SUMIF($G1606:$T1606,"",$G1607:$T1607)+SUMIF($G1606:$T1606,"F",$G1607:$T1607)+SUMIF($G1606:$T1606,"V",$G1607:$T1607)-($U$9/2))+IF(SUMIF($W1606:$AJ1606,"",$W1607:$AJ1607)+SUMIF($W1606:$AJ1606,"F",$W1607:$AJ1607)+SUMIF($W1606:$AJ1606,"V",$W1607:$AJ1607)-40&lt;0,0,SUMIF($W1606:$AJ1606,"",$W1607:$AJ1607)+SUMIF($W1606:$AJ1606,"F",$W1607:$AJ1607)+SUMIF($W1606:$AJ1606,"V",$W1607:$AJ1607)-($U$9/2))</f>
        <v>0</v>
      </c>
      <c r="AO1607" s="73">
        <f>SUMIF($G1606:$T1606,"M",$G1607:$T1607)+SUMIF($W1606:$AJ1606,"M",$W1607:$AJ1607)</f>
        <v>0</v>
      </c>
      <c r="AP1607" s="73">
        <f>SUMIF($G1606:$T1606,"F",$G1607:$T1607)+SUMIF($W1606:$AJ1606,"F",$W1607:$AJ1607)</f>
        <v>0</v>
      </c>
      <c r="AQ1607" s="73">
        <f>SUMIF($G1606:$T1606,"V",$G1607:$T1607)+SUMIF($W1606:$AJ1606,"V",$W1607:$AJ1607)</f>
        <v>0</v>
      </c>
      <c r="AR1607" s="74">
        <f>SUMIF($G1606:$T1606,"O",$G1607:$T1607)+SUMIF($W1606:$AJ1606,"O",$W1607:$AJ1607)</f>
        <v>0</v>
      </c>
      <c r="AS1607" s="75">
        <f>SUM(AM1607:AR1607)</f>
        <v>79.5</v>
      </c>
      <c r="AT1607" s="72"/>
      <c r="AU1607" s="73">
        <f>SUMIF($G1606:$T1606,"A",$G1607:$T1607)+SUMIF($W1606:$AJ1606,"A",$W1607:$AJ1607)</f>
        <v>0</v>
      </c>
      <c r="AV1607" s="72"/>
      <c r="AW1607" s="76">
        <f>IF(B1607="",0,IF($U$9="",0,$U$9))</f>
        <v>80</v>
      </c>
      <c r="BA1607" s="2"/>
      <c r="BB1607" s="2"/>
      <c r="BC1607" s="101"/>
      <c r="BD1607" s="101"/>
    </row>
    <row r="1608" spans="1:56" s="53" customFormat="1" ht="15" customHeight="1" x14ac:dyDescent="0.35">
      <c r="A1608" s="84"/>
      <c r="B1608" s="26"/>
      <c r="C1608" s="27"/>
      <c r="D1608" s="28" t="str">
        <f>IF(D1534="","",D1534)</f>
        <v/>
      </c>
      <c r="E1608" s="29" t="str">
        <f t="shared" si="633"/>
        <v/>
      </c>
      <c r="F1608" s="50">
        <f>B1563</f>
        <v>5</v>
      </c>
      <c r="G1608" s="59"/>
      <c r="H1608" s="64"/>
      <c r="I1608" s="106"/>
      <c r="J1608" s="105"/>
      <c r="K1608" s="106"/>
      <c r="L1608" s="105"/>
      <c r="M1608" s="106"/>
      <c r="N1608" s="105"/>
      <c r="O1608" s="106"/>
      <c r="P1608" s="105"/>
      <c r="Q1608" s="106"/>
      <c r="R1608" s="105"/>
      <c r="S1608" s="59"/>
      <c r="T1608" s="64"/>
      <c r="U1608" s="44"/>
      <c r="V1608" s="84"/>
      <c r="W1608" s="59"/>
      <c r="X1608" s="64"/>
      <c r="Y1608" s="106"/>
      <c r="Z1608" s="105"/>
      <c r="AA1608" s="106"/>
      <c r="AB1608" s="105"/>
      <c r="AC1608" s="106"/>
      <c r="AD1608" s="105"/>
      <c r="AE1608" s="106"/>
      <c r="AF1608" s="105"/>
      <c r="AG1608" s="106"/>
      <c r="AH1608" s="105"/>
      <c r="AI1608" s="59"/>
      <c r="AJ1608" s="64"/>
      <c r="AK1608" s="44"/>
      <c r="AL1608" s="84"/>
      <c r="AM1608" s="49"/>
      <c r="AN1608" s="49"/>
      <c r="AO1608" s="49"/>
      <c r="AP1608" s="49"/>
      <c r="AQ1608" s="49"/>
      <c r="AR1608" s="40"/>
      <c r="AS1608" s="51"/>
      <c r="AT1608" s="84"/>
      <c r="AU1608" s="49"/>
      <c r="AV1608" s="84"/>
      <c r="AW1608" s="52"/>
      <c r="AX1608" s="84"/>
      <c r="BA1608" s="2"/>
      <c r="BB1608" s="2"/>
      <c r="BC1608" s="101"/>
      <c r="BD1608" s="101"/>
    </row>
    <row r="1609" spans="1:56" s="57" customFormat="1" ht="15" customHeight="1" x14ac:dyDescent="0.35">
      <c r="A1609" s="84"/>
      <c r="B1609" s="30" t="str">
        <f>IF(B1535="","",B1535)</f>
        <v/>
      </c>
      <c r="C1609" s="31"/>
      <c r="D1609" s="32"/>
      <c r="E1609" s="33" t="str">
        <f t="shared" si="633"/>
        <v/>
      </c>
      <c r="F1609" s="50">
        <f>B1563</f>
        <v>5</v>
      </c>
      <c r="G1609" s="69"/>
      <c r="H1609" s="70"/>
      <c r="I1609" s="104"/>
      <c r="J1609" s="103"/>
      <c r="K1609" s="104"/>
      <c r="L1609" s="103"/>
      <c r="M1609" s="104"/>
      <c r="N1609" s="103"/>
      <c r="O1609" s="104"/>
      <c r="P1609" s="103"/>
      <c r="Q1609" s="104"/>
      <c r="R1609" s="103"/>
      <c r="S1609" s="69"/>
      <c r="T1609" s="70"/>
      <c r="U1609" s="71">
        <f t="shared" ref="U1609" si="638">SUM(G1609:T1609)</f>
        <v>0</v>
      </c>
      <c r="V1609" s="72"/>
      <c r="W1609" s="69"/>
      <c r="X1609" s="70"/>
      <c r="Y1609" s="104"/>
      <c r="Z1609" s="103"/>
      <c r="AA1609" s="104"/>
      <c r="AB1609" s="103"/>
      <c r="AC1609" s="104"/>
      <c r="AD1609" s="103"/>
      <c r="AE1609" s="104"/>
      <c r="AF1609" s="103"/>
      <c r="AG1609" s="104"/>
      <c r="AH1609" s="103"/>
      <c r="AI1609" s="69"/>
      <c r="AJ1609" s="70"/>
      <c r="AK1609" s="71">
        <f>SUM(W1609:AJ1609)</f>
        <v>0</v>
      </c>
      <c r="AL1609" s="72"/>
      <c r="AM1609" s="73">
        <f>SUMIF($G1608:$T1608,"",$G1609:$T1609)+SUMIF($W1608:$AJ1608,"",$W1609:$AJ1609)-AN1609</f>
        <v>0</v>
      </c>
      <c r="AN1609" s="88">
        <f>IF(SUMIF($G1608:$T1608,"",$G1609:$T1609)+SUMIF($G1608:$T1608,"F",$G1609:$T1609)+SUMIF($G1608:$T1608,"V",$G1609:$T1609)-40&lt;0,0,SUMIF($G1608:$T1608,"",$G1609:$T1609)+SUMIF($G1608:$T1608,"F",$G1609:$T1609)+SUMIF($G1608:$T1608,"V",$G1609:$T1609)-($U$9/2))+IF(SUMIF($W1608:$AJ1608,"",$W1609:$AJ1609)+SUMIF($W1608:$AJ1608,"F",$W1609:$AJ1609)+SUMIF($W1608:$AJ1608,"V",$W1609:$AJ1609)-40&lt;0,0,SUMIF($W1608:$AJ1608,"",$W1609:$AJ1609)+SUMIF($W1608:$AJ1608,"F",$W1609:$AJ1609)+SUMIF($W1608:$AJ1608,"V",$W1609:$AJ1609)-($U$9/2))</f>
        <v>0</v>
      </c>
      <c r="AO1609" s="73">
        <f>SUMIF($G1608:$T1608,"M",$G1609:$T1609)+SUMIF($W1608:$AJ1608,"M",$W1609:$AJ1609)</f>
        <v>0</v>
      </c>
      <c r="AP1609" s="73">
        <f>SUMIF($G1608:$T1608,"F",$G1609:$T1609)+SUMIF($W1608:$AJ1608,"F",$W1609:$AJ1609)</f>
        <v>0</v>
      </c>
      <c r="AQ1609" s="73">
        <f>SUMIF($G1608:$T1608,"V",$G1609:$T1609)+SUMIF($W1608:$AJ1608,"V",$W1609:$AJ1609)</f>
        <v>0</v>
      </c>
      <c r="AR1609" s="74">
        <f>SUMIF($G1608:$T1608,"O",$G1609:$T1609)+SUMIF($W1608:$AJ1608,"O",$W1609:$AJ1609)</f>
        <v>0</v>
      </c>
      <c r="AS1609" s="75">
        <f>SUM(AM1609:AR1609)</f>
        <v>0</v>
      </c>
      <c r="AT1609" s="72"/>
      <c r="AU1609" s="73">
        <f>SUMIF($G1608:$T1608,"A",$G1609:$T1609)+SUMIF($W1608:$AJ1608,"A",$W1609:$AJ1609)</f>
        <v>0</v>
      </c>
      <c r="AV1609" s="72"/>
      <c r="AW1609" s="76">
        <f>IF(B1609="",0,IF($U$9="",0,$U$9))</f>
        <v>0</v>
      </c>
      <c r="AX1609" s="84"/>
      <c r="BA1609" s="2"/>
      <c r="BB1609" s="2"/>
      <c r="BC1609" s="101"/>
      <c r="BD1609" s="101"/>
    </row>
    <row r="1610" spans="1:56" s="53" customFormat="1" ht="15" customHeight="1" x14ac:dyDescent="0.35">
      <c r="A1610" s="84"/>
      <c r="B1610" s="26"/>
      <c r="C1610" s="27"/>
      <c r="D1610" s="28">
        <f>IF(D1536="","",D1536)</f>
        <v>35135</v>
      </c>
      <c r="E1610" s="29" t="str">
        <f t="shared" si="633"/>
        <v/>
      </c>
      <c r="F1610" s="50">
        <f>B1563</f>
        <v>5</v>
      </c>
      <c r="G1610" s="59"/>
      <c r="H1610" s="64"/>
      <c r="I1610" s="106"/>
      <c r="J1610" s="105"/>
      <c r="K1610" s="106"/>
      <c r="L1610" s="105"/>
      <c r="M1610" s="106"/>
      <c r="N1610" s="105"/>
      <c r="O1610" s="106"/>
      <c r="P1610" s="105"/>
      <c r="Q1610" s="106"/>
      <c r="R1610" s="105" t="s">
        <v>2</v>
      </c>
      <c r="S1610" s="59"/>
      <c r="T1610" s="64"/>
      <c r="U1610" s="44"/>
      <c r="V1610" s="84"/>
      <c r="W1610" s="59"/>
      <c r="X1610" s="64"/>
      <c r="Y1610" s="106"/>
      <c r="Z1610" s="105"/>
      <c r="AA1610" s="106"/>
      <c r="AB1610" s="105"/>
      <c r="AC1610" s="106"/>
      <c r="AD1610" s="105"/>
      <c r="AE1610" s="106"/>
      <c r="AF1610" s="105"/>
      <c r="AG1610" s="106"/>
      <c r="AH1610" s="105"/>
      <c r="AI1610" s="59"/>
      <c r="AJ1610" s="64"/>
      <c r="AK1610" s="44"/>
      <c r="AL1610" s="84"/>
      <c r="AM1610" s="49"/>
      <c r="AN1610" s="49"/>
      <c r="AO1610" s="49"/>
      <c r="AP1610" s="49"/>
      <c r="AQ1610" s="49"/>
      <c r="AR1610" s="40"/>
      <c r="AS1610" s="51"/>
      <c r="AT1610" s="84"/>
      <c r="AU1610" s="49"/>
      <c r="AV1610" s="84"/>
      <c r="AW1610" s="52"/>
      <c r="AX1610" s="84"/>
      <c r="BA1610" s="2"/>
      <c r="BB1610" s="2"/>
      <c r="BC1610" s="101"/>
      <c r="BD1610" s="101"/>
    </row>
    <row r="1611" spans="1:56" s="53" customFormat="1" x14ac:dyDescent="0.35">
      <c r="A1611" s="84"/>
      <c r="B1611" s="30" t="str">
        <f>IF(B1537="","",B1537)</f>
        <v>Dupont,Catherine</v>
      </c>
      <c r="C1611" s="31"/>
      <c r="D1611" s="32"/>
      <c r="E1611" s="33">
        <f t="shared" si="633"/>
        <v>93545</v>
      </c>
      <c r="F1611" s="50">
        <f>B1563</f>
        <v>5</v>
      </c>
      <c r="G1611" s="69"/>
      <c r="H1611" s="70"/>
      <c r="I1611" s="104"/>
      <c r="J1611" s="103">
        <v>8</v>
      </c>
      <c r="K1611" s="104"/>
      <c r="L1611" s="103">
        <v>8</v>
      </c>
      <c r="M1611" s="104"/>
      <c r="N1611" s="103">
        <v>8.25</v>
      </c>
      <c r="O1611" s="104"/>
      <c r="P1611" s="103">
        <v>8</v>
      </c>
      <c r="Q1611" s="104"/>
      <c r="R1611" s="103">
        <v>0</v>
      </c>
      <c r="S1611" s="69"/>
      <c r="T1611" s="70"/>
      <c r="U1611" s="71">
        <f t="shared" ref="U1611" si="639">SUM(G1611:T1611)</f>
        <v>32.25</v>
      </c>
      <c r="V1611" s="72"/>
      <c r="W1611" s="69"/>
      <c r="X1611" s="70"/>
      <c r="Y1611" s="104"/>
      <c r="Z1611" s="103">
        <v>8</v>
      </c>
      <c r="AA1611" s="104"/>
      <c r="AB1611" s="103">
        <v>8</v>
      </c>
      <c r="AC1611" s="104"/>
      <c r="AD1611" s="103">
        <v>8.25</v>
      </c>
      <c r="AE1611" s="104"/>
      <c r="AF1611" s="103">
        <v>8</v>
      </c>
      <c r="AG1611" s="104"/>
      <c r="AH1611" s="103">
        <v>7.75</v>
      </c>
      <c r="AI1611" s="69"/>
      <c r="AJ1611" s="70"/>
      <c r="AK1611" s="71">
        <f>SUM(W1611:AJ1611)</f>
        <v>40</v>
      </c>
      <c r="AL1611" s="72"/>
      <c r="AM1611" s="73">
        <f>SUMIF($G1610:$T1610,"",$G1611:$T1611)+SUMIF($W1610:$AJ1610,"",$W1611:$AJ1611)-AN1611</f>
        <v>72.25</v>
      </c>
      <c r="AN1611" s="88">
        <f>IF(SUMIF($G1610:$T1610,"",$G1611:$T1611)+SUMIF($G1610:$T1610,"F",$G1611:$T1611)+SUMIF($G1610:$T1610,"V",$G1611:$T1611)-40&lt;0,0,SUMIF($G1610:$T1610,"",$G1611:$T1611)+SUMIF($G1610:$T1610,"F",$G1611:$T1611)+SUMIF($G1610:$T1610,"V",$G1611:$T1611)-($U$9/2))+IF(SUMIF($W1610:$AJ1610,"",$W1611:$AJ1611)+SUMIF($W1610:$AJ1610,"F",$W1611:$AJ1611)+SUMIF($W1610:$AJ1610,"V",$W1611:$AJ1611)-40&lt;0,0,SUMIF($W1610:$AJ1610,"",$W1611:$AJ1611)+SUMIF($W1610:$AJ1610,"F",$W1611:$AJ1611)+SUMIF($W1610:$AJ1610,"V",$W1611:$AJ1611)-($U$9/2))</f>
        <v>0</v>
      </c>
      <c r="AO1611" s="73">
        <f>SUMIF($G1610:$T1610,"M",$G1611:$T1611)+SUMIF($W1610:$AJ1610,"M",$W1611:$AJ1611)</f>
        <v>0</v>
      </c>
      <c r="AP1611" s="73">
        <f>SUMIF($G1610:$T1610,"F",$G1611:$T1611)+SUMIF($W1610:$AJ1610,"F",$W1611:$AJ1611)</f>
        <v>0</v>
      </c>
      <c r="AQ1611" s="73">
        <f>SUMIF($G1610:$T1610,"V",$G1611:$T1611)+SUMIF($W1610:$AJ1610,"V",$W1611:$AJ1611)</f>
        <v>0</v>
      </c>
      <c r="AR1611" s="74">
        <f>SUMIF($G1610:$T1610,"O",$G1611:$T1611)+SUMIF($W1610:$AJ1610,"O",$W1611:$AJ1611)</f>
        <v>0</v>
      </c>
      <c r="AS1611" s="75">
        <f>SUM(AM1611:AR1611)</f>
        <v>72.25</v>
      </c>
      <c r="AT1611" s="72"/>
      <c r="AU1611" s="73">
        <f>SUMIF($G1610:$T1610,"A",$G1611:$T1611)+SUMIF($W1610:$AJ1610,"A",$W1611:$AJ1611)</f>
        <v>0</v>
      </c>
      <c r="AV1611" s="72"/>
      <c r="AW1611" s="76">
        <f>IF(B1611="",0,IF($U$9="",0,$U$9))</f>
        <v>80</v>
      </c>
      <c r="AX1611" s="84"/>
      <c r="BA1611" s="2"/>
      <c r="BB1611" s="2"/>
      <c r="BC1611" s="101"/>
      <c r="BD1611" s="101"/>
    </row>
    <row r="1612" spans="1:56" s="53" customFormat="1" x14ac:dyDescent="0.35">
      <c r="A1612" s="84"/>
      <c r="B1612" s="26"/>
      <c r="C1612" s="27"/>
      <c r="D1612" s="28" t="str">
        <f>IF(D1538="","",D1538)</f>
        <v/>
      </c>
      <c r="E1612" s="29" t="str">
        <f t="shared" si="633"/>
        <v/>
      </c>
      <c r="F1612" s="50">
        <f>B1563</f>
        <v>5</v>
      </c>
      <c r="G1612" s="59"/>
      <c r="H1612" s="64"/>
      <c r="I1612" s="58"/>
      <c r="J1612" s="65"/>
      <c r="K1612" s="58"/>
      <c r="L1612" s="65"/>
      <c r="M1612" s="58"/>
      <c r="N1612" s="65"/>
      <c r="O1612" s="58"/>
      <c r="P1612" s="65"/>
      <c r="Q1612" s="58"/>
      <c r="R1612" s="65"/>
      <c r="S1612" s="59"/>
      <c r="T1612" s="64"/>
      <c r="U1612" s="44"/>
      <c r="V1612" s="84"/>
      <c r="W1612" s="59"/>
      <c r="X1612" s="64"/>
      <c r="Y1612" s="58"/>
      <c r="Z1612" s="65"/>
      <c r="AA1612" s="58"/>
      <c r="AB1612" s="65"/>
      <c r="AC1612" s="58"/>
      <c r="AD1612" s="65"/>
      <c r="AE1612" s="58"/>
      <c r="AF1612" s="65"/>
      <c r="AG1612" s="58"/>
      <c r="AH1612" s="65"/>
      <c r="AI1612" s="59"/>
      <c r="AJ1612" s="64"/>
      <c r="AK1612" s="44"/>
      <c r="AL1612" s="84"/>
      <c r="AM1612" s="49"/>
      <c r="AN1612" s="49"/>
      <c r="AO1612" s="49"/>
      <c r="AP1612" s="49"/>
      <c r="AQ1612" s="49"/>
      <c r="AR1612" s="40"/>
      <c r="AS1612" s="51"/>
      <c r="AT1612" s="84"/>
      <c r="AU1612" s="49"/>
      <c r="AV1612" s="84"/>
      <c r="AW1612" s="52"/>
      <c r="AX1612" s="84"/>
      <c r="BA1612" s="2"/>
      <c r="BB1612" s="2"/>
      <c r="BC1612" s="101"/>
      <c r="BD1612" s="101"/>
    </row>
    <row r="1613" spans="1:56" s="53" customFormat="1" x14ac:dyDescent="0.35">
      <c r="A1613" s="84"/>
      <c r="B1613" s="30"/>
      <c r="C1613" s="31"/>
      <c r="D1613" s="32"/>
      <c r="E1613" s="33" t="str">
        <f t="shared" si="633"/>
        <v/>
      </c>
      <c r="F1613" s="50">
        <f>B1563</f>
        <v>5</v>
      </c>
      <c r="G1613" s="69"/>
      <c r="H1613" s="70"/>
      <c r="I1613" s="67"/>
      <c r="J1613" s="68"/>
      <c r="K1613" s="67"/>
      <c r="L1613" s="68"/>
      <c r="M1613" s="67"/>
      <c r="N1613" s="68"/>
      <c r="O1613" s="67"/>
      <c r="P1613" s="68"/>
      <c r="Q1613" s="67"/>
      <c r="R1613" s="68"/>
      <c r="S1613" s="69"/>
      <c r="T1613" s="70"/>
      <c r="U1613" s="71">
        <f t="shared" ref="U1613" si="640">SUM(G1613:T1613)</f>
        <v>0</v>
      </c>
      <c r="V1613" s="72"/>
      <c r="W1613" s="69"/>
      <c r="X1613" s="70"/>
      <c r="Y1613" s="67"/>
      <c r="Z1613" s="68"/>
      <c r="AA1613" s="67"/>
      <c r="AB1613" s="68"/>
      <c r="AC1613" s="67"/>
      <c r="AD1613" s="68"/>
      <c r="AE1613" s="67"/>
      <c r="AF1613" s="68"/>
      <c r="AG1613" s="67"/>
      <c r="AH1613" s="68"/>
      <c r="AI1613" s="69"/>
      <c r="AJ1613" s="70"/>
      <c r="AK1613" s="71">
        <v>0</v>
      </c>
      <c r="AL1613" s="72"/>
      <c r="AM1613" s="73">
        <f>SUMIF($G1612:$T1612,"",$G1613:$T1613)+SUMIF($W1612:$AJ1612,"",$W1613:$AJ1613)-AN1613</f>
        <v>0</v>
      </c>
      <c r="AN1613" s="88">
        <f>IF(SUMIF($G1612:$T1612,"",$G1613:$T1613)+SUMIF($G1612:$T1612,"F",$G1613:$T1613)+SUMIF($G1612:$T1612,"V",$G1613:$T1613)-40&lt;0,0,SUMIF($G1612:$T1612,"",$G1613:$T1613)+SUMIF($G1612:$T1612,"F",$G1613:$T1613)+SUMIF($G1612:$T1612,"V",$G1613:$T1613)-($U$9/2))+IF(SUMIF($W1612:$AJ1612,"",$W1613:$AJ1613)+SUMIF($W1612:$AJ1612,"F",$W1613:$AJ1613)+SUMIF($W1612:$AJ1612,"V",$W1613:$AJ1613)-40&lt;0,0,SUMIF($W1612:$AJ1612,"",$W1613:$AJ1613)+SUMIF($W1612:$AJ1612,"F",$W1613:$AJ1613)+SUMIF($W1612:$AJ1612,"V",$W1613:$AJ1613)-($U$9/2))</f>
        <v>0</v>
      </c>
      <c r="AO1613" s="73">
        <f>SUMIF($G1612:$T1612,"M",$G1613:$T1613)+SUMIF($W1612:$AJ1612,"M",$W1613:$AJ1613)</f>
        <v>0</v>
      </c>
      <c r="AP1613" s="73">
        <f>SUMIF($G1612:$T1612,"F",$G1613:$T1613)+SUMIF($W1612:$AJ1612,"F",$W1613:$AJ1613)</f>
        <v>0</v>
      </c>
      <c r="AQ1613" s="73">
        <f>SUMIF($G1612:$T1612,"V",$G1613:$T1613)+SUMIF($W1612:$AJ1612,"V",$W1613:$AJ1613)</f>
        <v>0</v>
      </c>
      <c r="AR1613" s="74">
        <f>SUMIF($G1612:$T1612,"O",$G1613:$T1613)+SUMIF($W1612:$AJ1612,"O",$W1613:$AJ1613)</f>
        <v>0</v>
      </c>
      <c r="AS1613" s="75">
        <f>SUM(AM1613:AR1613)</f>
        <v>0</v>
      </c>
      <c r="AT1613" s="72"/>
      <c r="AU1613" s="73">
        <f>SUMIF($G1612:$T1612,"A",$G1613:$T1613)+SUMIF($W1612:$AJ1612,"A",$W1613:$AJ1613)</f>
        <v>0</v>
      </c>
      <c r="AV1613" s="72"/>
      <c r="AW1613" s="76">
        <f>IF(B1613="",0,IF($U$9="",0,$U$9))</f>
        <v>0</v>
      </c>
      <c r="AX1613" s="84"/>
      <c r="BA1613" s="2"/>
      <c r="BB1613" s="2"/>
      <c r="BC1613" s="101"/>
      <c r="BD1613" s="101"/>
    </row>
    <row r="1614" spans="1:56" s="53" customFormat="1" x14ac:dyDescent="0.35">
      <c r="A1614" s="84"/>
      <c r="B1614" s="26"/>
      <c r="C1614" s="27"/>
      <c r="D1614" s="28" t="str">
        <f>IF(D1540="","",D1540)</f>
        <v/>
      </c>
      <c r="E1614" s="29" t="str">
        <f t="shared" si="633"/>
        <v/>
      </c>
      <c r="F1614" s="50">
        <f>B1563</f>
        <v>5</v>
      </c>
      <c r="G1614" s="59"/>
      <c r="H1614" s="64"/>
      <c r="I1614" s="58"/>
      <c r="J1614" s="65"/>
      <c r="K1614" s="58"/>
      <c r="L1614" s="65"/>
      <c r="M1614" s="58"/>
      <c r="N1614" s="65"/>
      <c r="O1614" s="58"/>
      <c r="P1614" s="65"/>
      <c r="Q1614" s="58"/>
      <c r="R1614" s="65"/>
      <c r="S1614" s="59"/>
      <c r="T1614" s="64"/>
      <c r="U1614" s="44"/>
      <c r="V1614" s="84"/>
      <c r="W1614" s="59"/>
      <c r="X1614" s="64"/>
      <c r="Y1614" s="58"/>
      <c r="Z1614" s="65"/>
      <c r="AA1614" s="58"/>
      <c r="AB1614" s="65"/>
      <c r="AC1614" s="58"/>
      <c r="AD1614" s="65"/>
      <c r="AE1614" s="58"/>
      <c r="AF1614" s="65"/>
      <c r="AG1614" s="58"/>
      <c r="AH1614" s="65"/>
      <c r="AI1614" s="59"/>
      <c r="AJ1614" s="64"/>
      <c r="AK1614" s="44"/>
      <c r="AL1614" s="84"/>
      <c r="AM1614" s="49"/>
      <c r="AN1614" s="49"/>
      <c r="AO1614" s="49"/>
      <c r="AP1614" s="49"/>
      <c r="AQ1614" s="49"/>
      <c r="AR1614" s="40"/>
      <c r="AS1614" s="51"/>
      <c r="AT1614" s="84"/>
      <c r="AU1614" s="49"/>
      <c r="AV1614" s="84"/>
      <c r="AW1614" s="52"/>
      <c r="AX1614" s="84"/>
      <c r="BA1614" s="2"/>
      <c r="BB1614" s="2"/>
      <c r="BC1614" s="101"/>
      <c r="BD1614" s="101"/>
    </row>
    <row r="1615" spans="1:56" s="53" customFormat="1" x14ac:dyDescent="0.35">
      <c r="A1615" s="84"/>
      <c r="B1615" s="30" t="str">
        <f>IF(B1541="","",B1541)</f>
        <v/>
      </c>
      <c r="C1615" s="31"/>
      <c r="D1615" s="32"/>
      <c r="E1615" s="33" t="str">
        <f t="shared" si="633"/>
        <v/>
      </c>
      <c r="F1615" s="50">
        <f>B1563</f>
        <v>5</v>
      </c>
      <c r="G1615" s="69"/>
      <c r="H1615" s="70"/>
      <c r="I1615" s="67"/>
      <c r="J1615" s="68"/>
      <c r="K1615" s="67"/>
      <c r="L1615" s="68"/>
      <c r="M1615" s="67"/>
      <c r="N1615" s="68"/>
      <c r="O1615" s="67"/>
      <c r="P1615" s="68"/>
      <c r="Q1615" s="67"/>
      <c r="R1615" s="68"/>
      <c r="S1615" s="69"/>
      <c r="T1615" s="70"/>
      <c r="U1615" s="71">
        <f t="shared" ref="U1615" si="641">SUM(G1615:T1615)</f>
        <v>0</v>
      </c>
      <c r="V1615" s="72"/>
      <c r="W1615" s="69"/>
      <c r="X1615" s="70"/>
      <c r="Y1615" s="67"/>
      <c r="Z1615" s="68"/>
      <c r="AA1615" s="67"/>
      <c r="AB1615" s="68"/>
      <c r="AC1615" s="67"/>
      <c r="AD1615" s="68"/>
      <c r="AE1615" s="67"/>
      <c r="AF1615" s="68"/>
      <c r="AG1615" s="67"/>
      <c r="AH1615" s="68"/>
      <c r="AI1615" s="69"/>
      <c r="AJ1615" s="70"/>
      <c r="AK1615" s="71">
        <v>0</v>
      </c>
      <c r="AL1615" s="72"/>
      <c r="AM1615" s="73">
        <v>0</v>
      </c>
      <c r="AN1615" s="88">
        <v>0</v>
      </c>
      <c r="AO1615" s="73">
        <v>0</v>
      </c>
      <c r="AP1615" s="73">
        <v>0</v>
      </c>
      <c r="AQ1615" s="73">
        <v>0</v>
      </c>
      <c r="AR1615" s="74">
        <v>0</v>
      </c>
      <c r="AS1615" s="75">
        <v>0</v>
      </c>
      <c r="AT1615" s="72"/>
      <c r="AU1615" s="73">
        <f>SUMIF($G1614:$T1614,"A",$G1615:$T1615)+SUMIF($W1614:$AJ1614,"A",$W1615:$AJ1615)</f>
        <v>0</v>
      </c>
      <c r="AV1615" s="72"/>
      <c r="AW1615" s="76">
        <f>IF(B1615="",0,IF($U$9="",0,$U$9))</f>
        <v>0</v>
      </c>
      <c r="AX1615" s="84"/>
      <c r="BA1615" s="2"/>
      <c r="BB1615" s="2"/>
      <c r="BC1615" s="101"/>
      <c r="BD1615" s="101"/>
    </row>
    <row r="1616" spans="1:56" s="53" customFormat="1" x14ac:dyDescent="0.35">
      <c r="A1616" s="84"/>
      <c r="B1616" s="26"/>
      <c r="C1616" s="27"/>
      <c r="D1616" s="28" t="str">
        <f>IF(D1542="","",D1542)</f>
        <v/>
      </c>
      <c r="E1616" s="29" t="str">
        <f t="shared" si="633"/>
        <v/>
      </c>
      <c r="F1616" s="50">
        <f>B1563</f>
        <v>5</v>
      </c>
      <c r="G1616" s="59"/>
      <c r="H1616" s="64"/>
      <c r="I1616" s="58"/>
      <c r="J1616" s="65"/>
      <c r="K1616" s="58"/>
      <c r="L1616" s="65"/>
      <c r="M1616" s="58"/>
      <c r="N1616" s="65"/>
      <c r="O1616" s="58"/>
      <c r="P1616" s="65"/>
      <c r="Q1616" s="58"/>
      <c r="R1616" s="65"/>
      <c r="S1616" s="59"/>
      <c r="T1616" s="64"/>
      <c r="U1616" s="44"/>
      <c r="V1616" s="84"/>
      <c r="W1616" s="59"/>
      <c r="X1616" s="64"/>
      <c r="Y1616" s="58"/>
      <c r="Z1616" s="65"/>
      <c r="AA1616" s="58"/>
      <c r="AB1616" s="65"/>
      <c r="AC1616" s="58"/>
      <c r="AD1616" s="65"/>
      <c r="AE1616" s="58"/>
      <c r="AF1616" s="65"/>
      <c r="AG1616" s="58"/>
      <c r="AH1616" s="65"/>
      <c r="AI1616" s="59"/>
      <c r="AJ1616" s="64"/>
      <c r="AK1616" s="44"/>
      <c r="AL1616" s="84"/>
      <c r="AM1616" s="49"/>
      <c r="AN1616" s="49"/>
      <c r="AO1616" s="49"/>
      <c r="AP1616" s="49"/>
      <c r="AQ1616" s="49"/>
      <c r="AR1616" s="40"/>
      <c r="AS1616" s="51"/>
      <c r="AT1616" s="84"/>
      <c r="AU1616" s="49"/>
      <c r="AV1616" s="84"/>
      <c r="AW1616" s="52"/>
      <c r="AX1616" s="84"/>
      <c r="BA1616" s="2"/>
      <c r="BB1616" s="2"/>
      <c r="BC1616" s="101"/>
      <c r="BD1616" s="101"/>
    </row>
    <row r="1617" spans="1:56" s="53" customFormat="1" ht="15" thickBot="1" x14ac:dyDescent="0.4">
      <c r="A1617" s="84"/>
      <c r="B1617" s="30" t="str">
        <f>IF(B1543="","",B1543)</f>
        <v/>
      </c>
      <c r="C1617" s="31"/>
      <c r="D1617" s="32"/>
      <c r="E1617" s="33" t="str">
        <f t="shared" si="633"/>
        <v/>
      </c>
      <c r="F1617" s="50">
        <f>B1563</f>
        <v>5</v>
      </c>
      <c r="G1617" s="69"/>
      <c r="H1617" s="70"/>
      <c r="I1617" s="67"/>
      <c r="J1617" s="68"/>
      <c r="K1617" s="67"/>
      <c r="L1617" s="68"/>
      <c r="M1617" s="67"/>
      <c r="N1617" s="68"/>
      <c r="O1617" s="67"/>
      <c r="P1617" s="68"/>
      <c r="Q1617" s="67"/>
      <c r="R1617" s="68"/>
      <c r="S1617" s="69"/>
      <c r="T1617" s="70"/>
      <c r="U1617" s="71">
        <f t="shared" ref="U1617" si="642">SUM(G1617:T1617)</f>
        <v>0</v>
      </c>
      <c r="V1617" s="72"/>
      <c r="W1617" s="69"/>
      <c r="X1617" s="70"/>
      <c r="Y1617" s="67"/>
      <c r="Z1617" s="68"/>
      <c r="AA1617" s="67"/>
      <c r="AB1617" s="68"/>
      <c r="AC1617" s="67"/>
      <c r="AD1617" s="68"/>
      <c r="AE1617" s="67"/>
      <c r="AF1617" s="68"/>
      <c r="AG1617" s="67"/>
      <c r="AH1617" s="68"/>
      <c r="AI1617" s="69"/>
      <c r="AJ1617" s="70"/>
      <c r="AK1617" s="71">
        <v>0</v>
      </c>
      <c r="AL1617" s="72"/>
      <c r="AM1617" s="73">
        <v>0</v>
      </c>
      <c r="AN1617" s="88">
        <v>0</v>
      </c>
      <c r="AO1617" s="73">
        <v>0</v>
      </c>
      <c r="AP1617" s="73">
        <v>0</v>
      </c>
      <c r="AQ1617" s="73">
        <v>0</v>
      </c>
      <c r="AR1617" s="74">
        <v>0</v>
      </c>
      <c r="AS1617" s="75">
        <v>0</v>
      </c>
      <c r="AT1617" s="72"/>
      <c r="AU1617" s="73">
        <f>SUMIF($G1616:$T1616,"A",$G1617:$T1617)+SUMIF($W1616:$AJ1616,"A",$W1617:$AJ1617)</f>
        <v>0</v>
      </c>
      <c r="AV1617" s="72"/>
      <c r="AW1617" s="76">
        <f>IF(B1617="",0,IF($U$9="",0,$U$9))</f>
        <v>0</v>
      </c>
      <c r="AX1617" s="84"/>
      <c r="BA1617" s="2"/>
      <c r="BB1617" s="2"/>
      <c r="BC1617" s="101"/>
      <c r="BD1617" s="101"/>
    </row>
    <row r="1618" spans="1:56" s="53" customFormat="1" ht="27.75" customHeight="1" thickBot="1" x14ac:dyDescent="0.4">
      <c r="A1618" s="84"/>
      <c r="B1618" s="149" t="s">
        <v>7</v>
      </c>
      <c r="C1618" s="150"/>
      <c r="D1618" s="150"/>
      <c r="E1618" s="151"/>
      <c r="F1618" s="97"/>
      <c r="G1618" s="152">
        <f>SUM(G1568:H1617)</f>
        <v>0</v>
      </c>
      <c r="H1618" s="152"/>
      <c r="I1618" s="152">
        <f>SUM(I1568:J1617)</f>
        <v>120.75</v>
      </c>
      <c r="J1618" s="152"/>
      <c r="K1618" s="152">
        <f>SUM(K1568:L1617)</f>
        <v>121.25</v>
      </c>
      <c r="L1618" s="152"/>
      <c r="M1618" s="152">
        <f>SUM(M1568:N1617)</f>
        <v>113</v>
      </c>
      <c r="N1618" s="152"/>
      <c r="O1618" s="152">
        <f>SUM(O1568:P1617)</f>
        <v>113.25</v>
      </c>
      <c r="P1618" s="152"/>
      <c r="Q1618" s="152">
        <f>SUM(Q1568:R1617)</f>
        <v>102.75</v>
      </c>
      <c r="R1618" s="152"/>
      <c r="S1618" s="152">
        <f>SUM(S1568:T1617)</f>
        <v>0</v>
      </c>
      <c r="T1618" s="153"/>
      <c r="U1618" s="77">
        <f>SUM(U1568:U1617)</f>
        <v>571</v>
      </c>
      <c r="V1618" s="78"/>
      <c r="W1618" s="152">
        <f>SUM(W1568:X1617)</f>
        <v>0</v>
      </c>
      <c r="X1618" s="152"/>
      <c r="Y1618" s="152">
        <f>SUM(Y1568:Z1617)</f>
        <v>112.5</v>
      </c>
      <c r="Z1618" s="152"/>
      <c r="AA1618" s="152">
        <f>SUM(AA1568:AB1617)</f>
        <v>112.75</v>
      </c>
      <c r="AB1618" s="152"/>
      <c r="AC1618" s="152">
        <f>SUM(AC1568:AD1617)</f>
        <v>112.5</v>
      </c>
      <c r="AD1618" s="152"/>
      <c r="AE1618" s="152">
        <f>SUM(AE1568:AF1617)</f>
        <v>121.5</v>
      </c>
      <c r="AF1618" s="152"/>
      <c r="AG1618" s="152">
        <f>SUM(AG1568:AH1617)</f>
        <v>121.25</v>
      </c>
      <c r="AH1618" s="152"/>
      <c r="AI1618" s="152">
        <f>SUM(AI1568:AJ1617)</f>
        <v>0</v>
      </c>
      <c r="AJ1618" s="152"/>
      <c r="AK1618" s="77">
        <f>SUM(AK1568:AK1617)</f>
        <v>580.5</v>
      </c>
      <c r="AL1618" s="78"/>
      <c r="AM1618" s="79">
        <f t="shared" ref="AM1618:AS1618" si="643">SUM(AM1568:AM1617)</f>
        <v>1124.75</v>
      </c>
      <c r="AN1618" s="79">
        <f t="shared" si="643"/>
        <v>10.75</v>
      </c>
      <c r="AO1618" s="79">
        <f t="shared" si="643"/>
        <v>8</v>
      </c>
      <c r="AP1618" s="79">
        <f t="shared" si="643"/>
        <v>0</v>
      </c>
      <c r="AQ1618" s="79">
        <f t="shared" si="643"/>
        <v>8</v>
      </c>
      <c r="AR1618" s="80">
        <f t="shared" si="643"/>
        <v>0</v>
      </c>
      <c r="AS1618" s="81">
        <f t="shared" si="643"/>
        <v>1151.5</v>
      </c>
      <c r="AT1618" s="78"/>
      <c r="AU1618" s="82">
        <f>SUM(AU1568:AU1617)</f>
        <v>0</v>
      </c>
      <c r="AV1618" s="78"/>
      <c r="AW1618" s="83">
        <f>SUM(AW1568:AW1617)</f>
        <v>1440</v>
      </c>
      <c r="AX1618" s="84"/>
      <c r="BA1618" s="2"/>
      <c r="BB1618" s="2"/>
      <c r="BC1618" s="101"/>
      <c r="BD1618" s="101"/>
    </row>
    <row r="1619" spans="1:56" s="53" customFormat="1" ht="15" thickTop="1" x14ac:dyDescent="0.35">
      <c r="B1619" s="54"/>
      <c r="F1619" s="98"/>
      <c r="G1619" s="55"/>
      <c r="H1619" s="55"/>
      <c r="I1619" s="55"/>
      <c r="J1619" s="55"/>
      <c r="K1619" s="55"/>
      <c r="L1619" s="55"/>
      <c r="M1619" s="55"/>
      <c r="N1619" s="55"/>
      <c r="O1619" s="55"/>
      <c r="P1619" s="55"/>
      <c r="Q1619" s="55"/>
      <c r="R1619" s="55"/>
      <c r="S1619" s="55"/>
      <c r="T1619" s="55"/>
      <c r="U1619" s="56"/>
      <c r="V1619" s="55"/>
      <c r="W1619" s="55"/>
      <c r="X1619" s="55"/>
      <c r="Y1619" s="55"/>
      <c r="Z1619" s="55"/>
      <c r="AA1619" s="55"/>
      <c r="AB1619" s="55"/>
      <c r="AC1619" s="55"/>
      <c r="AD1619" s="55"/>
      <c r="AE1619" s="55"/>
      <c r="AF1619" s="55"/>
      <c r="AG1619" s="55"/>
      <c r="AH1619" s="55"/>
      <c r="AI1619" s="55"/>
      <c r="AJ1619" s="55"/>
      <c r="AK1619" s="56"/>
      <c r="AL1619" s="55"/>
      <c r="AM1619" s="55"/>
      <c r="AN1619" s="55"/>
      <c r="AO1619" s="55"/>
      <c r="AP1619" s="55"/>
      <c r="AQ1619" s="55"/>
      <c r="AR1619" s="55"/>
      <c r="AS1619" s="55"/>
      <c r="AT1619" s="55"/>
      <c r="AU1619" s="55"/>
      <c r="AV1619" s="55"/>
      <c r="AW1619" s="55"/>
      <c r="BA1619" s="2"/>
      <c r="BB1619" s="2"/>
      <c r="BC1619" s="101"/>
      <c r="BD1619" s="101"/>
    </row>
    <row r="1620" spans="1:56" s="53" customFormat="1" x14ac:dyDescent="0.35">
      <c r="B1620" s="54" t="s">
        <v>52</v>
      </c>
      <c r="D1620" s="141" t="s">
        <v>109</v>
      </c>
      <c r="E1620" s="141"/>
      <c r="F1620" s="141"/>
      <c r="G1620" s="141"/>
      <c r="H1620" s="141"/>
      <c r="I1620" s="141"/>
      <c r="J1620" s="141"/>
      <c r="K1620" s="141"/>
      <c r="L1620" s="141"/>
      <c r="M1620" s="141"/>
      <c r="N1620" s="141"/>
      <c r="O1620" s="141"/>
      <c r="P1620" s="141"/>
      <c r="Q1620" s="141"/>
      <c r="R1620" s="141"/>
      <c r="S1620" s="141"/>
      <c r="T1620" s="141"/>
      <c r="U1620" s="141"/>
      <c r="V1620" s="141"/>
      <c r="W1620" s="141"/>
      <c r="X1620" s="141"/>
      <c r="Y1620" s="141"/>
      <c r="Z1620" s="141"/>
      <c r="AA1620" s="141"/>
      <c r="AB1620" s="141"/>
      <c r="AC1620" s="141"/>
      <c r="AD1620" s="141"/>
      <c r="AE1620" s="141"/>
      <c r="AF1620" s="141"/>
      <c r="AG1620" s="141"/>
      <c r="AH1620" s="141"/>
      <c r="AI1620" s="141"/>
      <c r="AJ1620" s="141"/>
      <c r="AK1620" s="56"/>
      <c r="AL1620" s="55"/>
      <c r="AM1620" s="55"/>
      <c r="AN1620" s="55"/>
      <c r="AO1620" s="55"/>
      <c r="AP1620" s="55"/>
      <c r="AQ1620" s="55"/>
      <c r="AR1620" s="55"/>
      <c r="AS1620" s="55"/>
      <c r="AT1620" s="55"/>
      <c r="AU1620" s="55"/>
      <c r="AV1620" s="55"/>
      <c r="AW1620" s="55"/>
      <c r="BA1620" s="2"/>
      <c r="BB1620" s="2"/>
      <c r="BC1620" s="101"/>
      <c r="BD1620" s="101"/>
    </row>
    <row r="1621" spans="1:56" s="84" customFormat="1" x14ac:dyDescent="0.35">
      <c r="A1621" s="53"/>
      <c r="B1621" s="54"/>
      <c r="C1621" s="53"/>
      <c r="D1621" s="141"/>
      <c r="E1621" s="141"/>
      <c r="F1621" s="141"/>
      <c r="G1621" s="141"/>
      <c r="H1621" s="141"/>
      <c r="I1621" s="141"/>
      <c r="J1621" s="141"/>
      <c r="K1621" s="141"/>
      <c r="L1621" s="141"/>
      <c r="M1621" s="141"/>
      <c r="N1621" s="141"/>
      <c r="O1621" s="141"/>
      <c r="P1621" s="141"/>
      <c r="Q1621" s="141"/>
      <c r="R1621" s="141"/>
      <c r="S1621" s="141"/>
      <c r="T1621" s="141"/>
      <c r="U1621" s="141"/>
      <c r="V1621" s="141"/>
      <c r="W1621" s="141"/>
      <c r="X1621" s="141"/>
      <c r="Y1621" s="141"/>
      <c r="Z1621" s="141"/>
      <c r="AA1621" s="141"/>
      <c r="AB1621" s="141"/>
      <c r="AC1621" s="141"/>
      <c r="AD1621" s="141"/>
      <c r="AE1621" s="141"/>
      <c r="AF1621" s="141"/>
      <c r="AG1621" s="141"/>
      <c r="AH1621" s="141"/>
      <c r="AI1621" s="141"/>
      <c r="AJ1621" s="141"/>
      <c r="AK1621" s="56"/>
      <c r="AL1621" s="55"/>
      <c r="AM1621" s="55"/>
      <c r="AN1621" s="55"/>
      <c r="AO1621" s="55"/>
      <c r="AP1621" s="55"/>
      <c r="AQ1621" s="55"/>
      <c r="AR1621" s="55"/>
      <c r="AS1621" s="55"/>
      <c r="AT1621" s="55"/>
      <c r="AU1621" s="55"/>
      <c r="AV1621" s="55"/>
      <c r="AW1621" s="55"/>
      <c r="AX1621" s="53"/>
      <c r="BA1621" s="2"/>
      <c r="BB1621" s="2"/>
      <c r="BC1621" s="101"/>
      <c r="BD1621" s="101"/>
    </row>
    <row r="1622" spans="1:56" s="84" customFormat="1" x14ac:dyDescent="0.35">
      <c r="A1622" s="53"/>
      <c r="B1622" s="54"/>
      <c r="C1622" s="53"/>
      <c r="D1622" s="141"/>
      <c r="E1622" s="141"/>
      <c r="F1622" s="141"/>
      <c r="G1622" s="141"/>
      <c r="H1622" s="141"/>
      <c r="I1622" s="141"/>
      <c r="J1622" s="141"/>
      <c r="K1622" s="141"/>
      <c r="L1622" s="141"/>
      <c r="M1622" s="141"/>
      <c r="N1622" s="141"/>
      <c r="O1622" s="141"/>
      <c r="P1622" s="141"/>
      <c r="Q1622" s="141"/>
      <c r="R1622" s="141"/>
      <c r="S1622" s="141"/>
      <c r="T1622" s="141"/>
      <c r="U1622" s="141"/>
      <c r="V1622" s="141"/>
      <c r="W1622" s="141"/>
      <c r="X1622" s="141"/>
      <c r="Y1622" s="141"/>
      <c r="Z1622" s="141"/>
      <c r="AA1622" s="141"/>
      <c r="AB1622" s="141"/>
      <c r="AC1622" s="141"/>
      <c r="AD1622" s="141"/>
      <c r="AE1622" s="141"/>
      <c r="AF1622" s="141"/>
      <c r="AG1622" s="141"/>
      <c r="AH1622" s="141"/>
      <c r="AI1622" s="141"/>
      <c r="AJ1622" s="141"/>
      <c r="AK1622" s="56"/>
      <c r="AL1622" s="55"/>
      <c r="AM1622" s="55"/>
      <c r="AN1622" s="55"/>
      <c r="AO1622" s="55"/>
      <c r="AP1622" s="55"/>
      <c r="AQ1622" s="55"/>
      <c r="AR1622" s="55"/>
      <c r="AS1622" s="55"/>
      <c r="AT1622" s="55"/>
      <c r="AU1622" s="55"/>
      <c r="AV1622" s="55"/>
      <c r="AW1622" s="55"/>
      <c r="AX1622" s="53"/>
      <c r="BA1622" s="2"/>
      <c r="BB1622" s="2"/>
      <c r="BC1622" s="101"/>
      <c r="BD1622" s="101"/>
    </row>
    <row r="1623" spans="1:56" s="84" customFormat="1" ht="15" customHeight="1" x14ac:dyDescent="0.35">
      <c r="A1623" s="53"/>
      <c r="B1623" s="54"/>
      <c r="C1623" s="53"/>
      <c r="D1623" s="53"/>
      <c r="E1623" s="53"/>
      <c r="F1623" s="98"/>
      <c r="G1623" s="55"/>
      <c r="H1623" s="55"/>
      <c r="I1623" s="55"/>
      <c r="J1623" s="55"/>
      <c r="K1623" s="55"/>
      <c r="L1623" s="55"/>
      <c r="M1623" s="55"/>
      <c r="N1623" s="55"/>
      <c r="O1623" s="55"/>
      <c r="P1623" s="55"/>
      <c r="Q1623" s="55"/>
      <c r="R1623" s="55"/>
      <c r="S1623" s="55"/>
      <c r="T1623" s="55"/>
      <c r="U1623" s="56"/>
      <c r="V1623" s="55"/>
      <c r="W1623" s="55"/>
      <c r="X1623" s="55"/>
      <c r="Y1623" s="55"/>
      <c r="Z1623" s="55"/>
      <c r="AA1623" s="55"/>
      <c r="AB1623" s="55"/>
      <c r="AC1623" s="55"/>
      <c r="AD1623" s="55"/>
      <c r="AE1623" s="55"/>
      <c r="AF1623" s="55"/>
      <c r="AG1623" s="55"/>
      <c r="AH1623" s="55"/>
      <c r="AI1623" s="55"/>
      <c r="AJ1623" s="55"/>
      <c r="AK1623" s="56"/>
      <c r="AL1623" s="55"/>
      <c r="AM1623" s="55"/>
      <c r="AN1623" s="55"/>
      <c r="AO1623" s="55"/>
      <c r="AP1623" s="55"/>
      <c r="AQ1623" s="55"/>
      <c r="AR1623" s="55"/>
      <c r="AS1623" s="55"/>
      <c r="AT1623" s="55"/>
      <c r="AU1623" s="55"/>
      <c r="AV1623" s="55"/>
      <c r="AW1623" s="55"/>
      <c r="AX1623" s="53"/>
      <c r="BA1623" s="2"/>
      <c r="BB1623" s="2"/>
      <c r="BC1623" s="101"/>
      <c r="BD1623" s="101"/>
    </row>
    <row r="1624" spans="1:56" s="84" customFormat="1" ht="15" customHeight="1" x14ac:dyDescent="0.35">
      <c r="A1624" s="53"/>
      <c r="B1624" s="54" t="s">
        <v>53</v>
      </c>
      <c r="C1624" s="53"/>
      <c r="D1624" s="31" t="s">
        <v>74</v>
      </c>
      <c r="E1624" s="34"/>
      <c r="F1624" s="99"/>
      <c r="G1624" s="34"/>
      <c r="H1624" s="34"/>
      <c r="I1624" s="34"/>
      <c r="J1624" s="34"/>
      <c r="K1624" s="53"/>
      <c r="L1624" s="55" t="s">
        <v>8</v>
      </c>
      <c r="M1624" s="53"/>
      <c r="N1624" s="142">
        <f ca="1">NOW()</f>
        <v>44720.650928935182</v>
      </c>
      <c r="O1624" s="142"/>
      <c r="P1624" s="142"/>
      <c r="Q1624" s="53"/>
      <c r="R1624" s="53"/>
      <c r="S1624" s="53"/>
      <c r="T1624" s="53"/>
      <c r="U1624" s="53"/>
      <c r="V1624" s="55"/>
      <c r="W1624" s="55"/>
      <c r="X1624" s="55"/>
      <c r="Y1624" s="55"/>
      <c r="Z1624" s="55"/>
      <c r="AA1624" s="55"/>
      <c r="AB1624" s="55"/>
      <c r="AC1624" s="55"/>
      <c r="AD1624" s="55"/>
      <c r="AE1624" s="55"/>
      <c r="AF1624" s="55"/>
      <c r="AG1624" s="55"/>
      <c r="AH1624" s="55"/>
      <c r="AI1624" s="55"/>
      <c r="AJ1624" s="55"/>
      <c r="AK1624" s="56"/>
      <c r="AL1624" s="55"/>
      <c r="AM1624" s="55"/>
      <c r="AN1624" s="55"/>
      <c r="AO1624" s="55"/>
      <c r="AP1624" s="55"/>
      <c r="AQ1624" s="55"/>
      <c r="AR1624" s="55"/>
      <c r="AS1624" s="55"/>
      <c r="AT1624" s="55"/>
      <c r="AU1624" s="55"/>
      <c r="AV1624" s="55"/>
      <c r="AW1624" s="55"/>
      <c r="AX1624" s="53"/>
      <c r="BA1624" s="2"/>
      <c r="BB1624" s="2"/>
      <c r="BC1624" s="101"/>
      <c r="BD1624" s="101"/>
    </row>
    <row r="1625" spans="1:56" s="84" customFormat="1" x14ac:dyDescent="0.35">
      <c r="A1625" s="53"/>
      <c r="B1625" s="54"/>
      <c r="C1625" s="53"/>
      <c r="D1625" s="53"/>
      <c r="E1625" s="53"/>
      <c r="F1625" s="98"/>
      <c r="G1625" s="55"/>
      <c r="H1625" s="55"/>
      <c r="I1625" s="55"/>
      <c r="J1625" s="55"/>
      <c r="K1625" s="53"/>
      <c r="L1625" s="55"/>
      <c r="M1625" s="53"/>
      <c r="N1625" s="55"/>
      <c r="O1625" s="56"/>
      <c r="P1625" s="53"/>
      <c r="Q1625" s="53"/>
      <c r="R1625" s="53"/>
      <c r="S1625" s="53"/>
      <c r="T1625" s="53"/>
      <c r="U1625" s="53"/>
      <c r="V1625" s="55"/>
      <c r="W1625" s="55"/>
      <c r="X1625" s="55"/>
      <c r="Y1625" s="55"/>
      <c r="Z1625" s="55"/>
      <c r="AA1625" s="55"/>
      <c r="AB1625" s="55"/>
      <c r="AC1625" s="55"/>
      <c r="AD1625" s="55"/>
      <c r="AE1625" s="55"/>
      <c r="AF1625" s="55"/>
      <c r="AG1625" s="55"/>
      <c r="AH1625" s="55"/>
      <c r="AI1625" s="55"/>
      <c r="AJ1625" s="55"/>
      <c r="AK1625" s="56"/>
      <c r="AL1625" s="55"/>
      <c r="AM1625" s="55"/>
      <c r="AN1625" s="55"/>
      <c r="AO1625" s="55"/>
      <c r="AP1625" s="55"/>
      <c r="AQ1625" s="55"/>
      <c r="AR1625" s="55"/>
      <c r="AS1625" s="55"/>
      <c r="AT1625" s="55"/>
      <c r="AU1625" s="55"/>
      <c r="AV1625" s="55"/>
      <c r="AW1625" s="55"/>
      <c r="AX1625" s="53"/>
      <c r="BA1625" s="2"/>
      <c r="BB1625" s="2"/>
      <c r="BC1625" s="101"/>
      <c r="BD1625" s="101"/>
    </row>
    <row r="1626" spans="1:56" s="84" customFormat="1" x14ac:dyDescent="0.35">
      <c r="A1626" s="53"/>
      <c r="B1626" s="54" t="s">
        <v>54</v>
      </c>
      <c r="C1626" s="53"/>
      <c r="D1626" s="31"/>
      <c r="E1626" s="34"/>
      <c r="F1626" s="99"/>
      <c r="G1626" s="34"/>
      <c r="H1626" s="34"/>
      <c r="I1626" s="34"/>
      <c r="J1626" s="34"/>
      <c r="K1626" s="53"/>
      <c r="L1626" s="55" t="s">
        <v>8</v>
      </c>
      <c r="M1626" s="53"/>
      <c r="N1626" s="142">
        <f ca="1">NOW()</f>
        <v>44720.650928935182</v>
      </c>
      <c r="O1626" s="142"/>
      <c r="P1626" s="142"/>
      <c r="Q1626" s="53"/>
      <c r="R1626" s="53"/>
      <c r="S1626" s="53"/>
      <c r="T1626" s="53"/>
      <c r="U1626" s="53"/>
      <c r="V1626" s="55"/>
      <c r="W1626" s="55"/>
      <c r="X1626" s="55"/>
      <c r="Y1626" s="55"/>
      <c r="Z1626" s="55"/>
      <c r="AA1626" s="55"/>
      <c r="AB1626" s="55"/>
      <c r="AC1626" s="55"/>
      <c r="AD1626" s="55"/>
      <c r="AE1626" s="55"/>
      <c r="AF1626" s="55"/>
      <c r="AG1626" s="55"/>
      <c r="AH1626" s="55"/>
      <c r="AI1626" s="55"/>
      <c r="AJ1626" s="55"/>
      <c r="AK1626" s="56"/>
      <c r="AL1626" s="55"/>
      <c r="AM1626" s="55"/>
      <c r="AN1626" s="55"/>
      <c r="AO1626" s="55"/>
      <c r="AP1626" s="55"/>
      <c r="AQ1626" s="55"/>
      <c r="AR1626" s="55"/>
      <c r="AS1626" s="55"/>
      <c r="AT1626" s="55"/>
      <c r="AU1626" s="55"/>
      <c r="AV1626" s="55"/>
      <c r="AW1626" s="55"/>
      <c r="AX1626" s="53"/>
      <c r="BA1626" s="2"/>
      <c r="BB1626" s="2"/>
      <c r="BC1626" s="101"/>
      <c r="BD1626" s="101"/>
    </row>
    <row r="1627" spans="1:56" s="84" customFormat="1" x14ac:dyDescent="0.35">
      <c r="A1627" s="53"/>
      <c r="B1627" s="54"/>
      <c r="C1627" s="53"/>
      <c r="D1627" s="53"/>
      <c r="E1627" s="53"/>
      <c r="F1627" s="98"/>
      <c r="G1627" s="55"/>
      <c r="H1627" s="55"/>
      <c r="I1627" s="55"/>
      <c r="J1627" s="55"/>
      <c r="K1627" s="55"/>
      <c r="L1627" s="55"/>
      <c r="M1627" s="55"/>
      <c r="N1627" s="55"/>
      <c r="O1627" s="55"/>
      <c r="P1627" s="55"/>
      <c r="Q1627" s="55"/>
      <c r="R1627" s="55"/>
      <c r="S1627" s="55"/>
      <c r="T1627" s="55"/>
      <c r="U1627" s="56"/>
      <c r="V1627" s="55"/>
      <c r="W1627" s="55"/>
      <c r="X1627" s="55"/>
      <c r="Y1627" s="55"/>
      <c r="Z1627" s="55"/>
      <c r="AA1627" s="55"/>
      <c r="AB1627" s="55"/>
      <c r="AC1627" s="55"/>
      <c r="AD1627" s="55"/>
      <c r="AE1627" s="55"/>
      <c r="AF1627" s="55"/>
      <c r="AG1627" s="55"/>
      <c r="AH1627" s="55"/>
      <c r="AI1627" s="55"/>
      <c r="AJ1627" s="55"/>
      <c r="AK1627" s="56"/>
      <c r="AL1627" s="55"/>
      <c r="AM1627" s="55"/>
      <c r="AN1627" s="55"/>
      <c r="AO1627" s="55"/>
      <c r="AP1627" s="55"/>
      <c r="AQ1627" s="55"/>
      <c r="AR1627" s="55"/>
      <c r="AS1627" s="55"/>
      <c r="AT1627" s="55"/>
      <c r="AU1627" s="55"/>
      <c r="AV1627" s="55"/>
      <c r="AW1627" s="55"/>
      <c r="AX1627" s="53"/>
      <c r="BA1627" s="2"/>
      <c r="BB1627" s="2"/>
      <c r="BC1627" s="101"/>
      <c r="BD1627" s="101"/>
    </row>
    <row r="1628" spans="1:56" s="84" customFormat="1" x14ac:dyDescent="0.35">
      <c r="A1628" s="53"/>
      <c r="B1628" s="54" t="s">
        <v>9</v>
      </c>
      <c r="C1628" s="53"/>
      <c r="D1628" s="53"/>
      <c r="E1628" s="53"/>
      <c r="F1628" s="98"/>
      <c r="G1628" s="55"/>
      <c r="H1628" s="55"/>
      <c r="I1628" s="55"/>
      <c r="J1628" s="55"/>
      <c r="K1628" s="55"/>
      <c r="L1628" s="55"/>
      <c r="M1628" s="55"/>
      <c r="N1628" s="55"/>
      <c r="O1628" s="55"/>
      <c r="P1628" s="55"/>
      <c r="Q1628" s="55"/>
      <c r="R1628" s="55"/>
      <c r="S1628" s="55"/>
      <c r="T1628" s="55"/>
      <c r="U1628" s="56"/>
      <c r="V1628" s="55"/>
      <c r="W1628" s="55"/>
      <c r="X1628" s="55"/>
      <c r="Y1628" s="55"/>
      <c r="Z1628" s="55"/>
      <c r="AA1628" s="55"/>
      <c r="AB1628" s="55"/>
      <c r="AC1628" s="55"/>
      <c r="AD1628" s="55"/>
      <c r="AE1628" s="55"/>
      <c r="AF1628" s="55"/>
      <c r="AG1628" s="55"/>
      <c r="AH1628" s="55"/>
      <c r="AI1628" s="55"/>
      <c r="AJ1628" s="55"/>
      <c r="AK1628" s="56"/>
      <c r="AL1628" s="55"/>
      <c r="AM1628" s="55"/>
      <c r="AN1628" s="55"/>
      <c r="AO1628" s="55"/>
      <c r="AP1628" s="55"/>
      <c r="AQ1628" s="55"/>
      <c r="AR1628" s="55"/>
      <c r="AS1628" s="55"/>
      <c r="AT1628" s="55"/>
      <c r="AU1628" s="55"/>
      <c r="AV1628" s="55"/>
      <c r="AW1628" s="55"/>
      <c r="AX1628" s="53"/>
      <c r="BA1628" s="2"/>
      <c r="BB1628" s="2"/>
      <c r="BC1628" s="101"/>
      <c r="BD1628" s="101"/>
    </row>
    <row r="1629" spans="1:56" x14ac:dyDescent="0.35">
      <c r="BA1629" s="2"/>
      <c r="BB1629" s="2"/>
      <c r="BC1629" s="101"/>
      <c r="BD1629" s="101"/>
    </row>
    <row r="1630" spans="1:56" x14ac:dyDescent="0.35">
      <c r="BA1630" s="2"/>
      <c r="BB1630" s="2"/>
      <c r="BC1630" s="101"/>
      <c r="BD1630" s="101"/>
    </row>
    <row r="1631" spans="1:56" s="84" customFormat="1" ht="28.5" x14ac:dyDescent="0.65">
      <c r="F1631" s="50"/>
      <c r="G1631" s="143" t="s">
        <v>10</v>
      </c>
      <c r="H1631" s="143"/>
      <c r="I1631" s="143"/>
      <c r="J1631" s="143"/>
      <c r="K1631" s="143"/>
      <c r="L1631" s="143"/>
      <c r="M1631" s="143"/>
      <c r="N1631" s="143"/>
      <c r="O1631" s="143"/>
      <c r="P1631" s="143"/>
      <c r="Q1631" s="143"/>
      <c r="R1631" s="143"/>
      <c r="S1631" s="143"/>
      <c r="T1631" s="143"/>
      <c r="U1631" s="143"/>
      <c r="W1631" s="37" t="s">
        <v>12</v>
      </c>
      <c r="X1631" s="86" t="s">
        <v>11</v>
      </c>
      <c r="BA1631" s="2"/>
      <c r="BB1631" s="2"/>
      <c r="BC1631" s="101"/>
      <c r="BD1631" s="101"/>
    </row>
    <row r="1632" spans="1:56" s="84" customFormat="1" x14ac:dyDescent="0.35">
      <c r="F1632" s="50"/>
      <c r="G1632" s="84" t="s">
        <v>0</v>
      </c>
      <c r="W1632" s="37" t="s">
        <v>13</v>
      </c>
      <c r="X1632" s="86" t="s">
        <v>14</v>
      </c>
      <c r="BA1632" s="2"/>
      <c r="BB1632" s="2"/>
      <c r="BC1632" s="101"/>
      <c r="BD1632" s="101"/>
    </row>
    <row r="1633" spans="2:56" s="84" customFormat="1" x14ac:dyDescent="0.35">
      <c r="F1633" s="50"/>
      <c r="W1633" s="37" t="s">
        <v>1</v>
      </c>
      <c r="X1633" s="86" t="s">
        <v>15</v>
      </c>
      <c r="BA1633" s="2"/>
      <c r="BB1633" s="2"/>
      <c r="BC1633" s="101"/>
      <c r="BD1633" s="101"/>
    </row>
    <row r="1634" spans="2:56" s="84" customFormat="1" x14ac:dyDescent="0.35">
      <c r="F1634" s="50"/>
      <c r="W1634" s="37" t="s">
        <v>2</v>
      </c>
      <c r="X1634" s="86" t="s">
        <v>16</v>
      </c>
      <c r="BA1634" s="2"/>
      <c r="BB1634" s="2"/>
      <c r="BC1634" s="101"/>
      <c r="BD1634" s="101"/>
    </row>
    <row r="1635" spans="2:56" s="84" customFormat="1" ht="15" customHeight="1" x14ac:dyDescent="0.35">
      <c r="B1635" s="154" t="s">
        <v>35</v>
      </c>
      <c r="F1635" s="50"/>
      <c r="G1635" s="154" t="s">
        <v>36</v>
      </c>
      <c r="H1635" s="154"/>
      <c r="I1635" s="154"/>
      <c r="K1635" s="154" t="s">
        <v>36</v>
      </c>
      <c r="L1635" s="154"/>
      <c r="M1635" s="154"/>
      <c r="W1635" s="37" t="s">
        <v>3</v>
      </c>
      <c r="X1635" s="86" t="s">
        <v>17</v>
      </c>
      <c r="BA1635" s="2"/>
      <c r="BB1635" s="2"/>
      <c r="BC1635" s="101"/>
      <c r="BD1635" s="101"/>
    </row>
    <row r="1636" spans="2:56" s="84" customFormat="1" x14ac:dyDescent="0.35">
      <c r="B1636" s="155"/>
      <c r="D1636" s="37" t="s">
        <v>34</v>
      </c>
      <c r="F1636" s="50"/>
      <c r="G1636" s="154"/>
      <c r="H1636" s="154"/>
      <c r="I1636" s="154"/>
      <c r="K1636" s="154"/>
      <c r="L1636" s="154"/>
      <c r="M1636" s="154"/>
      <c r="W1636" s="38"/>
      <c r="BA1636" s="2"/>
      <c r="BB1636" s="2"/>
      <c r="BC1636" s="101"/>
      <c r="BD1636" s="101"/>
    </row>
    <row r="1637" spans="2:56" s="84" customFormat="1" x14ac:dyDescent="0.35">
      <c r="B1637" s="100">
        <f>B1563+1</f>
        <v>6</v>
      </c>
      <c r="D1637" s="100">
        <f>D1563</f>
        <v>2022</v>
      </c>
      <c r="E1637" s="87" t="s">
        <v>38</v>
      </c>
      <c r="F1637" s="50"/>
      <c r="G1637" s="156">
        <f>K1563+1</f>
        <v>44619</v>
      </c>
      <c r="H1637" s="157"/>
      <c r="I1637" s="158"/>
      <c r="J1637" s="37" t="s">
        <v>37</v>
      </c>
      <c r="K1637" s="156">
        <f>IF(G1637="","",G1637+13)</f>
        <v>44632</v>
      </c>
      <c r="L1637" s="157"/>
      <c r="M1637" s="158"/>
      <c r="P1637" s="159" t="s">
        <v>39</v>
      </c>
      <c r="Q1637" s="160"/>
      <c r="R1637" s="160"/>
      <c r="S1637" s="160"/>
      <c r="T1637" s="161"/>
      <c r="U1637" s="24">
        <v>80</v>
      </c>
      <c r="BA1637" s="2"/>
      <c r="BB1637" s="2"/>
      <c r="BC1637" s="101"/>
      <c r="BD1637" s="101"/>
    </row>
    <row r="1638" spans="2:56" s="84" customFormat="1" x14ac:dyDescent="0.35">
      <c r="F1638" s="50"/>
      <c r="AM1638" s="144" t="s">
        <v>4</v>
      </c>
      <c r="AN1638" s="144"/>
      <c r="AO1638" s="144"/>
      <c r="AP1638" s="144"/>
      <c r="AQ1638" s="144"/>
      <c r="AR1638" s="144"/>
      <c r="AS1638" s="144"/>
      <c r="AU1638" s="100" t="s">
        <v>4</v>
      </c>
      <c r="BA1638" s="2"/>
      <c r="BB1638" s="2"/>
      <c r="BC1638" s="101"/>
      <c r="BD1638" s="101"/>
    </row>
    <row r="1639" spans="2:56" s="84" customFormat="1" ht="15" customHeight="1" x14ac:dyDescent="0.35">
      <c r="B1639" s="40"/>
      <c r="C1639" s="41"/>
      <c r="D1639" s="42" t="s">
        <v>32</v>
      </c>
      <c r="E1639" s="43" t="s">
        <v>5</v>
      </c>
      <c r="F1639" s="50"/>
      <c r="G1639" s="162">
        <f>G1637</f>
        <v>44619</v>
      </c>
      <c r="H1639" s="163"/>
      <c r="I1639" s="162">
        <f>IF(G1639="","",G1639+1)</f>
        <v>44620</v>
      </c>
      <c r="J1639" s="163"/>
      <c r="K1639" s="162">
        <f>IF(I1639="","",I1639+1)</f>
        <v>44621</v>
      </c>
      <c r="L1639" s="163"/>
      <c r="M1639" s="162">
        <f>IF(K1639="","",K1639+1)</f>
        <v>44622</v>
      </c>
      <c r="N1639" s="163"/>
      <c r="O1639" s="162">
        <f>IF(M1639="","",M1639+1)</f>
        <v>44623</v>
      </c>
      <c r="P1639" s="163"/>
      <c r="Q1639" s="162">
        <f>IF(O1639="","",O1639+1)</f>
        <v>44624</v>
      </c>
      <c r="R1639" s="163"/>
      <c r="S1639" s="162">
        <f>IF(Q1639="","",Q1639+1)</f>
        <v>44625</v>
      </c>
      <c r="T1639" s="164"/>
      <c r="U1639" s="44"/>
      <c r="W1639" s="162">
        <f>IF(S1639="","",S1639+1)</f>
        <v>44626</v>
      </c>
      <c r="X1639" s="163"/>
      <c r="Y1639" s="162">
        <f>IF(W1639="","",W1639+1)</f>
        <v>44627</v>
      </c>
      <c r="Z1639" s="163"/>
      <c r="AA1639" s="162">
        <f>IF(Y1639="","",Y1639+1)</f>
        <v>44628</v>
      </c>
      <c r="AB1639" s="163"/>
      <c r="AC1639" s="162">
        <f>IF(AA1639="","",AA1639+1)</f>
        <v>44629</v>
      </c>
      <c r="AD1639" s="163"/>
      <c r="AE1639" s="162">
        <f>IF(AC1639="","",AC1639+1)</f>
        <v>44630</v>
      </c>
      <c r="AF1639" s="163"/>
      <c r="AG1639" s="162">
        <f>IF(AE1639="","",AE1639+1)</f>
        <v>44631</v>
      </c>
      <c r="AH1639" s="163"/>
      <c r="AI1639" s="162">
        <f>IF(AG1639="","",AG1639+1)</f>
        <v>44632</v>
      </c>
      <c r="AJ1639" s="164"/>
      <c r="AK1639" s="44"/>
      <c r="AM1639" s="145" t="s">
        <v>18</v>
      </c>
      <c r="AN1639" s="165" t="s">
        <v>55</v>
      </c>
      <c r="AO1639" s="145" t="s">
        <v>19</v>
      </c>
      <c r="AP1639" s="145" t="s">
        <v>20</v>
      </c>
      <c r="AQ1639" s="145" t="s">
        <v>21</v>
      </c>
      <c r="AR1639" s="166" t="s">
        <v>22</v>
      </c>
      <c r="AS1639" s="167" t="s">
        <v>23</v>
      </c>
      <c r="AU1639" s="144" t="s">
        <v>6</v>
      </c>
      <c r="AW1639" s="145" t="s">
        <v>24</v>
      </c>
      <c r="BA1639" s="2"/>
      <c r="BB1639" s="2"/>
      <c r="BC1639" s="101"/>
      <c r="BD1639" s="101"/>
    </row>
    <row r="1640" spans="2:56" s="84" customFormat="1" x14ac:dyDescent="0.35">
      <c r="B1640" s="45" t="s">
        <v>33</v>
      </c>
      <c r="C1640" s="46"/>
      <c r="D1640" s="47"/>
      <c r="E1640" s="47"/>
      <c r="F1640" s="50"/>
      <c r="G1640" s="146" t="s">
        <v>25</v>
      </c>
      <c r="H1640" s="147"/>
      <c r="I1640" s="146" t="s">
        <v>26</v>
      </c>
      <c r="J1640" s="147"/>
      <c r="K1640" s="146" t="s">
        <v>27</v>
      </c>
      <c r="L1640" s="147"/>
      <c r="M1640" s="146" t="s">
        <v>28</v>
      </c>
      <c r="N1640" s="147"/>
      <c r="O1640" s="146" t="s">
        <v>29</v>
      </c>
      <c r="P1640" s="147"/>
      <c r="Q1640" s="146" t="s">
        <v>30</v>
      </c>
      <c r="R1640" s="147"/>
      <c r="S1640" s="146" t="s">
        <v>31</v>
      </c>
      <c r="T1640" s="148"/>
      <c r="U1640" s="48" t="s">
        <v>7</v>
      </c>
      <c r="W1640" s="146" t="s">
        <v>25</v>
      </c>
      <c r="X1640" s="147"/>
      <c r="Y1640" s="146" t="s">
        <v>26</v>
      </c>
      <c r="Z1640" s="147"/>
      <c r="AA1640" s="146" t="s">
        <v>27</v>
      </c>
      <c r="AB1640" s="147"/>
      <c r="AC1640" s="146" t="s">
        <v>28</v>
      </c>
      <c r="AD1640" s="147"/>
      <c r="AE1640" s="146" t="s">
        <v>29</v>
      </c>
      <c r="AF1640" s="147"/>
      <c r="AG1640" s="146" t="s">
        <v>30</v>
      </c>
      <c r="AH1640" s="147"/>
      <c r="AI1640" s="146" t="s">
        <v>31</v>
      </c>
      <c r="AJ1640" s="148"/>
      <c r="AK1640" s="48" t="s">
        <v>7</v>
      </c>
      <c r="AM1640" s="145"/>
      <c r="AN1640" s="165"/>
      <c r="AO1640" s="145"/>
      <c r="AP1640" s="145"/>
      <c r="AQ1640" s="145"/>
      <c r="AR1640" s="166"/>
      <c r="AS1640" s="167"/>
      <c r="AU1640" s="144"/>
      <c r="AW1640" s="145"/>
      <c r="BA1640" s="2"/>
      <c r="BB1640" s="2"/>
      <c r="BC1640" s="101"/>
      <c r="BD1640" s="101"/>
    </row>
    <row r="1641" spans="2:56" s="84" customFormat="1" x14ac:dyDescent="0.35">
      <c r="B1641" s="63"/>
      <c r="C1641" s="25"/>
      <c r="D1641" s="25"/>
      <c r="E1641" s="25"/>
      <c r="F1641" s="50"/>
      <c r="BA1641" s="2"/>
      <c r="BB1641" s="2"/>
      <c r="BC1641" s="101"/>
      <c r="BD1641" s="101"/>
    </row>
    <row r="1642" spans="2:56" s="84" customFormat="1" x14ac:dyDescent="0.35">
      <c r="B1642" s="26"/>
      <c r="C1642" s="27"/>
      <c r="D1642" s="28">
        <f>IF(D1568="","",D1568)</f>
        <v>31428</v>
      </c>
      <c r="E1642" s="29" t="str">
        <f>IF(E1568="","",E1568)</f>
        <v/>
      </c>
      <c r="F1642" s="50">
        <f>B1637</f>
        <v>6</v>
      </c>
      <c r="G1642" s="59"/>
      <c r="H1642" s="64"/>
      <c r="I1642" s="106"/>
      <c r="J1642" s="105"/>
      <c r="K1642" s="106"/>
      <c r="L1642" s="105"/>
      <c r="M1642" s="106"/>
      <c r="N1642" s="105"/>
      <c r="O1642" s="106"/>
      <c r="P1642" s="105"/>
      <c r="Q1642" s="106"/>
      <c r="R1642" s="105"/>
      <c r="S1642" s="59"/>
      <c r="T1642" s="64"/>
      <c r="U1642" s="44"/>
      <c r="W1642" s="59"/>
      <c r="X1642" s="64"/>
      <c r="Y1642" s="106"/>
      <c r="Z1642" s="105"/>
      <c r="AA1642" s="106"/>
      <c r="AB1642" s="105"/>
      <c r="AC1642" s="106"/>
      <c r="AD1642" s="105"/>
      <c r="AE1642" s="106"/>
      <c r="AF1642" s="105"/>
      <c r="AG1642" s="106"/>
      <c r="AH1642" s="105"/>
      <c r="AI1642" s="59"/>
      <c r="AJ1642" s="64"/>
      <c r="AK1642" s="44"/>
      <c r="AM1642" s="49"/>
      <c r="AN1642" s="49"/>
      <c r="AO1642" s="49"/>
      <c r="AP1642" s="49"/>
      <c r="AQ1642" s="49"/>
      <c r="AR1642" s="40"/>
      <c r="AS1642" s="51"/>
      <c r="AU1642" s="49"/>
      <c r="AW1642" s="52"/>
      <c r="BA1642" s="2"/>
      <c r="BB1642" s="2"/>
      <c r="BC1642" s="101"/>
      <c r="BD1642" s="101"/>
    </row>
    <row r="1643" spans="2:56" s="84" customFormat="1" x14ac:dyDescent="0.35">
      <c r="B1643" s="30" t="str">
        <f>IF(B1569="","",B1569)</f>
        <v>Gaulin, Francis</v>
      </c>
      <c r="C1643" s="31"/>
      <c r="D1643" s="32"/>
      <c r="E1643" s="33">
        <f t="shared" ref="E1643:E1674" si="644">IF(E1569="","",E1569)</f>
        <v>93542</v>
      </c>
      <c r="F1643" s="50">
        <f>B1637</f>
        <v>6</v>
      </c>
      <c r="G1643" s="95"/>
      <c r="H1643" s="70"/>
      <c r="I1643" s="104"/>
      <c r="J1643" s="103">
        <v>8</v>
      </c>
      <c r="K1643" s="104"/>
      <c r="L1643" s="103">
        <v>8</v>
      </c>
      <c r="M1643" s="104"/>
      <c r="N1643" s="103">
        <v>8</v>
      </c>
      <c r="O1643" s="104"/>
      <c r="P1643" s="103">
        <v>8</v>
      </c>
      <c r="Q1643" s="104"/>
      <c r="R1643" s="103">
        <v>7.5</v>
      </c>
      <c r="S1643" s="69"/>
      <c r="T1643" s="70"/>
      <c r="U1643" s="71">
        <f>SUM(G1643:T1643)</f>
        <v>39.5</v>
      </c>
      <c r="V1643" s="72"/>
      <c r="W1643" s="69"/>
      <c r="X1643" s="70"/>
      <c r="Y1643" s="104"/>
      <c r="Z1643" s="103">
        <v>8</v>
      </c>
      <c r="AA1643" s="104"/>
      <c r="AB1643" s="103">
        <v>8</v>
      </c>
      <c r="AC1643" s="104"/>
      <c r="AD1643" s="103">
        <v>8</v>
      </c>
      <c r="AE1643" s="104"/>
      <c r="AF1643" s="103">
        <v>8</v>
      </c>
      <c r="AG1643" s="104"/>
      <c r="AH1643" s="103">
        <v>7.5</v>
      </c>
      <c r="AI1643" s="69"/>
      <c r="AJ1643" s="70"/>
      <c r="AK1643" s="71">
        <f>SUM(W1643:AJ1643)</f>
        <v>39.5</v>
      </c>
      <c r="AL1643" s="72"/>
      <c r="AM1643" s="73">
        <f>SUMIF($G1642:$T1642,"",$G1643:$T1643)+SUMIF($W1642:$AJ1642,"",$W1643:$AJ1643)-AN1643</f>
        <v>79</v>
      </c>
      <c r="AN1643" s="88">
        <f>IF(SUMIF($G1642:$T1642,"",$G1643:$T1643)+SUMIF($G1642:$T1642,"F",$G1643:$T1643)+SUMIF($G1642:$T1642,"V",$G1643:$T1643)-40&lt;0,0,SUMIF($G1642:$T1642,"",$G1643:$T1643)+SUMIF($G1642:$T1642,"F",$G1643:$T1643)+SUMIF($G1642:$T1642,"V",$G1643:$T1643)-($U$9/2))+IF(SUMIF($W1642:$AJ1642,"",$W1643:$AJ1643)+SUMIF($W1642:$AJ1642,"F",$W1643:$AJ1643)+SUMIF($W1642:$AJ1642,"V",$W1643:$AJ1643)-40&lt;0,0,SUMIF($W1642:$AJ1642,"",$W1643:$AJ1643)+SUMIF($W1642:$AJ1642,"F",$W1643:$AJ1643)+SUMIF($W1642:$AJ1642,"V",$W1643:$AJ1643)-($U$9/2))</f>
        <v>0</v>
      </c>
      <c r="AO1643" s="73">
        <f>SUMIF($G1642:$T1642,"M",$G1643:$T1643)+SUMIF($W1642:$AJ1642,"M",$W1643:$AJ1643)</f>
        <v>0</v>
      </c>
      <c r="AP1643" s="73">
        <f>SUMIF($G1642:$T1642,"F",$G1643:$T1643)+SUMIF($W1642:$AJ1642,"F",$W1643:$AJ1643)</f>
        <v>0</v>
      </c>
      <c r="AQ1643" s="73">
        <f>SUMIF($G1642:$T1642,"V",$G1643:$T1643)+SUMIF($W1642:$AJ1642,"V",$W1643:$AJ1643)</f>
        <v>0</v>
      </c>
      <c r="AR1643" s="74">
        <f>SUMIF($G1642:$T1642,"O",$G1643:$T1643)+SUMIF($W1642:$AJ1642,"O",$W1643:$AJ1643)</f>
        <v>0</v>
      </c>
      <c r="AS1643" s="75">
        <f>SUM(AM1643:AR1643)</f>
        <v>79</v>
      </c>
      <c r="AT1643" s="72"/>
      <c r="AU1643" s="73">
        <f>SUMIF($G1642:$T1642,"A",$G1643:$T1643)+SUMIF($W1642:$AJ1642,"A",$W1643:$AJ1643)</f>
        <v>0</v>
      </c>
      <c r="AV1643" s="72"/>
      <c r="AW1643" s="76">
        <f>IF(B1643="",0,IF($U$9="",0,$U$9))</f>
        <v>80</v>
      </c>
      <c r="BA1643" s="2"/>
      <c r="BB1643" s="2"/>
      <c r="BC1643" s="101"/>
      <c r="BD1643" s="101"/>
    </row>
    <row r="1644" spans="2:56" s="84" customFormat="1" x14ac:dyDescent="0.35">
      <c r="B1644" s="26"/>
      <c r="C1644" s="27"/>
      <c r="D1644" s="28">
        <f>IF(D1570="","",D1570)</f>
        <v>24287</v>
      </c>
      <c r="E1644" s="29" t="str">
        <f t="shared" si="644"/>
        <v/>
      </c>
      <c r="F1644" s="50">
        <f>B1637</f>
        <v>6</v>
      </c>
      <c r="G1644" s="59"/>
      <c r="H1644" s="64"/>
      <c r="I1644" s="106"/>
      <c r="J1644" s="105"/>
      <c r="K1644" s="106"/>
      <c r="L1644" s="105"/>
      <c r="M1644" s="106"/>
      <c r="N1644" s="105"/>
      <c r="O1644" s="106"/>
      <c r="P1644" s="105"/>
      <c r="Q1644" s="106"/>
      <c r="R1644" s="105"/>
      <c r="S1644" s="59"/>
      <c r="T1644" s="64"/>
      <c r="U1644" s="44"/>
      <c r="W1644" s="59"/>
      <c r="X1644" s="64"/>
      <c r="Y1644" s="106"/>
      <c r="Z1644" s="105"/>
      <c r="AA1644" s="106"/>
      <c r="AB1644" s="105"/>
      <c r="AC1644" s="106"/>
      <c r="AD1644" s="105"/>
      <c r="AE1644" s="106"/>
      <c r="AF1644" s="105"/>
      <c r="AG1644" s="106"/>
      <c r="AH1644" s="105"/>
      <c r="AI1644" s="59"/>
      <c r="AJ1644" s="64"/>
      <c r="AK1644" s="44"/>
      <c r="AM1644" s="49"/>
      <c r="AN1644" s="49"/>
      <c r="AO1644" s="49"/>
      <c r="AP1644" s="49"/>
      <c r="AQ1644" s="49"/>
      <c r="AR1644" s="40"/>
      <c r="AS1644" s="51"/>
      <c r="AU1644" s="49"/>
      <c r="AW1644" s="52"/>
      <c r="BA1644" s="2"/>
      <c r="BB1644" s="2"/>
      <c r="BC1644" s="101"/>
      <c r="BD1644" s="101"/>
    </row>
    <row r="1645" spans="2:56" s="84" customFormat="1" x14ac:dyDescent="0.35">
      <c r="B1645" s="30" t="str">
        <f>IF(B1571="","",B1571)</f>
        <v>Barrata, Dominic(Avance $500.00)</v>
      </c>
      <c r="C1645" s="31"/>
      <c r="D1645" s="32"/>
      <c r="E1645" s="33">
        <f t="shared" si="644"/>
        <v>93595935</v>
      </c>
      <c r="F1645" s="50">
        <f>B1637</f>
        <v>6</v>
      </c>
      <c r="G1645" s="69"/>
      <c r="H1645" s="70"/>
      <c r="I1645" s="104"/>
      <c r="J1645" s="103" t="s">
        <v>69</v>
      </c>
      <c r="K1645" s="104"/>
      <c r="L1645" s="103" t="s">
        <v>69</v>
      </c>
      <c r="M1645" s="104"/>
      <c r="N1645" s="103" t="s">
        <v>69</v>
      </c>
      <c r="O1645" s="104"/>
      <c r="P1645" s="103" t="s">
        <v>69</v>
      </c>
      <c r="Q1645" s="104"/>
      <c r="R1645" s="103" t="s">
        <v>69</v>
      </c>
      <c r="S1645" s="69"/>
      <c r="T1645" s="70"/>
      <c r="U1645" s="71">
        <f t="shared" ref="U1645" si="645">SUM(G1645:T1645)</f>
        <v>0</v>
      </c>
      <c r="V1645" s="72"/>
      <c r="W1645" s="69"/>
      <c r="X1645" s="70"/>
      <c r="Y1645" s="104"/>
      <c r="Z1645" s="103" t="s">
        <v>69</v>
      </c>
      <c r="AA1645" s="104"/>
      <c r="AB1645" s="103" t="s">
        <v>69</v>
      </c>
      <c r="AC1645" s="104"/>
      <c r="AD1645" s="103" t="s">
        <v>69</v>
      </c>
      <c r="AE1645" s="104"/>
      <c r="AF1645" s="103" t="s">
        <v>69</v>
      </c>
      <c r="AG1645" s="104"/>
      <c r="AH1645" s="103" t="s">
        <v>69</v>
      </c>
      <c r="AI1645" s="69"/>
      <c r="AJ1645" s="70"/>
      <c r="AK1645" s="71">
        <f>SUM(W1645:AJ1645)</f>
        <v>0</v>
      </c>
      <c r="AL1645" s="72"/>
      <c r="AM1645" s="73">
        <f>SUMIF($G1644:$T1644,"",$G1645:$T1645)+SUMIF($W1644:$AJ1644,"",$W1645:$AJ1645)-AN1645</f>
        <v>0</v>
      </c>
      <c r="AN1645" s="88">
        <f>IF(SUMIF($G1644:$T1644,"",$G1645:$T1645)+SUMIF($G1644:$T1644,"F",$G1645:$T1645)+SUMIF($G1644:$T1644,"V",$G1645:$T1645)-40&lt;0,0,SUMIF($G1644:$T1644,"",$G1645:$T1645)+SUMIF($G1644:$T1644,"F",$G1645:$T1645)+SUMIF($G1644:$T1644,"V",$G1645:$T1645)-($U$9/2))+IF(SUMIF($W1644:$AJ1644,"",$W1645:$AJ1645)+SUMIF($W1644:$AJ1644,"F",$W1645:$AJ1645)+SUMIF($W1644:$AJ1644,"V",$W1645:$AJ1645)-40&lt;0,0,SUMIF($W1644:$AJ1644,"",$W1645:$AJ1645)+SUMIF($W1644:$AJ1644,"F",$W1645:$AJ1645)+SUMIF($W1644:$AJ1644,"V",$W1645:$AJ1645)-($U$9/2))</f>
        <v>0</v>
      </c>
      <c r="AO1645" s="73">
        <f>SUMIF($G1644:$T1644,"M",$G1645:$T1645)+SUMIF($W1644:$AJ1644,"M",$W1645:$AJ1645)</f>
        <v>0</v>
      </c>
      <c r="AP1645" s="73">
        <f>SUMIF($G1644:$T1644,"F",$G1645:$T1645)+SUMIF($W1644:$AJ1644,"F",$W1645:$AJ1645)</f>
        <v>0</v>
      </c>
      <c r="AQ1645" s="73">
        <f>SUMIF($G1644:$T1644,"V",$G1645:$T1645)+SUMIF($W1644:$AJ1644,"V",$W1645:$AJ1645)</f>
        <v>0</v>
      </c>
      <c r="AR1645" s="74">
        <f>SUMIF($G1644:$T1644,"O",$G1645:$T1645)+SUMIF($W1644:$AJ1644,"O",$W1645:$AJ1645)</f>
        <v>0</v>
      </c>
      <c r="AS1645" s="75">
        <f>SUM(AM1645:AR1645)</f>
        <v>0</v>
      </c>
      <c r="AT1645" s="72"/>
      <c r="AU1645" s="73">
        <f>SUMIF($G1644:$T1644,"A",$G1645:$T1645)+SUMIF($W1644:$AJ1644,"A",$W1645:$AJ1645)</f>
        <v>0</v>
      </c>
      <c r="AV1645" s="72"/>
      <c r="AW1645" s="76">
        <f>IF(B1645="",0,IF($U$9="",0,$U$9))</f>
        <v>80</v>
      </c>
      <c r="BA1645" s="2"/>
      <c r="BB1645" s="2"/>
      <c r="BC1645" s="101"/>
      <c r="BD1645" s="101"/>
    </row>
    <row r="1646" spans="2:56" s="84" customFormat="1" x14ac:dyDescent="0.35">
      <c r="B1646" s="26"/>
      <c r="C1646" s="27"/>
      <c r="D1646" s="28">
        <f>IF(D1572="","",D1572)</f>
        <v>92032</v>
      </c>
      <c r="E1646" s="29" t="str">
        <f t="shared" si="644"/>
        <v/>
      </c>
      <c r="F1646" s="50">
        <f>B1637</f>
        <v>6</v>
      </c>
      <c r="G1646" s="59"/>
      <c r="H1646" s="64"/>
      <c r="I1646" s="106"/>
      <c r="J1646" s="105"/>
      <c r="K1646" s="106"/>
      <c r="L1646" s="105"/>
      <c r="M1646" s="106"/>
      <c r="N1646" s="105"/>
      <c r="O1646" s="106"/>
      <c r="P1646" s="105"/>
      <c r="Q1646" s="106"/>
      <c r="R1646" s="105"/>
      <c r="S1646" s="59"/>
      <c r="T1646" s="64"/>
      <c r="U1646" s="44"/>
      <c r="W1646" s="59"/>
      <c r="X1646" s="64"/>
      <c r="Y1646" s="106"/>
      <c r="Z1646" s="105"/>
      <c r="AA1646" s="106"/>
      <c r="AB1646" s="105"/>
      <c r="AC1646" s="106"/>
      <c r="AD1646" s="105"/>
      <c r="AE1646" s="106"/>
      <c r="AF1646" s="105"/>
      <c r="AG1646" s="106"/>
      <c r="AH1646" s="105"/>
      <c r="AI1646" s="59"/>
      <c r="AJ1646" s="64"/>
      <c r="AK1646" s="44"/>
      <c r="AM1646" s="49"/>
      <c r="AN1646" s="49"/>
      <c r="AO1646" s="49"/>
      <c r="AP1646" s="49"/>
      <c r="AQ1646" s="49"/>
      <c r="AR1646" s="40"/>
      <c r="AS1646" s="51"/>
      <c r="AU1646" s="49"/>
      <c r="AW1646" s="52"/>
      <c r="BA1646" s="2"/>
      <c r="BB1646" s="2"/>
      <c r="BC1646" s="101"/>
      <c r="BD1646" s="101"/>
    </row>
    <row r="1647" spans="2:56" s="84" customFormat="1" x14ac:dyDescent="0.35">
      <c r="B1647" s="30" t="str">
        <f>IF(B1573="","",B1573)</f>
        <v>Benoit, Jean-Paul(Avance $1,600.00)</v>
      </c>
      <c r="C1647" s="31"/>
      <c r="D1647" s="32"/>
      <c r="E1647" s="33">
        <f t="shared" si="644"/>
        <v>93595935</v>
      </c>
      <c r="F1647" s="50">
        <f>B1637</f>
        <v>6</v>
      </c>
      <c r="G1647" s="69"/>
      <c r="H1647" s="70"/>
      <c r="I1647" s="104"/>
      <c r="J1647" s="103" t="s">
        <v>69</v>
      </c>
      <c r="K1647" s="104"/>
      <c r="L1647" s="103" t="s">
        <v>69</v>
      </c>
      <c r="M1647" s="104"/>
      <c r="N1647" s="103" t="s">
        <v>69</v>
      </c>
      <c r="O1647" s="104"/>
      <c r="P1647" s="103" t="s">
        <v>69</v>
      </c>
      <c r="Q1647" s="104"/>
      <c r="R1647" s="103" t="s">
        <v>69</v>
      </c>
      <c r="S1647" s="69"/>
      <c r="T1647" s="70"/>
      <c r="U1647" s="71">
        <f t="shared" ref="U1647" si="646">SUM(G1647:T1647)</f>
        <v>0</v>
      </c>
      <c r="V1647" s="72"/>
      <c r="W1647" s="69"/>
      <c r="X1647" s="70"/>
      <c r="Y1647" s="104"/>
      <c r="Z1647" s="103" t="s">
        <v>69</v>
      </c>
      <c r="AA1647" s="104"/>
      <c r="AB1647" s="103" t="s">
        <v>69</v>
      </c>
      <c r="AC1647" s="104"/>
      <c r="AD1647" s="103" t="s">
        <v>69</v>
      </c>
      <c r="AE1647" s="104"/>
      <c r="AF1647" s="103" t="s">
        <v>69</v>
      </c>
      <c r="AG1647" s="104"/>
      <c r="AH1647" s="103" t="s">
        <v>69</v>
      </c>
      <c r="AI1647" s="69"/>
      <c r="AJ1647" s="70"/>
      <c r="AK1647" s="71">
        <f>SUM(W1647:AJ1647)</f>
        <v>0</v>
      </c>
      <c r="AL1647" s="72"/>
      <c r="AM1647" s="73">
        <f>SUMIF($G1646:$T1646,"",$G1647:$T1647)+SUMIF($W1646:$AJ1646,"",$W1647:$AJ1647)-AN1647</f>
        <v>0</v>
      </c>
      <c r="AN1647" s="88">
        <f>IF(SUMIF($G1646:$T1646,"",$G1647:$T1647)+SUMIF($G1646:$T1646,"F",$G1647:$T1647)+SUMIF($G1646:$T1646,"V",$G1647:$T1647)-40&lt;0,0,SUMIF($G1646:$T1646,"",$G1647:$T1647)+SUMIF($G1646:$T1646,"F",$G1647:$T1647)+SUMIF($G1646:$T1646,"V",$G1647:$T1647)-($U$9/2))+IF(SUMIF($W1646:$AJ1646,"",$W1647:$AJ1647)+SUMIF($W1646:$AJ1646,"F",$W1647:$AJ1647)+SUMIF($W1646:$AJ1646,"V",$W1647:$AJ1647)-40&lt;0,0,SUMIF($W1646:$AJ1646,"",$W1647:$AJ1647)+SUMIF($W1646:$AJ1646,"F",$W1647:$AJ1647)+SUMIF($W1646:$AJ1646,"V",$W1647:$AJ1647)-($U$9/2))</f>
        <v>0</v>
      </c>
      <c r="AO1647" s="73">
        <f>SUMIF($G1646:$T1646,"M",$G1647:$T1647)+SUMIF($W1646:$AJ1646,"M",$W1647:$AJ1647)</f>
        <v>0</v>
      </c>
      <c r="AP1647" s="73">
        <f>SUMIF($G1646:$T1646,"F",$G1647:$T1647)+SUMIF($W1646:$AJ1646,"F",$W1647:$AJ1647)</f>
        <v>0</v>
      </c>
      <c r="AQ1647" s="73">
        <f>SUMIF($G1646:$T1646,"V",$G1647:$T1647)+SUMIF($W1646:$AJ1646,"V",$W1647:$AJ1647)</f>
        <v>0</v>
      </c>
      <c r="AR1647" s="74">
        <f>SUMIF($G1646:$T1646,"O",$G1647:$T1647)+SUMIF($W1646:$AJ1646,"O",$W1647:$AJ1647)</f>
        <v>0</v>
      </c>
      <c r="AS1647" s="75">
        <f>SUM(AM1647:AR1647)</f>
        <v>0</v>
      </c>
      <c r="AT1647" s="72"/>
      <c r="AU1647" s="73">
        <f>SUMIF($G1646:$T1646,"A",$G1647:$T1647)+SUMIF($W1646:$AJ1646,"A",$W1647:$AJ1647)</f>
        <v>0</v>
      </c>
      <c r="AV1647" s="72"/>
      <c r="AW1647" s="76">
        <f>IF(B1647="",0,IF($U$9="",0,$U$9))</f>
        <v>80</v>
      </c>
      <c r="BA1647" s="2"/>
      <c r="BB1647" s="2"/>
      <c r="BC1647" s="101"/>
      <c r="BD1647" s="101"/>
    </row>
    <row r="1648" spans="2:56" s="84" customFormat="1" x14ac:dyDescent="0.35">
      <c r="B1648" s="26"/>
      <c r="C1648" s="27"/>
      <c r="D1648" s="28">
        <f>IF(D1574="","",D1574)</f>
        <v>81077</v>
      </c>
      <c r="E1648" s="29" t="str">
        <f t="shared" si="644"/>
        <v/>
      </c>
      <c r="F1648" s="50">
        <f>B1637</f>
        <v>6</v>
      </c>
      <c r="G1648" s="93"/>
      <c r="H1648" s="94"/>
      <c r="I1648" s="106"/>
      <c r="J1648" s="105"/>
      <c r="K1648" s="106"/>
      <c r="L1648" s="105"/>
      <c r="M1648" s="106"/>
      <c r="N1648" s="105"/>
      <c r="O1648" s="106"/>
      <c r="P1648" s="105"/>
      <c r="Q1648" s="106"/>
      <c r="R1648" s="105"/>
      <c r="S1648" s="59"/>
      <c r="T1648" s="64"/>
      <c r="U1648" s="44"/>
      <c r="W1648" s="59"/>
      <c r="X1648" s="64"/>
      <c r="Y1648" s="106"/>
      <c r="Z1648" s="105" t="s">
        <v>1</v>
      </c>
      <c r="AA1648" s="106"/>
      <c r="AB1648" s="105" t="s">
        <v>1</v>
      </c>
      <c r="AC1648" s="106"/>
      <c r="AD1648" s="105" t="s">
        <v>1</v>
      </c>
      <c r="AE1648" s="106"/>
      <c r="AF1648" s="105" t="s">
        <v>1</v>
      </c>
      <c r="AG1648" s="106"/>
      <c r="AH1648" s="105" t="s">
        <v>1</v>
      </c>
      <c r="AI1648" s="59"/>
      <c r="AJ1648" s="64"/>
      <c r="AK1648" s="44"/>
      <c r="AM1648" s="49"/>
      <c r="AN1648" s="49"/>
      <c r="AO1648" s="49"/>
      <c r="AP1648" s="49"/>
      <c r="AQ1648" s="49"/>
      <c r="AR1648" s="40"/>
      <c r="AS1648" s="51"/>
      <c r="AU1648" s="49"/>
      <c r="AW1648" s="52"/>
      <c r="BA1648" s="2"/>
      <c r="BB1648" s="2"/>
      <c r="BC1648" s="101"/>
      <c r="BD1648" s="101"/>
    </row>
    <row r="1649" spans="2:56" s="84" customFormat="1" x14ac:dyDescent="0.35">
      <c r="B1649" s="30" t="str">
        <f>IF(B1575="","",B1575)</f>
        <v>Bourassa, Julie</v>
      </c>
      <c r="C1649" s="31"/>
      <c r="D1649" s="32"/>
      <c r="E1649" s="33">
        <f t="shared" si="644"/>
        <v>93540</v>
      </c>
      <c r="F1649" s="50">
        <f>B1637</f>
        <v>6</v>
      </c>
      <c r="G1649" s="93"/>
      <c r="H1649" s="94"/>
      <c r="I1649" s="104"/>
      <c r="J1649" s="103">
        <v>8</v>
      </c>
      <c r="K1649" s="104"/>
      <c r="L1649" s="103">
        <v>8</v>
      </c>
      <c r="M1649" s="104"/>
      <c r="N1649" s="103">
        <v>2.5</v>
      </c>
      <c r="O1649" s="104"/>
      <c r="P1649" s="103">
        <v>8</v>
      </c>
      <c r="Q1649" s="104"/>
      <c r="R1649" s="103">
        <v>7.5</v>
      </c>
      <c r="S1649" s="69"/>
      <c r="T1649" s="70"/>
      <c r="U1649" s="71">
        <f t="shared" ref="U1649" si="647">SUM(G1649:T1649)</f>
        <v>34</v>
      </c>
      <c r="V1649" s="72"/>
      <c r="W1649" s="69"/>
      <c r="X1649" s="70"/>
      <c r="Y1649" s="104"/>
      <c r="Z1649" s="103">
        <v>8</v>
      </c>
      <c r="AA1649" s="104"/>
      <c r="AB1649" s="103">
        <v>8</v>
      </c>
      <c r="AC1649" s="104"/>
      <c r="AD1649" s="103">
        <v>8</v>
      </c>
      <c r="AE1649" s="104"/>
      <c r="AF1649" s="103">
        <v>8</v>
      </c>
      <c r="AG1649" s="104"/>
      <c r="AH1649" s="103">
        <v>8</v>
      </c>
      <c r="AI1649" s="69"/>
      <c r="AJ1649" s="70"/>
      <c r="AK1649" s="71">
        <f>SUM(W1649:AJ1649)</f>
        <v>40</v>
      </c>
      <c r="AL1649" s="72"/>
      <c r="AM1649" s="73">
        <f>SUMIF($G1648:$T1648,"",$G1649:$T1649)+SUMIF($W1648:$AJ1648,"",$W1649:$AJ1649)-AN1649</f>
        <v>34</v>
      </c>
      <c r="AN1649" s="88">
        <f>IF(SUMIF($G1648:$T1648,"",$G1649:$T1649)+SUMIF($G1648:$T1648,"F",$G1649:$T1649)+SUMIF($G1648:$T1648,"V",$G1649:$T1649)-40&lt;0,0,SUMIF($G1648:$T1648,"",$G1649:$T1649)+SUMIF($G1648:$T1648,"F",$G1649:$T1649)+SUMIF($G1648:$T1648,"V",$G1649:$T1649)-($U$9/2))+IF(SUMIF($W1648:$AJ1648,"",$W1649:$AJ1649)+SUMIF($W1648:$AJ1648,"F",$W1649:$AJ1649)+SUMIF($W1648:$AJ1648,"V",$W1649:$AJ1649)-40&lt;0,0,SUMIF($W1648:$AJ1648,"",$W1649:$AJ1649)+SUMIF($W1648:$AJ1648,"F",$W1649:$AJ1649)+SUMIF($W1648:$AJ1648,"V",$W1649:$AJ1649)-($U$9/2))</f>
        <v>0</v>
      </c>
      <c r="AO1649" s="73">
        <f>SUMIF($G1648:$T1648,"M",$G1649:$T1649)+SUMIF($W1648:$AJ1648,"M",$W1649:$AJ1649)</f>
        <v>0</v>
      </c>
      <c r="AP1649" s="73">
        <f>SUMIF($G1648:$T1648,"F",$G1649:$T1649)+SUMIF($W1648:$AJ1648,"F",$W1649:$AJ1649)</f>
        <v>0</v>
      </c>
      <c r="AQ1649" s="73">
        <f>SUMIF($G1648:$T1648,"V",$G1649:$T1649)+SUMIF($W1648:$AJ1648,"V",$W1649:$AJ1649)</f>
        <v>40</v>
      </c>
      <c r="AR1649" s="74">
        <f>SUMIF($G1648:$T1648,"O",$G1649:$T1649)+SUMIF($W1648:$AJ1648,"O",$W1649:$AJ1649)</f>
        <v>0</v>
      </c>
      <c r="AS1649" s="75">
        <f>SUM(AM1649:AR1649)</f>
        <v>74</v>
      </c>
      <c r="AT1649" s="72"/>
      <c r="AU1649" s="73">
        <f>SUMIF($G1648:$T1648,"A",$G1649:$T1649)+SUMIF($W1648:$AJ1648,"A",$W1649:$AJ1649)</f>
        <v>0</v>
      </c>
      <c r="AV1649" s="72"/>
      <c r="AW1649" s="76">
        <f>IF(B1649="",0,IF($U$9="",0,$U$9))</f>
        <v>80</v>
      </c>
      <c r="BA1649" s="2"/>
      <c r="BB1649" s="2"/>
      <c r="BC1649" s="101"/>
      <c r="BD1649" s="101"/>
    </row>
    <row r="1650" spans="2:56" s="84" customFormat="1" x14ac:dyDescent="0.35">
      <c r="B1650" s="26"/>
      <c r="C1650" s="27"/>
      <c r="D1650" s="28">
        <f>IF(D1576="","",D1576)</f>
        <v>78475</v>
      </c>
      <c r="E1650" s="29" t="str">
        <f t="shared" si="644"/>
        <v/>
      </c>
      <c r="F1650" s="50">
        <f>B1637</f>
        <v>6</v>
      </c>
      <c r="G1650" s="59"/>
      <c r="H1650" s="64"/>
      <c r="I1650" s="106"/>
      <c r="J1650" s="105"/>
      <c r="K1650" s="106"/>
      <c r="L1650" s="105"/>
      <c r="M1650" s="106"/>
      <c r="N1650" s="105"/>
      <c r="O1650" s="106"/>
      <c r="P1650" s="105"/>
      <c r="Q1650" s="106"/>
      <c r="R1650" s="105"/>
      <c r="S1650" s="59"/>
      <c r="T1650" s="64"/>
      <c r="U1650" s="44"/>
      <c r="W1650" s="59"/>
      <c r="X1650" s="64"/>
      <c r="Y1650" s="106"/>
      <c r="Z1650" s="105"/>
      <c r="AA1650" s="106"/>
      <c r="AB1650" s="105"/>
      <c r="AC1650" s="106"/>
      <c r="AD1650" s="105"/>
      <c r="AE1650" s="106"/>
      <c r="AF1650" s="105"/>
      <c r="AG1650" s="106"/>
      <c r="AH1650" s="105"/>
      <c r="AI1650" s="59"/>
      <c r="AJ1650" s="64"/>
      <c r="AK1650" s="44"/>
      <c r="AM1650" s="49"/>
      <c r="AN1650" s="49"/>
      <c r="AO1650" s="49"/>
      <c r="AP1650" s="49"/>
      <c r="AQ1650" s="49"/>
      <c r="AR1650" s="40"/>
      <c r="AS1650" s="51"/>
      <c r="AU1650" s="49"/>
      <c r="AW1650" s="52"/>
      <c r="BA1650" s="2"/>
      <c r="BB1650" s="2"/>
      <c r="BC1650" s="101"/>
      <c r="BD1650" s="101"/>
    </row>
    <row r="1651" spans="2:56" s="84" customFormat="1" x14ac:dyDescent="0.35">
      <c r="B1651" s="30" t="str">
        <f>IF(B1577="","",B1577)</f>
        <v>Charbonneau, Samuel</v>
      </c>
      <c r="C1651" s="31"/>
      <c r="D1651" s="32"/>
      <c r="E1651" s="33">
        <f t="shared" si="644"/>
        <v>93540</v>
      </c>
      <c r="F1651" s="50">
        <f>B1637</f>
        <v>6</v>
      </c>
      <c r="G1651" s="69"/>
      <c r="H1651" s="70"/>
      <c r="I1651" s="104"/>
      <c r="J1651" s="103">
        <v>8</v>
      </c>
      <c r="K1651" s="104"/>
      <c r="L1651" s="103">
        <v>8</v>
      </c>
      <c r="M1651" s="104"/>
      <c r="N1651" s="103">
        <v>8.5</v>
      </c>
      <c r="O1651" s="104"/>
      <c r="P1651" s="103">
        <v>8</v>
      </c>
      <c r="Q1651" s="104"/>
      <c r="R1651" s="103">
        <v>7.5</v>
      </c>
      <c r="S1651" s="69"/>
      <c r="T1651" s="70"/>
      <c r="U1651" s="71">
        <f t="shared" ref="U1651" si="648">SUM(G1651:T1651)</f>
        <v>40</v>
      </c>
      <c r="V1651" s="72"/>
      <c r="W1651" s="69"/>
      <c r="X1651" s="70"/>
      <c r="Y1651" s="104"/>
      <c r="Z1651" s="103">
        <v>8</v>
      </c>
      <c r="AA1651" s="104"/>
      <c r="AB1651" s="103">
        <v>8.5</v>
      </c>
      <c r="AC1651" s="104"/>
      <c r="AD1651" s="103">
        <v>8.5</v>
      </c>
      <c r="AE1651" s="104"/>
      <c r="AF1651" s="103">
        <v>8.5</v>
      </c>
      <c r="AG1651" s="104"/>
      <c r="AH1651" s="103">
        <v>8</v>
      </c>
      <c r="AI1651" s="69"/>
      <c r="AJ1651" s="70"/>
      <c r="AK1651" s="71">
        <f>SUM(W1651:AJ1651)</f>
        <v>41.5</v>
      </c>
      <c r="AL1651" s="72"/>
      <c r="AM1651" s="73">
        <f>SUMIF($G1650:$T1650,"",$G1651:$T1651)+SUMIF($W1650:$AJ1650,"",$W1651:$AJ1651)-AN1651</f>
        <v>80</v>
      </c>
      <c r="AN1651" s="88">
        <f>IF(SUMIF($G1650:$T1650,"",$G1651:$T1651)+SUMIF($G1650:$T1650,"F",$G1651:$T1651)+SUMIF($G1650:$T1650,"V",$G1651:$T1651)-40&lt;0,0,SUMIF($G1650:$T1650,"",$G1651:$T1651)+SUMIF($G1650:$T1650,"F",$G1651:$T1651)+SUMIF($G1650:$T1650,"V",$G1651:$T1651)-($U$9/2))+IF(SUMIF($W1650:$AJ1650,"",$W1651:$AJ1651)+SUMIF($W1650:$AJ1650,"F",$W1651:$AJ1651)+SUMIF($W1650:$AJ1650,"V",$W1651:$AJ1651)-40&lt;0,0,SUMIF($W1650:$AJ1650,"",$W1651:$AJ1651)+SUMIF($W1650:$AJ1650,"F",$W1651:$AJ1651)+SUMIF($W1650:$AJ1650,"V",$W1651:$AJ1651)-($U$9/2))</f>
        <v>1.5</v>
      </c>
      <c r="AO1651" s="73">
        <f>SUMIF($G1650:$T1650,"M",$G1651:$T1651)+SUMIF($W1650:$AJ1650,"M",$W1651:$AJ1651)</f>
        <v>0</v>
      </c>
      <c r="AP1651" s="73">
        <f>SUMIF($G1650:$T1650,"F",$G1651:$T1651)+SUMIF($W1650:$AJ1650,"F",$W1651:$AJ1651)</f>
        <v>0</v>
      </c>
      <c r="AQ1651" s="73">
        <f>SUMIF($G1650:$T1650,"V",$G1651:$T1651)+SUMIF($W1650:$AJ1650,"V",$W1651:$AJ1651)</f>
        <v>0</v>
      </c>
      <c r="AR1651" s="74">
        <f>SUMIF($G1650:$T1650,"O",$G1651:$T1651)+SUMIF($W1650:$AJ1650,"O",$W1651:$AJ1651)</f>
        <v>0</v>
      </c>
      <c r="AS1651" s="75">
        <f>SUM(AM1651:AR1651)</f>
        <v>81.5</v>
      </c>
      <c r="AT1651" s="72"/>
      <c r="AU1651" s="73">
        <f>SUMIF($G1650:$T1650,"A",$G1651:$T1651)+SUMIF($W1650:$AJ1650,"A",$W1651:$AJ1651)</f>
        <v>0</v>
      </c>
      <c r="AV1651" s="72"/>
      <c r="AW1651" s="76">
        <f>IF(B1651="",0,IF($U$9="",0,$U$9))</f>
        <v>80</v>
      </c>
      <c r="BA1651" s="2"/>
      <c r="BB1651" s="2"/>
      <c r="BC1651" s="101"/>
      <c r="BD1651" s="101"/>
    </row>
    <row r="1652" spans="2:56" s="84" customFormat="1" x14ac:dyDescent="0.35">
      <c r="B1652" s="26"/>
      <c r="C1652" s="27"/>
      <c r="D1652" s="28" t="str">
        <f>IF(D1578="","",D1578)</f>
        <v/>
      </c>
      <c r="E1652" s="29" t="str">
        <f t="shared" si="644"/>
        <v/>
      </c>
      <c r="F1652" s="50">
        <f>B1637</f>
        <v>6</v>
      </c>
      <c r="G1652" s="59"/>
      <c r="H1652" s="64"/>
      <c r="I1652" s="106"/>
      <c r="J1652" s="105"/>
      <c r="K1652" s="106"/>
      <c r="L1652" s="105"/>
      <c r="M1652" s="106"/>
      <c r="N1652" s="105"/>
      <c r="O1652" s="106"/>
      <c r="P1652" s="105"/>
      <c r="Q1652" s="106"/>
      <c r="R1652" s="105"/>
      <c r="S1652" s="59"/>
      <c r="T1652" s="64"/>
      <c r="U1652" s="44"/>
      <c r="W1652" s="59"/>
      <c r="X1652" s="64"/>
      <c r="Y1652" s="106"/>
      <c r="Z1652" s="105"/>
      <c r="AA1652" s="106"/>
      <c r="AB1652" s="105"/>
      <c r="AC1652" s="106"/>
      <c r="AD1652" s="105"/>
      <c r="AE1652" s="106"/>
      <c r="AF1652" s="105"/>
      <c r="AG1652" s="106"/>
      <c r="AH1652" s="105"/>
      <c r="AI1652" s="59"/>
      <c r="AJ1652" s="64"/>
      <c r="AK1652" s="44"/>
      <c r="AM1652" s="49"/>
      <c r="AN1652" s="49"/>
      <c r="AO1652" s="49"/>
      <c r="AP1652" s="49"/>
      <c r="AQ1652" s="49"/>
      <c r="AR1652" s="40"/>
      <c r="AS1652" s="51"/>
      <c r="AU1652" s="49"/>
      <c r="AW1652" s="52"/>
      <c r="BA1652" s="2"/>
      <c r="BB1652" s="2"/>
      <c r="BC1652" s="101"/>
      <c r="BD1652" s="101"/>
    </row>
    <row r="1653" spans="2:56" s="84" customFormat="1" x14ac:dyDescent="0.35">
      <c r="B1653" s="30" t="str">
        <f>IF(B1579="","",B1579)</f>
        <v/>
      </c>
      <c r="C1653" s="31"/>
      <c r="D1653" s="32"/>
      <c r="E1653" s="33" t="str">
        <f t="shared" si="644"/>
        <v/>
      </c>
      <c r="F1653" s="50">
        <f>B1637</f>
        <v>6</v>
      </c>
      <c r="G1653" s="69"/>
      <c r="H1653" s="70"/>
      <c r="I1653" s="104"/>
      <c r="J1653" s="103"/>
      <c r="K1653" s="104"/>
      <c r="L1653" s="103"/>
      <c r="M1653" s="104"/>
      <c r="N1653" s="103"/>
      <c r="O1653" s="104"/>
      <c r="P1653" s="103"/>
      <c r="Q1653" s="104"/>
      <c r="R1653" s="103"/>
      <c r="S1653" s="69"/>
      <c r="T1653" s="70"/>
      <c r="U1653" s="71">
        <f t="shared" ref="U1653" si="649">SUM(G1653:T1653)</f>
        <v>0</v>
      </c>
      <c r="V1653" s="72"/>
      <c r="W1653" s="69"/>
      <c r="X1653" s="70"/>
      <c r="Y1653" s="104"/>
      <c r="Z1653" s="103"/>
      <c r="AA1653" s="104"/>
      <c r="AB1653" s="103"/>
      <c r="AC1653" s="104"/>
      <c r="AD1653" s="103"/>
      <c r="AE1653" s="104"/>
      <c r="AF1653" s="103"/>
      <c r="AG1653" s="104"/>
      <c r="AH1653" s="103"/>
      <c r="AI1653" s="69"/>
      <c r="AJ1653" s="70"/>
      <c r="AK1653" s="71">
        <f>SUM(W1653:AJ1653)</f>
        <v>0</v>
      </c>
      <c r="AL1653" s="72"/>
      <c r="AM1653" s="73">
        <f>SUMIF($G1652:$T1652,"",$G1653:$T1653)+SUMIF($W1652:$AJ1652,"",$W1653:$AJ1653)-AN1653</f>
        <v>0</v>
      </c>
      <c r="AN1653" s="88">
        <f>IF(SUMIF($G1652:$T1652,"",$G1653:$T1653)+SUMIF($G1652:$T1652,"F",$G1653:$T1653)+SUMIF($G1652:$T1652,"V",$G1653:$T1653)-40&lt;0,0,SUMIF($G1652:$T1652,"",$G1653:$T1653)+SUMIF($G1652:$T1652,"F",$G1653:$T1653)+SUMIF($G1652:$T1652,"V",$G1653:$T1653)-($U$9/2))+IF(SUMIF($W1652:$AJ1652,"",$W1653:$AJ1653)+SUMIF($W1652:$AJ1652,"F",$W1653:$AJ1653)+SUMIF($W1652:$AJ1652,"V",$W1653:$AJ1653)-40&lt;0,0,SUMIF($W1652:$AJ1652,"",$W1653:$AJ1653)+SUMIF($W1652:$AJ1652,"F",$W1653:$AJ1653)+SUMIF($W1652:$AJ1652,"V",$W1653:$AJ1653)-($U$9/2))</f>
        <v>0</v>
      </c>
      <c r="AO1653" s="73">
        <f>SUMIF($G1652:$T1652,"M",$G1653:$T1653)+SUMIF($W1652:$AJ1652,"M",$W1653:$AJ1653)</f>
        <v>0</v>
      </c>
      <c r="AP1653" s="73">
        <f>SUMIF($G1652:$T1652,"F",$G1653:$T1653)+SUMIF($W1652:$AJ1652,"F",$W1653:$AJ1653)</f>
        <v>0</v>
      </c>
      <c r="AQ1653" s="73">
        <f>SUMIF($G1652:$T1652,"V",$G1653:$T1653)+SUMIF($W1652:$AJ1652,"V",$W1653:$AJ1653)</f>
        <v>0</v>
      </c>
      <c r="AR1653" s="74">
        <f>SUMIF($G1652:$T1652,"O",$G1653:$T1653)+SUMIF($W1652:$AJ1652,"O",$W1653:$AJ1653)</f>
        <v>0</v>
      </c>
      <c r="AS1653" s="75">
        <f>SUM(AM1653:AR1653)</f>
        <v>0</v>
      </c>
      <c r="AT1653" s="72"/>
      <c r="AU1653" s="73">
        <f>SUMIF($G1652:$T1652,"A",$G1653:$T1653)+SUMIF($W1652:$AJ1652,"A",$W1653:$AJ1653)</f>
        <v>0</v>
      </c>
      <c r="AV1653" s="72"/>
      <c r="AW1653" s="76">
        <f>IF(B1653="",0,IF($U$9="",0,$U$9))</f>
        <v>0</v>
      </c>
      <c r="BA1653" s="2"/>
      <c r="BB1653" s="2"/>
      <c r="BC1653" s="101"/>
      <c r="BD1653" s="101"/>
    </row>
    <row r="1654" spans="2:56" s="84" customFormat="1" x14ac:dyDescent="0.35">
      <c r="B1654" s="26"/>
      <c r="C1654" s="27"/>
      <c r="D1654" s="28">
        <f>IF(D1580="","",D1580)</f>
        <v>79709</v>
      </c>
      <c r="E1654" s="29" t="str">
        <f t="shared" si="644"/>
        <v/>
      </c>
      <c r="F1654" s="50">
        <f>B1637</f>
        <v>6</v>
      </c>
      <c r="G1654" s="59"/>
      <c r="H1654" s="64"/>
      <c r="I1654" s="106"/>
      <c r="J1654" s="105"/>
      <c r="K1654" s="106"/>
      <c r="L1654" s="105"/>
      <c r="M1654" s="106"/>
      <c r="N1654" s="105"/>
      <c r="O1654" s="106"/>
      <c r="P1654" s="105"/>
      <c r="Q1654" s="106"/>
      <c r="R1654" s="105"/>
      <c r="S1654" s="59"/>
      <c r="T1654" s="64"/>
      <c r="U1654" s="44"/>
      <c r="W1654" s="59"/>
      <c r="X1654" s="64"/>
      <c r="Y1654" s="106"/>
      <c r="Z1654" s="105"/>
      <c r="AA1654" s="106"/>
      <c r="AB1654" s="105"/>
      <c r="AC1654" s="106"/>
      <c r="AD1654" s="105"/>
      <c r="AE1654" s="106"/>
      <c r="AF1654" s="105"/>
      <c r="AG1654" s="106"/>
      <c r="AH1654" s="105"/>
      <c r="AI1654" s="59"/>
      <c r="AJ1654" s="64"/>
      <c r="AK1654" s="44"/>
      <c r="AM1654" s="49"/>
      <c r="AN1654" s="49"/>
      <c r="AO1654" s="49"/>
      <c r="AP1654" s="49"/>
      <c r="AQ1654" s="49"/>
      <c r="AR1654" s="40"/>
      <c r="AS1654" s="51"/>
      <c r="AU1654" s="49"/>
      <c r="AW1654" s="52"/>
      <c r="BA1654" s="2"/>
      <c r="BB1654" s="2"/>
      <c r="BC1654" s="101"/>
      <c r="BD1654" s="101"/>
    </row>
    <row r="1655" spans="2:56" s="84" customFormat="1" x14ac:dyDescent="0.35">
      <c r="B1655" s="30" t="str">
        <f>IF(B1581="","",B1581)</f>
        <v>De Rose, Natale</v>
      </c>
      <c r="C1655" s="31"/>
      <c r="D1655" s="32"/>
      <c r="E1655" s="33">
        <f t="shared" si="644"/>
        <v>93595935</v>
      </c>
      <c r="F1655" s="50">
        <f>B1637</f>
        <v>6</v>
      </c>
      <c r="G1655" s="69"/>
      <c r="H1655" s="70"/>
      <c r="I1655" s="104"/>
      <c r="J1655" s="103">
        <v>8</v>
      </c>
      <c r="K1655" s="104"/>
      <c r="L1655" s="103">
        <v>8</v>
      </c>
      <c r="M1655" s="104"/>
      <c r="N1655" s="103">
        <v>8</v>
      </c>
      <c r="O1655" s="104"/>
      <c r="P1655" s="103">
        <v>8</v>
      </c>
      <c r="Q1655" s="104"/>
      <c r="R1655" s="103">
        <v>8</v>
      </c>
      <c r="S1655" s="69"/>
      <c r="T1655" s="70"/>
      <c r="U1655" s="71">
        <f t="shared" ref="U1655" si="650">SUM(G1655:T1655)</f>
        <v>40</v>
      </c>
      <c r="V1655" s="72"/>
      <c r="W1655" s="69"/>
      <c r="X1655" s="70"/>
      <c r="Y1655" s="104"/>
      <c r="Z1655" s="103">
        <v>8</v>
      </c>
      <c r="AA1655" s="104"/>
      <c r="AB1655" s="103">
        <v>8</v>
      </c>
      <c r="AC1655" s="104"/>
      <c r="AD1655" s="103">
        <v>8</v>
      </c>
      <c r="AE1655" s="104"/>
      <c r="AF1655" s="103">
        <v>8</v>
      </c>
      <c r="AG1655" s="104"/>
      <c r="AH1655" s="103">
        <v>8</v>
      </c>
      <c r="AI1655" s="69"/>
      <c r="AJ1655" s="70"/>
      <c r="AK1655" s="71">
        <f>SUM(W1655:AJ1655)</f>
        <v>40</v>
      </c>
      <c r="AL1655" s="72"/>
      <c r="AM1655" s="73">
        <f>SUMIF($G1654:$T1654,"",$G1655:$T1655)+SUMIF($W1654:$AJ1654,"",$W1655:$AJ1655)-AN1655</f>
        <v>80</v>
      </c>
      <c r="AN1655" s="88">
        <f>IF(SUMIF($G1654:$T1654,"",$G1655:$T1655)+SUMIF($G1654:$T1654,"F",$G1655:$T1655)+SUMIF($G1654:$T1654,"V",$G1655:$T1655)-40&lt;0,0,SUMIF($G1654:$T1654,"",$G1655:$T1655)+SUMIF($G1654:$T1654,"F",$G1655:$T1655)+SUMIF($G1654:$T1654,"V",$G1655:$T1655)-($U$9/2))+IF(SUMIF($W1654:$AJ1654,"",$W1655:$AJ1655)+SUMIF($W1654:$AJ1654,"F",$W1655:$AJ1655)+SUMIF($W1654:$AJ1654,"V",$W1655:$AJ1655)-40&lt;0,0,SUMIF($W1654:$AJ1654,"",$W1655:$AJ1655)+SUMIF($W1654:$AJ1654,"F",$W1655:$AJ1655)+SUMIF($W1654:$AJ1654,"V",$W1655:$AJ1655)-($U$9/2))</f>
        <v>0</v>
      </c>
      <c r="AO1655" s="73">
        <f>SUMIF($G1654:$T1654,"M",$G1655:$T1655)+SUMIF($W1654:$AJ1654,"M",$W1655:$AJ1655)</f>
        <v>0</v>
      </c>
      <c r="AP1655" s="73">
        <f>SUMIF($G1654:$T1654,"F",$G1655:$T1655)+SUMIF($W1654:$AJ1654,"F",$W1655:$AJ1655)</f>
        <v>0</v>
      </c>
      <c r="AQ1655" s="73">
        <f>SUMIF($G1654:$T1654,"V",$G1655:$T1655)+SUMIF($W1654:$AJ1654,"V",$W1655:$AJ1655)</f>
        <v>0</v>
      </c>
      <c r="AR1655" s="74">
        <f>SUMIF($G1654:$T1654,"O",$G1655:$T1655)+SUMIF($W1654:$AJ1654,"O",$W1655:$AJ1655)</f>
        <v>0</v>
      </c>
      <c r="AS1655" s="75">
        <f>SUM(AM1655:AR1655)</f>
        <v>80</v>
      </c>
      <c r="AT1655" s="72"/>
      <c r="AU1655" s="73">
        <f>SUMIF($G1654:$T1654,"A",$G1655:$T1655)+SUMIF($W1654:$AJ1654,"A",$W1655:$AJ1655)</f>
        <v>0</v>
      </c>
      <c r="AV1655" s="72"/>
      <c r="AW1655" s="76">
        <f>IF(B1655="",0,IF($U$9="",0,$U$9))</f>
        <v>80</v>
      </c>
      <c r="BA1655" s="2"/>
      <c r="BB1655" s="2"/>
      <c r="BC1655" s="101"/>
      <c r="BD1655" s="101"/>
    </row>
    <row r="1656" spans="2:56" s="84" customFormat="1" x14ac:dyDescent="0.35">
      <c r="B1656" s="26"/>
      <c r="C1656" s="27"/>
      <c r="D1656" s="28">
        <f>IF(D1582="","",D1582)</f>
        <v>92027</v>
      </c>
      <c r="E1656" s="29" t="str">
        <f t="shared" si="644"/>
        <v/>
      </c>
      <c r="F1656" s="50">
        <f>B1637</f>
        <v>6</v>
      </c>
      <c r="G1656" s="59"/>
      <c r="H1656" s="64"/>
      <c r="I1656" s="106"/>
      <c r="J1656" s="105"/>
      <c r="K1656" s="106"/>
      <c r="L1656" s="105"/>
      <c r="M1656" s="106"/>
      <c r="N1656" s="105"/>
      <c r="O1656" s="106"/>
      <c r="P1656" s="105"/>
      <c r="Q1656" s="106"/>
      <c r="R1656" s="105"/>
      <c r="S1656" s="59"/>
      <c r="T1656" s="64"/>
      <c r="U1656" s="44"/>
      <c r="W1656" s="59"/>
      <c r="X1656" s="64"/>
      <c r="Y1656" s="106"/>
      <c r="Z1656" s="105"/>
      <c r="AA1656" s="106"/>
      <c r="AB1656" s="105"/>
      <c r="AC1656" s="106"/>
      <c r="AD1656" s="105"/>
      <c r="AE1656" s="106"/>
      <c r="AF1656" s="105"/>
      <c r="AG1656" s="106"/>
      <c r="AH1656" s="105"/>
      <c r="AI1656" s="59"/>
      <c r="AJ1656" s="64"/>
      <c r="AK1656" s="44"/>
      <c r="AM1656" s="49"/>
      <c r="AN1656" s="49"/>
      <c r="AO1656" s="49"/>
      <c r="AP1656" s="49"/>
      <c r="AQ1656" s="49"/>
      <c r="AR1656" s="40"/>
      <c r="AS1656" s="51"/>
      <c r="AU1656" s="49"/>
      <c r="AW1656" s="52"/>
      <c r="BA1656" s="2"/>
      <c r="BB1656" s="2"/>
      <c r="BC1656" s="101"/>
      <c r="BD1656" s="101"/>
    </row>
    <row r="1657" spans="2:56" s="84" customFormat="1" x14ac:dyDescent="0.35">
      <c r="B1657" s="30" t="str">
        <f>IF(B1583="","",B1583)</f>
        <v>Descoteaux, Gerald</v>
      </c>
      <c r="C1657" s="31"/>
      <c r="D1657" s="32"/>
      <c r="E1657" s="33">
        <f t="shared" si="644"/>
        <v>93595935</v>
      </c>
      <c r="F1657" s="50">
        <f>B1637</f>
        <v>6</v>
      </c>
      <c r="G1657" s="69"/>
      <c r="H1657" s="70"/>
      <c r="I1657" s="104"/>
      <c r="J1657" s="103">
        <v>8</v>
      </c>
      <c r="K1657" s="104"/>
      <c r="L1657" s="103">
        <v>8</v>
      </c>
      <c r="M1657" s="104"/>
      <c r="N1657" s="103">
        <v>8</v>
      </c>
      <c r="O1657" s="104"/>
      <c r="P1657" s="103">
        <v>8</v>
      </c>
      <c r="Q1657" s="104"/>
      <c r="R1657" s="103">
        <v>8</v>
      </c>
      <c r="S1657" s="69"/>
      <c r="T1657" s="70"/>
      <c r="U1657" s="71">
        <f t="shared" ref="U1657" si="651">SUM(G1657:T1657)</f>
        <v>40</v>
      </c>
      <c r="V1657" s="72"/>
      <c r="W1657" s="69"/>
      <c r="X1657" s="70"/>
      <c r="Y1657" s="104"/>
      <c r="Z1657" s="103">
        <v>8</v>
      </c>
      <c r="AA1657" s="104"/>
      <c r="AB1657" s="103">
        <v>8</v>
      </c>
      <c r="AC1657" s="104"/>
      <c r="AD1657" s="103">
        <v>8</v>
      </c>
      <c r="AE1657" s="104"/>
      <c r="AF1657" s="103">
        <v>8</v>
      </c>
      <c r="AG1657" s="104"/>
      <c r="AH1657" s="103">
        <v>8</v>
      </c>
      <c r="AI1657" s="69"/>
      <c r="AJ1657" s="70"/>
      <c r="AK1657" s="71">
        <f>SUM(W1657:AJ1657)</f>
        <v>40</v>
      </c>
      <c r="AL1657" s="72"/>
      <c r="AM1657" s="73">
        <f>SUMIF($G1656:$T1656,"",$G1657:$T1657)+SUMIF($W1656:$AJ1656,"",$W1657:$AJ1657)-AN1657</f>
        <v>80</v>
      </c>
      <c r="AN1657" s="88">
        <f>IF(SUMIF($G1656:$T1656,"",$G1657:$T1657)+SUMIF($G1656:$T1656,"F",$G1657:$T1657)+SUMIF($G1656:$T1656,"V",$G1657:$T1657)-40&lt;0,0,SUMIF($G1656:$T1656,"",$G1657:$T1657)+SUMIF($G1656:$T1656,"F",$G1657:$T1657)+SUMIF($G1656:$T1656,"V",$G1657:$T1657)-($U$9/2))+IF(SUMIF($W1656:$AJ1656,"",$W1657:$AJ1657)+SUMIF($W1656:$AJ1656,"F",$W1657:$AJ1657)+SUMIF($W1656:$AJ1656,"V",$W1657:$AJ1657)-40&lt;0,0,SUMIF($W1656:$AJ1656,"",$W1657:$AJ1657)+SUMIF($W1656:$AJ1656,"F",$W1657:$AJ1657)+SUMIF($W1656:$AJ1656,"V",$W1657:$AJ1657)-($U$9/2))</f>
        <v>0</v>
      </c>
      <c r="AO1657" s="73">
        <f>SUMIF($G1656:$T1656,"M",$G1657:$T1657)+SUMIF($W1656:$AJ1656,"M",$W1657:$AJ1657)</f>
        <v>0</v>
      </c>
      <c r="AP1657" s="73">
        <f>SUMIF($G1656:$T1656,"F",$G1657:$T1657)+SUMIF($W1656:$AJ1656,"F",$W1657:$AJ1657)</f>
        <v>0</v>
      </c>
      <c r="AQ1657" s="73">
        <f>SUMIF($G1656:$T1656,"V",$G1657:$T1657)+SUMIF($W1656:$AJ1656,"V",$W1657:$AJ1657)</f>
        <v>0</v>
      </c>
      <c r="AR1657" s="74">
        <f>SUMIF($G1656:$T1656,"O",$G1657:$T1657)+SUMIF($W1656:$AJ1656,"O",$W1657:$AJ1657)</f>
        <v>0</v>
      </c>
      <c r="AS1657" s="75">
        <f>SUM(AM1657:AR1657)</f>
        <v>80</v>
      </c>
      <c r="AT1657" s="72"/>
      <c r="AU1657" s="73">
        <f>SUMIF($G1656:$T1656,"A",$G1657:$T1657)+SUMIF($W1656:$AJ1656,"A",$W1657:$AJ1657)</f>
        <v>0</v>
      </c>
      <c r="AV1657" s="72"/>
      <c r="AW1657" s="76">
        <f>IF(B1657="",0,IF($U$9="",0,$U$9))</f>
        <v>80</v>
      </c>
      <c r="BA1657" s="2"/>
      <c r="BB1657" s="2"/>
      <c r="BC1657" s="101"/>
      <c r="BD1657" s="101"/>
    </row>
    <row r="1658" spans="2:56" s="84" customFormat="1" x14ac:dyDescent="0.35">
      <c r="B1658" s="26"/>
      <c r="C1658" s="27"/>
      <c r="D1658" s="28">
        <f>IF(D1584="","",D1584)</f>
        <v>73795</v>
      </c>
      <c r="E1658" s="29" t="str">
        <f t="shared" si="644"/>
        <v/>
      </c>
      <c r="F1658" s="50">
        <f>B1637</f>
        <v>6</v>
      </c>
      <c r="G1658" s="59"/>
      <c r="H1658" s="64"/>
      <c r="I1658" s="106"/>
      <c r="J1658" s="105"/>
      <c r="K1658" s="106"/>
      <c r="L1658" s="105"/>
      <c r="M1658" s="106"/>
      <c r="N1658" s="105"/>
      <c r="O1658" s="106"/>
      <c r="P1658" s="105"/>
      <c r="Q1658" s="106"/>
      <c r="R1658" s="105"/>
      <c r="S1658" s="59"/>
      <c r="T1658" s="64"/>
      <c r="U1658" s="44"/>
      <c r="W1658" s="59"/>
      <c r="X1658" s="64"/>
      <c r="Y1658" s="106"/>
      <c r="Z1658" s="105" t="s">
        <v>1</v>
      </c>
      <c r="AA1658" s="106"/>
      <c r="AB1658" s="105" t="s">
        <v>1</v>
      </c>
      <c r="AC1658" s="106"/>
      <c r="AD1658" s="105" t="s">
        <v>1</v>
      </c>
      <c r="AE1658" s="106"/>
      <c r="AF1658" s="105"/>
      <c r="AG1658" s="106"/>
      <c r="AH1658" s="105"/>
      <c r="AI1658" s="59"/>
      <c r="AJ1658" s="64"/>
      <c r="AK1658" s="44"/>
      <c r="AM1658" s="49"/>
      <c r="AN1658" s="49"/>
      <c r="AO1658" s="49"/>
      <c r="AP1658" s="49"/>
      <c r="AQ1658" s="49"/>
      <c r="AR1658" s="40"/>
      <c r="AS1658" s="51"/>
      <c r="AU1658" s="49"/>
      <c r="AW1658" s="52"/>
      <c r="BA1658" s="2"/>
      <c r="BB1658" s="2"/>
      <c r="BC1658" s="101"/>
      <c r="BD1658" s="101"/>
    </row>
    <row r="1659" spans="2:56" s="84" customFormat="1" x14ac:dyDescent="0.35">
      <c r="B1659" s="30" t="str">
        <f>IF(B1585="","",B1585)</f>
        <v>Fortin, Veronique</v>
      </c>
      <c r="C1659" s="31"/>
      <c r="D1659" s="32"/>
      <c r="E1659" s="33">
        <f t="shared" si="644"/>
        <v>93540</v>
      </c>
      <c r="F1659" s="50">
        <f>B1637</f>
        <v>6</v>
      </c>
      <c r="G1659" s="69"/>
      <c r="H1659" s="70"/>
      <c r="I1659" s="104"/>
      <c r="J1659" s="103">
        <v>8</v>
      </c>
      <c r="K1659" s="104"/>
      <c r="L1659" s="103">
        <v>8</v>
      </c>
      <c r="M1659" s="104"/>
      <c r="N1659" s="103">
        <v>8</v>
      </c>
      <c r="O1659" s="104"/>
      <c r="P1659" s="103">
        <v>8</v>
      </c>
      <c r="Q1659" s="104"/>
      <c r="R1659" s="103">
        <v>8</v>
      </c>
      <c r="S1659" s="69"/>
      <c r="T1659" s="70"/>
      <c r="U1659" s="71">
        <f t="shared" ref="U1659" si="652">SUM(G1659:T1659)</f>
        <v>40</v>
      </c>
      <c r="V1659" s="72"/>
      <c r="W1659" s="69"/>
      <c r="X1659" s="70"/>
      <c r="Y1659" s="104"/>
      <c r="Z1659" s="103">
        <v>8</v>
      </c>
      <c r="AA1659" s="104"/>
      <c r="AB1659" s="103">
        <v>8</v>
      </c>
      <c r="AC1659" s="104"/>
      <c r="AD1659" s="103">
        <v>8</v>
      </c>
      <c r="AE1659" s="104"/>
      <c r="AF1659" s="103">
        <v>8</v>
      </c>
      <c r="AG1659" s="104"/>
      <c r="AH1659" s="103">
        <v>8</v>
      </c>
      <c r="AI1659" s="69"/>
      <c r="AJ1659" s="70"/>
      <c r="AK1659" s="71">
        <f>SUM(W1659:AJ1659)</f>
        <v>40</v>
      </c>
      <c r="AL1659" s="72"/>
      <c r="AM1659" s="73">
        <f>SUMIF($G1658:$T1658,"",$G1659:$T1659)+SUMIF($W1658:$AJ1658,"",$W1659:$AJ1659)-AN1659</f>
        <v>56</v>
      </c>
      <c r="AN1659" s="88">
        <f>IF(SUMIF($G1658:$T1658,"",$G1659:$T1659)+SUMIF($G1658:$T1658,"F",$G1659:$T1659)+SUMIF($G1658:$T1658,"V",$G1659:$T1659)-40&lt;0,0,SUMIF($G1658:$T1658,"",$G1659:$T1659)+SUMIF($G1658:$T1658,"F",$G1659:$T1659)+SUMIF($G1658:$T1658,"V",$G1659:$T1659)-($U$9/2))+IF(SUMIF($W1658:$AJ1658,"",$W1659:$AJ1659)+SUMIF($W1658:$AJ1658,"F",$W1659:$AJ1659)+SUMIF($W1658:$AJ1658,"V",$W1659:$AJ1659)-40&lt;0,0,SUMIF($W1658:$AJ1658,"",$W1659:$AJ1659)+SUMIF($W1658:$AJ1658,"F",$W1659:$AJ1659)+SUMIF($W1658:$AJ1658,"V",$W1659:$AJ1659)-($U$9/2))</f>
        <v>0</v>
      </c>
      <c r="AO1659" s="73">
        <f>SUMIF($G1658:$T1658,"M",$G1659:$T1659)+SUMIF($W1658:$AJ1658,"M",$W1659:$AJ1659)</f>
        <v>0</v>
      </c>
      <c r="AP1659" s="73">
        <f>SUMIF($G1658:$T1658,"F",$G1659:$T1659)+SUMIF($W1658:$AJ1658,"F",$W1659:$AJ1659)</f>
        <v>0</v>
      </c>
      <c r="AQ1659" s="73">
        <f>SUMIF($G1658:$T1658,"V",$G1659:$T1659)+SUMIF($W1658:$AJ1658,"V",$W1659:$AJ1659)</f>
        <v>24</v>
      </c>
      <c r="AR1659" s="74">
        <f>SUMIF($G1658:$T1658,"O",$G1659:$T1659)+SUMIF($W1658:$AJ1658,"O",$W1659:$AJ1659)</f>
        <v>0</v>
      </c>
      <c r="AS1659" s="75">
        <f>SUM(AM1659:AR1659)</f>
        <v>80</v>
      </c>
      <c r="AT1659" s="72"/>
      <c r="AU1659" s="73">
        <f>SUMIF($G1658:$T1658,"A",$G1659:$T1659)+SUMIF($W1658:$AJ1658,"A",$W1659:$AJ1659)</f>
        <v>0</v>
      </c>
      <c r="AV1659" s="72"/>
      <c r="AW1659" s="76">
        <f>IF(B1659="",0,IF($U$9="",0,$U$9))</f>
        <v>80</v>
      </c>
      <c r="BA1659" s="2"/>
      <c r="BB1659" s="2"/>
      <c r="BC1659" s="101"/>
      <c r="BD1659" s="101"/>
    </row>
    <row r="1660" spans="2:56" s="84" customFormat="1" x14ac:dyDescent="0.35">
      <c r="B1660" s="26"/>
      <c r="C1660" s="27"/>
      <c r="D1660" s="28">
        <f>IF(D1586="","",D1586)</f>
        <v>23206</v>
      </c>
      <c r="E1660" s="29" t="str">
        <f t="shared" si="644"/>
        <v/>
      </c>
      <c r="F1660" s="50">
        <f>B1637</f>
        <v>6</v>
      </c>
      <c r="G1660" s="59"/>
      <c r="H1660" s="64"/>
      <c r="I1660" s="106"/>
      <c r="J1660" s="130" t="s">
        <v>12</v>
      </c>
      <c r="K1660" s="106"/>
      <c r="L1660" s="105"/>
      <c r="M1660" s="106"/>
      <c r="N1660" s="105"/>
      <c r="O1660" s="106"/>
      <c r="P1660" s="105"/>
      <c r="Q1660" s="106"/>
      <c r="R1660" s="105"/>
      <c r="S1660" s="59"/>
      <c r="T1660" s="64"/>
      <c r="U1660" s="44"/>
      <c r="W1660" s="59"/>
      <c r="X1660" s="64"/>
      <c r="Y1660" s="106"/>
      <c r="Z1660" s="105"/>
      <c r="AA1660" s="106"/>
      <c r="AB1660" s="105"/>
      <c r="AC1660" s="106"/>
      <c r="AD1660" s="105"/>
      <c r="AE1660" s="106"/>
      <c r="AF1660" s="105"/>
      <c r="AG1660" s="106"/>
      <c r="AH1660" s="105"/>
      <c r="AI1660" s="59"/>
      <c r="AJ1660" s="64"/>
      <c r="AK1660" s="44"/>
      <c r="AM1660" s="49"/>
      <c r="AN1660" s="49"/>
      <c r="AO1660" s="49"/>
      <c r="AP1660" s="49"/>
      <c r="AQ1660" s="49"/>
      <c r="AR1660" s="40"/>
      <c r="AS1660" s="51"/>
      <c r="AU1660" s="49"/>
      <c r="AW1660" s="52"/>
      <c r="BA1660" s="2"/>
      <c r="BB1660" s="2"/>
      <c r="BC1660" s="101"/>
      <c r="BD1660" s="101"/>
    </row>
    <row r="1661" spans="2:56" s="84" customFormat="1" x14ac:dyDescent="0.35">
      <c r="B1661" s="30" t="str">
        <f>IF(B1587="","",B1587)</f>
        <v>Gadbois, Dominic</v>
      </c>
      <c r="C1661" s="31"/>
      <c r="D1661" s="32"/>
      <c r="E1661" s="33">
        <f t="shared" si="644"/>
        <v>93545</v>
      </c>
      <c r="F1661" s="50">
        <f>B1637</f>
        <v>6</v>
      </c>
      <c r="G1661" s="69"/>
      <c r="H1661" s="70"/>
      <c r="I1661" s="104"/>
      <c r="J1661" s="103">
        <v>8</v>
      </c>
      <c r="K1661" s="104"/>
      <c r="L1661" s="103">
        <v>7.5</v>
      </c>
      <c r="M1661" s="104"/>
      <c r="N1661" s="103">
        <v>7.75</v>
      </c>
      <c r="O1661" s="104"/>
      <c r="P1661" s="103">
        <v>8</v>
      </c>
      <c r="Q1661" s="104"/>
      <c r="R1661" s="103">
        <v>9.5</v>
      </c>
      <c r="S1661" s="69"/>
      <c r="T1661" s="70"/>
      <c r="U1661" s="71">
        <f t="shared" ref="U1661" si="653">SUM(G1661:T1661)</f>
        <v>40.75</v>
      </c>
      <c r="V1661" s="72"/>
      <c r="W1661" s="69"/>
      <c r="X1661" s="70"/>
      <c r="Y1661" s="104"/>
      <c r="Z1661" s="103">
        <v>8</v>
      </c>
      <c r="AA1661" s="104"/>
      <c r="AB1661" s="103">
        <v>8</v>
      </c>
      <c r="AC1661" s="104"/>
      <c r="AD1661" s="103">
        <v>8.25</v>
      </c>
      <c r="AE1661" s="104"/>
      <c r="AF1661" s="103">
        <v>7.75</v>
      </c>
      <c r="AG1661" s="104"/>
      <c r="AH1661" s="103">
        <v>7.75</v>
      </c>
      <c r="AI1661" s="69"/>
      <c r="AJ1661" s="70"/>
      <c r="AK1661" s="71">
        <f>SUM(W1661:AJ1661)</f>
        <v>39.75</v>
      </c>
      <c r="AL1661" s="72"/>
      <c r="AM1661" s="73">
        <f>SUMIF($G1660:$T1660,"",$G1661:$T1661)+SUMIF($W1660:$AJ1660,"",$W1661:$AJ1661)-AN1661</f>
        <v>72.5</v>
      </c>
      <c r="AN1661" s="88">
        <f>IF(SUMIF($G1660:$T1660,"",$G1661:$T1661)+SUMIF($G1660:$T1660,"F",$G1661:$T1661)+SUMIF($G1660:$T1660,"V",$G1661:$T1661)-40&lt;0,0,SUMIF($G1660:$T1660,"",$G1661:$T1661)+SUMIF($G1660:$T1660,"F",$G1661:$T1661)+SUMIF($G1660:$T1660,"V",$G1661:$T1661)-($U$9/2))+IF(SUMIF($W1660:$AJ1660,"",$W1661:$AJ1661)+SUMIF($W1660:$AJ1660,"F",$W1661:$AJ1661)+SUMIF($W1660:$AJ1660,"V",$W1661:$AJ1661)-40&lt;0,0,SUMIF($W1660:$AJ1660,"",$W1661:$AJ1661)+SUMIF($W1660:$AJ1660,"F",$W1661:$AJ1661)+SUMIF($W1660:$AJ1660,"V",$W1661:$AJ1661)-($U$9/2))</f>
        <v>0</v>
      </c>
      <c r="AO1661" s="73">
        <f>SUMIF($G1660:$T1660,"M",$G1661:$T1661)+SUMIF($W1660:$AJ1660,"M",$W1661:$AJ1661)</f>
        <v>8</v>
      </c>
      <c r="AP1661" s="73">
        <f>SUMIF($G1660:$T1660,"F",$G1661:$T1661)+SUMIF($W1660:$AJ1660,"F",$W1661:$AJ1661)</f>
        <v>0</v>
      </c>
      <c r="AQ1661" s="73">
        <f>SUMIF($G1660:$T1660,"V",$G1661:$T1661)+SUMIF($W1660:$AJ1660,"V",$W1661:$AJ1661)</f>
        <v>0</v>
      </c>
      <c r="AR1661" s="74">
        <f>SUMIF($G1660:$T1660,"O",$G1661:$T1661)+SUMIF($W1660:$AJ1660,"O",$W1661:$AJ1661)</f>
        <v>0</v>
      </c>
      <c r="AS1661" s="75">
        <f>SUM(AM1661:AR1661)</f>
        <v>80.5</v>
      </c>
      <c r="AT1661" s="72"/>
      <c r="AU1661" s="73">
        <f>SUMIF($G1660:$T1660,"A",$G1661:$T1661)+SUMIF($W1660:$AJ1660,"A",$W1661:$AJ1661)</f>
        <v>0</v>
      </c>
      <c r="AV1661" s="72"/>
      <c r="AW1661" s="76">
        <f>IF(B1661="",0,IF($U$9="",0,$U$9))</f>
        <v>80</v>
      </c>
      <c r="BA1661" s="2"/>
      <c r="BB1661" s="2"/>
      <c r="BC1661" s="101"/>
      <c r="BD1661" s="101"/>
    </row>
    <row r="1662" spans="2:56" s="84" customFormat="1" x14ac:dyDescent="0.35">
      <c r="B1662" s="26"/>
      <c r="C1662" s="27"/>
      <c r="D1662" s="28">
        <f>IF(D1588="","",D1588)</f>
        <v>33664</v>
      </c>
      <c r="E1662" s="29" t="str">
        <f t="shared" si="644"/>
        <v/>
      </c>
      <c r="F1662" s="50">
        <f>B1637</f>
        <v>6</v>
      </c>
      <c r="G1662" s="59"/>
      <c r="H1662" s="64"/>
      <c r="I1662" s="106"/>
      <c r="J1662" s="105"/>
      <c r="K1662" s="106"/>
      <c r="L1662" s="105"/>
      <c r="M1662" s="106"/>
      <c r="N1662" s="105"/>
      <c r="O1662" s="106"/>
      <c r="P1662" s="105"/>
      <c r="Q1662" s="106"/>
      <c r="R1662" s="105"/>
      <c r="S1662" s="59"/>
      <c r="T1662" s="64"/>
      <c r="U1662" s="44"/>
      <c r="W1662" s="59"/>
      <c r="X1662" s="64"/>
      <c r="Y1662" s="106"/>
      <c r="Z1662" s="105"/>
      <c r="AA1662" s="106"/>
      <c r="AB1662" s="105"/>
      <c r="AC1662" s="106"/>
      <c r="AD1662" s="105"/>
      <c r="AE1662" s="106"/>
      <c r="AF1662" s="105"/>
      <c r="AG1662" s="106"/>
      <c r="AH1662" s="105"/>
      <c r="AI1662" s="59"/>
      <c r="AJ1662" s="64"/>
      <c r="AK1662" s="44"/>
      <c r="AM1662" s="49"/>
      <c r="AN1662" s="49"/>
      <c r="AO1662" s="49"/>
      <c r="AP1662" s="49"/>
      <c r="AQ1662" s="49"/>
      <c r="AR1662" s="40"/>
      <c r="AS1662" s="51"/>
      <c r="AU1662" s="49"/>
      <c r="AW1662" s="52"/>
      <c r="BA1662" s="2"/>
      <c r="BB1662" s="2"/>
      <c r="BC1662" s="101"/>
      <c r="BD1662" s="101"/>
    </row>
    <row r="1663" spans="2:56" s="84" customFormat="1" x14ac:dyDescent="0.35">
      <c r="B1663" s="30" t="str">
        <f>IF(B1589="","",B1589)</f>
        <v>Knox Michaud, Jessy</v>
      </c>
      <c r="C1663" s="31"/>
      <c r="D1663" s="32"/>
      <c r="E1663" s="33">
        <f t="shared" si="644"/>
        <v>93542</v>
      </c>
      <c r="F1663" s="50">
        <f>B1637</f>
        <v>6</v>
      </c>
      <c r="G1663" s="69"/>
      <c r="H1663" s="70"/>
      <c r="I1663" s="104"/>
      <c r="J1663" s="103">
        <v>9</v>
      </c>
      <c r="K1663" s="104"/>
      <c r="L1663" s="103">
        <v>9</v>
      </c>
      <c r="M1663" s="104"/>
      <c r="N1663" s="103">
        <v>9</v>
      </c>
      <c r="O1663" s="104"/>
      <c r="P1663" s="103">
        <v>9</v>
      </c>
      <c r="Q1663" s="104"/>
      <c r="R1663" s="103">
        <v>9</v>
      </c>
      <c r="S1663" s="69"/>
      <c r="T1663" s="70"/>
      <c r="U1663" s="71">
        <f t="shared" ref="U1663" si="654">SUM(G1663:T1663)</f>
        <v>45</v>
      </c>
      <c r="V1663" s="72"/>
      <c r="W1663" s="69"/>
      <c r="X1663" s="70"/>
      <c r="Y1663" s="104"/>
      <c r="Z1663" s="103">
        <v>9.5</v>
      </c>
      <c r="AA1663" s="104"/>
      <c r="AB1663" s="103">
        <v>9</v>
      </c>
      <c r="AC1663" s="104"/>
      <c r="AD1663" s="103">
        <v>9</v>
      </c>
      <c r="AE1663" s="104"/>
      <c r="AF1663" s="103">
        <v>9</v>
      </c>
      <c r="AG1663" s="104"/>
      <c r="AH1663" s="103">
        <v>9</v>
      </c>
      <c r="AI1663" s="69"/>
      <c r="AJ1663" s="70"/>
      <c r="AK1663" s="71">
        <f>SUM(W1663:AJ1663)</f>
        <v>45.5</v>
      </c>
      <c r="AL1663" s="72"/>
      <c r="AM1663" s="73">
        <f>SUMIF($G1662:$T1662,"",$G1663:$T1663)+SUMIF($W1662:$AJ1662,"",$W1663:$AJ1663)-AN1663</f>
        <v>80</v>
      </c>
      <c r="AN1663" s="88">
        <f>IF(SUMIF($G1662:$T1662,"",$G1663:$T1663)+SUMIF($G1662:$T1662,"F",$G1663:$T1663)+SUMIF($G1662:$T1662,"V",$G1663:$T1663)-40&lt;0,0,SUMIF($G1662:$T1662,"",$G1663:$T1663)+SUMIF($G1662:$T1662,"F",$G1663:$T1663)+SUMIF($G1662:$T1662,"V",$G1663:$T1663)-($U$9/2))+IF(SUMIF($W1662:$AJ1662,"",$W1663:$AJ1663)+SUMIF($W1662:$AJ1662,"F",$W1663:$AJ1663)+SUMIF($W1662:$AJ1662,"V",$W1663:$AJ1663)-40&lt;0,0,SUMIF($W1662:$AJ1662,"",$W1663:$AJ1663)+SUMIF($W1662:$AJ1662,"F",$W1663:$AJ1663)+SUMIF($W1662:$AJ1662,"V",$W1663:$AJ1663)-($U$9/2))</f>
        <v>10.5</v>
      </c>
      <c r="AO1663" s="73">
        <f>SUMIF($G1662:$T1662,"M",$G1663:$T1663)+SUMIF($W1662:$AJ1662,"M",$W1663:$AJ1663)</f>
        <v>0</v>
      </c>
      <c r="AP1663" s="73">
        <f>SUMIF($G1662:$T1662,"F",$G1663:$T1663)+SUMIF($W1662:$AJ1662,"F",$W1663:$AJ1663)</f>
        <v>0</v>
      </c>
      <c r="AQ1663" s="73">
        <f>SUMIF($G1662:$T1662,"V",$G1663:$T1663)+SUMIF($W1662:$AJ1662,"V",$W1663:$AJ1663)</f>
        <v>0</v>
      </c>
      <c r="AR1663" s="74">
        <f>SUMIF($G1662:$T1662,"O",$G1663:$T1663)+SUMIF($W1662:$AJ1662,"O",$W1663:$AJ1663)</f>
        <v>0</v>
      </c>
      <c r="AS1663" s="75">
        <f>SUM(AM1663:AR1663)</f>
        <v>90.5</v>
      </c>
      <c r="AT1663" s="72"/>
      <c r="AU1663" s="73">
        <f>SUMIF($G1662:$T1662,"A",$G1663:$T1663)+SUMIF($W1662:$AJ1662,"A",$W1663:$AJ1663)</f>
        <v>0</v>
      </c>
      <c r="AV1663" s="72"/>
      <c r="AW1663" s="76">
        <f>IF(B1663="",0,IF($U$9="",0,$U$9))</f>
        <v>80</v>
      </c>
      <c r="BA1663" s="2"/>
      <c r="BB1663" s="2"/>
      <c r="BC1663" s="101"/>
      <c r="BD1663" s="101"/>
    </row>
    <row r="1664" spans="2:56" s="84" customFormat="1" x14ac:dyDescent="0.35">
      <c r="B1664" s="26"/>
      <c r="C1664" s="27"/>
      <c r="D1664" s="28">
        <f>IF(D1590="","",D1590)</f>
        <v>14206</v>
      </c>
      <c r="E1664" s="29" t="str">
        <f t="shared" si="644"/>
        <v/>
      </c>
      <c r="F1664" s="50">
        <f>B1637</f>
        <v>6</v>
      </c>
      <c r="G1664" s="59"/>
      <c r="H1664" s="64"/>
      <c r="I1664" s="106"/>
      <c r="J1664" s="105"/>
      <c r="K1664" s="106"/>
      <c r="L1664" s="105"/>
      <c r="M1664" s="106"/>
      <c r="N1664" s="105"/>
      <c r="O1664" s="106"/>
      <c r="P1664" s="105"/>
      <c r="Q1664" s="106"/>
      <c r="R1664" s="105"/>
      <c r="S1664" s="59"/>
      <c r="T1664" s="64"/>
      <c r="U1664" s="44"/>
      <c r="W1664" s="59"/>
      <c r="X1664" s="64"/>
      <c r="Y1664" s="106"/>
      <c r="Z1664" s="105"/>
      <c r="AA1664" s="106"/>
      <c r="AB1664" s="105"/>
      <c r="AC1664" s="106"/>
      <c r="AD1664" s="105"/>
      <c r="AE1664" s="106"/>
      <c r="AF1664" s="105"/>
      <c r="AG1664" s="106"/>
      <c r="AH1664" s="105"/>
      <c r="AI1664" s="59"/>
      <c r="AJ1664" s="64"/>
      <c r="AK1664" s="44"/>
      <c r="AM1664" s="49"/>
      <c r="AN1664" s="49"/>
      <c r="AO1664" s="49"/>
      <c r="AP1664" s="49"/>
      <c r="AQ1664" s="49"/>
      <c r="AR1664" s="40"/>
      <c r="AS1664" s="51"/>
      <c r="AU1664" s="49"/>
      <c r="AW1664" s="52"/>
      <c r="BA1664" s="2"/>
      <c r="BB1664" s="2"/>
      <c r="BC1664" s="101"/>
      <c r="BD1664" s="101"/>
    </row>
    <row r="1665" spans="2:56" s="84" customFormat="1" x14ac:dyDescent="0.35">
      <c r="B1665" s="30" t="str">
        <f>IF(B1591="","",B1591)</f>
        <v>Landry, Bernard</v>
      </c>
      <c r="C1665" s="31"/>
      <c r="D1665" s="32"/>
      <c r="E1665" s="33">
        <f t="shared" si="644"/>
        <v>93545</v>
      </c>
      <c r="F1665" s="50">
        <f>B1637</f>
        <v>6</v>
      </c>
      <c r="G1665" s="69"/>
      <c r="H1665" s="70"/>
      <c r="I1665" s="104"/>
      <c r="J1665" s="103">
        <v>8</v>
      </c>
      <c r="K1665" s="104"/>
      <c r="L1665" s="103">
        <v>8</v>
      </c>
      <c r="M1665" s="104"/>
      <c r="N1665" s="103">
        <v>8</v>
      </c>
      <c r="O1665" s="104"/>
      <c r="P1665" s="103">
        <v>8</v>
      </c>
      <c r="Q1665" s="104"/>
      <c r="R1665" s="103">
        <v>8</v>
      </c>
      <c r="S1665" s="69"/>
      <c r="T1665" s="70"/>
      <c r="U1665" s="71">
        <f t="shared" ref="U1665" si="655">SUM(G1665:T1665)</f>
        <v>40</v>
      </c>
      <c r="V1665" s="72"/>
      <c r="W1665" s="69"/>
      <c r="X1665" s="70"/>
      <c r="Y1665" s="104"/>
      <c r="Z1665" s="103"/>
      <c r="AA1665" s="104"/>
      <c r="AB1665" s="103"/>
      <c r="AC1665" s="104"/>
      <c r="AD1665" s="103"/>
      <c r="AE1665" s="104"/>
      <c r="AF1665" s="103"/>
      <c r="AG1665" s="104"/>
      <c r="AH1665" s="103"/>
      <c r="AI1665" s="69"/>
      <c r="AJ1665" s="70"/>
      <c r="AK1665" s="71">
        <f>SUM(W1665:AJ1665)</f>
        <v>0</v>
      </c>
      <c r="AL1665" s="72"/>
      <c r="AM1665" s="73">
        <f>SUMIF($G1664:$T1664,"",$G1665:$T1665)+SUMIF($W1664:$AJ1664,"",$W1665:$AJ1665)-AN1665</f>
        <v>40</v>
      </c>
      <c r="AN1665" s="88">
        <f>IF(SUMIF($G1664:$T1664,"",$G1665:$T1665)+SUMIF($G1664:$T1664,"F",$G1665:$T1665)+SUMIF($G1664:$T1664,"V",$G1665:$T1665)-40&lt;0,0,SUMIF($G1664:$T1664,"",$G1665:$T1665)+SUMIF($G1664:$T1664,"F",$G1665:$T1665)+SUMIF($G1664:$T1664,"V",$G1665:$T1665)-($U$9/2))+IF(SUMIF($W1664:$AJ1664,"",$W1665:$AJ1665)+SUMIF($W1664:$AJ1664,"F",$W1665:$AJ1665)+SUMIF($W1664:$AJ1664,"V",$W1665:$AJ1665)-40&lt;0,0,SUMIF($W1664:$AJ1664,"",$W1665:$AJ1665)+SUMIF($W1664:$AJ1664,"F",$W1665:$AJ1665)+SUMIF($W1664:$AJ1664,"V",$W1665:$AJ1665)-($U$9/2))</f>
        <v>0</v>
      </c>
      <c r="AO1665" s="73">
        <f>SUMIF($G1664:$T1664,"M",$G1665:$T1665)+SUMIF($W1664:$AJ1664,"M",$W1665:$AJ1665)</f>
        <v>0</v>
      </c>
      <c r="AP1665" s="73">
        <f>SUMIF($G1664:$T1664,"F",$G1665:$T1665)+SUMIF($W1664:$AJ1664,"F",$W1665:$AJ1665)</f>
        <v>0</v>
      </c>
      <c r="AQ1665" s="73">
        <f>SUMIF($G1664:$T1664,"V",$G1665:$T1665)+SUMIF($W1664:$AJ1664,"V",$W1665:$AJ1665)</f>
        <v>0</v>
      </c>
      <c r="AR1665" s="74">
        <f>SUMIF($G1664:$T1664,"O",$G1665:$T1665)+SUMIF($W1664:$AJ1664,"O",$W1665:$AJ1665)</f>
        <v>0</v>
      </c>
      <c r="AS1665" s="75">
        <f>SUM(AM1665:AR1665)</f>
        <v>40</v>
      </c>
      <c r="AT1665" s="72"/>
      <c r="AU1665" s="73">
        <f>SUMIF($G1664:$T1664,"A",$G1665:$T1665)+SUMIF($W1664:$AJ1664,"A",$W1665:$AJ1665)</f>
        <v>0</v>
      </c>
      <c r="AV1665" s="72"/>
      <c r="AW1665" s="76">
        <f>IF(B1665="",0,IF($U$9="",0,$U$9))</f>
        <v>80</v>
      </c>
      <c r="BA1665" s="2"/>
      <c r="BB1665" s="2"/>
      <c r="BC1665" s="101"/>
      <c r="BD1665" s="101"/>
    </row>
    <row r="1666" spans="2:56" s="84" customFormat="1" x14ac:dyDescent="0.35">
      <c r="B1666" s="26"/>
      <c r="C1666" s="27"/>
      <c r="D1666" s="28">
        <f>IF(D1592="","",D1592)</f>
        <v>92257</v>
      </c>
      <c r="E1666" s="29" t="str">
        <f t="shared" si="644"/>
        <v/>
      </c>
      <c r="F1666" s="50">
        <f>B1637</f>
        <v>6</v>
      </c>
      <c r="G1666" s="59"/>
      <c r="H1666" s="64"/>
      <c r="I1666" s="106"/>
      <c r="J1666" s="105"/>
      <c r="K1666" s="106"/>
      <c r="L1666" s="105"/>
      <c r="M1666" s="106"/>
      <c r="N1666" s="105"/>
      <c r="O1666" s="106"/>
      <c r="P1666" s="105"/>
      <c r="Q1666" s="106"/>
      <c r="R1666" s="105"/>
      <c r="S1666" s="59"/>
      <c r="T1666" s="64"/>
      <c r="U1666" s="44"/>
      <c r="W1666" s="59"/>
      <c r="X1666" s="64"/>
      <c r="Y1666" s="106"/>
      <c r="Z1666" s="105"/>
      <c r="AA1666" s="106"/>
      <c r="AB1666" s="105"/>
      <c r="AC1666" s="106"/>
      <c r="AD1666" s="105"/>
      <c r="AE1666" s="106"/>
      <c r="AF1666" s="105"/>
      <c r="AG1666" s="106"/>
      <c r="AH1666" s="105"/>
      <c r="AI1666" s="59"/>
      <c r="AJ1666" s="64"/>
      <c r="AK1666" s="44"/>
      <c r="AM1666" s="49"/>
      <c r="AN1666" s="49"/>
      <c r="AO1666" s="49"/>
      <c r="AP1666" s="49"/>
      <c r="AQ1666" s="49"/>
      <c r="AR1666" s="40"/>
      <c r="AS1666" s="51"/>
      <c r="AU1666" s="49"/>
      <c r="AW1666" s="52"/>
      <c r="BA1666" s="2"/>
      <c r="BB1666" s="2"/>
      <c r="BC1666" s="101"/>
      <c r="BD1666" s="101"/>
    </row>
    <row r="1667" spans="2:56" s="84" customFormat="1" x14ac:dyDescent="0.35">
      <c r="B1667" s="30" t="str">
        <f>IF(B1593="","",B1593)</f>
        <v>Lelievre, Anik</v>
      </c>
      <c r="C1667" s="31"/>
      <c r="D1667" s="32"/>
      <c r="E1667" s="33">
        <f t="shared" si="644"/>
        <v>93513</v>
      </c>
      <c r="F1667" s="50">
        <f>B1637</f>
        <v>6</v>
      </c>
      <c r="G1667" s="69"/>
      <c r="H1667" s="70"/>
      <c r="I1667" s="104"/>
      <c r="J1667" s="103">
        <v>8</v>
      </c>
      <c r="K1667" s="104"/>
      <c r="L1667" s="103">
        <v>8</v>
      </c>
      <c r="M1667" s="104"/>
      <c r="N1667" s="103">
        <v>8</v>
      </c>
      <c r="O1667" s="104"/>
      <c r="P1667" s="103">
        <v>8</v>
      </c>
      <c r="Q1667" s="104"/>
      <c r="R1667" s="103">
        <v>8</v>
      </c>
      <c r="S1667" s="69"/>
      <c r="T1667" s="70"/>
      <c r="U1667" s="71">
        <f t="shared" ref="U1667" si="656">SUM(G1667:T1667)</f>
        <v>40</v>
      </c>
      <c r="V1667" s="72"/>
      <c r="W1667" s="69"/>
      <c r="X1667" s="70"/>
      <c r="Y1667" s="104"/>
      <c r="Z1667" s="103">
        <v>8</v>
      </c>
      <c r="AA1667" s="104"/>
      <c r="AB1667" s="103">
        <v>8</v>
      </c>
      <c r="AC1667" s="104"/>
      <c r="AD1667" s="103">
        <v>8</v>
      </c>
      <c r="AE1667" s="104"/>
      <c r="AF1667" s="103">
        <v>8</v>
      </c>
      <c r="AG1667" s="104"/>
      <c r="AH1667" s="103">
        <v>8</v>
      </c>
      <c r="AI1667" s="69"/>
      <c r="AJ1667" s="70"/>
      <c r="AK1667" s="71">
        <f>SUM(W1667:AJ1667)</f>
        <v>40</v>
      </c>
      <c r="AL1667" s="72"/>
      <c r="AM1667" s="73">
        <f>SUMIF($G1666:$T1666,"",$G1667:$T1667)+SUMIF($W1666:$AJ1666,"",$W1667:$AJ1667)-AN1667</f>
        <v>80</v>
      </c>
      <c r="AN1667" s="88">
        <f>IF(SUMIF($G1666:$T1666,"",$G1667:$T1667)+SUMIF($G1666:$T1666,"F",$G1667:$T1667)+SUMIF($G1666:$T1666,"V",$G1667:$T1667)-40&lt;0,0,SUMIF($G1666:$T1666,"",$G1667:$T1667)+SUMIF($G1666:$T1666,"F",$G1667:$T1667)+SUMIF($G1666:$T1666,"V",$G1667:$T1667)-($U$9/2))+IF(SUMIF($W1666:$AJ1666,"",$W1667:$AJ1667)+SUMIF($W1666:$AJ1666,"F",$W1667:$AJ1667)+SUMIF($W1666:$AJ1666,"V",$W1667:$AJ1667)-40&lt;0,0,SUMIF($W1666:$AJ1666,"",$W1667:$AJ1667)+SUMIF($W1666:$AJ1666,"F",$W1667:$AJ1667)+SUMIF($W1666:$AJ1666,"V",$W1667:$AJ1667)-($U$9/2))</f>
        <v>0</v>
      </c>
      <c r="AO1667" s="73">
        <f>SUMIF($G1666:$T1666,"M",$G1667:$T1667)+SUMIF($W1666:$AJ1666,"M",$W1667:$AJ1667)</f>
        <v>0</v>
      </c>
      <c r="AP1667" s="73">
        <f>SUMIF($G1666:$T1666,"F",$G1667:$T1667)+SUMIF($W1666:$AJ1666,"F",$W1667:$AJ1667)</f>
        <v>0</v>
      </c>
      <c r="AQ1667" s="73">
        <f>SUMIF($G1666:$T1666,"V",$G1667:$T1667)+SUMIF($W1666:$AJ1666,"V",$W1667:$AJ1667)</f>
        <v>0</v>
      </c>
      <c r="AR1667" s="74">
        <f>SUMIF($G1666:$T1666,"O",$G1667:$T1667)+SUMIF($W1666:$AJ1666,"O",$W1667:$AJ1667)</f>
        <v>0</v>
      </c>
      <c r="AS1667" s="75">
        <f>SUM(AM1667:AR1667)</f>
        <v>80</v>
      </c>
      <c r="AT1667" s="72"/>
      <c r="AU1667" s="73">
        <f>SUMIF($G1666:$T1666,"A",$G1667:$T1667)+SUMIF($W1666:$AJ1666,"A",$W1667:$AJ1667)</f>
        <v>0</v>
      </c>
      <c r="AV1667" s="72"/>
      <c r="AW1667" s="76">
        <f>IF(B1667="",0,IF($U$9="",0,$U$9))</f>
        <v>80</v>
      </c>
      <c r="BA1667" s="2"/>
      <c r="BB1667" s="2"/>
      <c r="BC1667" s="101"/>
      <c r="BD1667" s="101"/>
    </row>
    <row r="1668" spans="2:56" s="84" customFormat="1" x14ac:dyDescent="0.35">
      <c r="B1668" s="26"/>
      <c r="C1668" s="27"/>
      <c r="D1668" s="28">
        <f>IF(D1594="","",D1594)</f>
        <v>81042</v>
      </c>
      <c r="E1668" s="29" t="str">
        <f t="shared" si="644"/>
        <v/>
      </c>
      <c r="F1668" s="50">
        <f>B1637</f>
        <v>6</v>
      </c>
      <c r="G1668" s="59"/>
      <c r="H1668" s="64"/>
      <c r="I1668" s="106"/>
      <c r="J1668" s="105"/>
      <c r="K1668" s="106"/>
      <c r="L1668" s="105"/>
      <c r="M1668" s="106"/>
      <c r="N1668" s="105"/>
      <c r="O1668" s="106"/>
      <c r="P1668" s="105"/>
      <c r="Q1668" s="106"/>
      <c r="R1668" s="105"/>
      <c r="S1668" s="59"/>
      <c r="T1668" s="64"/>
      <c r="U1668" s="44"/>
      <c r="W1668" s="59"/>
      <c r="X1668" s="64"/>
      <c r="Y1668" s="106"/>
      <c r="Z1668" s="105"/>
      <c r="AA1668" s="106"/>
      <c r="AB1668" s="105" t="s">
        <v>1</v>
      </c>
      <c r="AC1668" s="106"/>
      <c r="AD1668" s="105"/>
      <c r="AE1668" s="106"/>
      <c r="AF1668" s="105"/>
      <c r="AG1668" s="106"/>
      <c r="AH1668" s="105"/>
      <c r="AI1668" s="59"/>
      <c r="AJ1668" s="64"/>
      <c r="AK1668" s="44"/>
      <c r="AM1668" s="49"/>
      <c r="AN1668" s="49"/>
      <c r="AO1668" s="49"/>
      <c r="AP1668" s="49"/>
      <c r="AQ1668" s="49"/>
      <c r="AR1668" s="40"/>
      <c r="AS1668" s="51"/>
      <c r="AU1668" s="49"/>
      <c r="AW1668" s="52"/>
      <c r="BA1668" s="2"/>
      <c r="BB1668" s="2"/>
      <c r="BC1668" s="101"/>
      <c r="BD1668" s="101"/>
    </row>
    <row r="1669" spans="2:56" s="84" customFormat="1" x14ac:dyDescent="0.35">
      <c r="B1669" s="30" t="str">
        <f>IF(B1595="","",B1595)</f>
        <v>Letarte, Martin</v>
      </c>
      <c r="C1669" s="31"/>
      <c r="D1669" s="32"/>
      <c r="E1669" s="33">
        <f t="shared" si="644"/>
        <v>93545</v>
      </c>
      <c r="F1669" s="50">
        <f>B1637</f>
        <v>6</v>
      </c>
      <c r="G1669" s="69"/>
      <c r="H1669" s="70"/>
      <c r="I1669" s="104"/>
      <c r="J1669" s="103">
        <v>8</v>
      </c>
      <c r="K1669" s="104"/>
      <c r="L1669" s="103">
        <v>8</v>
      </c>
      <c r="M1669" s="104"/>
      <c r="N1669" s="103">
        <v>8</v>
      </c>
      <c r="O1669" s="104"/>
      <c r="P1669" s="103">
        <v>8</v>
      </c>
      <c r="Q1669" s="104"/>
      <c r="R1669" s="103">
        <v>8</v>
      </c>
      <c r="S1669" s="69"/>
      <c r="T1669" s="70"/>
      <c r="U1669" s="71">
        <f t="shared" ref="U1669" si="657">SUM(G1669:T1669)</f>
        <v>40</v>
      </c>
      <c r="V1669" s="72"/>
      <c r="W1669" s="69"/>
      <c r="X1669" s="70"/>
      <c r="Y1669" s="104"/>
      <c r="Z1669" s="103">
        <v>8</v>
      </c>
      <c r="AA1669" s="104"/>
      <c r="AB1669" s="103">
        <v>8</v>
      </c>
      <c r="AC1669" s="104"/>
      <c r="AD1669" s="103">
        <v>8</v>
      </c>
      <c r="AE1669" s="104"/>
      <c r="AF1669" s="103">
        <v>8</v>
      </c>
      <c r="AG1669" s="104"/>
      <c r="AH1669" s="103">
        <v>8</v>
      </c>
      <c r="AI1669" s="69"/>
      <c r="AJ1669" s="70"/>
      <c r="AK1669" s="71">
        <f>SUM(W1669:AJ1669)</f>
        <v>40</v>
      </c>
      <c r="AL1669" s="72"/>
      <c r="AM1669" s="73">
        <f>SUMIF($G1668:$T1668,"",$G1669:$T1669)+SUMIF($W1668:$AJ1668,"",$W1669:$AJ1669)-AN1669</f>
        <v>72</v>
      </c>
      <c r="AN1669" s="88">
        <f>IF(SUMIF($G1668:$T1668,"",$G1669:$T1669)+SUMIF($G1668:$T1668,"F",$G1669:$T1669)+SUMIF($G1668:$T1668,"V",$G1669:$T1669)-40&lt;0,0,SUMIF($G1668:$T1668,"",$G1669:$T1669)+SUMIF($G1668:$T1668,"F",$G1669:$T1669)+SUMIF($G1668:$T1668,"V",$G1669:$T1669)-($U$9/2))+IF(SUMIF($W1668:$AJ1668,"",$W1669:$AJ1669)+SUMIF($W1668:$AJ1668,"F",$W1669:$AJ1669)+SUMIF($W1668:$AJ1668,"V",$W1669:$AJ1669)-40&lt;0,0,SUMIF($W1668:$AJ1668,"",$W1669:$AJ1669)+SUMIF($W1668:$AJ1668,"F",$W1669:$AJ1669)+SUMIF($W1668:$AJ1668,"V",$W1669:$AJ1669)-($U$9/2))</f>
        <v>0</v>
      </c>
      <c r="AO1669" s="73">
        <f>SUMIF($G1668:$T1668,"M",$G1669:$T1669)+SUMIF($W1668:$AJ1668,"M",$W1669:$AJ1669)</f>
        <v>0</v>
      </c>
      <c r="AP1669" s="73">
        <f>SUMIF($G1668:$T1668,"F",$G1669:$T1669)+SUMIF($W1668:$AJ1668,"F",$W1669:$AJ1669)</f>
        <v>0</v>
      </c>
      <c r="AQ1669" s="73">
        <f>SUMIF($G1668:$T1668,"V",$G1669:$T1669)+SUMIF($W1668:$AJ1668,"V",$W1669:$AJ1669)</f>
        <v>8</v>
      </c>
      <c r="AR1669" s="74">
        <f>SUMIF($G1668:$T1668,"O",$G1669:$T1669)+SUMIF($W1668:$AJ1668,"O",$W1669:$AJ1669)</f>
        <v>0</v>
      </c>
      <c r="AS1669" s="75">
        <f>SUM(AM1669:AR1669)</f>
        <v>80</v>
      </c>
      <c r="AT1669" s="72"/>
      <c r="AU1669" s="73">
        <f>SUMIF($G1668:$T1668,"A",$G1669:$T1669)+SUMIF($W1668:$AJ1668,"A",$W1669:$AJ1669)</f>
        <v>0</v>
      </c>
      <c r="AV1669" s="72"/>
      <c r="AW1669" s="76">
        <f>IF(B1669="",0,IF($U$9="",0,$U$9))</f>
        <v>80</v>
      </c>
      <c r="BA1669" s="2"/>
      <c r="BB1669" s="2"/>
      <c r="BC1669" s="101"/>
      <c r="BD1669" s="101"/>
    </row>
    <row r="1670" spans="2:56" s="84" customFormat="1" x14ac:dyDescent="0.35">
      <c r="B1670" s="26"/>
      <c r="C1670" s="27"/>
      <c r="D1670" s="28" t="str">
        <f>IF(D1596="","",D1596)</f>
        <v/>
      </c>
      <c r="E1670" s="29" t="str">
        <f t="shared" si="644"/>
        <v/>
      </c>
      <c r="F1670" s="50">
        <f>B1637</f>
        <v>6</v>
      </c>
      <c r="G1670" s="59"/>
      <c r="H1670" s="64"/>
      <c r="I1670" s="106"/>
      <c r="J1670" s="105"/>
      <c r="K1670" s="106"/>
      <c r="L1670" s="105"/>
      <c r="M1670" s="106"/>
      <c r="N1670" s="105"/>
      <c r="O1670" s="106"/>
      <c r="P1670" s="105"/>
      <c r="Q1670" s="106"/>
      <c r="R1670" s="105"/>
      <c r="S1670" s="59"/>
      <c r="T1670" s="64"/>
      <c r="U1670" s="44"/>
      <c r="W1670" s="59"/>
      <c r="X1670" s="64"/>
      <c r="Y1670" s="106"/>
      <c r="Z1670" s="105"/>
      <c r="AA1670" s="106"/>
      <c r="AB1670" s="105"/>
      <c r="AC1670" s="106"/>
      <c r="AD1670" s="105"/>
      <c r="AE1670" s="106"/>
      <c r="AF1670" s="105"/>
      <c r="AG1670" s="106"/>
      <c r="AH1670" s="105"/>
      <c r="AI1670" s="59"/>
      <c r="AJ1670" s="64"/>
      <c r="AK1670" s="44"/>
      <c r="AM1670" s="49"/>
      <c r="AN1670" s="49"/>
      <c r="AO1670" s="49"/>
      <c r="AP1670" s="49"/>
      <c r="AQ1670" s="49"/>
      <c r="AR1670" s="40"/>
      <c r="AS1670" s="51"/>
      <c r="AU1670" s="49"/>
      <c r="AW1670" s="52"/>
      <c r="BA1670" s="2"/>
      <c r="BB1670" s="2"/>
      <c r="BC1670" s="101"/>
      <c r="BD1670" s="101"/>
    </row>
    <row r="1671" spans="2:56" s="84" customFormat="1" x14ac:dyDescent="0.35">
      <c r="B1671" s="30" t="str">
        <f>IF(B1597="","",B1597)</f>
        <v/>
      </c>
      <c r="C1671" s="31"/>
      <c r="D1671" s="32"/>
      <c r="E1671" s="33" t="str">
        <f t="shared" si="644"/>
        <v/>
      </c>
      <c r="F1671" s="50">
        <f>B1637</f>
        <v>6</v>
      </c>
      <c r="G1671" s="69"/>
      <c r="H1671" s="70"/>
      <c r="I1671" s="104"/>
      <c r="J1671" s="103"/>
      <c r="K1671" s="104"/>
      <c r="L1671" s="103"/>
      <c r="M1671" s="104"/>
      <c r="N1671" s="103"/>
      <c r="O1671" s="104"/>
      <c r="P1671" s="103"/>
      <c r="Q1671" s="104"/>
      <c r="R1671" s="103"/>
      <c r="S1671" s="69"/>
      <c r="T1671" s="70"/>
      <c r="U1671" s="71">
        <f t="shared" ref="U1671" si="658">SUM(G1671:T1671)</f>
        <v>0</v>
      </c>
      <c r="V1671" s="72"/>
      <c r="W1671" s="69"/>
      <c r="X1671" s="70"/>
      <c r="Y1671" s="104"/>
      <c r="Z1671" s="103"/>
      <c r="AA1671" s="104"/>
      <c r="AB1671" s="103"/>
      <c r="AC1671" s="104"/>
      <c r="AD1671" s="103"/>
      <c r="AE1671" s="104"/>
      <c r="AF1671" s="103"/>
      <c r="AG1671" s="104"/>
      <c r="AH1671" s="103"/>
      <c r="AI1671" s="69"/>
      <c r="AJ1671" s="70"/>
      <c r="AK1671" s="71">
        <f>SUM(W1671:AJ1671)</f>
        <v>0</v>
      </c>
      <c r="AL1671" s="72"/>
      <c r="AM1671" s="73">
        <f>SUMIF($G1670:$T1670,"",$G1671:$T1671)+SUMIF($W1670:$AJ1670,"",$W1671:$AJ1671)-AN1671</f>
        <v>0</v>
      </c>
      <c r="AN1671" s="88">
        <f>IF(SUMIF($G1670:$T1670,"",$G1671:$T1671)+SUMIF($G1670:$T1670,"F",$G1671:$T1671)+SUMIF($G1670:$T1670,"V",$G1671:$T1671)-40&lt;0,0,SUMIF($G1670:$T1670,"",$G1671:$T1671)+SUMIF($G1670:$T1670,"F",$G1671:$T1671)+SUMIF($G1670:$T1670,"V",$G1671:$T1671)-($U$9/2))+IF(SUMIF($W1670:$AJ1670,"",$W1671:$AJ1671)+SUMIF($W1670:$AJ1670,"F",$W1671:$AJ1671)+SUMIF($W1670:$AJ1670,"V",$W1671:$AJ1671)-40&lt;0,0,SUMIF($W1670:$AJ1670,"",$W1671:$AJ1671)+SUMIF($W1670:$AJ1670,"F",$W1671:$AJ1671)+SUMIF($W1670:$AJ1670,"V",$W1671:$AJ1671)-($U$9/2))</f>
        <v>0</v>
      </c>
      <c r="AO1671" s="73">
        <f>SUMIF($G1670:$T1670,"M",$G1671:$T1671)+SUMIF($W1670:$AJ1670,"M",$W1671:$AJ1671)</f>
        <v>0</v>
      </c>
      <c r="AP1671" s="73">
        <f>SUMIF($G1670:$T1670,"F",$G1671:$T1671)+SUMIF($W1670:$AJ1670,"F",$W1671:$AJ1671)</f>
        <v>0</v>
      </c>
      <c r="AQ1671" s="73">
        <f>SUMIF($G1670:$T1670,"V",$G1671:$T1671)+SUMIF($W1670:$AJ1670,"V",$W1671:$AJ1671)</f>
        <v>0</v>
      </c>
      <c r="AR1671" s="74">
        <f>SUMIF($G1670:$T1670,"O",$G1671:$T1671)+SUMIF($W1670:$AJ1670,"O",$W1671:$AJ1671)</f>
        <v>0</v>
      </c>
      <c r="AS1671" s="75">
        <f>SUM(AM1671:AR1671)</f>
        <v>0</v>
      </c>
      <c r="AT1671" s="72"/>
      <c r="AU1671" s="73">
        <f>SUMIF($G1670:$T1670,"A",$G1671:$T1671)+SUMIF($W1670:$AJ1670,"A",$W1671:$AJ1671)</f>
        <v>0</v>
      </c>
      <c r="AV1671" s="72"/>
      <c r="AW1671" s="76">
        <f>IF(B1671="",0,IF($U$9="",0,$U$9))</f>
        <v>0</v>
      </c>
      <c r="BA1671" s="2"/>
      <c r="BB1671" s="2"/>
      <c r="BC1671" s="101"/>
      <c r="BD1671" s="101"/>
    </row>
    <row r="1672" spans="2:56" s="84" customFormat="1" x14ac:dyDescent="0.35">
      <c r="B1672" s="26"/>
      <c r="C1672" s="27"/>
      <c r="D1672" s="28">
        <f>IF(D1598="","",D1598)</f>
        <v>11792</v>
      </c>
      <c r="E1672" s="29" t="str">
        <f t="shared" si="644"/>
        <v/>
      </c>
      <c r="F1672" s="50">
        <f>B1637</f>
        <v>6</v>
      </c>
      <c r="G1672" s="59"/>
      <c r="H1672" s="64"/>
      <c r="I1672" s="106"/>
      <c r="J1672" s="105"/>
      <c r="K1672" s="106"/>
      <c r="L1672" s="105"/>
      <c r="M1672" s="106"/>
      <c r="N1672" s="105"/>
      <c r="O1672" s="106"/>
      <c r="P1672" s="105"/>
      <c r="Q1672" s="106"/>
      <c r="R1672" s="105"/>
      <c r="S1672" s="59"/>
      <c r="T1672" s="64"/>
      <c r="U1672" s="44"/>
      <c r="W1672" s="59"/>
      <c r="X1672" s="64"/>
      <c r="Y1672" s="106"/>
      <c r="Z1672" s="105"/>
      <c r="AA1672" s="106"/>
      <c r="AB1672" s="105"/>
      <c r="AC1672" s="106"/>
      <c r="AD1672" s="105"/>
      <c r="AE1672" s="106"/>
      <c r="AF1672" s="105"/>
      <c r="AG1672" s="106"/>
      <c r="AH1672" s="105"/>
      <c r="AI1672" s="59"/>
      <c r="AJ1672" s="64"/>
      <c r="AK1672" s="44"/>
      <c r="AM1672" s="49"/>
      <c r="AN1672" s="49"/>
      <c r="AO1672" s="49"/>
      <c r="AP1672" s="49"/>
      <c r="AQ1672" s="49"/>
      <c r="AR1672" s="40"/>
      <c r="AS1672" s="51"/>
      <c r="AU1672" s="49"/>
      <c r="AW1672" s="52"/>
      <c r="BA1672" s="2"/>
      <c r="BB1672" s="2"/>
      <c r="BC1672" s="101"/>
      <c r="BD1672" s="101"/>
    </row>
    <row r="1673" spans="2:56" s="84" customFormat="1" x14ac:dyDescent="0.35">
      <c r="B1673" s="30" t="str">
        <f>IF(B1599="","",B1599)</f>
        <v>Pellerin, Pierre</v>
      </c>
      <c r="C1673" s="31"/>
      <c r="D1673" s="32"/>
      <c r="E1673" s="33">
        <f t="shared" si="644"/>
        <v>93595935</v>
      </c>
      <c r="F1673" s="50">
        <f>B1637</f>
        <v>6</v>
      </c>
      <c r="G1673" s="69"/>
      <c r="H1673" s="70"/>
      <c r="I1673" s="104"/>
      <c r="J1673" s="103">
        <v>8</v>
      </c>
      <c r="K1673" s="104"/>
      <c r="L1673" s="103">
        <v>8</v>
      </c>
      <c r="M1673" s="104"/>
      <c r="N1673" s="103">
        <v>8</v>
      </c>
      <c r="O1673" s="104"/>
      <c r="P1673" s="103">
        <v>8</v>
      </c>
      <c r="Q1673" s="104"/>
      <c r="R1673" s="103">
        <v>8</v>
      </c>
      <c r="S1673" s="69"/>
      <c r="T1673" s="70"/>
      <c r="U1673" s="71">
        <f t="shared" ref="U1673" si="659">SUM(G1673:T1673)</f>
        <v>40</v>
      </c>
      <c r="V1673" s="72"/>
      <c r="W1673" s="69"/>
      <c r="X1673" s="70"/>
      <c r="Y1673" s="104"/>
      <c r="Z1673" s="103">
        <v>8</v>
      </c>
      <c r="AA1673" s="104"/>
      <c r="AB1673" s="103">
        <v>8</v>
      </c>
      <c r="AC1673" s="104"/>
      <c r="AD1673" s="103">
        <v>8</v>
      </c>
      <c r="AE1673" s="104"/>
      <c r="AF1673" s="103">
        <v>8</v>
      </c>
      <c r="AG1673" s="104"/>
      <c r="AH1673" s="103">
        <v>8</v>
      </c>
      <c r="AI1673" s="69"/>
      <c r="AJ1673" s="70"/>
      <c r="AK1673" s="71">
        <f>SUM(Z1673:AH1673)</f>
        <v>40</v>
      </c>
      <c r="AL1673" s="72"/>
      <c r="AM1673" s="73">
        <f>SUMIF($G1672:$T1672,"",$G1673:$T1673)+SUMIF($W1672:$AJ1672,"",$W1673:$AJ1673)-AN1673</f>
        <v>80</v>
      </c>
      <c r="AN1673" s="88">
        <f>IF(SUMIF($G1672:$T1672,"",$G1673:$T1673)+SUMIF($G1672:$T1672,"F",$G1673:$T1673)+SUMIF($G1672:$T1672,"V",$G1673:$T1673)-40&lt;0,0,SUMIF($G1672:$T1672,"",$G1673:$T1673)+SUMIF($G1672:$T1672,"F",$G1673:$T1673)+SUMIF($G1672:$T1672,"V",$G1673:$T1673)-($U$9/2))+IF(SUMIF($W1672:$AJ1672,"",$W1673:$AJ1673)+SUMIF($W1672:$AJ1672,"F",$W1673:$AJ1673)+SUMIF($W1672:$AJ1672,"V",$W1673:$AJ1673)-40&lt;0,0,SUMIF($W1672:$AJ1672,"",$W1673:$AJ1673)+SUMIF($W1672:$AJ1672,"F",$W1673:$AJ1673)+SUMIF($W1672:$AJ1672,"V",$W1673:$AJ1673)-($U$9/2))</f>
        <v>0</v>
      </c>
      <c r="AO1673" s="73">
        <f>SUMIF($G1672:$T1672,"M",$G1673:$T1673)+SUMIF($W1672:$AJ1672,"M",$W1673:$AJ1673)</f>
        <v>0</v>
      </c>
      <c r="AP1673" s="73">
        <f>SUMIF($G1672:$T1672,"F",$G1673:$T1673)+SUMIF($W1672:$AJ1672,"F",$W1673:$AJ1673)</f>
        <v>0</v>
      </c>
      <c r="AQ1673" s="73">
        <f>SUMIF($G1672:$T1672,"V",$G1673:$T1673)+SUMIF($W1672:$AJ1672,"V",$W1673:$AJ1673)</f>
        <v>0</v>
      </c>
      <c r="AR1673" s="74">
        <f>SUMIF($G1672:$T1672,"O",$G1673:$T1673)+SUMIF($W1672:$AJ1672,"O",$W1673:$AJ1673)</f>
        <v>0</v>
      </c>
      <c r="AS1673" s="75">
        <f>SUM(AM1673:AR1673)</f>
        <v>80</v>
      </c>
      <c r="AT1673" s="72"/>
      <c r="AU1673" s="73">
        <f>SUMIF($G1672:$T1672,"A",$G1673:$T1673)+SUMIF($W1672:$AJ1672,"A",$W1673:$AJ1673)</f>
        <v>0</v>
      </c>
      <c r="AV1673" s="72"/>
      <c r="AW1673" s="76">
        <f>IF(B1673="",0,IF($U$9="",0,$U$9))</f>
        <v>80</v>
      </c>
      <c r="BA1673" s="2"/>
      <c r="BB1673" s="2"/>
      <c r="BC1673" s="101"/>
      <c r="BD1673" s="101"/>
    </row>
    <row r="1674" spans="2:56" s="84" customFormat="1" x14ac:dyDescent="0.35">
      <c r="B1674" s="26"/>
      <c r="C1674" s="27"/>
      <c r="D1674" s="28">
        <f>IF(D1600="","",D1600)</f>
        <v>81043</v>
      </c>
      <c r="E1674" s="29" t="str">
        <f t="shared" si="644"/>
        <v/>
      </c>
      <c r="F1674" s="50">
        <f>B1637</f>
        <v>6</v>
      </c>
      <c r="G1674" s="59"/>
      <c r="H1674" s="64"/>
      <c r="I1674" s="106"/>
      <c r="J1674" s="105"/>
      <c r="K1674" s="106"/>
      <c r="L1674" s="105"/>
      <c r="M1674" s="106"/>
      <c r="N1674" s="105"/>
      <c r="O1674" s="106"/>
      <c r="P1674" s="105"/>
      <c r="Q1674" s="106"/>
      <c r="R1674" s="105"/>
      <c r="S1674" s="59"/>
      <c r="T1674" s="64"/>
      <c r="U1674" s="44"/>
      <c r="W1674" s="59"/>
      <c r="X1674" s="64"/>
      <c r="Y1674" s="106"/>
      <c r="Z1674" s="105"/>
      <c r="AA1674" s="106"/>
      <c r="AB1674" s="105"/>
      <c r="AC1674" s="106"/>
      <c r="AD1674" s="105"/>
      <c r="AE1674" s="106"/>
      <c r="AF1674" s="105"/>
      <c r="AG1674" s="106"/>
      <c r="AH1674" s="105"/>
      <c r="AI1674" s="59"/>
      <c r="AJ1674" s="64"/>
      <c r="AK1674" s="44"/>
      <c r="AM1674" s="49"/>
      <c r="AN1674" s="49"/>
      <c r="AO1674" s="49"/>
      <c r="AP1674" s="49"/>
      <c r="AQ1674" s="49"/>
      <c r="AR1674" s="40"/>
      <c r="AS1674" s="51"/>
      <c r="AU1674" s="49"/>
      <c r="AW1674" s="52"/>
      <c r="BA1674" s="2"/>
      <c r="BB1674" s="2"/>
      <c r="BC1674" s="101"/>
      <c r="BD1674" s="101"/>
    </row>
    <row r="1675" spans="2:56" s="84" customFormat="1" x14ac:dyDescent="0.35">
      <c r="B1675" s="30" t="str">
        <f>IF(B1601="","",B1601)</f>
        <v>Rodrigue, Frank</v>
      </c>
      <c r="C1675" s="31"/>
      <c r="D1675" s="32"/>
      <c r="E1675" s="33">
        <f t="shared" ref="E1675:E1691" si="660">IF(E1601="","",E1601)</f>
        <v>93545</v>
      </c>
      <c r="F1675" s="50">
        <f>B1637</f>
        <v>6</v>
      </c>
      <c r="G1675" s="69"/>
      <c r="H1675" s="70"/>
      <c r="I1675" s="104"/>
      <c r="J1675" s="103">
        <v>8</v>
      </c>
      <c r="K1675" s="104"/>
      <c r="L1675" s="103">
        <v>8</v>
      </c>
      <c r="M1675" s="104"/>
      <c r="N1675" s="103">
        <v>8</v>
      </c>
      <c r="O1675" s="104"/>
      <c r="P1675" s="103">
        <v>8</v>
      </c>
      <c r="Q1675" s="104"/>
      <c r="R1675" s="103">
        <v>8</v>
      </c>
      <c r="S1675" s="69"/>
      <c r="T1675" s="70"/>
      <c r="U1675" s="71">
        <f t="shared" ref="U1675" si="661">SUM(G1675:T1675)</f>
        <v>40</v>
      </c>
      <c r="V1675" s="72"/>
      <c r="W1675" s="69"/>
      <c r="X1675" s="70"/>
      <c r="Y1675" s="104"/>
      <c r="Z1675" s="103">
        <v>8</v>
      </c>
      <c r="AA1675" s="104"/>
      <c r="AB1675" s="103">
        <v>8</v>
      </c>
      <c r="AC1675" s="104"/>
      <c r="AD1675" s="103">
        <v>8</v>
      </c>
      <c r="AE1675" s="104"/>
      <c r="AF1675" s="103">
        <v>8</v>
      </c>
      <c r="AG1675" s="104"/>
      <c r="AH1675" s="103">
        <v>8</v>
      </c>
      <c r="AI1675" s="69"/>
      <c r="AJ1675" s="70"/>
      <c r="AK1675" s="71">
        <f>SUM(W1675:AJ1675)</f>
        <v>40</v>
      </c>
      <c r="AL1675" s="72"/>
      <c r="AM1675" s="73">
        <f>SUMIF($G1674:$T1674,"",$G1675:$T1675)+SUMIF($W1674:$AJ1674,"",$W1675:$AJ1675)-AN1675</f>
        <v>80</v>
      </c>
      <c r="AN1675" s="88">
        <f>IF(SUMIF($G1674:$T1674,"",$G1675:$T1675)+SUMIF($G1674:$T1674,"F",$G1675:$T1675)+SUMIF($G1674:$T1674,"V",$G1675:$T1675)-40&lt;0,0,SUMIF($G1674:$T1674,"",$G1675:$T1675)+SUMIF($G1674:$T1674,"F",$G1675:$T1675)+SUMIF($G1674:$T1674,"V",$G1675:$T1675)-($U$9/2))+IF(SUMIF($W1674:$AJ1674,"",$W1675:$AJ1675)+SUMIF($W1674:$AJ1674,"F",$W1675:$AJ1675)+SUMIF($W1674:$AJ1674,"V",$W1675:$AJ1675)-40&lt;0,0,SUMIF($W1674:$AJ1674,"",$W1675:$AJ1675)+SUMIF($W1674:$AJ1674,"F",$W1675:$AJ1675)+SUMIF($W1674:$AJ1674,"V",$W1675:$AJ1675)-($U$9/2))</f>
        <v>0</v>
      </c>
      <c r="AO1675" s="73">
        <f>SUMIF($G1674:$T1674,"M",$G1675:$T1675)+SUMIF($W1674:$AJ1674,"M",$W1675:$AJ1675)</f>
        <v>0</v>
      </c>
      <c r="AP1675" s="73">
        <f>SUMIF($G1674:$T1674,"F",$G1675:$T1675)+SUMIF($W1674:$AJ1674,"F",$W1675:$AJ1675)</f>
        <v>0</v>
      </c>
      <c r="AQ1675" s="73">
        <f>SUMIF($G1674:$T1674,"V",$G1675:$T1675)+SUMIF($W1674:$AJ1674,"V",$W1675:$AJ1675)</f>
        <v>0</v>
      </c>
      <c r="AR1675" s="74">
        <f>SUMIF($G1674:$T1674,"O",$G1675:$T1675)+SUMIF($W1674:$AJ1674,"O",$W1675:$AJ1675)</f>
        <v>0</v>
      </c>
      <c r="AS1675" s="75">
        <f>SUM(AM1675:AR1675)</f>
        <v>80</v>
      </c>
      <c r="AT1675" s="72"/>
      <c r="AU1675" s="73">
        <f>SUMIF($G1674:$T1674,"A",$G1675:$T1675)+SUMIF($W1674:$AJ1674,"A",$W1675:$AJ1675)</f>
        <v>0</v>
      </c>
      <c r="AV1675" s="72"/>
      <c r="AW1675" s="76">
        <f>IF(B1675="",0,IF($U$9="",0,$U$9))</f>
        <v>80</v>
      </c>
      <c r="BA1675" s="2"/>
      <c r="BB1675" s="2"/>
      <c r="BC1675" s="101"/>
      <c r="BD1675" s="101"/>
    </row>
    <row r="1676" spans="2:56" s="84" customFormat="1" x14ac:dyDescent="0.35">
      <c r="B1676" s="26"/>
      <c r="C1676" s="27"/>
      <c r="D1676" s="28">
        <f>IF(D1602="","",D1602)</f>
        <v>72673</v>
      </c>
      <c r="E1676" s="29" t="str">
        <f t="shared" si="660"/>
        <v/>
      </c>
      <c r="F1676" s="50">
        <f>B1637</f>
        <v>6</v>
      </c>
      <c r="G1676" s="59"/>
      <c r="H1676" s="64"/>
      <c r="I1676" s="106"/>
      <c r="J1676" s="105"/>
      <c r="K1676" s="106"/>
      <c r="L1676" s="105"/>
      <c r="M1676" s="106"/>
      <c r="N1676" s="105"/>
      <c r="O1676" s="106"/>
      <c r="P1676" s="105"/>
      <c r="Q1676" s="106"/>
      <c r="R1676" s="105"/>
      <c r="S1676" s="59"/>
      <c r="T1676" s="64"/>
      <c r="U1676" s="44"/>
      <c r="W1676" s="59"/>
      <c r="X1676" s="64"/>
      <c r="Y1676" s="106"/>
      <c r="Z1676" s="105"/>
      <c r="AA1676" s="106"/>
      <c r="AB1676" s="105"/>
      <c r="AC1676" s="106"/>
      <c r="AD1676" s="105"/>
      <c r="AE1676" s="106"/>
      <c r="AF1676" s="105"/>
      <c r="AG1676" s="106"/>
      <c r="AH1676" s="105"/>
      <c r="AI1676" s="59"/>
      <c r="AJ1676" s="64"/>
      <c r="AK1676" s="44"/>
      <c r="AM1676" s="49"/>
      <c r="AN1676" s="49"/>
      <c r="AO1676" s="49"/>
      <c r="AP1676" s="49"/>
      <c r="AQ1676" s="49"/>
      <c r="AR1676" s="40"/>
      <c r="AS1676" s="51"/>
      <c r="AU1676" s="49"/>
      <c r="AW1676" s="52"/>
      <c r="BA1676" s="2"/>
      <c r="BB1676" s="2"/>
      <c r="BC1676" s="101"/>
      <c r="BD1676" s="101"/>
    </row>
    <row r="1677" spans="2:56" s="84" customFormat="1" x14ac:dyDescent="0.35">
      <c r="B1677" s="30" t="str">
        <f>IF(B1603="","",B1603)</f>
        <v>St-Georges, Manuel (avance $2,000)</v>
      </c>
      <c r="C1677" s="31"/>
      <c r="D1677" s="32"/>
      <c r="E1677" s="33">
        <f t="shared" si="660"/>
        <v>93595935</v>
      </c>
      <c r="F1677" s="50">
        <f>B1637</f>
        <v>6</v>
      </c>
      <c r="G1677" s="69"/>
      <c r="H1677" s="70"/>
      <c r="I1677" s="104"/>
      <c r="J1677" s="103" t="s">
        <v>69</v>
      </c>
      <c r="K1677" s="104"/>
      <c r="L1677" s="103" t="s">
        <v>69</v>
      </c>
      <c r="M1677" s="104"/>
      <c r="N1677" s="103" t="s">
        <v>69</v>
      </c>
      <c r="O1677" s="104"/>
      <c r="P1677" s="103" t="s">
        <v>69</v>
      </c>
      <c r="Q1677" s="104"/>
      <c r="R1677" s="103" t="s">
        <v>69</v>
      </c>
      <c r="S1677" s="69"/>
      <c r="T1677" s="70"/>
      <c r="U1677" s="71">
        <f t="shared" ref="U1677" si="662">SUM(G1677:T1677)</f>
        <v>0</v>
      </c>
      <c r="V1677" s="72"/>
      <c r="W1677" s="69"/>
      <c r="X1677" s="70"/>
      <c r="Y1677" s="104"/>
      <c r="Z1677" s="103" t="s">
        <v>69</v>
      </c>
      <c r="AA1677" s="104"/>
      <c r="AB1677" s="103" t="s">
        <v>69</v>
      </c>
      <c r="AC1677" s="104"/>
      <c r="AD1677" s="103" t="s">
        <v>69</v>
      </c>
      <c r="AE1677" s="104"/>
      <c r="AF1677" s="103" t="s">
        <v>69</v>
      </c>
      <c r="AG1677" s="104"/>
      <c r="AH1677" s="103" t="s">
        <v>69</v>
      </c>
      <c r="AI1677" s="69"/>
      <c r="AJ1677" s="70"/>
      <c r="AK1677" s="71">
        <f>SUM(W1677:AJ1677)</f>
        <v>0</v>
      </c>
      <c r="AL1677" s="72"/>
      <c r="AM1677" s="73">
        <f>SUMIF($G1676:$T1676,"",$G1677:$T1677)+SUMIF($W1676:$AJ1676,"",$W1677:$AJ1677)-AN1677</f>
        <v>0</v>
      </c>
      <c r="AN1677" s="88">
        <f>IF(SUMIF($G1676:$T1676,"",$G1677:$T1677)+SUMIF($G1676:$T1676,"F",$G1677:$T1677)+SUMIF($G1676:$T1676,"V",$G1677:$T1677)-40&lt;0,0,SUMIF($G1676:$T1676,"",$G1677:$T1677)+SUMIF($G1676:$T1676,"F",$G1677:$T1677)+SUMIF($G1676:$T1676,"V",$G1677:$T1677)-($U$9/2))+IF(SUMIF($W1676:$AJ1676,"",$W1677:$AJ1677)+SUMIF($W1676:$AJ1676,"F",$W1677:$AJ1677)+SUMIF($W1676:$AJ1676,"V",$W1677:$AJ1677)-40&lt;0,0,SUMIF($W1676:$AJ1676,"",$W1677:$AJ1677)+SUMIF($W1676:$AJ1676,"F",$W1677:$AJ1677)+SUMIF($W1676:$AJ1676,"V",$W1677:$AJ1677)-($U$9/2))</f>
        <v>0</v>
      </c>
      <c r="AO1677" s="73">
        <f>SUMIF($G1676:$T1676,"M",$G1677:$T1677)+SUMIF($W1676:$AJ1676,"M",$W1677:$AJ1677)</f>
        <v>0</v>
      </c>
      <c r="AP1677" s="73">
        <f>SUMIF($G1676:$T1676,"F",$G1677:$T1677)+SUMIF($W1676:$AJ1676,"F",$W1677:$AJ1677)</f>
        <v>0</v>
      </c>
      <c r="AQ1677" s="73">
        <f>SUMIF($G1676:$T1676,"V",$G1677:$T1677)+SUMIF($W1676:$AJ1676,"V",$W1677:$AJ1677)</f>
        <v>0</v>
      </c>
      <c r="AR1677" s="74">
        <f>SUMIF($G1676:$T1676,"O",$G1677:$T1677)+SUMIF($W1676:$AJ1676,"O",$W1677:$AJ1677)</f>
        <v>0</v>
      </c>
      <c r="AS1677" s="75">
        <f>SUM(AM1677:AR1677)</f>
        <v>0</v>
      </c>
      <c r="AT1677" s="72"/>
      <c r="AU1677" s="73">
        <f>SUMIF($G1676:$T1676,"A",$G1677:$T1677)+SUMIF($W1676:$AJ1676,"A",$W1677:$AJ1677)</f>
        <v>0</v>
      </c>
      <c r="AV1677" s="72"/>
      <c r="AW1677" s="76">
        <f>IF(B1677="",0,IF($U$9="",0,$U$9))</f>
        <v>80</v>
      </c>
      <c r="BA1677" s="2"/>
      <c r="BB1677" s="2"/>
      <c r="BC1677" s="101"/>
      <c r="BD1677" s="101"/>
    </row>
    <row r="1678" spans="2:56" s="84" customFormat="1" x14ac:dyDescent="0.35">
      <c r="B1678" s="26"/>
      <c r="C1678" s="27"/>
      <c r="D1678" s="28" t="str">
        <f>IF(D1604="","",D1604)</f>
        <v/>
      </c>
      <c r="E1678" s="29" t="str">
        <f t="shared" si="660"/>
        <v/>
      </c>
      <c r="F1678" s="50">
        <f>B1637</f>
        <v>6</v>
      </c>
      <c r="G1678" s="59"/>
      <c r="H1678" s="64"/>
      <c r="I1678" s="106"/>
      <c r="J1678" s="105"/>
      <c r="K1678" s="106"/>
      <c r="L1678" s="105"/>
      <c r="M1678" s="106"/>
      <c r="N1678" s="105"/>
      <c r="O1678" s="106"/>
      <c r="P1678" s="105"/>
      <c r="Q1678" s="106"/>
      <c r="R1678" s="105"/>
      <c r="S1678" s="59"/>
      <c r="T1678" s="64"/>
      <c r="U1678" s="44"/>
      <c r="W1678" s="59"/>
      <c r="X1678" s="64"/>
      <c r="Y1678" s="106"/>
      <c r="Z1678" s="105"/>
      <c r="AA1678" s="106"/>
      <c r="AB1678" s="105"/>
      <c r="AC1678" s="106"/>
      <c r="AD1678" s="105"/>
      <c r="AE1678" s="106"/>
      <c r="AF1678" s="105"/>
      <c r="AG1678" s="106"/>
      <c r="AH1678" s="105"/>
      <c r="AI1678" s="59"/>
      <c r="AJ1678" s="64"/>
      <c r="AK1678" s="44"/>
      <c r="AM1678" s="49"/>
      <c r="AN1678" s="49"/>
      <c r="AO1678" s="49"/>
      <c r="AP1678" s="49"/>
      <c r="AQ1678" s="49"/>
      <c r="AR1678" s="40"/>
      <c r="AS1678" s="51"/>
      <c r="AU1678" s="49"/>
      <c r="AW1678" s="52"/>
      <c r="BA1678" s="2"/>
      <c r="BB1678" s="2"/>
      <c r="BC1678" s="101"/>
      <c r="BD1678" s="101"/>
    </row>
    <row r="1679" spans="2:56" s="84" customFormat="1" x14ac:dyDescent="0.35">
      <c r="B1679" s="30" t="str">
        <f>IF(B1605="","",B1605)</f>
        <v/>
      </c>
      <c r="C1679" s="31"/>
      <c r="D1679" s="32"/>
      <c r="E1679" s="33" t="str">
        <f t="shared" si="660"/>
        <v/>
      </c>
      <c r="F1679" s="50">
        <f>B1637</f>
        <v>6</v>
      </c>
      <c r="G1679" s="69"/>
      <c r="H1679" s="70"/>
      <c r="I1679" s="104"/>
      <c r="J1679" s="103"/>
      <c r="K1679" s="104"/>
      <c r="L1679" s="103"/>
      <c r="M1679" s="104"/>
      <c r="N1679" s="103"/>
      <c r="O1679" s="104"/>
      <c r="P1679" s="103"/>
      <c r="Q1679" s="104"/>
      <c r="R1679" s="103"/>
      <c r="S1679" s="69"/>
      <c r="T1679" s="70"/>
      <c r="U1679" s="71">
        <f t="shared" ref="U1679" si="663">SUM(G1679:T1679)</f>
        <v>0</v>
      </c>
      <c r="V1679" s="72"/>
      <c r="W1679" s="69"/>
      <c r="X1679" s="70"/>
      <c r="Y1679" s="104"/>
      <c r="Z1679" s="103"/>
      <c r="AA1679" s="104"/>
      <c r="AB1679" s="103"/>
      <c r="AC1679" s="104"/>
      <c r="AD1679" s="103"/>
      <c r="AE1679" s="104"/>
      <c r="AF1679" s="103"/>
      <c r="AG1679" s="104"/>
      <c r="AH1679" s="103"/>
      <c r="AI1679" s="69"/>
      <c r="AJ1679" s="70"/>
      <c r="AK1679" s="71">
        <f>SUM(W1679:AJ1679)</f>
        <v>0</v>
      </c>
      <c r="AL1679" s="72"/>
      <c r="AM1679" s="73">
        <f>SUMIF($G1678:$T1678,"",$G1679:$T1679)+SUMIF($W1678:$AJ1678,"",$W1679:$AJ1679)-AN1679</f>
        <v>0</v>
      </c>
      <c r="AN1679" s="88">
        <f>IF(SUMIF($G1678:$T1678,"",$G1679:$T1679)+SUMIF($G1678:$T1678,"F",$G1679:$T1679)+SUMIF($G1678:$T1678,"V",$G1679:$T1679)-40&lt;0,0,SUMIF($G1678:$T1678,"",$G1679:$T1679)+SUMIF($G1678:$T1678,"F",$G1679:$T1679)+SUMIF($G1678:$T1678,"V",$G1679:$T1679)-($U$9/2))+IF(SUMIF($W1678:$AJ1678,"",$W1679:$AJ1679)+SUMIF($W1678:$AJ1678,"F",$W1679:$AJ1679)+SUMIF($W1678:$AJ1678,"V",$W1679:$AJ1679)-40&lt;0,0,SUMIF($W1678:$AJ1678,"",$W1679:$AJ1679)+SUMIF($W1678:$AJ1678,"F",$W1679:$AJ1679)+SUMIF($W1678:$AJ1678,"V",$W1679:$AJ1679)-($U$9/2))</f>
        <v>0</v>
      </c>
      <c r="AO1679" s="73">
        <f>SUMIF($G1678:$T1678,"M",$G1679:$T1679)+SUMIF($W1678:$AJ1678,"M",$W1679:$AJ1679)</f>
        <v>0</v>
      </c>
      <c r="AP1679" s="73">
        <f>SUMIF($G1678:$T1678,"F",$G1679:$T1679)+SUMIF($W1678:$AJ1678,"F",$W1679:$AJ1679)</f>
        <v>0</v>
      </c>
      <c r="AQ1679" s="73">
        <f>SUMIF($G1678:$T1678,"V",$G1679:$T1679)+SUMIF($W1678:$AJ1678,"V",$W1679:$AJ1679)</f>
        <v>0</v>
      </c>
      <c r="AR1679" s="74">
        <f>SUMIF($G1678:$T1678,"O",$G1679:$T1679)+SUMIF($W1678:$AJ1678,"O",$W1679:$AJ1679)</f>
        <v>0</v>
      </c>
      <c r="AS1679" s="75">
        <f>SUM(AM1679:AR1679)</f>
        <v>0</v>
      </c>
      <c r="AT1679" s="72"/>
      <c r="AU1679" s="73">
        <f>SUMIF($G1678:$T1678,"A",$G1679:$T1679)+SUMIF($W1678:$AJ1678,"A",$W1679:$AJ1679)</f>
        <v>0</v>
      </c>
      <c r="AV1679" s="72"/>
      <c r="AW1679" s="76">
        <f>IF(B1679="",0,IF($U$9="",0,$U$9))</f>
        <v>0</v>
      </c>
      <c r="BA1679" s="2"/>
      <c r="BB1679" s="2"/>
      <c r="BC1679" s="101"/>
      <c r="BD1679" s="101"/>
    </row>
    <row r="1680" spans="2:56" s="84" customFormat="1" x14ac:dyDescent="0.35">
      <c r="B1680" s="26"/>
      <c r="C1680" s="27"/>
      <c r="D1680" s="28">
        <f>IF(D1606="","",D1606)</f>
        <v>23736</v>
      </c>
      <c r="E1680" s="29" t="str">
        <f t="shared" si="660"/>
        <v/>
      </c>
      <c r="F1680" s="50">
        <f>B1637</f>
        <v>6</v>
      </c>
      <c r="G1680" s="59"/>
      <c r="H1680" s="64"/>
      <c r="I1680" s="106"/>
      <c r="J1680" s="105"/>
      <c r="K1680" s="106"/>
      <c r="L1680" s="105"/>
      <c r="M1680" s="106"/>
      <c r="N1680" s="105"/>
      <c r="O1680" s="106"/>
      <c r="P1680" s="105"/>
      <c r="Q1680" s="106"/>
      <c r="R1680" s="105"/>
      <c r="S1680" s="59"/>
      <c r="T1680" s="64"/>
      <c r="U1680" s="44"/>
      <c r="W1680" s="59"/>
      <c r="X1680" s="64"/>
      <c r="Y1680" s="106"/>
      <c r="Z1680" s="105" t="s">
        <v>2</v>
      </c>
      <c r="AA1680" s="106"/>
      <c r="AB1680" s="105" t="s">
        <v>2</v>
      </c>
      <c r="AC1680" s="106"/>
      <c r="AD1680" s="105" t="s">
        <v>2</v>
      </c>
      <c r="AE1680" s="106"/>
      <c r="AF1680" s="105" t="s">
        <v>2</v>
      </c>
      <c r="AG1680" s="106"/>
      <c r="AH1680" s="105" t="s">
        <v>2</v>
      </c>
      <c r="AI1680" s="59"/>
      <c r="AJ1680" s="64"/>
      <c r="AK1680" s="44"/>
      <c r="AM1680" s="49"/>
      <c r="AN1680" s="49"/>
      <c r="AO1680" s="49"/>
      <c r="AP1680" s="49"/>
      <c r="AQ1680" s="49"/>
      <c r="AR1680" s="40"/>
      <c r="AS1680" s="51"/>
      <c r="AU1680" s="49"/>
      <c r="AW1680" s="52"/>
      <c r="BA1680" s="2"/>
      <c r="BB1680" s="2"/>
      <c r="BC1680" s="101"/>
      <c r="BD1680" s="101"/>
    </row>
    <row r="1681" spans="1:56" s="84" customFormat="1" x14ac:dyDescent="0.35">
      <c r="B1681" s="30" t="str">
        <f>IF(B1607="","",B1607)</f>
        <v>Voster, Jean-Michel</v>
      </c>
      <c r="C1681" s="31"/>
      <c r="D1681" s="32"/>
      <c r="E1681" s="33">
        <f t="shared" si="660"/>
        <v>93545</v>
      </c>
      <c r="F1681" s="50">
        <f>B1637</f>
        <v>6</v>
      </c>
      <c r="G1681" s="69"/>
      <c r="H1681" s="70"/>
      <c r="I1681" s="104"/>
      <c r="J1681" s="103">
        <v>7.75</v>
      </c>
      <c r="K1681" s="104"/>
      <c r="L1681" s="103">
        <v>7.75</v>
      </c>
      <c r="M1681" s="104"/>
      <c r="N1681" s="103">
        <v>8.5</v>
      </c>
      <c r="O1681" s="104"/>
      <c r="P1681" s="103">
        <v>7.75</v>
      </c>
      <c r="Q1681" s="104"/>
      <c r="R1681" s="103">
        <v>7.75</v>
      </c>
      <c r="S1681" s="69"/>
      <c r="T1681" s="70"/>
      <c r="U1681" s="71">
        <f t="shared" ref="U1681" si="664">SUM(G1681:T1681)</f>
        <v>39.5</v>
      </c>
      <c r="V1681" s="72"/>
      <c r="W1681" s="69"/>
      <c r="X1681" s="70"/>
      <c r="Y1681" s="104"/>
      <c r="Z1681" s="103">
        <v>0</v>
      </c>
      <c r="AA1681" s="104"/>
      <c r="AB1681" s="103">
        <v>0</v>
      </c>
      <c r="AC1681" s="104"/>
      <c r="AD1681" s="103">
        <v>0</v>
      </c>
      <c r="AE1681" s="104"/>
      <c r="AF1681" s="103">
        <v>0</v>
      </c>
      <c r="AG1681" s="104"/>
      <c r="AH1681" s="103">
        <v>0</v>
      </c>
      <c r="AI1681" s="69"/>
      <c r="AJ1681" s="70"/>
      <c r="AK1681" s="71">
        <f>SUM(W1681:AJ1681)</f>
        <v>0</v>
      </c>
      <c r="AL1681" s="72"/>
      <c r="AM1681" s="73">
        <f>SUMIF($G1680:$T1680,"",$G1681:$T1681)+SUMIF($W1680:$AJ1680,"",$W1681:$AJ1681)-AN1681</f>
        <v>39.5</v>
      </c>
      <c r="AN1681" s="88">
        <f>IF(SUMIF($G1680:$T1680,"",$G1681:$T1681)+SUMIF($G1680:$T1680,"F",$G1681:$T1681)+SUMIF($G1680:$T1680,"V",$G1681:$T1681)-40&lt;0,0,SUMIF($G1680:$T1680,"",$G1681:$T1681)+SUMIF($G1680:$T1680,"F",$G1681:$T1681)+SUMIF($G1680:$T1680,"V",$G1681:$T1681)-($U$9/2))+IF(SUMIF($W1680:$AJ1680,"",$W1681:$AJ1681)+SUMIF($W1680:$AJ1680,"F",$W1681:$AJ1681)+SUMIF($W1680:$AJ1680,"V",$W1681:$AJ1681)-40&lt;0,0,SUMIF($W1680:$AJ1680,"",$W1681:$AJ1681)+SUMIF($W1680:$AJ1680,"F",$W1681:$AJ1681)+SUMIF($W1680:$AJ1680,"V",$W1681:$AJ1681)-($U$9/2))</f>
        <v>0</v>
      </c>
      <c r="AO1681" s="73">
        <f>SUMIF($G1680:$T1680,"M",$G1681:$T1681)+SUMIF($W1680:$AJ1680,"M",$W1681:$AJ1681)</f>
        <v>0</v>
      </c>
      <c r="AP1681" s="73">
        <f>SUMIF($G1680:$T1680,"F",$G1681:$T1681)+SUMIF($W1680:$AJ1680,"F",$W1681:$AJ1681)</f>
        <v>0</v>
      </c>
      <c r="AQ1681" s="73">
        <f>SUMIF($G1680:$T1680,"V",$G1681:$T1681)+SUMIF($W1680:$AJ1680,"V",$W1681:$AJ1681)</f>
        <v>0</v>
      </c>
      <c r="AR1681" s="74">
        <f>SUMIF($G1680:$T1680,"O",$G1681:$T1681)+SUMIF($W1680:$AJ1680,"O",$W1681:$AJ1681)</f>
        <v>0</v>
      </c>
      <c r="AS1681" s="75">
        <f>SUM(AM1681:AR1681)</f>
        <v>39.5</v>
      </c>
      <c r="AT1681" s="72"/>
      <c r="AU1681" s="73">
        <f>SUMIF($G1680:$T1680,"A",$G1681:$T1681)+SUMIF($W1680:$AJ1680,"A",$W1681:$AJ1681)</f>
        <v>0</v>
      </c>
      <c r="AV1681" s="72"/>
      <c r="AW1681" s="76">
        <f>IF(B1681="",0,IF($U$9="",0,$U$9))</f>
        <v>80</v>
      </c>
      <c r="BA1681" s="2"/>
      <c r="BB1681" s="2"/>
      <c r="BC1681" s="101"/>
      <c r="BD1681" s="101"/>
    </row>
    <row r="1682" spans="1:56" s="53" customFormat="1" ht="15" customHeight="1" x14ac:dyDescent="0.35">
      <c r="A1682" s="84"/>
      <c r="B1682" s="26"/>
      <c r="C1682" s="27"/>
      <c r="D1682" s="28" t="str">
        <f>IF(D1608="","",D1608)</f>
        <v/>
      </c>
      <c r="E1682" s="29" t="str">
        <f t="shared" si="660"/>
        <v/>
      </c>
      <c r="F1682" s="50">
        <f>B1637</f>
        <v>6</v>
      </c>
      <c r="G1682" s="59"/>
      <c r="H1682" s="64"/>
      <c r="I1682" s="106"/>
      <c r="J1682" s="105"/>
      <c r="K1682" s="106"/>
      <c r="L1682" s="105"/>
      <c r="M1682" s="106"/>
      <c r="N1682" s="105"/>
      <c r="O1682" s="106"/>
      <c r="P1682" s="105"/>
      <c r="Q1682" s="106"/>
      <c r="R1682" s="105"/>
      <c r="S1682" s="59"/>
      <c r="T1682" s="64"/>
      <c r="U1682" s="44"/>
      <c r="V1682" s="84"/>
      <c r="W1682" s="59"/>
      <c r="X1682" s="64"/>
      <c r="Y1682" s="106"/>
      <c r="Z1682" s="105"/>
      <c r="AA1682" s="106"/>
      <c r="AB1682" s="105"/>
      <c r="AC1682" s="106"/>
      <c r="AD1682" s="105"/>
      <c r="AE1682" s="106"/>
      <c r="AF1682" s="105"/>
      <c r="AG1682" s="106"/>
      <c r="AH1682" s="105"/>
      <c r="AI1682" s="59"/>
      <c r="AJ1682" s="64"/>
      <c r="AK1682" s="44"/>
      <c r="AL1682" s="84"/>
      <c r="AM1682" s="49"/>
      <c r="AN1682" s="49"/>
      <c r="AO1682" s="49"/>
      <c r="AP1682" s="49"/>
      <c r="AQ1682" s="49"/>
      <c r="AR1682" s="40"/>
      <c r="AS1682" s="51"/>
      <c r="AT1682" s="84"/>
      <c r="AU1682" s="49"/>
      <c r="AV1682" s="84"/>
      <c r="AW1682" s="52"/>
      <c r="AX1682" s="84"/>
      <c r="BA1682" s="2"/>
      <c r="BB1682" s="2"/>
      <c r="BC1682" s="101"/>
      <c r="BD1682" s="101"/>
    </row>
    <row r="1683" spans="1:56" s="57" customFormat="1" ht="15" customHeight="1" x14ac:dyDescent="0.35">
      <c r="A1683" s="84"/>
      <c r="B1683" s="30" t="str">
        <f>IF(B1609="","",B1609)</f>
        <v/>
      </c>
      <c r="C1683" s="31"/>
      <c r="D1683" s="32"/>
      <c r="E1683" s="33" t="str">
        <f t="shared" si="660"/>
        <v/>
      </c>
      <c r="F1683" s="50">
        <f>B1637</f>
        <v>6</v>
      </c>
      <c r="G1683" s="69"/>
      <c r="H1683" s="70"/>
      <c r="I1683" s="104"/>
      <c r="J1683" s="103"/>
      <c r="K1683" s="104"/>
      <c r="L1683" s="103"/>
      <c r="M1683" s="104"/>
      <c r="N1683" s="103"/>
      <c r="O1683" s="104"/>
      <c r="P1683" s="103"/>
      <c r="Q1683" s="104"/>
      <c r="R1683" s="103"/>
      <c r="S1683" s="69"/>
      <c r="T1683" s="70"/>
      <c r="U1683" s="71">
        <f t="shared" ref="U1683" si="665">SUM(G1683:T1683)</f>
        <v>0</v>
      </c>
      <c r="V1683" s="72"/>
      <c r="W1683" s="69"/>
      <c r="X1683" s="70"/>
      <c r="Y1683" s="104"/>
      <c r="Z1683" s="103"/>
      <c r="AA1683" s="104"/>
      <c r="AB1683" s="103"/>
      <c r="AC1683" s="104"/>
      <c r="AD1683" s="103"/>
      <c r="AE1683" s="104"/>
      <c r="AF1683" s="103"/>
      <c r="AG1683" s="104"/>
      <c r="AH1683" s="103"/>
      <c r="AI1683" s="69"/>
      <c r="AJ1683" s="70"/>
      <c r="AK1683" s="71">
        <f>SUM(W1683:AJ1683)</f>
        <v>0</v>
      </c>
      <c r="AL1683" s="72"/>
      <c r="AM1683" s="73">
        <f>SUMIF($G1682:$T1682,"",$G1683:$T1683)+SUMIF($W1682:$AJ1682,"",$W1683:$AJ1683)-AN1683</f>
        <v>0</v>
      </c>
      <c r="AN1683" s="88">
        <f>IF(SUMIF($G1682:$T1682,"",$G1683:$T1683)+SUMIF($G1682:$T1682,"F",$G1683:$T1683)+SUMIF($G1682:$T1682,"V",$G1683:$T1683)-40&lt;0,0,SUMIF($G1682:$T1682,"",$G1683:$T1683)+SUMIF($G1682:$T1682,"F",$G1683:$T1683)+SUMIF($G1682:$T1682,"V",$G1683:$T1683)-($U$9/2))+IF(SUMIF($W1682:$AJ1682,"",$W1683:$AJ1683)+SUMIF($W1682:$AJ1682,"F",$W1683:$AJ1683)+SUMIF($W1682:$AJ1682,"V",$W1683:$AJ1683)-40&lt;0,0,SUMIF($W1682:$AJ1682,"",$W1683:$AJ1683)+SUMIF($W1682:$AJ1682,"F",$W1683:$AJ1683)+SUMIF($W1682:$AJ1682,"V",$W1683:$AJ1683)-($U$9/2))</f>
        <v>0</v>
      </c>
      <c r="AO1683" s="73">
        <f>SUMIF($G1682:$T1682,"M",$G1683:$T1683)+SUMIF($W1682:$AJ1682,"M",$W1683:$AJ1683)</f>
        <v>0</v>
      </c>
      <c r="AP1683" s="73">
        <f>SUMIF($G1682:$T1682,"F",$G1683:$T1683)+SUMIF($W1682:$AJ1682,"F",$W1683:$AJ1683)</f>
        <v>0</v>
      </c>
      <c r="AQ1683" s="73">
        <f>SUMIF($G1682:$T1682,"V",$G1683:$T1683)+SUMIF($W1682:$AJ1682,"V",$W1683:$AJ1683)</f>
        <v>0</v>
      </c>
      <c r="AR1683" s="74">
        <f>SUMIF($G1682:$T1682,"O",$G1683:$T1683)+SUMIF($W1682:$AJ1682,"O",$W1683:$AJ1683)</f>
        <v>0</v>
      </c>
      <c r="AS1683" s="75">
        <f>SUM(AM1683:AR1683)</f>
        <v>0</v>
      </c>
      <c r="AT1683" s="72"/>
      <c r="AU1683" s="73">
        <f>SUMIF($G1682:$T1682,"A",$G1683:$T1683)+SUMIF($W1682:$AJ1682,"A",$W1683:$AJ1683)</f>
        <v>0</v>
      </c>
      <c r="AV1683" s="72"/>
      <c r="AW1683" s="76">
        <f>IF(B1683="",0,IF($U$9="",0,$U$9))</f>
        <v>0</v>
      </c>
      <c r="AX1683" s="84"/>
      <c r="BA1683" s="2"/>
      <c r="BB1683" s="2"/>
      <c r="BC1683" s="101"/>
      <c r="BD1683" s="101"/>
    </row>
    <row r="1684" spans="1:56" s="53" customFormat="1" ht="15" customHeight="1" x14ac:dyDescent="0.35">
      <c r="A1684" s="84"/>
      <c r="B1684" s="26"/>
      <c r="C1684" s="27"/>
      <c r="D1684" s="28">
        <f>IF(D1610="","",D1610)</f>
        <v>35135</v>
      </c>
      <c r="E1684" s="29" t="str">
        <f t="shared" si="660"/>
        <v/>
      </c>
      <c r="F1684" s="50">
        <f>B1637</f>
        <v>6</v>
      </c>
      <c r="G1684" s="59"/>
      <c r="H1684" s="64"/>
      <c r="I1684" s="106"/>
      <c r="J1684" s="105"/>
      <c r="K1684" s="106"/>
      <c r="L1684" s="105"/>
      <c r="M1684" s="106"/>
      <c r="N1684" s="105"/>
      <c r="O1684" s="106"/>
      <c r="P1684" s="105"/>
      <c r="Q1684" s="106"/>
      <c r="R1684" s="105"/>
      <c r="S1684" s="59"/>
      <c r="T1684" s="64"/>
      <c r="U1684" s="44"/>
      <c r="V1684" s="84"/>
      <c r="W1684" s="59"/>
      <c r="X1684" s="64"/>
      <c r="Y1684" s="106"/>
      <c r="Z1684" s="105"/>
      <c r="AA1684" s="106"/>
      <c r="AB1684" s="105"/>
      <c r="AC1684" s="106"/>
      <c r="AD1684" s="105"/>
      <c r="AE1684" s="106"/>
      <c r="AF1684" s="105"/>
      <c r="AG1684" s="106"/>
      <c r="AH1684" s="105"/>
      <c r="AI1684" s="59"/>
      <c r="AJ1684" s="64"/>
      <c r="AK1684" s="44"/>
      <c r="AL1684" s="84"/>
      <c r="AM1684" s="49"/>
      <c r="AN1684" s="49"/>
      <c r="AO1684" s="49"/>
      <c r="AP1684" s="49"/>
      <c r="AQ1684" s="49"/>
      <c r="AR1684" s="40"/>
      <c r="AS1684" s="51"/>
      <c r="AT1684" s="84"/>
      <c r="AU1684" s="49"/>
      <c r="AV1684" s="84"/>
      <c r="AW1684" s="52"/>
      <c r="AX1684" s="84"/>
      <c r="BA1684" s="2"/>
      <c r="BB1684" s="2"/>
      <c r="BC1684" s="101"/>
      <c r="BD1684" s="101"/>
    </row>
    <row r="1685" spans="1:56" s="53" customFormat="1" x14ac:dyDescent="0.35">
      <c r="A1685" s="84"/>
      <c r="B1685" s="30" t="str">
        <f>IF(B1611="","",B1611)</f>
        <v>Dupont,Catherine</v>
      </c>
      <c r="C1685" s="31"/>
      <c r="D1685" s="32"/>
      <c r="E1685" s="33">
        <f t="shared" si="660"/>
        <v>93545</v>
      </c>
      <c r="F1685" s="50">
        <f>B1637</f>
        <v>6</v>
      </c>
      <c r="G1685" s="69"/>
      <c r="H1685" s="70"/>
      <c r="I1685" s="104"/>
      <c r="J1685" s="103">
        <v>8</v>
      </c>
      <c r="K1685" s="104"/>
      <c r="L1685" s="103">
        <v>8.25</v>
      </c>
      <c r="M1685" s="104"/>
      <c r="N1685" s="103">
        <v>8.5</v>
      </c>
      <c r="O1685" s="104"/>
      <c r="P1685" s="103">
        <v>8</v>
      </c>
      <c r="Q1685" s="104"/>
      <c r="R1685" s="103">
        <v>8</v>
      </c>
      <c r="S1685" s="69"/>
      <c r="T1685" s="70"/>
      <c r="U1685" s="71">
        <f t="shared" ref="U1685" si="666">SUM(G1685:T1685)</f>
        <v>40.75</v>
      </c>
      <c r="V1685" s="72"/>
      <c r="W1685" s="69"/>
      <c r="X1685" s="70"/>
      <c r="Y1685" s="104"/>
      <c r="Z1685" s="103">
        <v>8</v>
      </c>
      <c r="AA1685" s="104"/>
      <c r="AB1685" s="103">
        <v>8</v>
      </c>
      <c r="AC1685" s="104"/>
      <c r="AD1685" s="103">
        <v>8</v>
      </c>
      <c r="AE1685" s="104"/>
      <c r="AF1685" s="103">
        <v>8</v>
      </c>
      <c r="AG1685" s="104"/>
      <c r="AH1685" s="103">
        <v>4</v>
      </c>
      <c r="AI1685" s="69"/>
      <c r="AJ1685" s="70"/>
      <c r="AK1685" s="71">
        <f>SUM(W1685:AJ1685)</f>
        <v>36</v>
      </c>
      <c r="AL1685" s="72"/>
      <c r="AM1685" s="73">
        <f>SUMIF($G1684:$T1684,"",$G1685:$T1685)+SUMIF($W1684:$AJ1684,"",$W1685:$AJ1685)-AN1685</f>
        <v>76</v>
      </c>
      <c r="AN1685" s="88">
        <f>IF(SUMIF($G1684:$T1684,"",$G1685:$T1685)+SUMIF($G1684:$T1684,"F",$G1685:$T1685)+SUMIF($G1684:$T1684,"V",$G1685:$T1685)-40&lt;0,0,SUMIF($G1684:$T1684,"",$G1685:$T1685)+SUMIF($G1684:$T1684,"F",$G1685:$T1685)+SUMIF($G1684:$T1684,"V",$G1685:$T1685)-($U$9/2))+IF(SUMIF($W1684:$AJ1684,"",$W1685:$AJ1685)+SUMIF($W1684:$AJ1684,"F",$W1685:$AJ1685)+SUMIF($W1684:$AJ1684,"V",$W1685:$AJ1685)-40&lt;0,0,SUMIF($W1684:$AJ1684,"",$W1685:$AJ1685)+SUMIF($W1684:$AJ1684,"F",$W1685:$AJ1685)+SUMIF($W1684:$AJ1684,"V",$W1685:$AJ1685)-($U$9/2))</f>
        <v>0.75</v>
      </c>
      <c r="AO1685" s="73">
        <f>SUMIF($G1684:$T1684,"M",$G1685:$T1685)+SUMIF($W1684:$AJ1684,"M",$W1685:$AJ1685)</f>
        <v>0</v>
      </c>
      <c r="AP1685" s="73">
        <f>SUMIF($G1684:$T1684,"F",$G1685:$T1685)+SUMIF($W1684:$AJ1684,"F",$W1685:$AJ1685)</f>
        <v>0</v>
      </c>
      <c r="AQ1685" s="73">
        <f>SUMIF($G1684:$T1684,"V",$G1685:$T1685)+SUMIF($W1684:$AJ1684,"V",$W1685:$AJ1685)</f>
        <v>0</v>
      </c>
      <c r="AR1685" s="74">
        <f>SUMIF($G1684:$T1684,"O",$G1685:$T1685)+SUMIF($W1684:$AJ1684,"O",$W1685:$AJ1685)</f>
        <v>0</v>
      </c>
      <c r="AS1685" s="75">
        <f>SUM(AM1685:AR1685)</f>
        <v>76.75</v>
      </c>
      <c r="AT1685" s="72"/>
      <c r="AU1685" s="73">
        <f>SUMIF($G1684:$T1684,"A",$G1685:$T1685)+SUMIF($W1684:$AJ1684,"A",$W1685:$AJ1685)</f>
        <v>0</v>
      </c>
      <c r="AV1685" s="72"/>
      <c r="AW1685" s="76">
        <f>IF(B1685="",0,IF($U$9="",0,$U$9))</f>
        <v>80</v>
      </c>
      <c r="AX1685" s="84"/>
      <c r="BA1685" s="2"/>
      <c r="BB1685" s="2"/>
      <c r="BC1685" s="101"/>
      <c r="BD1685" s="101"/>
    </row>
    <row r="1686" spans="1:56" s="53" customFormat="1" x14ac:dyDescent="0.35">
      <c r="A1686" s="84"/>
      <c r="B1686" s="26"/>
      <c r="C1686" s="27"/>
      <c r="D1686" s="28" t="str">
        <f>IF(D1612="","",D1612)</f>
        <v/>
      </c>
      <c r="E1686" s="29" t="str">
        <f t="shared" si="660"/>
        <v/>
      </c>
      <c r="F1686" s="50">
        <f>B1637</f>
        <v>6</v>
      </c>
      <c r="G1686" s="59"/>
      <c r="H1686" s="64"/>
      <c r="I1686" s="58"/>
      <c r="J1686" s="65"/>
      <c r="K1686" s="58"/>
      <c r="L1686" s="65"/>
      <c r="M1686" s="58"/>
      <c r="N1686" s="65"/>
      <c r="O1686" s="58"/>
      <c r="P1686" s="65"/>
      <c r="Q1686" s="58"/>
      <c r="R1686" s="65"/>
      <c r="S1686" s="59"/>
      <c r="T1686" s="64"/>
      <c r="U1686" s="44"/>
      <c r="V1686" s="84"/>
      <c r="W1686" s="59"/>
      <c r="X1686" s="64"/>
      <c r="Y1686" s="58"/>
      <c r="Z1686" s="65"/>
      <c r="AA1686" s="58"/>
      <c r="AB1686" s="65"/>
      <c r="AC1686" s="58"/>
      <c r="AD1686" s="65"/>
      <c r="AE1686" s="58"/>
      <c r="AF1686" s="65"/>
      <c r="AG1686" s="58"/>
      <c r="AH1686" s="65"/>
      <c r="AI1686" s="59"/>
      <c r="AJ1686" s="64"/>
      <c r="AK1686" s="44"/>
      <c r="AL1686" s="84"/>
      <c r="AM1686" s="49"/>
      <c r="AN1686" s="49"/>
      <c r="AO1686" s="49"/>
      <c r="AP1686" s="49"/>
      <c r="AQ1686" s="49"/>
      <c r="AR1686" s="40"/>
      <c r="AS1686" s="51"/>
      <c r="AT1686" s="84"/>
      <c r="AU1686" s="49"/>
      <c r="AV1686" s="84"/>
      <c r="AW1686" s="52"/>
      <c r="AX1686" s="84"/>
      <c r="BA1686" s="2"/>
      <c r="BB1686" s="2"/>
      <c r="BC1686" s="101"/>
      <c r="BD1686" s="101"/>
    </row>
    <row r="1687" spans="1:56" s="53" customFormat="1" x14ac:dyDescent="0.35">
      <c r="A1687" s="84"/>
      <c r="B1687" s="30" t="str">
        <f>IF(B1613="","",B1613)</f>
        <v/>
      </c>
      <c r="C1687" s="31"/>
      <c r="D1687" s="32"/>
      <c r="E1687" s="33" t="str">
        <f t="shared" si="660"/>
        <v/>
      </c>
      <c r="F1687" s="50">
        <f>B1637</f>
        <v>6</v>
      </c>
      <c r="G1687" s="69"/>
      <c r="H1687" s="70"/>
      <c r="I1687" s="67"/>
      <c r="J1687" s="68"/>
      <c r="K1687" s="67"/>
      <c r="L1687" s="68"/>
      <c r="M1687" s="67"/>
      <c r="N1687" s="68"/>
      <c r="O1687" s="67"/>
      <c r="P1687" s="68"/>
      <c r="Q1687" s="67"/>
      <c r="R1687" s="68"/>
      <c r="S1687" s="69"/>
      <c r="T1687" s="70"/>
      <c r="U1687" s="71">
        <f t="shared" ref="U1687" si="667">SUM(G1687:T1687)</f>
        <v>0</v>
      </c>
      <c r="V1687" s="72"/>
      <c r="W1687" s="69"/>
      <c r="X1687" s="70"/>
      <c r="Y1687" s="67"/>
      <c r="Z1687" s="68"/>
      <c r="AA1687" s="67"/>
      <c r="AB1687" s="68"/>
      <c r="AC1687" s="67"/>
      <c r="AD1687" s="68"/>
      <c r="AE1687" s="67"/>
      <c r="AF1687" s="68"/>
      <c r="AG1687" s="67"/>
      <c r="AH1687" s="68"/>
      <c r="AI1687" s="69"/>
      <c r="AJ1687" s="70"/>
      <c r="AK1687" s="71">
        <v>0</v>
      </c>
      <c r="AL1687" s="72"/>
      <c r="AM1687" s="73">
        <f>SUMIF($G1686:$T1686,"",$G1687:$T1687)+SUMIF($W1686:$AJ1686,"",$W1687:$AJ1687)-AN1687</f>
        <v>0</v>
      </c>
      <c r="AN1687" s="88">
        <f>IF(SUMIF($G1686:$T1686,"",$G1687:$T1687)+SUMIF($G1686:$T1686,"F",$G1687:$T1687)+SUMIF($G1686:$T1686,"V",$G1687:$T1687)-40&lt;0,0,SUMIF($G1686:$T1686,"",$G1687:$T1687)+SUMIF($G1686:$T1686,"F",$G1687:$T1687)+SUMIF($G1686:$T1686,"V",$G1687:$T1687)-($U$9/2))+IF(SUMIF($W1686:$AJ1686,"",$W1687:$AJ1687)+SUMIF($W1686:$AJ1686,"F",$W1687:$AJ1687)+SUMIF($W1686:$AJ1686,"V",$W1687:$AJ1687)-40&lt;0,0,SUMIF($W1686:$AJ1686,"",$W1687:$AJ1687)+SUMIF($W1686:$AJ1686,"F",$W1687:$AJ1687)+SUMIF($W1686:$AJ1686,"V",$W1687:$AJ1687)-($U$9/2))</f>
        <v>0</v>
      </c>
      <c r="AO1687" s="73">
        <f>SUMIF($G1686:$T1686,"M",$G1687:$T1687)+SUMIF($W1686:$AJ1686,"M",$W1687:$AJ1687)</f>
        <v>0</v>
      </c>
      <c r="AP1687" s="73">
        <f>SUMIF($G1686:$T1686,"F",$G1687:$T1687)+SUMIF($W1686:$AJ1686,"F",$W1687:$AJ1687)</f>
        <v>0</v>
      </c>
      <c r="AQ1687" s="73">
        <f>SUMIF($G1686:$T1686,"V",$G1687:$T1687)+SUMIF($W1686:$AJ1686,"V",$W1687:$AJ1687)</f>
        <v>0</v>
      </c>
      <c r="AR1687" s="74">
        <f>SUMIF($G1686:$T1686,"O",$G1687:$T1687)+SUMIF($W1686:$AJ1686,"O",$W1687:$AJ1687)</f>
        <v>0</v>
      </c>
      <c r="AS1687" s="75">
        <f>SUM(AM1687:AR1687)</f>
        <v>0</v>
      </c>
      <c r="AT1687" s="72"/>
      <c r="AU1687" s="73">
        <f>SUMIF($G1686:$T1686,"A",$G1687:$T1687)+SUMIF($W1686:$AJ1686,"A",$W1687:$AJ1687)</f>
        <v>0</v>
      </c>
      <c r="AV1687" s="72"/>
      <c r="AW1687" s="76">
        <f>IF(B1687="",0,IF($U$9="",0,$U$9))</f>
        <v>0</v>
      </c>
      <c r="AX1687" s="84"/>
      <c r="BA1687" s="2"/>
      <c r="BB1687" s="2"/>
      <c r="BC1687" s="101"/>
      <c r="BD1687" s="101"/>
    </row>
    <row r="1688" spans="1:56" s="53" customFormat="1" x14ac:dyDescent="0.35">
      <c r="A1688" s="84"/>
      <c r="B1688" s="26"/>
      <c r="C1688" s="27"/>
      <c r="D1688" s="28" t="str">
        <f>IF(D1614="","",D1614)</f>
        <v/>
      </c>
      <c r="E1688" s="29" t="str">
        <f t="shared" si="660"/>
        <v/>
      </c>
      <c r="F1688" s="50">
        <f>B1637</f>
        <v>6</v>
      </c>
      <c r="G1688" s="59"/>
      <c r="H1688" s="64"/>
      <c r="I1688" s="58"/>
      <c r="J1688" s="65"/>
      <c r="K1688" s="58"/>
      <c r="L1688" s="65"/>
      <c r="M1688" s="58"/>
      <c r="N1688" s="65"/>
      <c r="O1688" s="58"/>
      <c r="P1688" s="65"/>
      <c r="Q1688" s="58"/>
      <c r="R1688" s="65"/>
      <c r="S1688" s="59"/>
      <c r="T1688" s="64"/>
      <c r="U1688" s="44"/>
      <c r="V1688" s="84"/>
      <c r="W1688" s="59"/>
      <c r="X1688" s="64"/>
      <c r="Y1688" s="58"/>
      <c r="Z1688" s="65"/>
      <c r="AA1688" s="58"/>
      <c r="AB1688" s="65"/>
      <c r="AC1688" s="58"/>
      <c r="AD1688" s="65"/>
      <c r="AE1688" s="58"/>
      <c r="AF1688" s="65"/>
      <c r="AG1688" s="58"/>
      <c r="AH1688" s="65"/>
      <c r="AI1688" s="59"/>
      <c r="AJ1688" s="64"/>
      <c r="AK1688" s="44"/>
      <c r="AL1688" s="84"/>
      <c r="AM1688" s="49"/>
      <c r="AN1688" s="49"/>
      <c r="AO1688" s="49"/>
      <c r="AP1688" s="49"/>
      <c r="AQ1688" s="49"/>
      <c r="AR1688" s="40"/>
      <c r="AS1688" s="51"/>
      <c r="AT1688" s="84"/>
      <c r="AU1688" s="49"/>
      <c r="AV1688" s="84"/>
      <c r="AW1688" s="52"/>
      <c r="AX1688" s="84"/>
      <c r="BA1688" s="2"/>
      <c r="BB1688" s="2"/>
      <c r="BC1688" s="101"/>
      <c r="BD1688" s="101"/>
    </row>
    <row r="1689" spans="1:56" s="53" customFormat="1" x14ac:dyDescent="0.35">
      <c r="A1689" s="84"/>
      <c r="B1689" s="30" t="str">
        <f>IF(B1615="","",B1615)</f>
        <v/>
      </c>
      <c r="C1689" s="31"/>
      <c r="D1689" s="32"/>
      <c r="E1689" s="33" t="str">
        <f t="shared" si="660"/>
        <v/>
      </c>
      <c r="F1689" s="50">
        <f>B1637</f>
        <v>6</v>
      </c>
      <c r="G1689" s="69"/>
      <c r="H1689" s="70"/>
      <c r="I1689" s="67"/>
      <c r="J1689" s="68"/>
      <c r="K1689" s="67"/>
      <c r="L1689" s="68"/>
      <c r="M1689" s="67"/>
      <c r="N1689" s="68"/>
      <c r="O1689" s="67"/>
      <c r="P1689" s="68"/>
      <c r="Q1689" s="67"/>
      <c r="R1689" s="68"/>
      <c r="S1689" s="69"/>
      <c r="T1689" s="70"/>
      <c r="U1689" s="71">
        <f t="shared" ref="U1689" si="668">SUM(G1689:T1689)</f>
        <v>0</v>
      </c>
      <c r="V1689" s="72"/>
      <c r="W1689" s="69"/>
      <c r="X1689" s="70"/>
      <c r="Y1689" s="67"/>
      <c r="Z1689" s="68"/>
      <c r="AA1689" s="67"/>
      <c r="AB1689" s="68"/>
      <c r="AC1689" s="67"/>
      <c r="AD1689" s="68"/>
      <c r="AE1689" s="67"/>
      <c r="AF1689" s="68"/>
      <c r="AG1689" s="67"/>
      <c r="AH1689" s="68"/>
      <c r="AI1689" s="69"/>
      <c r="AJ1689" s="70"/>
      <c r="AK1689" s="71">
        <v>0</v>
      </c>
      <c r="AL1689" s="72"/>
      <c r="AM1689" s="73">
        <v>0</v>
      </c>
      <c r="AN1689" s="88">
        <v>0</v>
      </c>
      <c r="AO1689" s="73">
        <v>0</v>
      </c>
      <c r="AP1689" s="73">
        <v>0</v>
      </c>
      <c r="AQ1689" s="73">
        <v>0</v>
      </c>
      <c r="AR1689" s="74">
        <v>0</v>
      </c>
      <c r="AS1689" s="75">
        <v>0</v>
      </c>
      <c r="AT1689" s="72"/>
      <c r="AU1689" s="73">
        <f>SUMIF($G1688:$T1688,"A",$G1689:$T1689)+SUMIF($W1688:$AJ1688,"A",$W1689:$AJ1689)</f>
        <v>0</v>
      </c>
      <c r="AV1689" s="72"/>
      <c r="AW1689" s="76">
        <f>IF(B1689="",0,IF($U$9="",0,$U$9))</f>
        <v>0</v>
      </c>
      <c r="AX1689" s="84"/>
      <c r="BA1689" s="2"/>
      <c r="BB1689" s="2"/>
      <c r="BC1689" s="101"/>
      <c r="BD1689" s="101"/>
    </row>
    <row r="1690" spans="1:56" s="53" customFormat="1" x14ac:dyDescent="0.35">
      <c r="A1690" s="84"/>
      <c r="B1690" s="26"/>
      <c r="C1690" s="27"/>
      <c r="D1690" s="28" t="str">
        <f>IF(D1616="","",D1616)</f>
        <v/>
      </c>
      <c r="E1690" s="29" t="str">
        <f t="shared" si="660"/>
        <v/>
      </c>
      <c r="F1690" s="50">
        <f>B1637</f>
        <v>6</v>
      </c>
      <c r="G1690" s="59"/>
      <c r="H1690" s="64"/>
      <c r="I1690" s="58"/>
      <c r="J1690" s="65"/>
      <c r="K1690" s="58"/>
      <c r="L1690" s="65"/>
      <c r="M1690" s="58"/>
      <c r="N1690" s="65"/>
      <c r="O1690" s="58"/>
      <c r="P1690" s="65"/>
      <c r="Q1690" s="58"/>
      <c r="R1690" s="65"/>
      <c r="S1690" s="59"/>
      <c r="T1690" s="64"/>
      <c r="U1690" s="44"/>
      <c r="V1690" s="84"/>
      <c r="W1690" s="59"/>
      <c r="X1690" s="64"/>
      <c r="Y1690" s="58"/>
      <c r="Z1690" s="65"/>
      <c r="AA1690" s="58"/>
      <c r="AB1690" s="65"/>
      <c r="AC1690" s="58"/>
      <c r="AD1690" s="65"/>
      <c r="AE1690" s="58"/>
      <c r="AF1690" s="65"/>
      <c r="AG1690" s="58"/>
      <c r="AH1690" s="65"/>
      <c r="AI1690" s="59"/>
      <c r="AJ1690" s="64"/>
      <c r="AK1690" s="44"/>
      <c r="AL1690" s="84"/>
      <c r="AM1690" s="49"/>
      <c r="AN1690" s="49"/>
      <c r="AO1690" s="49"/>
      <c r="AP1690" s="49"/>
      <c r="AQ1690" s="49"/>
      <c r="AR1690" s="40"/>
      <c r="AS1690" s="51"/>
      <c r="AT1690" s="84"/>
      <c r="AU1690" s="49"/>
      <c r="AV1690" s="84"/>
      <c r="AW1690" s="52"/>
      <c r="AX1690" s="84"/>
      <c r="BA1690" s="2"/>
      <c r="BB1690" s="2"/>
      <c r="BC1690" s="101"/>
      <c r="BD1690" s="101"/>
    </row>
    <row r="1691" spans="1:56" s="53" customFormat="1" ht="15" thickBot="1" x14ac:dyDescent="0.4">
      <c r="A1691" s="84"/>
      <c r="B1691" s="30" t="str">
        <f>IF(B1617="","",B1617)</f>
        <v/>
      </c>
      <c r="C1691" s="31"/>
      <c r="D1691" s="32"/>
      <c r="E1691" s="33" t="str">
        <f t="shared" si="660"/>
        <v/>
      </c>
      <c r="F1691" s="50">
        <f>B1637</f>
        <v>6</v>
      </c>
      <c r="G1691" s="69"/>
      <c r="H1691" s="70"/>
      <c r="I1691" s="67"/>
      <c r="J1691" s="68"/>
      <c r="K1691" s="67"/>
      <c r="L1691" s="68"/>
      <c r="M1691" s="67"/>
      <c r="N1691" s="68"/>
      <c r="O1691" s="67"/>
      <c r="P1691" s="68"/>
      <c r="Q1691" s="67"/>
      <c r="R1691" s="68"/>
      <c r="S1691" s="69"/>
      <c r="T1691" s="70"/>
      <c r="U1691" s="71">
        <f t="shared" ref="U1691" si="669">SUM(G1691:T1691)</f>
        <v>0</v>
      </c>
      <c r="V1691" s="72"/>
      <c r="W1691" s="69"/>
      <c r="X1691" s="70"/>
      <c r="Y1691" s="67"/>
      <c r="Z1691" s="68"/>
      <c r="AA1691" s="67"/>
      <c r="AB1691" s="68"/>
      <c r="AC1691" s="67"/>
      <c r="AD1691" s="68"/>
      <c r="AE1691" s="67"/>
      <c r="AF1691" s="68"/>
      <c r="AG1691" s="67"/>
      <c r="AH1691" s="68"/>
      <c r="AI1691" s="69"/>
      <c r="AJ1691" s="70"/>
      <c r="AK1691" s="71">
        <v>0</v>
      </c>
      <c r="AL1691" s="72"/>
      <c r="AM1691" s="73">
        <v>0</v>
      </c>
      <c r="AN1691" s="88">
        <v>0</v>
      </c>
      <c r="AO1691" s="73">
        <v>0</v>
      </c>
      <c r="AP1691" s="73">
        <v>0</v>
      </c>
      <c r="AQ1691" s="73">
        <v>0</v>
      </c>
      <c r="AR1691" s="74">
        <v>0</v>
      </c>
      <c r="AS1691" s="75">
        <v>0</v>
      </c>
      <c r="AT1691" s="72"/>
      <c r="AU1691" s="73">
        <f>SUMIF($G1690:$T1690,"A",$G1691:$T1691)+SUMIF($W1690:$AJ1690,"A",$W1691:$AJ1691)</f>
        <v>0</v>
      </c>
      <c r="AV1691" s="72"/>
      <c r="AW1691" s="76">
        <f>IF(B1691="",0,IF($U$9="",0,$U$9))</f>
        <v>0</v>
      </c>
      <c r="AX1691" s="84"/>
      <c r="BA1691" s="2"/>
      <c r="BB1691" s="2"/>
      <c r="BC1691" s="101"/>
      <c r="BD1691" s="101"/>
    </row>
    <row r="1692" spans="1:56" s="53" customFormat="1" ht="27.75" customHeight="1" thickBot="1" x14ac:dyDescent="0.4">
      <c r="A1692" s="84"/>
      <c r="B1692" s="149" t="s">
        <v>7</v>
      </c>
      <c r="C1692" s="150"/>
      <c r="D1692" s="150"/>
      <c r="E1692" s="151"/>
      <c r="F1692" s="97"/>
      <c r="G1692" s="152">
        <f>SUM(G1642:H1691)</f>
        <v>0</v>
      </c>
      <c r="H1692" s="152"/>
      <c r="I1692" s="152">
        <f>SUM(I1642:J1691)</f>
        <v>120.75</v>
      </c>
      <c r="J1692" s="152"/>
      <c r="K1692" s="152">
        <f>SUM(K1642:L1691)</f>
        <v>120.5</v>
      </c>
      <c r="L1692" s="152"/>
      <c r="M1692" s="152">
        <f>SUM(M1642:N1691)</f>
        <v>116.75</v>
      </c>
      <c r="N1692" s="152"/>
      <c r="O1692" s="152">
        <f>SUM(O1642:P1691)</f>
        <v>120.75</v>
      </c>
      <c r="P1692" s="152"/>
      <c r="Q1692" s="152">
        <f>SUM(Q1642:R1691)</f>
        <v>120.75</v>
      </c>
      <c r="R1692" s="152"/>
      <c r="S1692" s="152">
        <f>SUM(S1642:T1691)</f>
        <v>0</v>
      </c>
      <c r="T1692" s="153"/>
      <c r="U1692" s="77">
        <f>SUM(U1642:U1691)</f>
        <v>599.5</v>
      </c>
      <c r="V1692" s="78"/>
      <c r="W1692" s="152">
        <f>SUM(W1642:X1691)</f>
        <v>0</v>
      </c>
      <c r="X1692" s="152"/>
      <c r="Y1692" s="152">
        <f>SUM(Y1642:Z1691)</f>
        <v>105.5</v>
      </c>
      <c r="Z1692" s="152"/>
      <c r="AA1692" s="152">
        <f>SUM(AA1642:AB1691)</f>
        <v>105.5</v>
      </c>
      <c r="AB1692" s="152"/>
      <c r="AC1692" s="152">
        <f>SUM(AC1642:AD1691)</f>
        <v>105.75</v>
      </c>
      <c r="AD1692" s="152"/>
      <c r="AE1692" s="152">
        <f>SUM(AE1642:AF1691)</f>
        <v>105.25</v>
      </c>
      <c r="AF1692" s="152"/>
      <c r="AG1692" s="152">
        <f>SUM(AG1642:AH1691)</f>
        <v>100.25</v>
      </c>
      <c r="AH1692" s="152"/>
      <c r="AI1692" s="152">
        <f>SUM(AI1642:AJ1691)</f>
        <v>0</v>
      </c>
      <c r="AJ1692" s="152"/>
      <c r="AK1692" s="77">
        <f>SUM(AK1642:AK1691)</f>
        <v>522.25</v>
      </c>
      <c r="AL1692" s="78"/>
      <c r="AM1692" s="79">
        <f t="shared" ref="AM1692:AS1692" si="670">SUM(AM1642:AM1691)</f>
        <v>1029</v>
      </c>
      <c r="AN1692" s="79">
        <f t="shared" si="670"/>
        <v>12.75</v>
      </c>
      <c r="AO1692" s="79">
        <f t="shared" si="670"/>
        <v>8</v>
      </c>
      <c r="AP1692" s="79">
        <f t="shared" si="670"/>
        <v>0</v>
      </c>
      <c r="AQ1692" s="79">
        <f t="shared" si="670"/>
        <v>72</v>
      </c>
      <c r="AR1692" s="80">
        <f t="shared" si="670"/>
        <v>0</v>
      </c>
      <c r="AS1692" s="81">
        <f t="shared" si="670"/>
        <v>1121.75</v>
      </c>
      <c r="AT1692" s="78"/>
      <c r="AU1692" s="82">
        <f>SUM(AU1642:AU1691)</f>
        <v>0</v>
      </c>
      <c r="AV1692" s="78"/>
      <c r="AW1692" s="83">
        <f>SUM(AW1642:AW1691)</f>
        <v>1440</v>
      </c>
      <c r="AX1692" s="84"/>
      <c r="BA1692" s="2"/>
      <c r="BB1692" s="2"/>
      <c r="BC1692" s="101"/>
      <c r="BD1692" s="101"/>
    </row>
    <row r="1693" spans="1:56" s="53" customFormat="1" ht="15" thickTop="1" x14ac:dyDescent="0.35">
      <c r="B1693" s="54"/>
      <c r="F1693" s="98"/>
      <c r="G1693" s="55"/>
      <c r="H1693" s="55"/>
      <c r="I1693" s="55"/>
      <c r="J1693" s="55"/>
      <c r="K1693" s="55"/>
      <c r="L1693" s="55"/>
      <c r="M1693" s="55"/>
      <c r="N1693" s="55"/>
      <c r="O1693" s="55"/>
      <c r="P1693" s="55"/>
      <c r="Q1693" s="55"/>
      <c r="R1693" s="55"/>
      <c r="S1693" s="55"/>
      <c r="T1693" s="55"/>
      <c r="U1693" s="56"/>
      <c r="V1693" s="55"/>
      <c r="W1693" s="55"/>
      <c r="X1693" s="55"/>
      <c r="Y1693" s="55"/>
      <c r="Z1693" s="55"/>
      <c r="AA1693" s="55"/>
      <c r="AB1693" s="55"/>
      <c r="AC1693" s="55"/>
      <c r="AD1693" s="55"/>
      <c r="AE1693" s="55"/>
      <c r="AF1693" s="55"/>
      <c r="AG1693" s="55"/>
      <c r="AH1693" s="55"/>
      <c r="AI1693" s="55"/>
      <c r="AJ1693" s="55"/>
      <c r="AK1693" s="56"/>
      <c r="AL1693" s="55"/>
      <c r="AM1693" s="55"/>
      <c r="AN1693" s="55"/>
      <c r="AO1693" s="55"/>
      <c r="AP1693" s="55"/>
      <c r="AQ1693" s="55"/>
      <c r="AR1693" s="55"/>
      <c r="AS1693" s="55"/>
      <c r="AT1693" s="55"/>
      <c r="AU1693" s="55"/>
      <c r="AV1693" s="55"/>
      <c r="AW1693" s="55"/>
      <c r="BA1693" s="2"/>
      <c r="BB1693" s="2"/>
      <c r="BC1693" s="101"/>
      <c r="BD1693" s="101"/>
    </row>
    <row r="1694" spans="1:56" s="53" customFormat="1" x14ac:dyDescent="0.35">
      <c r="B1694" s="54" t="s">
        <v>52</v>
      </c>
      <c r="D1694" s="141" t="s">
        <v>110</v>
      </c>
      <c r="E1694" s="141"/>
      <c r="F1694" s="141"/>
      <c r="G1694" s="141"/>
      <c r="H1694" s="141"/>
      <c r="I1694" s="141"/>
      <c r="J1694" s="141"/>
      <c r="K1694" s="141"/>
      <c r="L1694" s="141"/>
      <c r="M1694" s="141"/>
      <c r="N1694" s="141"/>
      <c r="O1694" s="141"/>
      <c r="P1694" s="141"/>
      <c r="Q1694" s="141"/>
      <c r="R1694" s="141"/>
      <c r="S1694" s="141"/>
      <c r="T1694" s="141"/>
      <c r="U1694" s="141"/>
      <c r="V1694" s="141"/>
      <c r="W1694" s="141"/>
      <c r="X1694" s="141"/>
      <c r="Y1694" s="141"/>
      <c r="Z1694" s="141"/>
      <c r="AA1694" s="141"/>
      <c r="AB1694" s="141"/>
      <c r="AC1694" s="141"/>
      <c r="AD1694" s="141"/>
      <c r="AE1694" s="141"/>
      <c r="AF1694" s="141"/>
      <c r="AG1694" s="141"/>
      <c r="AH1694" s="141"/>
      <c r="AI1694" s="141"/>
      <c r="AJ1694" s="141"/>
      <c r="AK1694" s="56"/>
      <c r="AL1694" s="55"/>
      <c r="AM1694" s="55"/>
      <c r="AN1694" s="55"/>
      <c r="AO1694" s="55"/>
      <c r="AP1694" s="55"/>
      <c r="AQ1694" s="55"/>
      <c r="AR1694" s="55"/>
      <c r="AS1694" s="55"/>
      <c r="AT1694" s="55"/>
      <c r="AU1694" s="55"/>
      <c r="AV1694" s="55"/>
      <c r="AW1694" s="55"/>
      <c r="BA1694" s="2"/>
      <c r="BB1694" s="2"/>
      <c r="BC1694" s="101"/>
      <c r="BD1694" s="101"/>
    </row>
    <row r="1695" spans="1:56" s="84" customFormat="1" x14ac:dyDescent="0.35">
      <c r="A1695" s="53"/>
      <c r="B1695" s="54"/>
      <c r="C1695" s="53"/>
      <c r="D1695" s="141"/>
      <c r="E1695" s="141"/>
      <c r="F1695" s="141"/>
      <c r="G1695" s="141"/>
      <c r="H1695" s="141"/>
      <c r="I1695" s="141"/>
      <c r="J1695" s="141"/>
      <c r="K1695" s="141"/>
      <c r="L1695" s="141"/>
      <c r="M1695" s="141"/>
      <c r="N1695" s="141"/>
      <c r="O1695" s="141"/>
      <c r="P1695" s="141"/>
      <c r="Q1695" s="141"/>
      <c r="R1695" s="141"/>
      <c r="S1695" s="141"/>
      <c r="T1695" s="141"/>
      <c r="U1695" s="141"/>
      <c r="V1695" s="141"/>
      <c r="W1695" s="141"/>
      <c r="X1695" s="141"/>
      <c r="Y1695" s="141"/>
      <c r="Z1695" s="141"/>
      <c r="AA1695" s="141"/>
      <c r="AB1695" s="141"/>
      <c r="AC1695" s="141"/>
      <c r="AD1695" s="141"/>
      <c r="AE1695" s="141"/>
      <c r="AF1695" s="141"/>
      <c r="AG1695" s="141"/>
      <c r="AH1695" s="141"/>
      <c r="AI1695" s="141"/>
      <c r="AJ1695" s="141"/>
      <c r="AK1695" s="56"/>
      <c r="AL1695" s="55"/>
      <c r="AM1695" s="55"/>
      <c r="AN1695" s="55"/>
      <c r="AO1695" s="55"/>
      <c r="AP1695" s="55"/>
      <c r="AQ1695" s="55"/>
      <c r="AR1695" s="55"/>
      <c r="AS1695" s="55"/>
      <c r="AT1695" s="55"/>
      <c r="AU1695" s="55"/>
      <c r="AV1695" s="55"/>
      <c r="AW1695" s="55"/>
      <c r="AX1695" s="53"/>
      <c r="BA1695" s="2"/>
      <c r="BB1695" s="2"/>
      <c r="BC1695" s="101"/>
      <c r="BD1695" s="101"/>
    </row>
    <row r="1696" spans="1:56" s="84" customFormat="1" x14ac:dyDescent="0.35">
      <c r="A1696" s="53"/>
      <c r="B1696" s="54"/>
      <c r="C1696" s="53"/>
      <c r="D1696" s="141"/>
      <c r="E1696" s="141"/>
      <c r="F1696" s="141"/>
      <c r="G1696" s="141"/>
      <c r="H1696" s="141"/>
      <c r="I1696" s="141"/>
      <c r="J1696" s="141"/>
      <c r="K1696" s="141"/>
      <c r="L1696" s="141"/>
      <c r="M1696" s="141"/>
      <c r="N1696" s="141"/>
      <c r="O1696" s="141"/>
      <c r="P1696" s="141"/>
      <c r="Q1696" s="141"/>
      <c r="R1696" s="141"/>
      <c r="S1696" s="141"/>
      <c r="T1696" s="141"/>
      <c r="U1696" s="141"/>
      <c r="V1696" s="141"/>
      <c r="W1696" s="141"/>
      <c r="X1696" s="141"/>
      <c r="Y1696" s="141"/>
      <c r="Z1696" s="141"/>
      <c r="AA1696" s="141"/>
      <c r="AB1696" s="141"/>
      <c r="AC1696" s="141"/>
      <c r="AD1696" s="141"/>
      <c r="AE1696" s="141"/>
      <c r="AF1696" s="141"/>
      <c r="AG1696" s="141"/>
      <c r="AH1696" s="141"/>
      <c r="AI1696" s="141"/>
      <c r="AJ1696" s="141"/>
      <c r="AK1696" s="56"/>
      <c r="AL1696" s="55"/>
      <c r="AM1696" s="55"/>
      <c r="AN1696" s="55"/>
      <c r="AO1696" s="55"/>
      <c r="AP1696" s="55"/>
      <c r="AQ1696" s="55"/>
      <c r="AR1696" s="55"/>
      <c r="AS1696" s="55"/>
      <c r="AT1696" s="55"/>
      <c r="AU1696" s="55"/>
      <c r="AV1696" s="55"/>
      <c r="AW1696" s="55"/>
      <c r="AX1696" s="53"/>
      <c r="BA1696" s="2"/>
      <c r="BB1696" s="2"/>
      <c r="BC1696" s="101"/>
      <c r="BD1696" s="101"/>
    </row>
    <row r="1697" spans="1:56" s="84" customFormat="1" ht="15" customHeight="1" x14ac:dyDescent="0.35">
      <c r="A1697" s="53"/>
      <c r="B1697" s="54"/>
      <c r="C1697" s="53"/>
      <c r="D1697" s="53"/>
      <c r="E1697" s="53"/>
      <c r="F1697" s="98"/>
      <c r="G1697" s="55"/>
      <c r="H1697" s="55"/>
      <c r="I1697" s="55"/>
      <c r="J1697" s="55"/>
      <c r="K1697" s="55"/>
      <c r="L1697" s="55"/>
      <c r="M1697" s="55"/>
      <c r="N1697" s="55"/>
      <c r="O1697" s="55"/>
      <c r="P1697" s="55"/>
      <c r="Q1697" s="55"/>
      <c r="R1697" s="55"/>
      <c r="S1697" s="55"/>
      <c r="T1697" s="55"/>
      <c r="U1697" s="56"/>
      <c r="V1697" s="55"/>
      <c r="W1697" s="55"/>
      <c r="X1697" s="55"/>
      <c r="Y1697" s="55"/>
      <c r="Z1697" s="55"/>
      <c r="AA1697" s="55"/>
      <c r="AB1697" s="55"/>
      <c r="AC1697" s="55"/>
      <c r="AD1697" s="55"/>
      <c r="AE1697" s="55"/>
      <c r="AF1697" s="55"/>
      <c r="AG1697" s="55"/>
      <c r="AH1697" s="55"/>
      <c r="AI1697" s="55"/>
      <c r="AJ1697" s="55"/>
      <c r="AK1697" s="56"/>
      <c r="AL1697" s="55"/>
      <c r="AM1697" s="55"/>
      <c r="AN1697" s="55"/>
      <c r="AO1697" s="55"/>
      <c r="AP1697" s="55"/>
      <c r="AQ1697" s="55"/>
      <c r="AR1697" s="55"/>
      <c r="AS1697" s="55"/>
      <c r="AT1697" s="55"/>
      <c r="AU1697" s="55"/>
      <c r="AV1697" s="55"/>
      <c r="AW1697" s="55"/>
      <c r="AX1697" s="53"/>
      <c r="BA1697" s="2"/>
      <c r="BB1697" s="2"/>
      <c r="BC1697" s="101"/>
      <c r="BD1697" s="101"/>
    </row>
    <row r="1698" spans="1:56" s="84" customFormat="1" ht="15" customHeight="1" x14ac:dyDescent="0.35">
      <c r="A1698" s="53"/>
      <c r="B1698" s="54" t="s">
        <v>53</v>
      </c>
      <c r="C1698" s="53"/>
      <c r="D1698" s="31" t="s">
        <v>74</v>
      </c>
      <c r="E1698" s="34"/>
      <c r="F1698" s="99"/>
      <c r="G1698" s="34"/>
      <c r="H1698" s="34"/>
      <c r="I1698" s="34"/>
      <c r="J1698" s="34"/>
      <c r="K1698" s="53"/>
      <c r="L1698" s="55" t="s">
        <v>8</v>
      </c>
      <c r="M1698" s="53"/>
      <c r="N1698" s="142">
        <f ca="1">NOW()</f>
        <v>44720.650928935182</v>
      </c>
      <c r="O1698" s="142"/>
      <c r="P1698" s="142"/>
      <c r="Q1698" s="53"/>
      <c r="R1698" s="53"/>
      <c r="S1698" s="53"/>
      <c r="T1698" s="53"/>
      <c r="U1698" s="53"/>
      <c r="V1698" s="55"/>
      <c r="W1698" s="55"/>
      <c r="X1698" s="55"/>
      <c r="Y1698" s="55"/>
      <c r="Z1698" s="55"/>
      <c r="AA1698" s="55"/>
      <c r="AB1698" s="55"/>
      <c r="AC1698" s="55"/>
      <c r="AD1698" s="55"/>
      <c r="AE1698" s="55"/>
      <c r="AF1698" s="55"/>
      <c r="AG1698" s="55"/>
      <c r="AH1698" s="55"/>
      <c r="AI1698" s="55"/>
      <c r="AJ1698" s="55"/>
      <c r="AK1698" s="56"/>
      <c r="AL1698" s="55"/>
      <c r="AM1698" s="55"/>
      <c r="AN1698" s="55"/>
      <c r="AO1698" s="55"/>
      <c r="AP1698" s="55"/>
      <c r="AQ1698" s="55"/>
      <c r="AR1698" s="55"/>
      <c r="AS1698" s="55"/>
      <c r="AT1698" s="55"/>
      <c r="AU1698" s="55"/>
      <c r="AV1698" s="55"/>
      <c r="AW1698" s="55"/>
      <c r="AX1698" s="53"/>
      <c r="BA1698" s="2"/>
      <c r="BB1698" s="2"/>
      <c r="BC1698" s="101"/>
      <c r="BD1698" s="101"/>
    </row>
    <row r="1699" spans="1:56" s="84" customFormat="1" x14ac:dyDescent="0.35">
      <c r="A1699" s="53"/>
      <c r="B1699" s="54"/>
      <c r="C1699" s="53"/>
      <c r="D1699" s="53"/>
      <c r="E1699" s="53"/>
      <c r="F1699" s="98"/>
      <c r="G1699" s="55"/>
      <c r="H1699" s="55"/>
      <c r="I1699" s="55"/>
      <c r="J1699" s="55"/>
      <c r="K1699" s="53"/>
      <c r="L1699" s="55"/>
      <c r="M1699" s="53"/>
      <c r="N1699" s="55"/>
      <c r="O1699" s="56"/>
      <c r="P1699" s="53"/>
      <c r="Q1699" s="53"/>
      <c r="R1699" s="53"/>
      <c r="S1699" s="53"/>
      <c r="T1699" s="53"/>
      <c r="U1699" s="53"/>
      <c r="V1699" s="55"/>
      <c r="W1699" s="55"/>
      <c r="X1699" s="55"/>
      <c r="Y1699" s="55"/>
      <c r="Z1699" s="55"/>
      <c r="AA1699" s="55"/>
      <c r="AB1699" s="55"/>
      <c r="AC1699" s="55"/>
      <c r="AD1699" s="55"/>
      <c r="AE1699" s="55"/>
      <c r="AF1699" s="55"/>
      <c r="AG1699" s="55"/>
      <c r="AH1699" s="55"/>
      <c r="AI1699" s="55"/>
      <c r="AJ1699" s="55"/>
      <c r="AK1699" s="56"/>
      <c r="AL1699" s="55"/>
      <c r="AM1699" s="55"/>
      <c r="AN1699" s="55"/>
      <c r="AO1699" s="55"/>
      <c r="AP1699" s="55"/>
      <c r="AQ1699" s="55"/>
      <c r="AR1699" s="55"/>
      <c r="AS1699" s="55"/>
      <c r="AT1699" s="55"/>
      <c r="AU1699" s="55"/>
      <c r="AV1699" s="55"/>
      <c r="AW1699" s="55"/>
      <c r="AX1699" s="53"/>
      <c r="BA1699" s="2"/>
      <c r="BB1699" s="2"/>
      <c r="BC1699" s="101"/>
      <c r="BD1699" s="101"/>
    </row>
    <row r="1700" spans="1:56" s="84" customFormat="1" x14ac:dyDescent="0.35">
      <c r="A1700" s="53"/>
      <c r="B1700" s="54" t="s">
        <v>54</v>
      </c>
      <c r="C1700" s="53"/>
      <c r="D1700" s="31"/>
      <c r="E1700" s="34"/>
      <c r="F1700" s="99"/>
      <c r="G1700" s="34"/>
      <c r="H1700" s="34"/>
      <c r="I1700" s="34"/>
      <c r="J1700" s="34"/>
      <c r="K1700" s="53"/>
      <c r="L1700" s="55" t="s">
        <v>8</v>
      </c>
      <c r="M1700" s="53"/>
      <c r="N1700" s="142">
        <f ca="1">NOW()</f>
        <v>44720.650928935182</v>
      </c>
      <c r="O1700" s="142"/>
      <c r="P1700" s="142"/>
      <c r="Q1700" s="53"/>
      <c r="R1700" s="53"/>
      <c r="S1700" s="53"/>
      <c r="T1700" s="53"/>
      <c r="U1700" s="53"/>
      <c r="V1700" s="55"/>
      <c r="W1700" s="55"/>
      <c r="X1700" s="55"/>
      <c r="Y1700" s="55"/>
      <c r="Z1700" s="55"/>
      <c r="AA1700" s="55"/>
      <c r="AB1700" s="55"/>
      <c r="AC1700" s="55"/>
      <c r="AD1700" s="55"/>
      <c r="AE1700" s="55"/>
      <c r="AF1700" s="55"/>
      <c r="AG1700" s="55"/>
      <c r="AH1700" s="55"/>
      <c r="AI1700" s="55"/>
      <c r="AJ1700" s="55"/>
      <c r="AK1700" s="56"/>
      <c r="AL1700" s="55"/>
      <c r="AM1700" s="55"/>
      <c r="AN1700" s="55"/>
      <c r="AO1700" s="55"/>
      <c r="AP1700" s="55"/>
      <c r="AQ1700" s="55"/>
      <c r="AR1700" s="55"/>
      <c r="AS1700" s="55"/>
      <c r="AT1700" s="55"/>
      <c r="AU1700" s="55"/>
      <c r="AV1700" s="55"/>
      <c r="AW1700" s="55"/>
      <c r="AX1700" s="53"/>
      <c r="BA1700" s="2"/>
      <c r="BB1700" s="2"/>
      <c r="BC1700" s="101"/>
      <c r="BD1700" s="101"/>
    </row>
    <row r="1701" spans="1:56" s="84" customFormat="1" x14ac:dyDescent="0.35">
      <c r="A1701" s="53"/>
      <c r="B1701" s="54"/>
      <c r="C1701" s="53"/>
      <c r="D1701" s="53"/>
      <c r="E1701" s="53"/>
      <c r="F1701" s="98"/>
      <c r="G1701" s="55"/>
      <c r="H1701" s="55"/>
      <c r="I1701" s="55"/>
      <c r="J1701" s="55"/>
      <c r="K1701" s="55"/>
      <c r="L1701" s="55"/>
      <c r="M1701" s="55"/>
      <c r="N1701" s="55"/>
      <c r="O1701" s="55"/>
      <c r="P1701" s="55"/>
      <c r="Q1701" s="55"/>
      <c r="R1701" s="55"/>
      <c r="S1701" s="55"/>
      <c r="T1701" s="55"/>
      <c r="U1701" s="56"/>
      <c r="V1701" s="55"/>
      <c r="W1701" s="55"/>
      <c r="X1701" s="55"/>
      <c r="Y1701" s="55"/>
      <c r="Z1701" s="55"/>
      <c r="AA1701" s="55"/>
      <c r="AB1701" s="55"/>
      <c r="AC1701" s="55"/>
      <c r="AD1701" s="55"/>
      <c r="AE1701" s="55"/>
      <c r="AF1701" s="55"/>
      <c r="AG1701" s="55"/>
      <c r="AH1701" s="55"/>
      <c r="AI1701" s="55"/>
      <c r="AJ1701" s="55"/>
      <c r="AK1701" s="56"/>
      <c r="AL1701" s="55"/>
      <c r="AM1701" s="55"/>
      <c r="AN1701" s="55"/>
      <c r="AO1701" s="55"/>
      <c r="AP1701" s="55"/>
      <c r="AQ1701" s="55"/>
      <c r="AR1701" s="55"/>
      <c r="AS1701" s="55"/>
      <c r="AT1701" s="55"/>
      <c r="AU1701" s="55"/>
      <c r="AV1701" s="55"/>
      <c r="AW1701" s="55"/>
      <c r="AX1701" s="53"/>
      <c r="BA1701" s="2"/>
      <c r="BB1701" s="2"/>
      <c r="BC1701" s="101"/>
      <c r="BD1701" s="101"/>
    </row>
    <row r="1702" spans="1:56" s="84" customFormat="1" x14ac:dyDescent="0.35">
      <c r="B1702" s="54" t="s">
        <v>9</v>
      </c>
      <c r="C1702" s="53"/>
      <c r="D1702" s="53"/>
      <c r="E1702" s="53"/>
      <c r="F1702" s="98"/>
      <c r="G1702" s="55"/>
      <c r="H1702" s="55"/>
      <c r="I1702" s="55"/>
      <c r="J1702" s="55"/>
      <c r="K1702" s="55"/>
      <c r="L1702" s="55"/>
      <c r="M1702" s="55"/>
      <c r="N1702" s="55"/>
      <c r="O1702" s="55"/>
      <c r="P1702" s="55"/>
      <c r="Q1702" s="55"/>
      <c r="R1702" s="55"/>
      <c r="S1702" s="55"/>
      <c r="T1702" s="55"/>
      <c r="U1702" s="56"/>
      <c r="V1702" s="55"/>
      <c r="W1702" s="55"/>
      <c r="X1702" s="55"/>
      <c r="Y1702" s="55"/>
      <c r="Z1702" s="55"/>
      <c r="AA1702" s="55"/>
      <c r="AB1702" s="55"/>
      <c r="AC1702" s="55"/>
      <c r="AD1702" s="55"/>
      <c r="AE1702" s="55"/>
      <c r="AF1702" s="55"/>
      <c r="AG1702" s="55"/>
      <c r="AH1702" s="55"/>
      <c r="AI1702" s="55"/>
      <c r="AJ1702" s="55"/>
      <c r="AK1702" s="56"/>
      <c r="AL1702" s="55"/>
      <c r="AM1702" s="55"/>
      <c r="AN1702" s="55"/>
      <c r="AO1702" s="55"/>
      <c r="AP1702" s="55"/>
      <c r="AQ1702" s="55"/>
      <c r="AR1702" s="55"/>
      <c r="AS1702" s="55"/>
      <c r="AT1702" s="55"/>
      <c r="AU1702" s="55"/>
      <c r="AV1702" s="55"/>
      <c r="AW1702" s="55"/>
      <c r="AX1702" s="53"/>
      <c r="BA1702" s="2"/>
      <c r="BB1702" s="2"/>
      <c r="BC1702" s="101"/>
      <c r="BD1702" s="101"/>
    </row>
    <row r="1703" spans="1:56" x14ac:dyDescent="0.35">
      <c r="BA1703" s="2"/>
      <c r="BB1703" s="2"/>
      <c r="BC1703" s="101"/>
      <c r="BD1703" s="101"/>
    </row>
    <row r="1704" spans="1:56" x14ac:dyDescent="0.35">
      <c r="BA1704" s="2"/>
      <c r="BB1704" s="2"/>
      <c r="BC1704" s="101"/>
      <c r="BD1704" s="101"/>
    </row>
    <row r="1705" spans="1:56" s="84" customFormat="1" ht="28.5" x14ac:dyDescent="0.65">
      <c r="F1705" s="50"/>
      <c r="G1705" s="143" t="s">
        <v>10</v>
      </c>
      <c r="H1705" s="143"/>
      <c r="I1705" s="143"/>
      <c r="J1705" s="143"/>
      <c r="K1705" s="143"/>
      <c r="L1705" s="143"/>
      <c r="M1705" s="143"/>
      <c r="N1705" s="143"/>
      <c r="O1705" s="143"/>
      <c r="P1705" s="143"/>
      <c r="Q1705" s="143"/>
      <c r="R1705" s="143"/>
      <c r="S1705" s="143"/>
      <c r="T1705" s="143"/>
      <c r="U1705" s="143"/>
      <c r="W1705" s="37" t="s">
        <v>12</v>
      </c>
      <c r="X1705" s="86" t="s">
        <v>11</v>
      </c>
      <c r="BA1705" s="2"/>
      <c r="BB1705" s="2"/>
      <c r="BC1705" s="101"/>
      <c r="BD1705" s="101"/>
    </row>
    <row r="1706" spans="1:56" s="84" customFormat="1" x14ac:dyDescent="0.35">
      <c r="F1706" s="50"/>
      <c r="G1706" s="84" t="s">
        <v>0</v>
      </c>
      <c r="W1706" s="37" t="s">
        <v>13</v>
      </c>
      <c r="X1706" s="86" t="s">
        <v>14</v>
      </c>
      <c r="BA1706" s="2"/>
      <c r="BB1706" s="2"/>
      <c r="BC1706" s="101"/>
      <c r="BD1706" s="101"/>
    </row>
    <row r="1707" spans="1:56" s="84" customFormat="1" x14ac:dyDescent="0.35">
      <c r="F1707" s="50"/>
      <c r="W1707" s="37" t="s">
        <v>1</v>
      </c>
      <c r="X1707" s="86" t="s">
        <v>15</v>
      </c>
      <c r="BA1707" s="2"/>
      <c r="BB1707" s="2"/>
      <c r="BC1707" s="101"/>
      <c r="BD1707" s="101"/>
    </row>
    <row r="1708" spans="1:56" s="84" customFormat="1" x14ac:dyDescent="0.35">
      <c r="F1708" s="50"/>
      <c r="W1708" s="37" t="s">
        <v>2</v>
      </c>
      <c r="X1708" s="86" t="s">
        <v>16</v>
      </c>
      <c r="BA1708" s="2"/>
      <c r="BB1708" s="2"/>
      <c r="BC1708" s="101"/>
      <c r="BD1708" s="101"/>
    </row>
    <row r="1709" spans="1:56" s="84" customFormat="1" ht="15" customHeight="1" x14ac:dyDescent="0.35">
      <c r="B1709" s="154" t="s">
        <v>35</v>
      </c>
      <c r="F1709" s="50"/>
      <c r="G1709" s="154" t="s">
        <v>36</v>
      </c>
      <c r="H1709" s="154"/>
      <c r="I1709" s="154"/>
      <c r="K1709" s="154" t="s">
        <v>36</v>
      </c>
      <c r="L1709" s="154"/>
      <c r="M1709" s="154"/>
      <c r="W1709" s="37" t="s">
        <v>3</v>
      </c>
      <c r="X1709" s="86" t="s">
        <v>17</v>
      </c>
      <c r="BA1709" s="2"/>
      <c r="BB1709" s="2"/>
      <c r="BC1709" s="101"/>
      <c r="BD1709" s="101"/>
    </row>
    <row r="1710" spans="1:56" s="84" customFormat="1" x14ac:dyDescent="0.35">
      <c r="B1710" s="155"/>
      <c r="D1710" s="37" t="s">
        <v>34</v>
      </c>
      <c r="F1710" s="50"/>
      <c r="G1710" s="154"/>
      <c r="H1710" s="154"/>
      <c r="I1710" s="154"/>
      <c r="K1710" s="154"/>
      <c r="L1710" s="154"/>
      <c r="M1710" s="154"/>
      <c r="W1710" s="38"/>
      <c r="BA1710" s="2"/>
      <c r="BB1710" s="2"/>
      <c r="BC1710" s="101"/>
      <c r="BD1710" s="101"/>
    </row>
    <row r="1711" spans="1:56" s="84" customFormat="1" x14ac:dyDescent="0.35">
      <c r="B1711" s="100">
        <f>B1637+1</f>
        <v>7</v>
      </c>
      <c r="D1711" s="100">
        <f>D1637</f>
        <v>2022</v>
      </c>
      <c r="E1711" s="87" t="s">
        <v>38</v>
      </c>
      <c r="F1711" s="50"/>
      <c r="G1711" s="156">
        <f>K1637+1</f>
        <v>44633</v>
      </c>
      <c r="H1711" s="157"/>
      <c r="I1711" s="158"/>
      <c r="J1711" s="37" t="s">
        <v>37</v>
      </c>
      <c r="K1711" s="156">
        <f>IF(G1711="","",G1711+13)</f>
        <v>44646</v>
      </c>
      <c r="L1711" s="157"/>
      <c r="M1711" s="158"/>
      <c r="P1711" s="159" t="s">
        <v>39</v>
      </c>
      <c r="Q1711" s="160"/>
      <c r="R1711" s="160"/>
      <c r="S1711" s="160"/>
      <c r="T1711" s="161"/>
      <c r="U1711" s="24">
        <v>80</v>
      </c>
      <c r="BA1711" s="2"/>
      <c r="BB1711" s="2"/>
      <c r="BC1711" s="101"/>
      <c r="BD1711" s="101"/>
    </row>
    <row r="1712" spans="1:56" s="84" customFormat="1" x14ac:dyDescent="0.35">
      <c r="F1712" s="50"/>
      <c r="AM1712" s="144" t="s">
        <v>4</v>
      </c>
      <c r="AN1712" s="144"/>
      <c r="AO1712" s="144"/>
      <c r="AP1712" s="144"/>
      <c r="AQ1712" s="144"/>
      <c r="AR1712" s="144"/>
      <c r="AS1712" s="144"/>
      <c r="AU1712" s="100" t="s">
        <v>4</v>
      </c>
      <c r="BA1712" s="2"/>
      <c r="BB1712" s="2"/>
      <c r="BC1712" s="101"/>
      <c r="BD1712" s="101"/>
    </row>
    <row r="1713" spans="2:56" s="84" customFormat="1" ht="15" customHeight="1" x14ac:dyDescent="0.35">
      <c r="B1713" s="40"/>
      <c r="C1713" s="41"/>
      <c r="D1713" s="42" t="s">
        <v>32</v>
      </c>
      <c r="E1713" s="43" t="s">
        <v>5</v>
      </c>
      <c r="F1713" s="50"/>
      <c r="G1713" s="162">
        <f>G1711</f>
        <v>44633</v>
      </c>
      <c r="H1713" s="163"/>
      <c r="I1713" s="162">
        <f>IF(G1713="","",G1713+1)</f>
        <v>44634</v>
      </c>
      <c r="J1713" s="163"/>
      <c r="K1713" s="162">
        <f>IF(I1713="","",I1713+1)</f>
        <v>44635</v>
      </c>
      <c r="L1713" s="163"/>
      <c r="M1713" s="162">
        <f>IF(K1713="","",K1713+1)</f>
        <v>44636</v>
      </c>
      <c r="N1713" s="163"/>
      <c r="O1713" s="162">
        <f>IF(M1713="","",M1713+1)</f>
        <v>44637</v>
      </c>
      <c r="P1713" s="163"/>
      <c r="Q1713" s="162">
        <f>IF(O1713="","",O1713+1)</f>
        <v>44638</v>
      </c>
      <c r="R1713" s="163"/>
      <c r="S1713" s="162">
        <f>IF(Q1713="","",Q1713+1)</f>
        <v>44639</v>
      </c>
      <c r="T1713" s="164"/>
      <c r="U1713" s="44"/>
      <c r="W1713" s="162">
        <f>IF(S1713="","",S1713+1)</f>
        <v>44640</v>
      </c>
      <c r="X1713" s="163"/>
      <c r="Y1713" s="162">
        <f>IF(W1713="","",W1713+1)</f>
        <v>44641</v>
      </c>
      <c r="Z1713" s="163"/>
      <c r="AA1713" s="162">
        <f>IF(Y1713="","",Y1713+1)</f>
        <v>44642</v>
      </c>
      <c r="AB1713" s="163"/>
      <c r="AC1713" s="162">
        <f>IF(AA1713="","",AA1713+1)</f>
        <v>44643</v>
      </c>
      <c r="AD1713" s="163"/>
      <c r="AE1713" s="162">
        <f>IF(AC1713="","",AC1713+1)</f>
        <v>44644</v>
      </c>
      <c r="AF1713" s="163"/>
      <c r="AG1713" s="162">
        <f>IF(AE1713="","",AE1713+1)</f>
        <v>44645</v>
      </c>
      <c r="AH1713" s="163"/>
      <c r="AI1713" s="162">
        <f>IF(AG1713="","",AG1713+1)</f>
        <v>44646</v>
      </c>
      <c r="AJ1713" s="164"/>
      <c r="AK1713" s="44"/>
      <c r="AM1713" s="145" t="s">
        <v>18</v>
      </c>
      <c r="AN1713" s="165" t="s">
        <v>55</v>
      </c>
      <c r="AO1713" s="145" t="s">
        <v>19</v>
      </c>
      <c r="AP1713" s="145" t="s">
        <v>20</v>
      </c>
      <c r="AQ1713" s="145" t="s">
        <v>21</v>
      </c>
      <c r="AR1713" s="166" t="s">
        <v>22</v>
      </c>
      <c r="AS1713" s="167" t="s">
        <v>23</v>
      </c>
      <c r="AU1713" s="144" t="s">
        <v>6</v>
      </c>
      <c r="AW1713" s="145" t="s">
        <v>24</v>
      </c>
      <c r="BA1713" s="2"/>
      <c r="BB1713" s="2"/>
      <c r="BC1713" s="101"/>
      <c r="BD1713" s="101"/>
    </row>
    <row r="1714" spans="2:56" s="84" customFormat="1" x14ac:dyDescent="0.35">
      <c r="B1714" s="45" t="s">
        <v>33</v>
      </c>
      <c r="C1714" s="46"/>
      <c r="D1714" s="47"/>
      <c r="E1714" s="47"/>
      <c r="F1714" s="50"/>
      <c r="G1714" s="146" t="s">
        <v>25</v>
      </c>
      <c r="H1714" s="147"/>
      <c r="I1714" s="146" t="s">
        <v>26</v>
      </c>
      <c r="J1714" s="147"/>
      <c r="K1714" s="146" t="s">
        <v>27</v>
      </c>
      <c r="L1714" s="147"/>
      <c r="M1714" s="146" t="s">
        <v>28</v>
      </c>
      <c r="N1714" s="147"/>
      <c r="O1714" s="146" t="s">
        <v>29</v>
      </c>
      <c r="P1714" s="147"/>
      <c r="Q1714" s="146" t="s">
        <v>30</v>
      </c>
      <c r="R1714" s="147"/>
      <c r="S1714" s="146" t="s">
        <v>31</v>
      </c>
      <c r="T1714" s="148"/>
      <c r="U1714" s="48" t="s">
        <v>7</v>
      </c>
      <c r="W1714" s="146" t="s">
        <v>25</v>
      </c>
      <c r="X1714" s="147"/>
      <c r="Y1714" s="146" t="s">
        <v>26</v>
      </c>
      <c r="Z1714" s="147"/>
      <c r="AA1714" s="146" t="s">
        <v>27</v>
      </c>
      <c r="AB1714" s="147"/>
      <c r="AC1714" s="146" t="s">
        <v>28</v>
      </c>
      <c r="AD1714" s="147"/>
      <c r="AE1714" s="146" t="s">
        <v>29</v>
      </c>
      <c r="AF1714" s="147"/>
      <c r="AG1714" s="146" t="s">
        <v>30</v>
      </c>
      <c r="AH1714" s="147"/>
      <c r="AI1714" s="146" t="s">
        <v>31</v>
      </c>
      <c r="AJ1714" s="148"/>
      <c r="AK1714" s="48" t="s">
        <v>7</v>
      </c>
      <c r="AM1714" s="145"/>
      <c r="AN1714" s="165"/>
      <c r="AO1714" s="145"/>
      <c r="AP1714" s="145"/>
      <c r="AQ1714" s="145"/>
      <c r="AR1714" s="166"/>
      <c r="AS1714" s="167"/>
      <c r="AU1714" s="144"/>
      <c r="AW1714" s="145"/>
      <c r="BA1714" s="2"/>
      <c r="BB1714" s="2"/>
      <c r="BC1714" s="101"/>
      <c r="BD1714" s="101"/>
    </row>
    <row r="1715" spans="2:56" s="84" customFormat="1" x14ac:dyDescent="0.35">
      <c r="B1715" s="63"/>
      <c r="C1715" s="25"/>
      <c r="D1715" s="25"/>
      <c r="E1715" s="25"/>
      <c r="F1715" s="50"/>
      <c r="BA1715" s="2"/>
      <c r="BB1715" s="2"/>
      <c r="BC1715" s="101"/>
      <c r="BD1715" s="101"/>
    </row>
    <row r="1716" spans="2:56" s="84" customFormat="1" x14ac:dyDescent="0.35">
      <c r="B1716" s="26"/>
      <c r="C1716" s="27"/>
      <c r="D1716" s="28">
        <f>IF(D1642="","",D1642)</f>
        <v>31428</v>
      </c>
      <c r="E1716" s="29" t="str">
        <f>IF(E1642="","",E1642)</f>
        <v/>
      </c>
      <c r="F1716" s="50">
        <f>B1711</f>
        <v>7</v>
      </c>
      <c r="G1716" s="59"/>
      <c r="H1716" s="64"/>
      <c r="I1716" s="106"/>
      <c r="J1716" s="105"/>
      <c r="K1716" s="106"/>
      <c r="L1716" s="105"/>
      <c r="M1716" s="106"/>
      <c r="N1716" s="105"/>
      <c r="O1716" s="106"/>
      <c r="P1716" s="105"/>
      <c r="Q1716" s="106"/>
      <c r="R1716" s="105"/>
      <c r="S1716" s="59"/>
      <c r="T1716" s="64"/>
      <c r="U1716" s="44"/>
      <c r="W1716" s="59"/>
      <c r="X1716" s="64"/>
      <c r="Y1716" s="106"/>
      <c r="Z1716" s="105"/>
      <c r="AA1716" s="106"/>
      <c r="AB1716" s="105"/>
      <c r="AC1716" s="106"/>
      <c r="AD1716" s="105"/>
      <c r="AE1716" s="106"/>
      <c r="AF1716" s="105"/>
      <c r="AG1716" s="106"/>
      <c r="AH1716" s="105"/>
      <c r="AI1716" s="59"/>
      <c r="AJ1716" s="64"/>
      <c r="AK1716" s="44"/>
      <c r="AM1716" s="49"/>
      <c r="AN1716" s="49"/>
      <c r="AO1716" s="49"/>
      <c r="AP1716" s="49"/>
      <c r="AQ1716" s="49"/>
      <c r="AR1716" s="40"/>
      <c r="AS1716" s="51"/>
      <c r="AU1716" s="49"/>
      <c r="AW1716" s="52"/>
      <c r="BA1716" s="2"/>
      <c r="BB1716" s="2"/>
      <c r="BC1716" s="101"/>
      <c r="BD1716" s="101"/>
    </row>
    <row r="1717" spans="2:56" s="84" customFormat="1" x14ac:dyDescent="0.35">
      <c r="B1717" s="30" t="str">
        <f>IF(B1643="","",B1643)</f>
        <v>Gaulin, Francis</v>
      </c>
      <c r="C1717" s="31"/>
      <c r="D1717" s="32"/>
      <c r="E1717" s="33">
        <f t="shared" ref="E1717:E1765" si="671">IF(E1643="","",E1643)</f>
        <v>93542</v>
      </c>
      <c r="F1717" s="50">
        <f>B1711</f>
        <v>7</v>
      </c>
      <c r="G1717" s="95"/>
      <c r="H1717" s="70"/>
      <c r="I1717" s="104"/>
      <c r="J1717" s="103">
        <v>8</v>
      </c>
      <c r="K1717" s="104"/>
      <c r="L1717" s="103">
        <v>8</v>
      </c>
      <c r="M1717" s="104"/>
      <c r="N1717" s="103">
        <v>8</v>
      </c>
      <c r="O1717" s="104"/>
      <c r="P1717" s="103">
        <v>8</v>
      </c>
      <c r="Q1717" s="104"/>
      <c r="R1717" s="103">
        <v>7.5</v>
      </c>
      <c r="S1717" s="69"/>
      <c r="T1717" s="70"/>
      <c r="U1717" s="71">
        <f>SUM(G1717:T1717)</f>
        <v>39.5</v>
      </c>
      <c r="V1717" s="72"/>
      <c r="W1717" s="69"/>
      <c r="X1717" s="70"/>
      <c r="Y1717" s="104"/>
      <c r="Z1717" s="103">
        <v>8</v>
      </c>
      <c r="AA1717" s="104"/>
      <c r="AB1717" s="103">
        <v>8</v>
      </c>
      <c r="AC1717" s="104"/>
      <c r="AD1717" s="103">
        <v>8</v>
      </c>
      <c r="AE1717" s="104"/>
      <c r="AF1717" s="103">
        <v>8</v>
      </c>
      <c r="AG1717" s="104"/>
      <c r="AH1717" s="103">
        <v>7.5</v>
      </c>
      <c r="AI1717" s="69"/>
      <c r="AJ1717" s="70"/>
      <c r="AK1717" s="71">
        <f>SUM(W1717:AJ1717)</f>
        <v>39.5</v>
      </c>
      <c r="AL1717" s="72"/>
      <c r="AM1717" s="73">
        <f>SUMIF($G1716:$T1716,"",$G1717:$T1717)+SUMIF($W1716:$AJ1716,"",$W1717:$AJ1717)-AN1717</f>
        <v>79</v>
      </c>
      <c r="AN1717" s="88">
        <f>IF(SUMIF($G1716:$T1716,"",$G1717:$T1717)+SUMIF($G1716:$T1716,"F",$G1717:$T1717)+SUMIF($G1716:$T1716,"V",$G1717:$T1717)-40&lt;0,0,SUMIF($G1716:$T1716,"",$G1717:$T1717)+SUMIF($G1716:$T1716,"F",$G1717:$T1717)+SUMIF($G1716:$T1716,"V",$G1717:$T1717)-($U$9/2))+IF(SUMIF($W1716:$AJ1716,"",$W1717:$AJ1717)+SUMIF($W1716:$AJ1716,"F",$W1717:$AJ1717)+SUMIF($W1716:$AJ1716,"V",$W1717:$AJ1717)-40&lt;0,0,SUMIF($W1716:$AJ1716,"",$W1717:$AJ1717)+SUMIF($W1716:$AJ1716,"F",$W1717:$AJ1717)+SUMIF($W1716:$AJ1716,"V",$W1717:$AJ1717)-($U$9/2))</f>
        <v>0</v>
      </c>
      <c r="AO1717" s="73">
        <f>SUMIF($G1716:$T1716,"M",$G1717:$T1717)+SUMIF($W1716:$AJ1716,"M",$W1717:$AJ1717)</f>
        <v>0</v>
      </c>
      <c r="AP1717" s="73">
        <f>SUMIF($G1716:$T1716,"F",$G1717:$T1717)+SUMIF($W1716:$AJ1716,"F",$W1717:$AJ1717)</f>
        <v>0</v>
      </c>
      <c r="AQ1717" s="73">
        <f>SUMIF($G1716:$T1716,"V",$G1717:$T1717)+SUMIF($W1716:$AJ1716,"V",$W1717:$AJ1717)</f>
        <v>0</v>
      </c>
      <c r="AR1717" s="74">
        <f>SUMIF($G1716:$T1716,"O",$G1717:$T1717)+SUMIF($W1716:$AJ1716,"O",$W1717:$AJ1717)</f>
        <v>0</v>
      </c>
      <c r="AS1717" s="75">
        <f>SUM(AM1717:AR1717)</f>
        <v>79</v>
      </c>
      <c r="AT1717" s="72"/>
      <c r="AU1717" s="73">
        <f>SUMIF($G1716:$T1716,"A",$G1717:$T1717)+SUMIF($W1716:$AJ1716,"A",$W1717:$AJ1717)</f>
        <v>0</v>
      </c>
      <c r="AV1717" s="72"/>
      <c r="AW1717" s="76">
        <f>IF(B1717="",0,IF($U$9="",0,$U$9))</f>
        <v>80</v>
      </c>
      <c r="BA1717" s="2"/>
      <c r="BB1717" s="2"/>
      <c r="BC1717" s="101"/>
      <c r="BD1717" s="101"/>
    </row>
    <row r="1718" spans="2:56" s="84" customFormat="1" x14ac:dyDescent="0.35">
      <c r="B1718" s="26"/>
      <c r="C1718" s="27"/>
      <c r="D1718" s="28">
        <f>IF(D1644="","",D1644)</f>
        <v>24287</v>
      </c>
      <c r="E1718" s="29" t="str">
        <f t="shared" si="671"/>
        <v/>
      </c>
      <c r="F1718" s="50">
        <f>B1711</f>
        <v>7</v>
      </c>
      <c r="G1718" s="59"/>
      <c r="H1718" s="64"/>
      <c r="I1718" s="106"/>
      <c r="J1718" s="105"/>
      <c r="K1718" s="106"/>
      <c r="L1718" s="105"/>
      <c r="M1718" s="106"/>
      <c r="N1718" s="105"/>
      <c r="O1718" s="106"/>
      <c r="P1718" s="105"/>
      <c r="Q1718" s="106"/>
      <c r="R1718" s="105"/>
      <c r="S1718" s="59"/>
      <c r="T1718" s="64"/>
      <c r="U1718" s="44"/>
      <c r="W1718" s="59"/>
      <c r="X1718" s="64"/>
      <c r="Y1718" s="106"/>
      <c r="Z1718" s="105"/>
      <c r="AA1718" s="106"/>
      <c r="AB1718" s="105"/>
      <c r="AC1718" s="106"/>
      <c r="AD1718" s="105"/>
      <c r="AE1718" s="106"/>
      <c r="AF1718" s="105"/>
      <c r="AG1718" s="106"/>
      <c r="AH1718" s="105"/>
      <c r="AI1718" s="59"/>
      <c r="AJ1718" s="64"/>
      <c r="AK1718" s="44"/>
      <c r="AM1718" s="49"/>
      <c r="AN1718" s="49"/>
      <c r="AO1718" s="49"/>
      <c r="AP1718" s="49"/>
      <c r="AQ1718" s="49"/>
      <c r="AR1718" s="40"/>
      <c r="AS1718" s="51"/>
      <c r="AU1718" s="49"/>
      <c r="AW1718" s="52"/>
      <c r="BA1718" s="2"/>
      <c r="BB1718" s="2"/>
      <c r="BC1718" s="101"/>
      <c r="BD1718" s="101"/>
    </row>
    <row r="1719" spans="2:56" s="84" customFormat="1" x14ac:dyDescent="0.35">
      <c r="B1719" s="30" t="str">
        <f>IF(B1645="","",B1645)</f>
        <v>Barrata, Dominic(Avance $500.00)</v>
      </c>
      <c r="C1719" s="31"/>
      <c r="D1719" s="32"/>
      <c r="E1719" s="33">
        <f t="shared" si="671"/>
        <v>93595935</v>
      </c>
      <c r="F1719" s="50">
        <f>B1711</f>
        <v>7</v>
      </c>
      <c r="G1719" s="69"/>
      <c r="H1719" s="70"/>
      <c r="I1719" s="104"/>
      <c r="J1719" s="103" t="s">
        <v>69</v>
      </c>
      <c r="K1719" s="104"/>
      <c r="L1719" s="103" t="s">
        <v>69</v>
      </c>
      <c r="M1719" s="104"/>
      <c r="N1719" s="103" t="s">
        <v>69</v>
      </c>
      <c r="O1719" s="104"/>
      <c r="P1719" s="103" t="s">
        <v>69</v>
      </c>
      <c r="Q1719" s="104"/>
      <c r="R1719" s="103" t="s">
        <v>69</v>
      </c>
      <c r="S1719" s="69"/>
      <c r="T1719" s="70"/>
      <c r="U1719" s="71">
        <f t="shared" ref="U1719" si="672">SUM(G1719:T1719)</f>
        <v>0</v>
      </c>
      <c r="V1719" s="72"/>
      <c r="W1719" s="69"/>
      <c r="X1719" s="70"/>
      <c r="Y1719" s="104"/>
      <c r="Z1719" s="103" t="s">
        <v>69</v>
      </c>
      <c r="AA1719" s="104"/>
      <c r="AB1719" s="103" t="s">
        <v>69</v>
      </c>
      <c r="AC1719" s="104"/>
      <c r="AD1719" s="103" t="s">
        <v>69</v>
      </c>
      <c r="AE1719" s="104"/>
      <c r="AF1719" s="103" t="s">
        <v>69</v>
      </c>
      <c r="AG1719" s="104"/>
      <c r="AH1719" s="103" t="s">
        <v>69</v>
      </c>
      <c r="AI1719" s="69"/>
      <c r="AJ1719" s="70"/>
      <c r="AK1719" s="71">
        <f>SUM(W1719:AJ1719)</f>
        <v>0</v>
      </c>
      <c r="AL1719" s="72"/>
      <c r="AM1719" s="73">
        <f>SUMIF($G1718:$T1718,"",$G1719:$T1719)+SUMIF($W1718:$AJ1718,"",$W1719:$AJ1719)-AN1719</f>
        <v>0</v>
      </c>
      <c r="AN1719" s="88">
        <f>IF(SUMIF($G1718:$T1718,"",$G1719:$T1719)+SUMIF($G1718:$T1718,"F",$G1719:$T1719)+SUMIF($G1718:$T1718,"V",$G1719:$T1719)-40&lt;0,0,SUMIF($G1718:$T1718,"",$G1719:$T1719)+SUMIF($G1718:$T1718,"F",$G1719:$T1719)+SUMIF($G1718:$T1718,"V",$G1719:$T1719)-($U$9/2))+IF(SUMIF($W1718:$AJ1718,"",$W1719:$AJ1719)+SUMIF($W1718:$AJ1718,"F",$W1719:$AJ1719)+SUMIF($W1718:$AJ1718,"V",$W1719:$AJ1719)-40&lt;0,0,SUMIF($W1718:$AJ1718,"",$W1719:$AJ1719)+SUMIF($W1718:$AJ1718,"F",$W1719:$AJ1719)+SUMIF($W1718:$AJ1718,"V",$W1719:$AJ1719)-($U$9/2))</f>
        <v>0</v>
      </c>
      <c r="AO1719" s="73">
        <f>SUMIF($G1718:$T1718,"M",$G1719:$T1719)+SUMIF($W1718:$AJ1718,"M",$W1719:$AJ1719)</f>
        <v>0</v>
      </c>
      <c r="AP1719" s="73">
        <f>SUMIF($G1718:$T1718,"F",$G1719:$T1719)+SUMIF($W1718:$AJ1718,"F",$W1719:$AJ1719)</f>
        <v>0</v>
      </c>
      <c r="AQ1719" s="73">
        <f>SUMIF($G1718:$T1718,"V",$G1719:$T1719)+SUMIF($W1718:$AJ1718,"V",$W1719:$AJ1719)</f>
        <v>0</v>
      </c>
      <c r="AR1719" s="74">
        <f>SUMIF($G1718:$T1718,"O",$G1719:$T1719)+SUMIF($W1718:$AJ1718,"O",$W1719:$AJ1719)</f>
        <v>0</v>
      </c>
      <c r="AS1719" s="75">
        <f>SUM(AM1719:AR1719)</f>
        <v>0</v>
      </c>
      <c r="AT1719" s="72"/>
      <c r="AU1719" s="73">
        <f>SUMIF($G1718:$T1718,"A",$G1719:$T1719)+SUMIF($W1718:$AJ1718,"A",$W1719:$AJ1719)</f>
        <v>0</v>
      </c>
      <c r="AV1719" s="72"/>
      <c r="AW1719" s="76">
        <f>IF(B1719="",0,IF($U$9="",0,$U$9))</f>
        <v>80</v>
      </c>
      <c r="BA1719" s="2"/>
      <c r="BB1719" s="2"/>
      <c r="BC1719" s="101"/>
      <c r="BD1719" s="101"/>
    </row>
    <row r="1720" spans="2:56" s="84" customFormat="1" x14ac:dyDescent="0.35">
      <c r="B1720" s="26"/>
      <c r="C1720" s="27"/>
      <c r="D1720" s="28">
        <f>IF(D1646="","",D1646)</f>
        <v>92032</v>
      </c>
      <c r="E1720" s="29" t="str">
        <f t="shared" si="671"/>
        <v/>
      </c>
      <c r="F1720" s="50">
        <f>B1711</f>
        <v>7</v>
      </c>
      <c r="G1720" s="59"/>
      <c r="H1720" s="64"/>
      <c r="I1720" s="106"/>
      <c r="J1720" s="105"/>
      <c r="K1720" s="106"/>
      <c r="L1720" s="105"/>
      <c r="M1720" s="106"/>
      <c r="N1720" s="105"/>
      <c r="O1720" s="106"/>
      <c r="P1720" s="105"/>
      <c r="Q1720" s="106"/>
      <c r="R1720" s="105"/>
      <c r="S1720" s="59"/>
      <c r="T1720" s="64"/>
      <c r="U1720" s="44"/>
      <c r="W1720" s="59"/>
      <c r="X1720" s="64"/>
      <c r="Y1720" s="106"/>
      <c r="Z1720" s="105"/>
      <c r="AA1720" s="106"/>
      <c r="AB1720" s="105"/>
      <c r="AC1720" s="106"/>
      <c r="AD1720" s="105"/>
      <c r="AE1720" s="106"/>
      <c r="AF1720" s="105"/>
      <c r="AG1720" s="106"/>
      <c r="AH1720" s="105"/>
      <c r="AI1720" s="59"/>
      <c r="AJ1720" s="64"/>
      <c r="AK1720" s="44"/>
      <c r="AM1720" s="49"/>
      <c r="AN1720" s="49"/>
      <c r="AO1720" s="49"/>
      <c r="AP1720" s="49"/>
      <c r="AQ1720" s="49"/>
      <c r="AR1720" s="40"/>
      <c r="AS1720" s="51"/>
      <c r="AU1720" s="49"/>
      <c r="AW1720" s="52"/>
      <c r="BA1720" s="2"/>
      <c r="BB1720" s="2"/>
      <c r="BC1720" s="101"/>
      <c r="BD1720" s="101"/>
    </row>
    <row r="1721" spans="2:56" s="84" customFormat="1" x14ac:dyDescent="0.35">
      <c r="B1721" s="30" t="str">
        <f>IF(B1647="","",B1647)</f>
        <v>Benoit, Jean-Paul(Avance $1,600.00)</v>
      </c>
      <c r="C1721" s="31"/>
      <c r="D1721" s="32"/>
      <c r="E1721" s="33">
        <f t="shared" si="671"/>
        <v>93595935</v>
      </c>
      <c r="F1721" s="50">
        <f>B1711</f>
        <v>7</v>
      </c>
      <c r="G1721" s="69"/>
      <c r="H1721" s="70"/>
      <c r="I1721" s="104"/>
      <c r="J1721" s="103" t="s">
        <v>69</v>
      </c>
      <c r="K1721" s="104"/>
      <c r="L1721" s="103" t="s">
        <v>69</v>
      </c>
      <c r="M1721" s="104"/>
      <c r="N1721" s="103" t="s">
        <v>69</v>
      </c>
      <c r="O1721" s="104"/>
      <c r="P1721" s="103" t="s">
        <v>69</v>
      </c>
      <c r="Q1721" s="104"/>
      <c r="R1721" s="103" t="s">
        <v>69</v>
      </c>
      <c r="S1721" s="69"/>
      <c r="T1721" s="70"/>
      <c r="U1721" s="71">
        <f t="shared" ref="U1721" si="673">SUM(G1721:T1721)</f>
        <v>0</v>
      </c>
      <c r="V1721" s="72"/>
      <c r="W1721" s="69"/>
      <c r="X1721" s="70"/>
      <c r="Y1721" s="104"/>
      <c r="Z1721" s="103" t="s">
        <v>69</v>
      </c>
      <c r="AA1721" s="104"/>
      <c r="AB1721" s="103" t="s">
        <v>69</v>
      </c>
      <c r="AC1721" s="104"/>
      <c r="AD1721" s="103" t="s">
        <v>69</v>
      </c>
      <c r="AE1721" s="104"/>
      <c r="AF1721" s="103" t="s">
        <v>69</v>
      </c>
      <c r="AG1721" s="104"/>
      <c r="AH1721" s="103" t="s">
        <v>69</v>
      </c>
      <c r="AI1721" s="69"/>
      <c r="AJ1721" s="70"/>
      <c r="AK1721" s="71">
        <f>SUM(W1721:AJ1721)</f>
        <v>0</v>
      </c>
      <c r="AL1721" s="72"/>
      <c r="AM1721" s="73">
        <f>SUMIF($G1720:$T1720,"",$G1721:$T1721)+SUMIF($W1720:$AJ1720,"",$W1721:$AJ1721)-AN1721</f>
        <v>0</v>
      </c>
      <c r="AN1721" s="88">
        <f>IF(SUMIF($G1720:$T1720,"",$G1721:$T1721)+SUMIF($G1720:$T1720,"F",$G1721:$T1721)+SUMIF($G1720:$T1720,"V",$G1721:$T1721)-40&lt;0,0,SUMIF($G1720:$T1720,"",$G1721:$T1721)+SUMIF($G1720:$T1720,"F",$G1721:$T1721)+SUMIF($G1720:$T1720,"V",$G1721:$T1721)-($U$9/2))+IF(SUMIF($W1720:$AJ1720,"",$W1721:$AJ1721)+SUMIF($W1720:$AJ1720,"F",$W1721:$AJ1721)+SUMIF($W1720:$AJ1720,"V",$W1721:$AJ1721)-40&lt;0,0,SUMIF($W1720:$AJ1720,"",$W1721:$AJ1721)+SUMIF($W1720:$AJ1720,"F",$W1721:$AJ1721)+SUMIF($W1720:$AJ1720,"V",$W1721:$AJ1721)-($U$9/2))</f>
        <v>0</v>
      </c>
      <c r="AO1721" s="73">
        <f>SUMIF($G1720:$T1720,"M",$G1721:$T1721)+SUMIF($W1720:$AJ1720,"M",$W1721:$AJ1721)</f>
        <v>0</v>
      </c>
      <c r="AP1721" s="73">
        <f>SUMIF($G1720:$T1720,"F",$G1721:$T1721)+SUMIF($W1720:$AJ1720,"F",$W1721:$AJ1721)</f>
        <v>0</v>
      </c>
      <c r="AQ1721" s="73">
        <f>SUMIF($G1720:$T1720,"V",$G1721:$T1721)+SUMIF($W1720:$AJ1720,"V",$W1721:$AJ1721)</f>
        <v>0</v>
      </c>
      <c r="AR1721" s="74">
        <f>SUMIF($G1720:$T1720,"O",$G1721:$T1721)+SUMIF($W1720:$AJ1720,"O",$W1721:$AJ1721)</f>
        <v>0</v>
      </c>
      <c r="AS1721" s="75">
        <f>SUM(AM1721:AR1721)</f>
        <v>0</v>
      </c>
      <c r="AT1721" s="72"/>
      <c r="AU1721" s="73">
        <f>SUMIF($G1720:$T1720,"A",$G1721:$T1721)+SUMIF($W1720:$AJ1720,"A",$W1721:$AJ1721)</f>
        <v>0</v>
      </c>
      <c r="AV1721" s="72"/>
      <c r="AW1721" s="76">
        <f>IF(B1721="",0,IF($U$9="",0,$U$9))</f>
        <v>80</v>
      </c>
      <c r="BA1721" s="2"/>
      <c r="BB1721" s="2"/>
      <c r="BC1721" s="101"/>
      <c r="BD1721" s="101"/>
    </row>
    <row r="1722" spans="2:56" s="84" customFormat="1" x14ac:dyDescent="0.35">
      <c r="B1722" s="26"/>
      <c r="C1722" s="27"/>
      <c r="D1722" s="28">
        <f>IF(D1648="","",D1648)</f>
        <v>81077</v>
      </c>
      <c r="E1722" s="29" t="str">
        <f t="shared" si="671"/>
        <v/>
      </c>
      <c r="F1722" s="50">
        <f>B1711</f>
        <v>7</v>
      </c>
      <c r="G1722" s="93"/>
      <c r="H1722" s="94"/>
      <c r="I1722" s="106"/>
      <c r="J1722" s="105"/>
      <c r="K1722" s="106"/>
      <c r="L1722" s="105"/>
      <c r="M1722" s="106"/>
      <c r="N1722" s="105"/>
      <c r="O1722" s="106"/>
      <c r="P1722" s="105"/>
      <c r="Q1722" s="106"/>
      <c r="R1722" s="105"/>
      <c r="S1722" s="59"/>
      <c r="T1722" s="64"/>
      <c r="U1722" s="44"/>
      <c r="W1722" s="59"/>
      <c r="X1722" s="64"/>
      <c r="Y1722" s="106"/>
      <c r="Z1722" s="105"/>
      <c r="AA1722" s="106"/>
      <c r="AB1722" s="105"/>
      <c r="AC1722" s="106"/>
      <c r="AD1722" s="105"/>
      <c r="AE1722" s="106"/>
      <c r="AF1722" s="105"/>
      <c r="AG1722" s="106"/>
      <c r="AH1722" s="105" t="s">
        <v>1</v>
      </c>
      <c r="AI1722" s="59"/>
      <c r="AJ1722" s="64"/>
      <c r="AK1722" s="44"/>
      <c r="AM1722" s="49"/>
      <c r="AN1722" s="49"/>
      <c r="AO1722" s="49"/>
      <c r="AP1722" s="49"/>
      <c r="AQ1722" s="49"/>
      <c r="AR1722" s="40"/>
      <c r="AS1722" s="51"/>
      <c r="AU1722" s="49"/>
      <c r="AW1722" s="52"/>
      <c r="BA1722" s="2"/>
      <c r="BB1722" s="2"/>
      <c r="BC1722" s="101"/>
      <c r="BD1722" s="101"/>
    </row>
    <row r="1723" spans="2:56" s="84" customFormat="1" x14ac:dyDescent="0.35">
      <c r="B1723" s="30" t="str">
        <f>IF(B1649="","",B1649)</f>
        <v>Bourassa, Julie</v>
      </c>
      <c r="C1723" s="31"/>
      <c r="D1723" s="32"/>
      <c r="E1723" s="33">
        <f t="shared" si="671"/>
        <v>93540</v>
      </c>
      <c r="F1723" s="50">
        <f>B1711</f>
        <v>7</v>
      </c>
      <c r="G1723" s="93"/>
      <c r="H1723" s="94"/>
      <c r="I1723" s="104"/>
      <c r="J1723" s="103">
        <v>8</v>
      </c>
      <c r="K1723" s="104"/>
      <c r="L1723" s="103">
        <v>8</v>
      </c>
      <c r="M1723" s="104"/>
      <c r="N1723" s="103">
        <v>8</v>
      </c>
      <c r="O1723" s="104"/>
      <c r="P1723" s="103">
        <v>8</v>
      </c>
      <c r="Q1723" s="104"/>
      <c r="R1723" s="103">
        <v>7.5</v>
      </c>
      <c r="S1723" s="69"/>
      <c r="T1723" s="70"/>
      <c r="U1723" s="71">
        <f t="shared" ref="U1723" si="674">SUM(G1723:T1723)</f>
        <v>39.5</v>
      </c>
      <c r="V1723" s="72"/>
      <c r="W1723" s="69"/>
      <c r="X1723" s="70"/>
      <c r="Y1723" s="104"/>
      <c r="Z1723" s="103">
        <v>8</v>
      </c>
      <c r="AA1723" s="104"/>
      <c r="AB1723" s="103">
        <v>8</v>
      </c>
      <c r="AC1723" s="104"/>
      <c r="AD1723" s="103">
        <v>8</v>
      </c>
      <c r="AE1723" s="104"/>
      <c r="AF1723" s="103">
        <v>8</v>
      </c>
      <c r="AG1723" s="104"/>
      <c r="AH1723" s="103">
        <v>8</v>
      </c>
      <c r="AI1723" s="69"/>
      <c r="AJ1723" s="70"/>
      <c r="AK1723" s="71">
        <f>SUM(W1723:AJ1723)</f>
        <v>40</v>
      </c>
      <c r="AL1723" s="72"/>
      <c r="AM1723" s="73">
        <f>SUMIF($G1722:$T1722,"",$G1723:$T1723)+SUMIF($W1722:$AJ1722,"",$W1723:$AJ1723)-AN1723</f>
        <v>71.5</v>
      </c>
      <c r="AN1723" s="88">
        <f>IF(SUMIF($G1722:$T1722,"",$G1723:$T1723)+SUMIF($G1722:$T1722,"F",$G1723:$T1723)+SUMIF($G1722:$T1722,"V",$G1723:$T1723)-40&lt;0,0,SUMIF($G1722:$T1722,"",$G1723:$T1723)+SUMIF($G1722:$T1722,"F",$G1723:$T1723)+SUMIF($G1722:$T1722,"V",$G1723:$T1723)-($U$9/2))+IF(SUMIF($W1722:$AJ1722,"",$W1723:$AJ1723)+SUMIF($W1722:$AJ1722,"F",$W1723:$AJ1723)+SUMIF($W1722:$AJ1722,"V",$W1723:$AJ1723)-40&lt;0,0,SUMIF($W1722:$AJ1722,"",$W1723:$AJ1723)+SUMIF($W1722:$AJ1722,"F",$W1723:$AJ1723)+SUMIF($W1722:$AJ1722,"V",$W1723:$AJ1723)-($U$9/2))</f>
        <v>0</v>
      </c>
      <c r="AO1723" s="73">
        <f>SUMIF($G1722:$T1722,"M",$G1723:$T1723)+SUMIF($W1722:$AJ1722,"M",$W1723:$AJ1723)</f>
        <v>0</v>
      </c>
      <c r="AP1723" s="73">
        <f>SUMIF($G1722:$T1722,"F",$G1723:$T1723)+SUMIF($W1722:$AJ1722,"F",$W1723:$AJ1723)</f>
        <v>0</v>
      </c>
      <c r="AQ1723" s="73">
        <f>SUMIF($G1722:$T1722,"V",$G1723:$T1723)+SUMIF($W1722:$AJ1722,"V",$W1723:$AJ1723)</f>
        <v>8</v>
      </c>
      <c r="AR1723" s="74">
        <f>SUMIF($G1722:$T1722,"O",$G1723:$T1723)+SUMIF($W1722:$AJ1722,"O",$W1723:$AJ1723)</f>
        <v>0</v>
      </c>
      <c r="AS1723" s="75">
        <f>SUM(AM1723:AR1723)</f>
        <v>79.5</v>
      </c>
      <c r="AT1723" s="72"/>
      <c r="AU1723" s="73">
        <f>SUMIF($G1722:$T1722,"A",$G1723:$T1723)+SUMIF($W1722:$AJ1722,"A",$W1723:$AJ1723)</f>
        <v>0</v>
      </c>
      <c r="AV1723" s="72"/>
      <c r="AW1723" s="76">
        <f>IF(B1723="",0,IF($U$9="",0,$U$9))</f>
        <v>80</v>
      </c>
      <c r="BA1723" s="2"/>
      <c r="BB1723" s="2"/>
      <c r="BC1723" s="101"/>
      <c r="BD1723" s="101"/>
    </row>
    <row r="1724" spans="2:56" s="84" customFormat="1" x14ac:dyDescent="0.35">
      <c r="B1724" s="26"/>
      <c r="C1724" s="27"/>
      <c r="D1724" s="28">
        <f>IF(D1650="","",D1650)</f>
        <v>78475</v>
      </c>
      <c r="E1724" s="29" t="str">
        <f t="shared" si="671"/>
        <v/>
      </c>
      <c r="F1724" s="50">
        <f>B1711</f>
        <v>7</v>
      </c>
      <c r="G1724" s="59"/>
      <c r="H1724" s="64"/>
      <c r="I1724" s="106"/>
      <c r="J1724" s="105"/>
      <c r="K1724" s="106"/>
      <c r="L1724" s="105"/>
      <c r="M1724" s="106"/>
      <c r="N1724" s="105"/>
      <c r="O1724" s="106"/>
      <c r="P1724" s="105"/>
      <c r="Q1724" s="106"/>
      <c r="R1724" s="105"/>
      <c r="S1724" s="59"/>
      <c r="T1724" s="64"/>
      <c r="U1724" s="44"/>
      <c r="W1724" s="59"/>
      <c r="X1724" s="64"/>
      <c r="Y1724" s="106"/>
      <c r="Z1724" s="105"/>
      <c r="AA1724" s="106"/>
      <c r="AB1724" s="105"/>
      <c r="AC1724" s="106"/>
      <c r="AD1724" s="105"/>
      <c r="AE1724" s="106"/>
      <c r="AF1724" s="105"/>
      <c r="AG1724" s="106"/>
      <c r="AH1724" s="105"/>
      <c r="AI1724" s="59"/>
      <c r="AJ1724" s="64"/>
      <c r="AK1724" s="44"/>
      <c r="AM1724" s="49"/>
      <c r="AN1724" s="49"/>
      <c r="AO1724" s="49"/>
      <c r="AP1724" s="49"/>
      <c r="AQ1724" s="49"/>
      <c r="AR1724" s="40"/>
      <c r="AS1724" s="51"/>
      <c r="AU1724" s="49"/>
      <c r="AW1724" s="52"/>
      <c r="BA1724" s="2"/>
      <c r="BB1724" s="2"/>
      <c r="BC1724" s="101"/>
      <c r="BD1724" s="101"/>
    </row>
    <row r="1725" spans="2:56" s="84" customFormat="1" x14ac:dyDescent="0.35">
      <c r="B1725" s="30" t="str">
        <f>IF(B1651="","",B1651)</f>
        <v>Charbonneau, Samuel</v>
      </c>
      <c r="C1725" s="31"/>
      <c r="D1725" s="32"/>
      <c r="E1725" s="33">
        <f t="shared" si="671"/>
        <v>93540</v>
      </c>
      <c r="F1725" s="50">
        <f>B1711</f>
        <v>7</v>
      </c>
      <c r="G1725" s="69"/>
      <c r="H1725" s="70"/>
      <c r="I1725" s="104"/>
      <c r="J1725" s="103">
        <v>8</v>
      </c>
      <c r="K1725" s="104"/>
      <c r="L1725" s="103">
        <v>8</v>
      </c>
      <c r="M1725" s="104"/>
      <c r="N1725" s="103">
        <v>8</v>
      </c>
      <c r="O1725" s="104"/>
      <c r="P1725" s="103">
        <v>8</v>
      </c>
      <c r="Q1725" s="104"/>
      <c r="R1725" s="103">
        <v>7.5</v>
      </c>
      <c r="S1725" s="69"/>
      <c r="T1725" s="70"/>
      <c r="U1725" s="71">
        <f t="shared" ref="U1725" si="675">SUM(G1725:T1725)</f>
        <v>39.5</v>
      </c>
      <c r="V1725" s="72"/>
      <c r="W1725" s="69"/>
      <c r="X1725" s="70"/>
      <c r="Y1725" s="104"/>
      <c r="Z1725" s="103">
        <v>8</v>
      </c>
      <c r="AA1725" s="104"/>
      <c r="AB1725" s="103">
        <v>8</v>
      </c>
      <c r="AC1725" s="104"/>
      <c r="AD1725" s="103">
        <v>8</v>
      </c>
      <c r="AE1725" s="104"/>
      <c r="AF1725" s="103">
        <v>8</v>
      </c>
      <c r="AG1725" s="104"/>
      <c r="AH1725" s="103">
        <v>7.5</v>
      </c>
      <c r="AI1725" s="69"/>
      <c r="AJ1725" s="70"/>
      <c r="AK1725" s="71">
        <f>SUM(W1725:AJ1725)</f>
        <v>39.5</v>
      </c>
      <c r="AL1725" s="72"/>
      <c r="AM1725" s="73">
        <f>SUMIF($G1724:$T1724,"",$G1725:$T1725)+SUMIF($W1724:$AJ1724,"",$W1725:$AJ1725)-AN1725</f>
        <v>79</v>
      </c>
      <c r="AN1725" s="88">
        <f>IF(SUMIF($G1724:$T1724,"",$G1725:$T1725)+SUMIF($G1724:$T1724,"F",$G1725:$T1725)+SUMIF($G1724:$T1724,"V",$G1725:$T1725)-40&lt;0,0,SUMIF($G1724:$T1724,"",$G1725:$T1725)+SUMIF($G1724:$T1724,"F",$G1725:$T1725)+SUMIF($G1724:$T1724,"V",$G1725:$T1725)-($U$9/2))+IF(SUMIF($W1724:$AJ1724,"",$W1725:$AJ1725)+SUMIF($W1724:$AJ1724,"F",$W1725:$AJ1725)+SUMIF($W1724:$AJ1724,"V",$W1725:$AJ1725)-40&lt;0,0,SUMIF($W1724:$AJ1724,"",$W1725:$AJ1725)+SUMIF($W1724:$AJ1724,"F",$W1725:$AJ1725)+SUMIF($W1724:$AJ1724,"V",$W1725:$AJ1725)-($U$9/2))</f>
        <v>0</v>
      </c>
      <c r="AO1725" s="73">
        <f>SUMIF($G1724:$T1724,"M",$G1725:$T1725)+SUMIF($W1724:$AJ1724,"M",$W1725:$AJ1725)</f>
        <v>0</v>
      </c>
      <c r="AP1725" s="73">
        <f>SUMIF($G1724:$T1724,"F",$G1725:$T1725)+SUMIF($W1724:$AJ1724,"F",$W1725:$AJ1725)</f>
        <v>0</v>
      </c>
      <c r="AQ1725" s="73">
        <f>SUMIF($G1724:$T1724,"V",$G1725:$T1725)+SUMIF($W1724:$AJ1724,"V",$W1725:$AJ1725)</f>
        <v>0</v>
      </c>
      <c r="AR1725" s="74">
        <f>SUMIF($G1724:$T1724,"O",$G1725:$T1725)+SUMIF($W1724:$AJ1724,"O",$W1725:$AJ1725)</f>
        <v>0</v>
      </c>
      <c r="AS1725" s="75">
        <f>SUM(AM1725:AR1725)</f>
        <v>79</v>
      </c>
      <c r="AT1725" s="72"/>
      <c r="AU1725" s="73">
        <f>SUMIF($G1724:$T1724,"A",$G1725:$T1725)+SUMIF($W1724:$AJ1724,"A",$W1725:$AJ1725)</f>
        <v>0</v>
      </c>
      <c r="AV1725" s="72"/>
      <c r="AW1725" s="76">
        <f>IF(B1725="",0,IF($U$9="",0,$U$9))</f>
        <v>80</v>
      </c>
      <c r="BA1725" s="2"/>
      <c r="BB1725" s="2"/>
      <c r="BC1725" s="101"/>
      <c r="BD1725" s="101"/>
    </row>
    <row r="1726" spans="2:56" s="84" customFormat="1" x14ac:dyDescent="0.35">
      <c r="B1726" s="26"/>
      <c r="C1726" s="27"/>
      <c r="D1726" s="28" t="str">
        <f>IF(D1652="","",D1652)</f>
        <v/>
      </c>
      <c r="E1726" s="29" t="str">
        <f t="shared" si="671"/>
        <v/>
      </c>
      <c r="F1726" s="50">
        <f>B1711</f>
        <v>7</v>
      </c>
      <c r="G1726" s="59"/>
      <c r="H1726" s="64"/>
      <c r="I1726" s="106"/>
      <c r="J1726" s="105"/>
      <c r="K1726" s="106"/>
      <c r="L1726" s="105"/>
      <c r="M1726" s="106"/>
      <c r="N1726" s="105"/>
      <c r="O1726" s="106"/>
      <c r="P1726" s="105"/>
      <c r="Q1726" s="106"/>
      <c r="R1726" s="105"/>
      <c r="S1726" s="59"/>
      <c r="T1726" s="64"/>
      <c r="U1726" s="44"/>
      <c r="W1726" s="59"/>
      <c r="X1726" s="64"/>
      <c r="Y1726" s="106"/>
      <c r="Z1726" s="105"/>
      <c r="AA1726" s="106"/>
      <c r="AB1726" s="105"/>
      <c r="AC1726" s="106"/>
      <c r="AD1726" s="105"/>
      <c r="AE1726" s="106"/>
      <c r="AF1726" s="105"/>
      <c r="AG1726" s="106"/>
      <c r="AH1726" s="105"/>
      <c r="AI1726" s="59"/>
      <c r="AJ1726" s="64"/>
      <c r="AK1726" s="44"/>
      <c r="AM1726" s="49"/>
      <c r="AN1726" s="49"/>
      <c r="AO1726" s="49"/>
      <c r="AP1726" s="49"/>
      <c r="AQ1726" s="49"/>
      <c r="AR1726" s="40"/>
      <c r="AS1726" s="51"/>
      <c r="AU1726" s="49"/>
      <c r="AW1726" s="52"/>
      <c r="BA1726" s="2"/>
      <c r="BB1726" s="2"/>
      <c r="BC1726" s="101"/>
      <c r="BD1726" s="101"/>
    </row>
    <row r="1727" spans="2:56" s="84" customFormat="1" x14ac:dyDescent="0.35">
      <c r="B1727" s="30" t="str">
        <f>IF(B1653="","",B1653)</f>
        <v/>
      </c>
      <c r="C1727" s="31"/>
      <c r="D1727" s="32"/>
      <c r="E1727" s="33" t="str">
        <f t="shared" si="671"/>
        <v/>
      </c>
      <c r="F1727" s="50">
        <f>B1711</f>
        <v>7</v>
      </c>
      <c r="G1727" s="69"/>
      <c r="H1727" s="70"/>
      <c r="I1727" s="104"/>
      <c r="J1727" s="103"/>
      <c r="K1727" s="104"/>
      <c r="L1727" s="103"/>
      <c r="M1727" s="104"/>
      <c r="N1727" s="103"/>
      <c r="O1727" s="104"/>
      <c r="P1727" s="103"/>
      <c r="Q1727" s="104"/>
      <c r="R1727" s="103"/>
      <c r="S1727" s="69"/>
      <c r="T1727" s="70"/>
      <c r="U1727" s="71">
        <f t="shared" ref="U1727" si="676">SUM(G1727:T1727)</f>
        <v>0</v>
      </c>
      <c r="V1727" s="72"/>
      <c r="W1727" s="69"/>
      <c r="X1727" s="70"/>
      <c r="Y1727" s="104"/>
      <c r="Z1727" s="103"/>
      <c r="AA1727" s="104"/>
      <c r="AB1727" s="103"/>
      <c r="AC1727" s="104"/>
      <c r="AD1727" s="103"/>
      <c r="AE1727" s="104"/>
      <c r="AF1727" s="103"/>
      <c r="AG1727" s="104"/>
      <c r="AH1727" s="103"/>
      <c r="AI1727" s="69"/>
      <c r="AJ1727" s="70"/>
      <c r="AK1727" s="71">
        <f>SUM(W1727:AJ1727)</f>
        <v>0</v>
      </c>
      <c r="AL1727" s="72"/>
      <c r="AM1727" s="73">
        <f>SUMIF($G1726:$T1726,"",$G1727:$T1727)+SUMIF($W1726:$AJ1726,"",$W1727:$AJ1727)-AN1727</f>
        <v>0</v>
      </c>
      <c r="AN1727" s="88">
        <f>IF(SUMIF($G1726:$T1726,"",$G1727:$T1727)+SUMIF($G1726:$T1726,"F",$G1727:$T1727)+SUMIF($G1726:$T1726,"V",$G1727:$T1727)-40&lt;0,0,SUMIF($G1726:$T1726,"",$G1727:$T1727)+SUMIF($G1726:$T1726,"F",$G1727:$T1727)+SUMIF($G1726:$T1726,"V",$G1727:$T1727)-($U$9/2))+IF(SUMIF($W1726:$AJ1726,"",$W1727:$AJ1727)+SUMIF($W1726:$AJ1726,"F",$W1727:$AJ1727)+SUMIF($W1726:$AJ1726,"V",$W1727:$AJ1727)-40&lt;0,0,SUMIF($W1726:$AJ1726,"",$W1727:$AJ1727)+SUMIF($W1726:$AJ1726,"F",$W1727:$AJ1727)+SUMIF($W1726:$AJ1726,"V",$W1727:$AJ1727)-($U$9/2))</f>
        <v>0</v>
      </c>
      <c r="AO1727" s="73">
        <f>SUMIF($G1726:$T1726,"M",$G1727:$T1727)+SUMIF($W1726:$AJ1726,"M",$W1727:$AJ1727)</f>
        <v>0</v>
      </c>
      <c r="AP1727" s="73">
        <f>SUMIF($G1726:$T1726,"F",$G1727:$T1727)+SUMIF($W1726:$AJ1726,"F",$W1727:$AJ1727)</f>
        <v>0</v>
      </c>
      <c r="AQ1727" s="73">
        <f>SUMIF($G1726:$T1726,"V",$G1727:$T1727)+SUMIF($W1726:$AJ1726,"V",$W1727:$AJ1727)</f>
        <v>0</v>
      </c>
      <c r="AR1727" s="74">
        <f>SUMIF($G1726:$T1726,"O",$G1727:$T1727)+SUMIF($W1726:$AJ1726,"O",$W1727:$AJ1727)</f>
        <v>0</v>
      </c>
      <c r="AS1727" s="75">
        <f>SUM(AM1727:AR1727)</f>
        <v>0</v>
      </c>
      <c r="AT1727" s="72"/>
      <c r="AU1727" s="73">
        <f>SUMIF($G1726:$T1726,"A",$G1727:$T1727)+SUMIF($W1726:$AJ1726,"A",$W1727:$AJ1727)</f>
        <v>0</v>
      </c>
      <c r="AV1727" s="72"/>
      <c r="AW1727" s="76">
        <f>IF(B1727="",0,IF($U$9="",0,$U$9))</f>
        <v>0</v>
      </c>
      <c r="BA1727" s="2"/>
      <c r="BB1727" s="2"/>
      <c r="BC1727" s="101"/>
      <c r="BD1727" s="101"/>
    </row>
    <row r="1728" spans="2:56" s="84" customFormat="1" x14ac:dyDescent="0.35">
      <c r="B1728" s="26"/>
      <c r="C1728" s="27"/>
      <c r="D1728" s="28">
        <f>IF(D1654="","",D1654)</f>
        <v>79709</v>
      </c>
      <c r="E1728" s="29" t="str">
        <f t="shared" si="671"/>
        <v/>
      </c>
      <c r="F1728" s="50">
        <f>B1711</f>
        <v>7</v>
      </c>
      <c r="G1728" s="59"/>
      <c r="H1728" s="64"/>
      <c r="I1728" s="106"/>
      <c r="J1728" s="105"/>
      <c r="K1728" s="106"/>
      <c r="L1728" s="105"/>
      <c r="M1728" s="106"/>
      <c r="N1728" s="105"/>
      <c r="O1728" s="106"/>
      <c r="P1728" s="105"/>
      <c r="Q1728" s="106"/>
      <c r="R1728" s="105"/>
      <c r="S1728" s="59"/>
      <c r="T1728" s="64"/>
      <c r="U1728" s="44"/>
      <c r="W1728" s="59"/>
      <c r="X1728" s="64"/>
      <c r="Y1728" s="106"/>
      <c r="Z1728" s="105"/>
      <c r="AA1728" s="106"/>
      <c r="AB1728" s="105"/>
      <c r="AC1728" s="106"/>
      <c r="AD1728" s="105"/>
      <c r="AE1728" s="106"/>
      <c r="AF1728" s="105"/>
      <c r="AG1728" s="106"/>
      <c r="AH1728" s="105"/>
      <c r="AI1728" s="59"/>
      <c r="AJ1728" s="64"/>
      <c r="AK1728" s="44"/>
      <c r="AM1728" s="49"/>
      <c r="AN1728" s="49"/>
      <c r="AO1728" s="49"/>
      <c r="AP1728" s="49"/>
      <c r="AQ1728" s="49"/>
      <c r="AR1728" s="40"/>
      <c r="AS1728" s="51"/>
      <c r="AU1728" s="49"/>
      <c r="AW1728" s="52"/>
      <c r="BA1728" s="2"/>
      <c r="BB1728" s="2"/>
      <c r="BC1728" s="101"/>
      <c r="BD1728" s="101"/>
    </row>
    <row r="1729" spans="2:56" s="84" customFormat="1" x14ac:dyDescent="0.35">
      <c r="B1729" s="30" t="str">
        <f>IF(B1655="","",B1655)</f>
        <v>De Rose, Natale</v>
      </c>
      <c r="C1729" s="31"/>
      <c r="D1729" s="32"/>
      <c r="E1729" s="33">
        <f t="shared" si="671"/>
        <v>93595935</v>
      </c>
      <c r="F1729" s="50">
        <f>B1711</f>
        <v>7</v>
      </c>
      <c r="G1729" s="69"/>
      <c r="H1729" s="70"/>
      <c r="I1729" s="104"/>
      <c r="J1729" s="103">
        <v>8</v>
      </c>
      <c r="K1729" s="104"/>
      <c r="L1729" s="103">
        <v>8</v>
      </c>
      <c r="M1729" s="104"/>
      <c r="N1729" s="103">
        <v>8</v>
      </c>
      <c r="O1729" s="104"/>
      <c r="P1729" s="103">
        <v>8</v>
      </c>
      <c r="Q1729" s="104"/>
      <c r="R1729" s="103">
        <v>8</v>
      </c>
      <c r="S1729" s="69"/>
      <c r="T1729" s="70"/>
      <c r="U1729" s="71">
        <f t="shared" ref="U1729" si="677">SUM(G1729:T1729)</f>
        <v>40</v>
      </c>
      <c r="V1729" s="72"/>
      <c r="W1729" s="69"/>
      <c r="X1729" s="70"/>
      <c r="Y1729" s="104"/>
      <c r="Z1729" s="103">
        <v>8</v>
      </c>
      <c r="AA1729" s="104"/>
      <c r="AB1729" s="103">
        <v>8</v>
      </c>
      <c r="AC1729" s="104"/>
      <c r="AD1729" s="103">
        <v>8</v>
      </c>
      <c r="AE1729" s="104"/>
      <c r="AF1729" s="103">
        <v>8</v>
      </c>
      <c r="AG1729" s="104"/>
      <c r="AH1729" s="103">
        <v>8</v>
      </c>
      <c r="AI1729" s="69"/>
      <c r="AJ1729" s="70"/>
      <c r="AK1729" s="71">
        <f>SUM(W1729:AJ1729)</f>
        <v>40</v>
      </c>
      <c r="AL1729" s="72"/>
      <c r="AM1729" s="73">
        <f>SUMIF($G1728:$T1728,"",$G1729:$T1729)+SUMIF($W1728:$AJ1728,"",$W1729:$AJ1729)-AN1729</f>
        <v>80</v>
      </c>
      <c r="AN1729" s="88">
        <f>IF(SUMIF($G1728:$T1728,"",$G1729:$T1729)+SUMIF($G1728:$T1728,"F",$G1729:$T1729)+SUMIF($G1728:$T1728,"V",$G1729:$T1729)-40&lt;0,0,SUMIF($G1728:$T1728,"",$G1729:$T1729)+SUMIF($G1728:$T1728,"F",$G1729:$T1729)+SUMIF($G1728:$T1728,"V",$G1729:$T1729)-($U$9/2))+IF(SUMIF($W1728:$AJ1728,"",$W1729:$AJ1729)+SUMIF($W1728:$AJ1728,"F",$W1729:$AJ1729)+SUMIF($W1728:$AJ1728,"V",$W1729:$AJ1729)-40&lt;0,0,SUMIF($W1728:$AJ1728,"",$W1729:$AJ1729)+SUMIF($W1728:$AJ1728,"F",$W1729:$AJ1729)+SUMIF($W1728:$AJ1728,"V",$W1729:$AJ1729)-($U$9/2))</f>
        <v>0</v>
      </c>
      <c r="AO1729" s="73">
        <f>SUMIF($G1728:$T1728,"M",$G1729:$T1729)+SUMIF($W1728:$AJ1728,"M",$W1729:$AJ1729)</f>
        <v>0</v>
      </c>
      <c r="AP1729" s="73">
        <f>SUMIF($G1728:$T1728,"F",$G1729:$T1729)+SUMIF($W1728:$AJ1728,"F",$W1729:$AJ1729)</f>
        <v>0</v>
      </c>
      <c r="AQ1729" s="73">
        <f>SUMIF($G1728:$T1728,"V",$G1729:$T1729)+SUMIF($W1728:$AJ1728,"V",$W1729:$AJ1729)</f>
        <v>0</v>
      </c>
      <c r="AR1729" s="74">
        <f>SUMIF($G1728:$T1728,"O",$G1729:$T1729)+SUMIF($W1728:$AJ1728,"O",$W1729:$AJ1729)</f>
        <v>0</v>
      </c>
      <c r="AS1729" s="75">
        <f>SUM(AM1729:AR1729)</f>
        <v>80</v>
      </c>
      <c r="AT1729" s="72"/>
      <c r="AU1729" s="73">
        <f>SUMIF($G1728:$T1728,"A",$G1729:$T1729)+SUMIF($W1728:$AJ1728,"A",$W1729:$AJ1729)</f>
        <v>0</v>
      </c>
      <c r="AV1729" s="72"/>
      <c r="AW1729" s="76">
        <f>IF(B1729="",0,IF($U$9="",0,$U$9))</f>
        <v>80</v>
      </c>
      <c r="BA1729" s="2"/>
      <c r="BB1729" s="2"/>
      <c r="BC1729" s="101"/>
      <c r="BD1729" s="101"/>
    </row>
    <row r="1730" spans="2:56" s="84" customFormat="1" x14ac:dyDescent="0.35">
      <c r="B1730" s="26"/>
      <c r="C1730" s="27"/>
      <c r="D1730" s="28">
        <f>IF(D1656="","",D1656)</f>
        <v>92027</v>
      </c>
      <c r="E1730" s="29" t="str">
        <f t="shared" si="671"/>
        <v/>
      </c>
      <c r="F1730" s="50">
        <f>B1711</f>
        <v>7</v>
      </c>
      <c r="G1730" s="59"/>
      <c r="H1730" s="64"/>
      <c r="I1730" s="106"/>
      <c r="J1730" s="105"/>
      <c r="K1730" s="106"/>
      <c r="L1730" s="105"/>
      <c r="M1730" s="106"/>
      <c r="N1730" s="105"/>
      <c r="O1730" s="106"/>
      <c r="P1730" s="105"/>
      <c r="Q1730" s="106"/>
      <c r="R1730" s="105"/>
      <c r="S1730" s="59"/>
      <c r="T1730" s="64"/>
      <c r="U1730" s="44"/>
      <c r="W1730" s="59"/>
      <c r="X1730" s="64"/>
      <c r="Y1730" s="106"/>
      <c r="Z1730" s="105"/>
      <c r="AA1730" s="106"/>
      <c r="AB1730" s="105"/>
      <c r="AC1730" s="106"/>
      <c r="AD1730" s="105"/>
      <c r="AE1730" s="106"/>
      <c r="AF1730" s="105"/>
      <c r="AG1730" s="106"/>
      <c r="AH1730" s="105"/>
      <c r="AI1730" s="59"/>
      <c r="AJ1730" s="64"/>
      <c r="AK1730" s="44"/>
      <c r="AM1730" s="49"/>
      <c r="AN1730" s="49"/>
      <c r="AO1730" s="49"/>
      <c r="AP1730" s="49"/>
      <c r="AQ1730" s="49"/>
      <c r="AR1730" s="40"/>
      <c r="AS1730" s="51"/>
      <c r="AU1730" s="49"/>
      <c r="AW1730" s="52"/>
      <c r="BA1730" s="2"/>
      <c r="BB1730" s="2"/>
      <c r="BC1730" s="101"/>
      <c r="BD1730" s="101"/>
    </row>
    <row r="1731" spans="2:56" s="84" customFormat="1" x14ac:dyDescent="0.35">
      <c r="B1731" s="30" t="str">
        <f>IF(B1657="","",B1657)</f>
        <v>Descoteaux, Gerald</v>
      </c>
      <c r="C1731" s="31"/>
      <c r="D1731" s="32"/>
      <c r="E1731" s="33">
        <f t="shared" si="671"/>
        <v>93595935</v>
      </c>
      <c r="F1731" s="50">
        <f>B1711</f>
        <v>7</v>
      </c>
      <c r="G1731" s="69"/>
      <c r="H1731" s="70"/>
      <c r="I1731" s="104"/>
      <c r="J1731" s="103">
        <v>8</v>
      </c>
      <c r="K1731" s="104"/>
      <c r="L1731" s="103">
        <v>8</v>
      </c>
      <c r="M1731" s="104"/>
      <c r="N1731" s="103">
        <v>8</v>
      </c>
      <c r="O1731" s="104"/>
      <c r="P1731" s="103">
        <v>8</v>
      </c>
      <c r="Q1731" s="104"/>
      <c r="R1731" s="103">
        <v>8</v>
      </c>
      <c r="S1731" s="69"/>
      <c r="T1731" s="70"/>
      <c r="U1731" s="71">
        <f t="shared" ref="U1731" si="678">SUM(G1731:T1731)</f>
        <v>40</v>
      </c>
      <c r="V1731" s="72"/>
      <c r="W1731" s="69"/>
      <c r="X1731" s="70"/>
      <c r="Y1731" s="104"/>
      <c r="Z1731" s="103">
        <v>8</v>
      </c>
      <c r="AA1731" s="104"/>
      <c r="AB1731" s="103">
        <v>8</v>
      </c>
      <c r="AC1731" s="104"/>
      <c r="AD1731" s="103">
        <v>8</v>
      </c>
      <c r="AE1731" s="104"/>
      <c r="AF1731" s="103">
        <v>8</v>
      </c>
      <c r="AG1731" s="104"/>
      <c r="AH1731" s="103">
        <v>8</v>
      </c>
      <c r="AI1731" s="69"/>
      <c r="AJ1731" s="70"/>
      <c r="AK1731" s="71">
        <f>SUM(W1731:AJ1731)</f>
        <v>40</v>
      </c>
      <c r="AL1731" s="72"/>
      <c r="AM1731" s="73">
        <f>SUMIF($G1730:$T1730,"",$G1731:$T1731)+SUMIF($W1730:$AJ1730,"",$W1731:$AJ1731)-AN1731</f>
        <v>80</v>
      </c>
      <c r="AN1731" s="88">
        <f>IF(SUMIF($G1730:$T1730,"",$G1731:$T1731)+SUMIF($G1730:$T1730,"F",$G1731:$T1731)+SUMIF($G1730:$T1730,"V",$G1731:$T1731)-40&lt;0,0,SUMIF($G1730:$T1730,"",$G1731:$T1731)+SUMIF($G1730:$T1730,"F",$G1731:$T1731)+SUMIF($G1730:$T1730,"V",$G1731:$T1731)-($U$9/2))+IF(SUMIF($W1730:$AJ1730,"",$W1731:$AJ1731)+SUMIF($W1730:$AJ1730,"F",$W1731:$AJ1731)+SUMIF($W1730:$AJ1730,"V",$W1731:$AJ1731)-40&lt;0,0,SUMIF($W1730:$AJ1730,"",$W1731:$AJ1731)+SUMIF($W1730:$AJ1730,"F",$W1731:$AJ1731)+SUMIF($W1730:$AJ1730,"V",$W1731:$AJ1731)-($U$9/2))</f>
        <v>0</v>
      </c>
      <c r="AO1731" s="73">
        <f>SUMIF($G1730:$T1730,"M",$G1731:$T1731)+SUMIF($W1730:$AJ1730,"M",$W1731:$AJ1731)</f>
        <v>0</v>
      </c>
      <c r="AP1731" s="73">
        <f>SUMIF($G1730:$T1730,"F",$G1731:$T1731)+SUMIF($W1730:$AJ1730,"F",$W1731:$AJ1731)</f>
        <v>0</v>
      </c>
      <c r="AQ1731" s="73">
        <f>SUMIF($G1730:$T1730,"V",$G1731:$T1731)+SUMIF($W1730:$AJ1730,"V",$W1731:$AJ1731)</f>
        <v>0</v>
      </c>
      <c r="AR1731" s="74">
        <f>SUMIF($G1730:$T1730,"O",$G1731:$T1731)+SUMIF($W1730:$AJ1730,"O",$W1731:$AJ1731)</f>
        <v>0</v>
      </c>
      <c r="AS1731" s="75">
        <f>SUM(AM1731:AR1731)</f>
        <v>80</v>
      </c>
      <c r="AT1731" s="72"/>
      <c r="AU1731" s="73">
        <f>SUMIF($G1730:$T1730,"A",$G1731:$T1731)+SUMIF($W1730:$AJ1730,"A",$W1731:$AJ1731)</f>
        <v>0</v>
      </c>
      <c r="AV1731" s="72"/>
      <c r="AW1731" s="76">
        <f>IF(B1731="",0,IF($U$9="",0,$U$9))</f>
        <v>80</v>
      </c>
      <c r="BA1731" s="2"/>
      <c r="BB1731" s="2"/>
      <c r="BC1731" s="101"/>
      <c r="BD1731" s="101"/>
    </row>
    <row r="1732" spans="2:56" s="84" customFormat="1" x14ac:dyDescent="0.35">
      <c r="B1732" s="26"/>
      <c r="C1732" s="27"/>
      <c r="D1732" s="28">
        <f>IF(D1658="","",D1658)</f>
        <v>73795</v>
      </c>
      <c r="E1732" s="29" t="str">
        <f t="shared" si="671"/>
        <v/>
      </c>
      <c r="F1732" s="50">
        <f>B1711</f>
        <v>7</v>
      </c>
      <c r="G1732" s="59"/>
      <c r="H1732" s="64"/>
      <c r="I1732" s="106"/>
      <c r="J1732" s="105"/>
      <c r="K1732" s="106"/>
      <c r="L1732" s="105"/>
      <c r="M1732" s="106"/>
      <c r="N1732" s="105"/>
      <c r="O1732" s="106"/>
      <c r="P1732" s="105"/>
      <c r="Q1732" s="106"/>
      <c r="R1732" s="105"/>
      <c r="S1732" s="59"/>
      <c r="T1732" s="64"/>
      <c r="U1732" s="44"/>
      <c r="W1732" s="59"/>
      <c r="X1732" s="64"/>
      <c r="Y1732" s="106"/>
      <c r="Z1732" s="105"/>
      <c r="AA1732" s="106"/>
      <c r="AB1732" s="105"/>
      <c r="AC1732" s="106"/>
      <c r="AD1732" s="105"/>
      <c r="AE1732" s="106"/>
      <c r="AF1732" s="105"/>
      <c r="AG1732" s="106"/>
      <c r="AH1732" s="105"/>
      <c r="AI1732" s="59"/>
      <c r="AJ1732" s="64"/>
      <c r="AK1732" s="44"/>
      <c r="AM1732" s="49"/>
      <c r="AN1732" s="49"/>
      <c r="AO1732" s="49"/>
      <c r="AP1732" s="49"/>
      <c r="AQ1732" s="49"/>
      <c r="AR1732" s="40"/>
      <c r="AS1732" s="51"/>
      <c r="AU1732" s="49"/>
      <c r="AW1732" s="52"/>
      <c r="BA1732" s="2"/>
      <c r="BB1732" s="2"/>
      <c r="BC1732" s="101"/>
      <c r="BD1732" s="101"/>
    </row>
    <row r="1733" spans="2:56" s="84" customFormat="1" x14ac:dyDescent="0.35">
      <c r="B1733" s="30" t="str">
        <f>IF(B1659="","",B1659)</f>
        <v>Fortin, Veronique</v>
      </c>
      <c r="C1733" s="31"/>
      <c r="D1733" s="32"/>
      <c r="E1733" s="33">
        <f t="shared" si="671"/>
        <v>93540</v>
      </c>
      <c r="F1733" s="50">
        <f>B1711</f>
        <v>7</v>
      </c>
      <c r="G1733" s="69"/>
      <c r="H1733" s="70"/>
      <c r="I1733" s="104"/>
      <c r="J1733" s="103">
        <v>8</v>
      </c>
      <c r="K1733" s="104"/>
      <c r="L1733" s="103">
        <v>8</v>
      </c>
      <c r="M1733" s="104"/>
      <c r="N1733" s="103">
        <v>8</v>
      </c>
      <c r="O1733" s="104"/>
      <c r="P1733" s="103">
        <v>8</v>
      </c>
      <c r="Q1733" s="104"/>
      <c r="R1733" s="103">
        <v>8</v>
      </c>
      <c r="S1733" s="69"/>
      <c r="T1733" s="70"/>
      <c r="U1733" s="71">
        <f t="shared" ref="U1733" si="679">SUM(G1733:T1733)</f>
        <v>40</v>
      </c>
      <c r="V1733" s="72"/>
      <c r="W1733" s="69"/>
      <c r="X1733" s="70"/>
      <c r="Y1733" s="104"/>
      <c r="Z1733" s="103">
        <v>8</v>
      </c>
      <c r="AA1733" s="104"/>
      <c r="AB1733" s="103">
        <v>8</v>
      </c>
      <c r="AC1733" s="104"/>
      <c r="AD1733" s="103">
        <v>8</v>
      </c>
      <c r="AE1733" s="104"/>
      <c r="AF1733" s="103">
        <v>8</v>
      </c>
      <c r="AG1733" s="104"/>
      <c r="AH1733" s="103">
        <v>8</v>
      </c>
      <c r="AI1733" s="69"/>
      <c r="AJ1733" s="70"/>
      <c r="AK1733" s="71">
        <f>SUM(W1733:AJ1733)</f>
        <v>40</v>
      </c>
      <c r="AL1733" s="72"/>
      <c r="AM1733" s="73">
        <f>SUMIF($G1732:$T1732,"",$G1733:$T1733)+SUMIF($W1732:$AJ1732,"",$W1733:$AJ1733)-AN1733</f>
        <v>80</v>
      </c>
      <c r="AN1733" s="88">
        <f>IF(SUMIF($G1732:$T1732,"",$G1733:$T1733)+SUMIF($G1732:$T1732,"F",$G1733:$T1733)+SUMIF($G1732:$T1732,"V",$G1733:$T1733)-40&lt;0,0,SUMIF($G1732:$T1732,"",$G1733:$T1733)+SUMIF($G1732:$T1732,"F",$G1733:$T1733)+SUMIF($G1732:$T1732,"V",$G1733:$T1733)-($U$9/2))+IF(SUMIF($W1732:$AJ1732,"",$W1733:$AJ1733)+SUMIF($W1732:$AJ1732,"F",$W1733:$AJ1733)+SUMIF($W1732:$AJ1732,"V",$W1733:$AJ1733)-40&lt;0,0,SUMIF($W1732:$AJ1732,"",$W1733:$AJ1733)+SUMIF($W1732:$AJ1732,"F",$W1733:$AJ1733)+SUMIF($W1732:$AJ1732,"V",$W1733:$AJ1733)-($U$9/2))</f>
        <v>0</v>
      </c>
      <c r="AO1733" s="73">
        <f>SUMIF($G1732:$T1732,"M",$G1733:$T1733)+SUMIF($W1732:$AJ1732,"M",$W1733:$AJ1733)</f>
        <v>0</v>
      </c>
      <c r="AP1733" s="73">
        <f>SUMIF($G1732:$T1732,"F",$G1733:$T1733)+SUMIF($W1732:$AJ1732,"F",$W1733:$AJ1733)</f>
        <v>0</v>
      </c>
      <c r="AQ1733" s="73">
        <f>SUMIF($G1732:$T1732,"V",$G1733:$T1733)+SUMIF($W1732:$AJ1732,"V",$W1733:$AJ1733)</f>
        <v>0</v>
      </c>
      <c r="AR1733" s="74">
        <f>SUMIF($G1732:$T1732,"O",$G1733:$T1733)+SUMIF($W1732:$AJ1732,"O",$W1733:$AJ1733)</f>
        <v>0</v>
      </c>
      <c r="AS1733" s="75">
        <f>SUM(AM1733:AR1733)</f>
        <v>80</v>
      </c>
      <c r="AT1733" s="72"/>
      <c r="AU1733" s="73">
        <f>SUMIF($G1732:$T1732,"A",$G1733:$T1733)+SUMIF($W1732:$AJ1732,"A",$W1733:$AJ1733)</f>
        <v>0</v>
      </c>
      <c r="AV1733" s="72"/>
      <c r="AW1733" s="76">
        <f>IF(B1733="",0,IF($U$9="",0,$U$9))</f>
        <v>80</v>
      </c>
      <c r="BA1733" s="2"/>
      <c r="BB1733" s="2"/>
      <c r="BC1733" s="101"/>
      <c r="BD1733" s="101"/>
    </row>
    <row r="1734" spans="2:56" s="84" customFormat="1" x14ac:dyDescent="0.35">
      <c r="B1734" s="26"/>
      <c r="C1734" s="27"/>
      <c r="D1734" s="28">
        <f>IF(D1660="","",D1660)</f>
        <v>23206</v>
      </c>
      <c r="E1734" s="29" t="str">
        <f t="shared" si="671"/>
        <v/>
      </c>
      <c r="F1734" s="50">
        <f>B1711</f>
        <v>7</v>
      </c>
      <c r="G1734" s="59"/>
      <c r="H1734" s="64"/>
      <c r="I1734" s="106"/>
      <c r="J1734" s="105"/>
      <c r="K1734" s="106"/>
      <c r="L1734" s="105"/>
      <c r="M1734" s="106"/>
      <c r="N1734" s="105"/>
      <c r="O1734" s="106"/>
      <c r="P1734" s="105"/>
      <c r="Q1734" s="106"/>
      <c r="R1734" s="105"/>
      <c r="S1734" s="59"/>
      <c r="T1734" s="64"/>
      <c r="U1734" s="44"/>
      <c r="W1734" s="59"/>
      <c r="X1734" s="64"/>
      <c r="Y1734" s="106"/>
      <c r="Z1734" s="105"/>
      <c r="AA1734" s="106"/>
      <c r="AB1734" s="105"/>
      <c r="AC1734" s="106"/>
      <c r="AD1734" s="105"/>
      <c r="AE1734" s="106"/>
      <c r="AF1734" s="105"/>
      <c r="AG1734" s="106"/>
      <c r="AH1734" s="105"/>
      <c r="AI1734" s="59"/>
      <c r="AJ1734" s="64"/>
      <c r="AK1734" s="44"/>
      <c r="AM1734" s="49"/>
      <c r="AN1734" s="49"/>
      <c r="AO1734" s="49"/>
      <c r="AP1734" s="49"/>
      <c r="AQ1734" s="49"/>
      <c r="AR1734" s="40"/>
      <c r="AS1734" s="51"/>
      <c r="AU1734" s="49"/>
      <c r="AW1734" s="52"/>
      <c r="BA1734" s="2"/>
      <c r="BB1734" s="2"/>
      <c r="BC1734" s="101"/>
      <c r="BD1734" s="101"/>
    </row>
    <row r="1735" spans="2:56" s="84" customFormat="1" x14ac:dyDescent="0.35">
      <c r="B1735" s="30" t="str">
        <f>IF(B1661="","",B1661)</f>
        <v>Gadbois, Dominic</v>
      </c>
      <c r="C1735" s="31"/>
      <c r="D1735" s="32"/>
      <c r="E1735" s="33">
        <f t="shared" si="671"/>
        <v>93545</v>
      </c>
      <c r="F1735" s="50">
        <f>B1711</f>
        <v>7</v>
      </c>
      <c r="G1735" s="69"/>
      <c r="H1735" s="70"/>
      <c r="I1735" s="104"/>
      <c r="J1735" s="103">
        <v>8</v>
      </c>
      <c r="K1735" s="104"/>
      <c r="L1735" s="103">
        <v>8.25</v>
      </c>
      <c r="M1735" s="104"/>
      <c r="N1735" s="103">
        <v>7.5</v>
      </c>
      <c r="O1735" s="104"/>
      <c r="P1735" s="103">
        <v>8</v>
      </c>
      <c r="Q1735" s="104"/>
      <c r="R1735" s="103">
        <v>7.5</v>
      </c>
      <c r="S1735" s="69"/>
      <c r="T1735" s="70"/>
      <c r="U1735" s="71">
        <f t="shared" ref="U1735" si="680">SUM(G1735:T1735)</f>
        <v>39.25</v>
      </c>
      <c r="V1735" s="72"/>
      <c r="W1735" s="69"/>
      <c r="X1735" s="70"/>
      <c r="Y1735" s="104"/>
      <c r="Z1735" s="103">
        <v>7.5</v>
      </c>
      <c r="AA1735" s="104"/>
      <c r="AB1735" s="103">
        <v>8</v>
      </c>
      <c r="AC1735" s="104"/>
      <c r="AD1735" s="103">
        <v>7.75</v>
      </c>
      <c r="AE1735" s="104"/>
      <c r="AF1735" s="103">
        <v>7.75</v>
      </c>
      <c r="AG1735" s="104"/>
      <c r="AH1735" s="103">
        <v>7.5</v>
      </c>
      <c r="AI1735" s="69"/>
      <c r="AJ1735" s="70"/>
      <c r="AK1735" s="71">
        <f>SUM(W1735:AJ1735)</f>
        <v>38.5</v>
      </c>
      <c r="AL1735" s="72"/>
      <c r="AM1735" s="73">
        <f>SUMIF($G1734:$T1734,"",$G1735:$T1735)+SUMIF($W1734:$AJ1734,"",$W1735:$AJ1735)-AN1735</f>
        <v>77.75</v>
      </c>
      <c r="AN1735" s="88">
        <f>IF(SUMIF($G1734:$T1734,"",$G1735:$T1735)+SUMIF($G1734:$T1734,"F",$G1735:$T1735)+SUMIF($G1734:$T1734,"V",$G1735:$T1735)-40&lt;0,0,SUMIF($G1734:$T1734,"",$G1735:$T1735)+SUMIF($G1734:$T1734,"F",$G1735:$T1735)+SUMIF($G1734:$T1734,"V",$G1735:$T1735)-($U$9/2))+IF(SUMIF($W1734:$AJ1734,"",$W1735:$AJ1735)+SUMIF($W1734:$AJ1734,"F",$W1735:$AJ1735)+SUMIF($W1734:$AJ1734,"V",$W1735:$AJ1735)-40&lt;0,0,SUMIF($W1734:$AJ1734,"",$W1735:$AJ1735)+SUMIF($W1734:$AJ1734,"F",$W1735:$AJ1735)+SUMIF($W1734:$AJ1734,"V",$W1735:$AJ1735)-($U$9/2))</f>
        <v>0</v>
      </c>
      <c r="AO1735" s="73">
        <f>SUMIF($G1734:$T1734,"M",$G1735:$T1735)+SUMIF($W1734:$AJ1734,"M",$W1735:$AJ1735)</f>
        <v>0</v>
      </c>
      <c r="AP1735" s="73">
        <f>SUMIF($G1734:$T1734,"F",$G1735:$T1735)+SUMIF($W1734:$AJ1734,"F",$W1735:$AJ1735)</f>
        <v>0</v>
      </c>
      <c r="AQ1735" s="73">
        <f>SUMIF($G1734:$T1734,"V",$G1735:$T1735)+SUMIF($W1734:$AJ1734,"V",$W1735:$AJ1735)</f>
        <v>0</v>
      </c>
      <c r="AR1735" s="74">
        <f>SUMIF($G1734:$T1734,"O",$G1735:$T1735)+SUMIF($W1734:$AJ1734,"O",$W1735:$AJ1735)</f>
        <v>0</v>
      </c>
      <c r="AS1735" s="75">
        <f>SUM(AM1735:AR1735)</f>
        <v>77.75</v>
      </c>
      <c r="AT1735" s="72"/>
      <c r="AU1735" s="73">
        <f>SUMIF($G1734:$T1734,"A",$G1735:$T1735)+SUMIF($W1734:$AJ1734,"A",$W1735:$AJ1735)</f>
        <v>0</v>
      </c>
      <c r="AV1735" s="72"/>
      <c r="AW1735" s="76">
        <f>IF(B1735="",0,IF($U$9="",0,$U$9))</f>
        <v>80</v>
      </c>
      <c r="BA1735" s="2"/>
      <c r="BB1735" s="2"/>
      <c r="BC1735" s="101"/>
      <c r="BD1735" s="101"/>
    </row>
    <row r="1736" spans="2:56" s="84" customFormat="1" x14ac:dyDescent="0.35">
      <c r="B1736" s="26"/>
      <c r="C1736" s="27"/>
      <c r="D1736" s="28">
        <f>IF(D1662="","",D1662)</f>
        <v>33664</v>
      </c>
      <c r="E1736" s="29" t="str">
        <f t="shared" si="671"/>
        <v/>
      </c>
      <c r="F1736" s="50">
        <f>B1711</f>
        <v>7</v>
      </c>
      <c r="G1736" s="59"/>
      <c r="H1736" s="64"/>
      <c r="I1736" s="106"/>
      <c r="J1736" s="105"/>
      <c r="K1736" s="106"/>
      <c r="L1736" s="105"/>
      <c r="M1736" s="106"/>
      <c r="N1736" s="105"/>
      <c r="O1736" s="106"/>
      <c r="P1736" s="105"/>
      <c r="Q1736" s="106"/>
      <c r="R1736" s="105"/>
      <c r="S1736" s="59"/>
      <c r="T1736" s="64"/>
      <c r="U1736" s="44"/>
      <c r="W1736" s="59"/>
      <c r="X1736" s="64"/>
      <c r="Y1736" s="106"/>
      <c r="Z1736" s="105"/>
      <c r="AA1736" s="106"/>
      <c r="AB1736" s="105"/>
      <c r="AC1736" s="106"/>
      <c r="AD1736" s="105"/>
      <c r="AE1736" s="106"/>
      <c r="AF1736" s="105"/>
      <c r="AG1736" s="106"/>
      <c r="AH1736" s="105"/>
      <c r="AI1736" s="59"/>
      <c r="AJ1736" s="64"/>
      <c r="AK1736" s="44"/>
      <c r="AM1736" s="49"/>
      <c r="AN1736" s="49"/>
      <c r="AO1736" s="49"/>
      <c r="AP1736" s="49"/>
      <c r="AQ1736" s="49"/>
      <c r="AR1736" s="40"/>
      <c r="AS1736" s="51"/>
      <c r="AU1736" s="49"/>
      <c r="AW1736" s="52"/>
      <c r="BA1736" s="2"/>
      <c r="BB1736" s="2"/>
      <c r="BC1736" s="101"/>
      <c r="BD1736" s="101"/>
    </row>
    <row r="1737" spans="2:56" s="84" customFormat="1" x14ac:dyDescent="0.35">
      <c r="B1737" s="30" t="str">
        <f>IF(B1663="","",B1663)</f>
        <v>Knox Michaud, Jessy</v>
      </c>
      <c r="C1737" s="31"/>
      <c r="D1737" s="32"/>
      <c r="E1737" s="33">
        <f t="shared" si="671"/>
        <v>93542</v>
      </c>
      <c r="F1737" s="50">
        <f>B1711</f>
        <v>7</v>
      </c>
      <c r="G1737" s="69"/>
      <c r="H1737" s="70"/>
      <c r="I1737" s="104"/>
      <c r="J1737" s="103">
        <v>9</v>
      </c>
      <c r="K1737" s="104"/>
      <c r="L1737" s="103">
        <v>9</v>
      </c>
      <c r="M1737" s="104"/>
      <c r="N1737" s="103">
        <v>9</v>
      </c>
      <c r="O1737" s="104"/>
      <c r="P1737" s="103">
        <v>9</v>
      </c>
      <c r="Q1737" s="104"/>
      <c r="R1737" s="103">
        <v>9</v>
      </c>
      <c r="S1737" s="69"/>
      <c r="T1737" s="70"/>
      <c r="U1737" s="71">
        <f t="shared" ref="U1737" si="681">SUM(G1737:T1737)</f>
        <v>45</v>
      </c>
      <c r="V1737" s="72"/>
      <c r="W1737" s="69"/>
      <c r="X1737" s="70"/>
      <c r="Y1737" s="104"/>
      <c r="Z1737" s="103">
        <v>9</v>
      </c>
      <c r="AA1737" s="104"/>
      <c r="AB1737" s="103">
        <v>9</v>
      </c>
      <c r="AC1737" s="104"/>
      <c r="AD1737" s="103">
        <v>9</v>
      </c>
      <c r="AE1737" s="104"/>
      <c r="AF1737" s="103">
        <v>9</v>
      </c>
      <c r="AG1737" s="104"/>
      <c r="AH1737" s="103">
        <v>9</v>
      </c>
      <c r="AI1737" s="69"/>
      <c r="AJ1737" s="70"/>
      <c r="AK1737" s="71">
        <f>SUM(W1737:AJ1737)</f>
        <v>45</v>
      </c>
      <c r="AL1737" s="72"/>
      <c r="AM1737" s="73">
        <f>SUMIF($G1736:$T1736,"",$G1737:$T1737)+SUMIF($W1736:$AJ1736,"",$W1737:$AJ1737)-AN1737</f>
        <v>80</v>
      </c>
      <c r="AN1737" s="88">
        <f>IF(SUMIF($G1736:$T1736,"",$G1737:$T1737)+SUMIF($G1736:$T1736,"F",$G1737:$T1737)+SUMIF($G1736:$T1736,"V",$G1737:$T1737)-40&lt;0,0,SUMIF($G1736:$T1736,"",$G1737:$T1737)+SUMIF($G1736:$T1736,"F",$G1737:$T1737)+SUMIF($G1736:$T1736,"V",$G1737:$T1737)-($U$9/2))+IF(SUMIF($W1736:$AJ1736,"",$W1737:$AJ1737)+SUMIF($W1736:$AJ1736,"F",$W1737:$AJ1737)+SUMIF($W1736:$AJ1736,"V",$W1737:$AJ1737)-40&lt;0,0,SUMIF($W1736:$AJ1736,"",$W1737:$AJ1737)+SUMIF($W1736:$AJ1736,"F",$W1737:$AJ1737)+SUMIF($W1736:$AJ1736,"V",$W1737:$AJ1737)-($U$9/2))</f>
        <v>10</v>
      </c>
      <c r="AO1737" s="73">
        <f>SUMIF($G1736:$T1736,"M",$G1737:$T1737)+SUMIF($W1736:$AJ1736,"M",$W1737:$AJ1737)</f>
        <v>0</v>
      </c>
      <c r="AP1737" s="73">
        <f>SUMIF($G1736:$T1736,"F",$G1737:$T1737)+SUMIF($W1736:$AJ1736,"F",$W1737:$AJ1737)</f>
        <v>0</v>
      </c>
      <c r="AQ1737" s="73">
        <f>SUMIF($G1736:$T1736,"V",$G1737:$T1737)+SUMIF($W1736:$AJ1736,"V",$W1737:$AJ1737)</f>
        <v>0</v>
      </c>
      <c r="AR1737" s="74">
        <f>SUMIF($G1736:$T1736,"O",$G1737:$T1737)+SUMIF($W1736:$AJ1736,"O",$W1737:$AJ1737)</f>
        <v>0</v>
      </c>
      <c r="AS1737" s="75">
        <f>SUM(AM1737:AR1737)</f>
        <v>90</v>
      </c>
      <c r="AT1737" s="72"/>
      <c r="AU1737" s="73">
        <f>SUMIF($G1736:$T1736,"A",$G1737:$T1737)+SUMIF($W1736:$AJ1736,"A",$W1737:$AJ1737)</f>
        <v>0</v>
      </c>
      <c r="AV1737" s="72"/>
      <c r="AW1737" s="76">
        <f>IF(B1737="",0,IF($U$9="",0,$U$9))</f>
        <v>80</v>
      </c>
      <c r="BA1737" s="2"/>
      <c r="BB1737" s="2"/>
      <c r="BC1737" s="101"/>
      <c r="BD1737" s="101"/>
    </row>
    <row r="1738" spans="2:56" s="84" customFormat="1" x14ac:dyDescent="0.35">
      <c r="B1738" s="26"/>
      <c r="C1738" s="27"/>
      <c r="D1738" s="28">
        <f>IF(D1664="","",D1664)</f>
        <v>14206</v>
      </c>
      <c r="E1738" s="29" t="str">
        <f t="shared" si="671"/>
        <v/>
      </c>
      <c r="F1738" s="50">
        <f>B1711</f>
        <v>7</v>
      </c>
      <c r="G1738" s="59"/>
      <c r="H1738" s="64"/>
      <c r="I1738" s="106"/>
      <c r="J1738" s="105"/>
      <c r="K1738" s="106"/>
      <c r="L1738" s="105"/>
      <c r="M1738" s="106"/>
      <c r="N1738" s="105"/>
      <c r="O1738" s="106"/>
      <c r="P1738" s="105"/>
      <c r="Q1738" s="106"/>
      <c r="R1738" s="105"/>
      <c r="S1738" s="59"/>
      <c r="T1738" s="64"/>
      <c r="U1738" s="44"/>
      <c r="W1738" s="59"/>
      <c r="X1738" s="64"/>
      <c r="Y1738" s="106"/>
      <c r="Z1738" s="105"/>
      <c r="AA1738" s="106"/>
      <c r="AB1738" s="105"/>
      <c r="AC1738" s="106"/>
      <c r="AD1738" s="105"/>
      <c r="AE1738" s="106"/>
      <c r="AF1738" s="105"/>
      <c r="AG1738" s="106"/>
      <c r="AH1738" s="105"/>
      <c r="AI1738" s="59"/>
      <c r="AJ1738" s="64"/>
      <c r="AK1738" s="44"/>
      <c r="AM1738" s="49"/>
      <c r="AN1738" s="49"/>
      <c r="AO1738" s="49"/>
      <c r="AP1738" s="49"/>
      <c r="AQ1738" s="49"/>
      <c r="AR1738" s="40"/>
      <c r="AS1738" s="51"/>
      <c r="AU1738" s="49"/>
      <c r="AW1738" s="52"/>
      <c r="BA1738" s="2"/>
      <c r="BB1738" s="2"/>
      <c r="BC1738" s="101"/>
      <c r="BD1738" s="101"/>
    </row>
    <row r="1739" spans="2:56" s="84" customFormat="1" x14ac:dyDescent="0.35">
      <c r="B1739" s="30" t="str">
        <f>IF(B1665="","",B1665)</f>
        <v>Landry, Bernard</v>
      </c>
      <c r="C1739" s="31"/>
      <c r="D1739" s="32"/>
      <c r="E1739" s="33">
        <f t="shared" si="671"/>
        <v>93545</v>
      </c>
      <c r="F1739" s="50">
        <f>B1711</f>
        <v>7</v>
      </c>
      <c r="G1739" s="69"/>
      <c r="H1739" s="70"/>
      <c r="I1739" s="104"/>
      <c r="J1739" s="103">
        <v>8</v>
      </c>
      <c r="K1739" s="104"/>
      <c r="L1739" s="103">
        <v>8</v>
      </c>
      <c r="M1739" s="104"/>
      <c r="N1739" s="103">
        <v>8</v>
      </c>
      <c r="O1739" s="104"/>
      <c r="P1739" s="103">
        <v>8</v>
      </c>
      <c r="Q1739" s="104"/>
      <c r="R1739" s="103">
        <v>8</v>
      </c>
      <c r="S1739" s="69"/>
      <c r="T1739" s="70"/>
      <c r="U1739" s="71">
        <f t="shared" ref="U1739" si="682">SUM(G1739:T1739)</f>
        <v>40</v>
      </c>
      <c r="V1739" s="72"/>
      <c r="W1739" s="69"/>
      <c r="X1739" s="70"/>
      <c r="Y1739" s="104"/>
      <c r="Z1739" s="103">
        <v>8</v>
      </c>
      <c r="AA1739" s="104"/>
      <c r="AB1739" s="103">
        <v>8</v>
      </c>
      <c r="AC1739" s="104"/>
      <c r="AD1739" s="103">
        <v>8</v>
      </c>
      <c r="AE1739" s="104"/>
      <c r="AF1739" s="103">
        <v>8</v>
      </c>
      <c r="AG1739" s="104"/>
      <c r="AH1739" s="103">
        <v>8</v>
      </c>
      <c r="AI1739" s="69"/>
      <c r="AJ1739" s="70"/>
      <c r="AK1739" s="71">
        <f>SUM(W1739:AJ1739)</f>
        <v>40</v>
      </c>
      <c r="AL1739" s="72"/>
      <c r="AM1739" s="73">
        <f>SUMIF($G1738:$T1738,"",$G1739:$T1739)+SUMIF($W1738:$AJ1738,"",$W1739:$AJ1739)-AN1739</f>
        <v>80</v>
      </c>
      <c r="AN1739" s="88">
        <f>IF(SUMIF($G1738:$T1738,"",$G1739:$T1739)+SUMIF($G1738:$T1738,"F",$G1739:$T1739)+SUMIF($G1738:$T1738,"V",$G1739:$T1739)-40&lt;0,0,SUMIF($G1738:$T1738,"",$G1739:$T1739)+SUMIF($G1738:$T1738,"F",$G1739:$T1739)+SUMIF($G1738:$T1738,"V",$G1739:$T1739)-($U$9/2))+IF(SUMIF($W1738:$AJ1738,"",$W1739:$AJ1739)+SUMIF($W1738:$AJ1738,"F",$W1739:$AJ1739)+SUMIF($W1738:$AJ1738,"V",$W1739:$AJ1739)-40&lt;0,0,SUMIF($W1738:$AJ1738,"",$W1739:$AJ1739)+SUMIF($W1738:$AJ1738,"F",$W1739:$AJ1739)+SUMIF($W1738:$AJ1738,"V",$W1739:$AJ1739)-($U$9/2))</f>
        <v>0</v>
      </c>
      <c r="AO1739" s="73">
        <f>SUMIF($G1738:$T1738,"M",$G1739:$T1739)+SUMIF($W1738:$AJ1738,"M",$W1739:$AJ1739)</f>
        <v>0</v>
      </c>
      <c r="AP1739" s="73">
        <f>SUMIF($G1738:$T1738,"F",$G1739:$T1739)+SUMIF($W1738:$AJ1738,"F",$W1739:$AJ1739)</f>
        <v>0</v>
      </c>
      <c r="AQ1739" s="73">
        <f>SUMIF($G1738:$T1738,"V",$G1739:$T1739)+SUMIF($W1738:$AJ1738,"V",$W1739:$AJ1739)</f>
        <v>0</v>
      </c>
      <c r="AR1739" s="74">
        <f>SUMIF($G1738:$T1738,"O",$G1739:$T1739)+SUMIF($W1738:$AJ1738,"O",$W1739:$AJ1739)</f>
        <v>0</v>
      </c>
      <c r="AS1739" s="75">
        <f>SUM(AM1739:AR1739)</f>
        <v>80</v>
      </c>
      <c r="AT1739" s="72"/>
      <c r="AU1739" s="73">
        <f>SUMIF($G1738:$T1738,"A",$G1739:$T1739)+SUMIF($W1738:$AJ1738,"A",$W1739:$AJ1739)</f>
        <v>0</v>
      </c>
      <c r="AV1739" s="72"/>
      <c r="AW1739" s="76">
        <f>IF(B1739="",0,IF($U$9="",0,$U$9))</f>
        <v>80</v>
      </c>
      <c r="BA1739" s="2"/>
      <c r="BB1739" s="2"/>
      <c r="BC1739" s="101"/>
      <c r="BD1739" s="101"/>
    </row>
    <row r="1740" spans="2:56" s="84" customFormat="1" x14ac:dyDescent="0.35">
      <c r="B1740" s="26"/>
      <c r="C1740" s="27"/>
      <c r="D1740" s="28">
        <f>IF(D1666="","",D1666)</f>
        <v>92257</v>
      </c>
      <c r="E1740" s="29" t="str">
        <f t="shared" si="671"/>
        <v/>
      </c>
      <c r="F1740" s="50">
        <f>B1711</f>
        <v>7</v>
      </c>
      <c r="G1740" s="59"/>
      <c r="H1740" s="64"/>
      <c r="I1740" s="106"/>
      <c r="J1740" s="105"/>
      <c r="K1740" s="106"/>
      <c r="L1740" s="105"/>
      <c r="M1740" s="106"/>
      <c r="N1740" s="105"/>
      <c r="O1740" s="106"/>
      <c r="P1740" s="105"/>
      <c r="Q1740" s="106"/>
      <c r="R1740" s="105"/>
      <c r="S1740" s="59"/>
      <c r="T1740" s="64"/>
      <c r="U1740" s="44"/>
      <c r="W1740" s="59"/>
      <c r="X1740" s="64"/>
      <c r="Y1740" s="106"/>
      <c r="Z1740" s="105"/>
      <c r="AA1740" s="106"/>
      <c r="AB1740" s="105"/>
      <c r="AC1740" s="106"/>
      <c r="AD1740" s="105"/>
      <c r="AE1740" s="106"/>
      <c r="AF1740" s="105"/>
      <c r="AG1740" s="106"/>
      <c r="AH1740" s="105"/>
      <c r="AI1740" s="59"/>
      <c r="AJ1740" s="64"/>
      <c r="AK1740" s="44"/>
      <c r="AM1740" s="49"/>
      <c r="AN1740" s="49"/>
      <c r="AO1740" s="49"/>
      <c r="AP1740" s="49"/>
      <c r="AQ1740" s="49"/>
      <c r="AR1740" s="40"/>
      <c r="AS1740" s="51"/>
      <c r="AU1740" s="49"/>
      <c r="AW1740" s="52"/>
      <c r="BA1740" s="2"/>
      <c r="BB1740" s="2"/>
      <c r="BC1740" s="101"/>
      <c r="BD1740" s="101"/>
    </row>
    <row r="1741" spans="2:56" s="84" customFormat="1" x14ac:dyDescent="0.35">
      <c r="B1741" s="30" t="str">
        <f>IF(B1667="","",B1667)</f>
        <v>Lelievre, Anik</v>
      </c>
      <c r="C1741" s="31"/>
      <c r="D1741" s="32"/>
      <c r="E1741" s="33">
        <f t="shared" si="671"/>
        <v>93513</v>
      </c>
      <c r="F1741" s="50">
        <f>B1711</f>
        <v>7</v>
      </c>
      <c r="G1741" s="69"/>
      <c r="H1741" s="70"/>
      <c r="I1741" s="104"/>
      <c r="J1741" s="103">
        <v>8</v>
      </c>
      <c r="K1741" s="104"/>
      <c r="L1741" s="103">
        <v>8</v>
      </c>
      <c r="M1741" s="104"/>
      <c r="N1741" s="103">
        <v>8</v>
      </c>
      <c r="O1741" s="104"/>
      <c r="P1741" s="103">
        <v>8</v>
      </c>
      <c r="Q1741" s="104"/>
      <c r="R1741" s="103">
        <v>8</v>
      </c>
      <c r="S1741" s="69"/>
      <c r="T1741" s="70"/>
      <c r="U1741" s="71">
        <f t="shared" ref="U1741" si="683">SUM(G1741:T1741)</f>
        <v>40</v>
      </c>
      <c r="V1741" s="72"/>
      <c r="W1741" s="69"/>
      <c r="X1741" s="70"/>
      <c r="Y1741" s="104"/>
      <c r="Z1741" s="103">
        <v>8</v>
      </c>
      <c r="AA1741" s="104"/>
      <c r="AB1741" s="103">
        <v>8</v>
      </c>
      <c r="AC1741" s="104"/>
      <c r="AD1741" s="103">
        <v>8</v>
      </c>
      <c r="AE1741" s="104"/>
      <c r="AF1741" s="103">
        <v>8</v>
      </c>
      <c r="AG1741" s="104"/>
      <c r="AH1741" s="103">
        <v>8</v>
      </c>
      <c r="AI1741" s="69"/>
      <c r="AJ1741" s="70"/>
      <c r="AK1741" s="71">
        <f>SUM(W1741:AJ1741)</f>
        <v>40</v>
      </c>
      <c r="AL1741" s="72"/>
      <c r="AM1741" s="73">
        <f>SUMIF($G1740:$T1740,"",$G1741:$T1741)+SUMIF($W1740:$AJ1740,"",$W1741:$AJ1741)-AN1741</f>
        <v>80</v>
      </c>
      <c r="AN1741" s="88">
        <f>IF(SUMIF($G1740:$T1740,"",$G1741:$T1741)+SUMIF($G1740:$T1740,"F",$G1741:$T1741)+SUMIF($G1740:$T1740,"V",$G1741:$T1741)-40&lt;0,0,SUMIF($G1740:$T1740,"",$G1741:$T1741)+SUMIF($G1740:$T1740,"F",$G1741:$T1741)+SUMIF($G1740:$T1740,"V",$G1741:$T1741)-($U$9/2))+IF(SUMIF($W1740:$AJ1740,"",$W1741:$AJ1741)+SUMIF($W1740:$AJ1740,"F",$W1741:$AJ1741)+SUMIF($W1740:$AJ1740,"V",$W1741:$AJ1741)-40&lt;0,0,SUMIF($W1740:$AJ1740,"",$W1741:$AJ1741)+SUMIF($W1740:$AJ1740,"F",$W1741:$AJ1741)+SUMIF($W1740:$AJ1740,"V",$W1741:$AJ1741)-($U$9/2))</f>
        <v>0</v>
      </c>
      <c r="AO1741" s="73">
        <f>SUMIF($G1740:$T1740,"M",$G1741:$T1741)+SUMIF($W1740:$AJ1740,"M",$W1741:$AJ1741)</f>
        <v>0</v>
      </c>
      <c r="AP1741" s="73">
        <f>SUMIF($G1740:$T1740,"F",$G1741:$T1741)+SUMIF($W1740:$AJ1740,"F",$W1741:$AJ1741)</f>
        <v>0</v>
      </c>
      <c r="AQ1741" s="73">
        <f>SUMIF($G1740:$T1740,"V",$G1741:$T1741)+SUMIF($W1740:$AJ1740,"V",$W1741:$AJ1741)</f>
        <v>0</v>
      </c>
      <c r="AR1741" s="74">
        <f>SUMIF($G1740:$T1740,"O",$G1741:$T1741)+SUMIF($W1740:$AJ1740,"O",$W1741:$AJ1741)</f>
        <v>0</v>
      </c>
      <c r="AS1741" s="75">
        <f>SUM(AM1741:AR1741)</f>
        <v>80</v>
      </c>
      <c r="AT1741" s="72"/>
      <c r="AU1741" s="73">
        <f>SUMIF($G1740:$T1740,"A",$G1741:$T1741)+SUMIF($W1740:$AJ1740,"A",$W1741:$AJ1741)</f>
        <v>0</v>
      </c>
      <c r="AV1741" s="72"/>
      <c r="AW1741" s="76">
        <f>IF(B1741="",0,IF($U$9="",0,$U$9))</f>
        <v>80</v>
      </c>
      <c r="BA1741" s="2"/>
      <c r="BB1741" s="2"/>
      <c r="BC1741" s="101"/>
      <c r="BD1741" s="101"/>
    </row>
    <row r="1742" spans="2:56" s="84" customFormat="1" x14ac:dyDescent="0.35">
      <c r="B1742" s="26"/>
      <c r="C1742" s="27"/>
      <c r="D1742" s="28">
        <f>IF(D1668="","",D1668)</f>
        <v>81042</v>
      </c>
      <c r="E1742" s="29" t="str">
        <f t="shared" si="671"/>
        <v/>
      </c>
      <c r="F1742" s="50">
        <f>B1711</f>
        <v>7</v>
      </c>
      <c r="G1742" s="59"/>
      <c r="H1742" s="64"/>
      <c r="I1742" s="106"/>
      <c r="J1742" s="105"/>
      <c r="K1742" s="106"/>
      <c r="L1742" s="105"/>
      <c r="M1742" s="106"/>
      <c r="N1742" s="105"/>
      <c r="O1742" s="106"/>
      <c r="P1742" s="105"/>
      <c r="Q1742" s="106"/>
      <c r="R1742" s="105"/>
      <c r="S1742" s="59"/>
      <c r="T1742" s="64"/>
      <c r="U1742" s="44"/>
      <c r="W1742" s="59"/>
      <c r="X1742" s="64"/>
      <c r="Y1742" s="106"/>
      <c r="Z1742" s="105"/>
      <c r="AA1742" s="106"/>
      <c r="AB1742" s="105"/>
      <c r="AC1742" s="106"/>
      <c r="AD1742" s="105"/>
      <c r="AE1742" s="106"/>
      <c r="AF1742" s="105"/>
      <c r="AG1742" s="106"/>
      <c r="AH1742" s="105"/>
      <c r="AI1742" s="59"/>
      <c r="AJ1742" s="64"/>
      <c r="AK1742" s="44"/>
      <c r="AM1742" s="49"/>
      <c r="AN1742" s="49"/>
      <c r="AO1742" s="49"/>
      <c r="AP1742" s="49"/>
      <c r="AQ1742" s="49"/>
      <c r="AR1742" s="40"/>
      <c r="AS1742" s="51"/>
      <c r="AU1742" s="49"/>
      <c r="AW1742" s="52"/>
      <c r="BA1742" s="2"/>
      <c r="BB1742" s="2"/>
      <c r="BC1742" s="101"/>
      <c r="BD1742" s="101"/>
    </row>
    <row r="1743" spans="2:56" s="84" customFormat="1" x14ac:dyDescent="0.35">
      <c r="B1743" s="30" t="str">
        <f>IF(B1669="","",B1669)</f>
        <v>Letarte, Martin</v>
      </c>
      <c r="C1743" s="31"/>
      <c r="D1743" s="32"/>
      <c r="E1743" s="33">
        <f t="shared" si="671"/>
        <v>93545</v>
      </c>
      <c r="F1743" s="50">
        <f>B1711</f>
        <v>7</v>
      </c>
      <c r="G1743" s="69"/>
      <c r="H1743" s="70"/>
      <c r="I1743" s="104"/>
      <c r="J1743" s="103">
        <v>8</v>
      </c>
      <c r="K1743" s="104"/>
      <c r="L1743" s="103">
        <v>8</v>
      </c>
      <c r="M1743" s="104"/>
      <c r="N1743" s="103">
        <v>8</v>
      </c>
      <c r="O1743" s="104"/>
      <c r="P1743" s="103">
        <v>8</v>
      </c>
      <c r="Q1743" s="104"/>
      <c r="R1743" s="103">
        <v>8</v>
      </c>
      <c r="S1743" s="69"/>
      <c r="T1743" s="70"/>
      <c r="U1743" s="71">
        <f t="shared" ref="U1743" si="684">SUM(G1743:T1743)</f>
        <v>40</v>
      </c>
      <c r="V1743" s="72"/>
      <c r="W1743" s="69"/>
      <c r="X1743" s="70"/>
      <c r="Y1743" s="104"/>
      <c r="Z1743" s="103">
        <v>8</v>
      </c>
      <c r="AA1743" s="104"/>
      <c r="AB1743" s="103">
        <v>8</v>
      </c>
      <c r="AC1743" s="104"/>
      <c r="AD1743" s="103">
        <v>8</v>
      </c>
      <c r="AE1743" s="104"/>
      <c r="AF1743" s="103">
        <v>8</v>
      </c>
      <c r="AG1743" s="104"/>
      <c r="AH1743" s="103">
        <v>8</v>
      </c>
      <c r="AI1743" s="69"/>
      <c r="AJ1743" s="70"/>
      <c r="AK1743" s="71">
        <f>SUM(W1743:AJ1743)</f>
        <v>40</v>
      </c>
      <c r="AL1743" s="72"/>
      <c r="AM1743" s="73">
        <f>SUMIF($G1742:$T1742,"",$G1743:$T1743)+SUMIF($W1742:$AJ1742,"",$W1743:$AJ1743)-AN1743</f>
        <v>80</v>
      </c>
      <c r="AN1743" s="88">
        <f>IF(SUMIF($G1742:$T1742,"",$G1743:$T1743)+SUMIF($G1742:$T1742,"F",$G1743:$T1743)+SUMIF($G1742:$T1742,"V",$G1743:$T1743)-40&lt;0,0,SUMIF($G1742:$T1742,"",$G1743:$T1743)+SUMIF($G1742:$T1742,"F",$G1743:$T1743)+SUMIF($G1742:$T1742,"V",$G1743:$T1743)-($U$9/2))+IF(SUMIF($W1742:$AJ1742,"",$W1743:$AJ1743)+SUMIF($W1742:$AJ1742,"F",$W1743:$AJ1743)+SUMIF($W1742:$AJ1742,"V",$W1743:$AJ1743)-40&lt;0,0,SUMIF($W1742:$AJ1742,"",$W1743:$AJ1743)+SUMIF($W1742:$AJ1742,"F",$W1743:$AJ1743)+SUMIF($W1742:$AJ1742,"V",$W1743:$AJ1743)-($U$9/2))</f>
        <v>0</v>
      </c>
      <c r="AO1743" s="73">
        <f>SUMIF($G1742:$T1742,"M",$G1743:$T1743)+SUMIF($W1742:$AJ1742,"M",$W1743:$AJ1743)</f>
        <v>0</v>
      </c>
      <c r="AP1743" s="73">
        <f>SUMIF($G1742:$T1742,"F",$G1743:$T1743)+SUMIF($W1742:$AJ1742,"F",$W1743:$AJ1743)</f>
        <v>0</v>
      </c>
      <c r="AQ1743" s="73">
        <f>SUMIF($G1742:$T1742,"V",$G1743:$T1743)+SUMIF($W1742:$AJ1742,"V",$W1743:$AJ1743)</f>
        <v>0</v>
      </c>
      <c r="AR1743" s="74">
        <f>SUMIF($G1742:$T1742,"O",$G1743:$T1743)+SUMIF($W1742:$AJ1742,"O",$W1743:$AJ1743)</f>
        <v>0</v>
      </c>
      <c r="AS1743" s="75">
        <f>SUM(AM1743:AR1743)</f>
        <v>80</v>
      </c>
      <c r="AT1743" s="72"/>
      <c r="AU1743" s="73">
        <f>SUMIF($G1742:$T1742,"A",$G1743:$T1743)+SUMIF($W1742:$AJ1742,"A",$W1743:$AJ1743)</f>
        <v>0</v>
      </c>
      <c r="AV1743" s="72"/>
      <c r="AW1743" s="76">
        <f>IF(B1743="",0,IF($U$9="",0,$U$9))</f>
        <v>80</v>
      </c>
      <c r="BA1743" s="2"/>
      <c r="BB1743" s="2"/>
      <c r="BC1743" s="101"/>
      <c r="BD1743" s="101"/>
    </row>
    <row r="1744" spans="2:56" s="84" customFormat="1" x14ac:dyDescent="0.35">
      <c r="B1744" s="26"/>
      <c r="C1744" s="27"/>
      <c r="D1744" s="28" t="str">
        <f>IF(D1670="","",D1670)</f>
        <v/>
      </c>
      <c r="E1744" s="29" t="str">
        <f t="shared" si="671"/>
        <v/>
      </c>
      <c r="F1744" s="50">
        <f>B1711</f>
        <v>7</v>
      </c>
      <c r="G1744" s="59"/>
      <c r="H1744" s="64"/>
      <c r="I1744" s="106"/>
      <c r="J1744" s="105"/>
      <c r="K1744" s="106"/>
      <c r="L1744" s="105"/>
      <c r="M1744" s="106"/>
      <c r="N1744" s="105"/>
      <c r="O1744" s="106"/>
      <c r="P1744" s="105"/>
      <c r="Q1744" s="106"/>
      <c r="R1744" s="105"/>
      <c r="S1744" s="59"/>
      <c r="T1744" s="64"/>
      <c r="U1744" s="44"/>
      <c r="W1744" s="59"/>
      <c r="X1744" s="64"/>
      <c r="Y1744" s="106"/>
      <c r="Z1744" s="105"/>
      <c r="AA1744" s="106"/>
      <c r="AB1744" s="105"/>
      <c r="AC1744" s="106"/>
      <c r="AD1744" s="105"/>
      <c r="AE1744" s="106"/>
      <c r="AF1744" s="105"/>
      <c r="AG1744" s="106"/>
      <c r="AH1744" s="105"/>
      <c r="AI1744" s="59"/>
      <c r="AJ1744" s="64"/>
      <c r="AK1744" s="44"/>
      <c r="AM1744" s="49"/>
      <c r="AN1744" s="49"/>
      <c r="AO1744" s="49"/>
      <c r="AP1744" s="49"/>
      <c r="AQ1744" s="49"/>
      <c r="AR1744" s="40"/>
      <c r="AS1744" s="51"/>
      <c r="AU1744" s="49"/>
      <c r="AW1744" s="52"/>
      <c r="BA1744" s="2"/>
      <c r="BB1744" s="2"/>
      <c r="BC1744" s="101"/>
      <c r="BD1744" s="101"/>
    </row>
    <row r="1745" spans="1:56" s="84" customFormat="1" x14ac:dyDescent="0.35">
      <c r="B1745" s="30" t="str">
        <f>IF(B1671="","",B1671)</f>
        <v/>
      </c>
      <c r="C1745" s="31"/>
      <c r="D1745" s="32"/>
      <c r="E1745" s="33" t="str">
        <f t="shared" si="671"/>
        <v/>
      </c>
      <c r="F1745" s="50">
        <f>B1711</f>
        <v>7</v>
      </c>
      <c r="G1745" s="69"/>
      <c r="H1745" s="70"/>
      <c r="I1745" s="104"/>
      <c r="J1745" s="103"/>
      <c r="K1745" s="104"/>
      <c r="L1745" s="103"/>
      <c r="M1745" s="104"/>
      <c r="N1745" s="103"/>
      <c r="O1745" s="104"/>
      <c r="P1745" s="103"/>
      <c r="Q1745" s="104"/>
      <c r="R1745" s="103"/>
      <c r="S1745" s="69"/>
      <c r="T1745" s="70"/>
      <c r="U1745" s="71">
        <f t="shared" ref="U1745" si="685">SUM(G1745:T1745)</f>
        <v>0</v>
      </c>
      <c r="V1745" s="72"/>
      <c r="W1745" s="69"/>
      <c r="X1745" s="70"/>
      <c r="Y1745" s="104"/>
      <c r="Z1745" s="103"/>
      <c r="AA1745" s="104"/>
      <c r="AB1745" s="103"/>
      <c r="AC1745" s="104"/>
      <c r="AD1745" s="103"/>
      <c r="AE1745" s="104"/>
      <c r="AF1745" s="103"/>
      <c r="AG1745" s="104"/>
      <c r="AH1745" s="103"/>
      <c r="AI1745" s="69"/>
      <c r="AJ1745" s="70"/>
      <c r="AK1745" s="71">
        <f>SUM(W1745:AJ1745)</f>
        <v>0</v>
      </c>
      <c r="AL1745" s="72"/>
      <c r="AM1745" s="73">
        <f>SUMIF($G1744:$T1744,"",$G1745:$T1745)+SUMIF($W1744:$AJ1744,"",$W1745:$AJ1745)-AN1745</f>
        <v>0</v>
      </c>
      <c r="AN1745" s="88">
        <f>IF(SUMIF($G1744:$T1744,"",$G1745:$T1745)+SUMIF($G1744:$T1744,"F",$G1745:$T1745)+SUMIF($G1744:$T1744,"V",$G1745:$T1745)-40&lt;0,0,SUMIF($G1744:$T1744,"",$G1745:$T1745)+SUMIF($G1744:$T1744,"F",$G1745:$T1745)+SUMIF($G1744:$T1744,"V",$G1745:$T1745)-($U$9/2))+IF(SUMIF($W1744:$AJ1744,"",$W1745:$AJ1745)+SUMIF($W1744:$AJ1744,"F",$W1745:$AJ1745)+SUMIF($W1744:$AJ1744,"V",$W1745:$AJ1745)-40&lt;0,0,SUMIF($W1744:$AJ1744,"",$W1745:$AJ1745)+SUMIF($W1744:$AJ1744,"F",$W1745:$AJ1745)+SUMIF($W1744:$AJ1744,"V",$W1745:$AJ1745)-($U$9/2))</f>
        <v>0</v>
      </c>
      <c r="AO1745" s="73">
        <f>SUMIF($G1744:$T1744,"M",$G1745:$T1745)+SUMIF($W1744:$AJ1744,"M",$W1745:$AJ1745)</f>
        <v>0</v>
      </c>
      <c r="AP1745" s="73">
        <f>SUMIF($G1744:$T1744,"F",$G1745:$T1745)+SUMIF($W1744:$AJ1744,"F",$W1745:$AJ1745)</f>
        <v>0</v>
      </c>
      <c r="AQ1745" s="73">
        <f>SUMIF($G1744:$T1744,"V",$G1745:$T1745)+SUMIF($W1744:$AJ1744,"V",$W1745:$AJ1745)</f>
        <v>0</v>
      </c>
      <c r="AR1745" s="74">
        <f>SUMIF($G1744:$T1744,"O",$G1745:$T1745)+SUMIF($W1744:$AJ1744,"O",$W1745:$AJ1745)</f>
        <v>0</v>
      </c>
      <c r="AS1745" s="75">
        <f>SUM(AM1745:AR1745)</f>
        <v>0</v>
      </c>
      <c r="AT1745" s="72"/>
      <c r="AU1745" s="73">
        <f>SUMIF($G1744:$T1744,"A",$G1745:$T1745)+SUMIF($W1744:$AJ1744,"A",$W1745:$AJ1745)</f>
        <v>0</v>
      </c>
      <c r="AV1745" s="72"/>
      <c r="AW1745" s="76">
        <f>IF(B1745="",0,IF($U$9="",0,$U$9))</f>
        <v>0</v>
      </c>
      <c r="BA1745" s="2"/>
      <c r="BB1745" s="2"/>
      <c r="BC1745" s="101"/>
      <c r="BD1745" s="101"/>
    </row>
    <row r="1746" spans="1:56" s="84" customFormat="1" x14ac:dyDescent="0.35">
      <c r="B1746" s="26"/>
      <c r="C1746" s="27"/>
      <c r="D1746" s="28">
        <f>IF(D1672="","",D1672)</f>
        <v>11792</v>
      </c>
      <c r="E1746" s="29" t="str">
        <f t="shared" si="671"/>
        <v/>
      </c>
      <c r="F1746" s="50">
        <f>B1711</f>
        <v>7</v>
      </c>
      <c r="G1746" s="59"/>
      <c r="H1746" s="64"/>
      <c r="I1746" s="106"/>
      <c r="J1746" s="105"/>
      <c r="K1746" s="106"/>
      <c r="L1746" s="105"/>
      <c r="M1746" s="106"/>
      <c r="N1746" s="105"/>
      <c r="O1746" s="106"/>
      <c r="P1746" s="105"/>
      <c r="Q1746" s="106"/>
      <c r="R1746" s="105"/>
      <c r="S1746" s="59"/>
      <c r="T1746" s="64"/>
      <c r="U1746" s="44"/>
      <c r="W1746" s="59"/>
      <c r="X1746" s="64"/>
      <c r="Y1746" s="106"/>
      <c r="Z1746" s="105"/>
      <c r="AA1746" s="106"/>
      <c r="AB1746" s="105"/>
      <c r="AC1746" s="106"/>
      <c r="AD1746" s="105"/>
      <c r="AE1746" s="106"/>
      <c r="AF1746" s="105"/>
      <c r="AG1746" s="106"/>
      <c r="AH1746" s="105"/>
      <c r="AI1746" s="59"/>
      <c r="AJ1746" s="64"/>
      <c r="AK1746" s="44"/>
      <c r="AM1746" s="49"/>
      <c r="AN1746" s="49"/>
      <c r="AO1746" s="49"/>
      <c r="AP1746" s="49"/>
      <c r="AQ1746" s="49"/>
      <c r="AR1746" s="40"/>
      <c r="AS1746" s="51"/>
      <c r="AU1746" s="49"/>
      <c r="AW1746" s="52"/>
      <c r="BA1746" s="2"/>
      <c r="BB1746" s="2"/>
      <c r="BC1746" s="101"/>
      <c r="BD1746" s="101"/>
    </row>
    <row r="1747" spans="1:56" s="84" customFormat="1" x14ac:dyDescent="0.35">
      <c r="B1747" s="30" t="str">
        <f>IF(B1673="","",B1673)</f>
        <v>Pellerin, Pierre</v>
      </c>
      <c r="C1747" s="31"/>
      <c r="D1747" s="32"/>
      <c r="E1747" s="33">
        <f t="shared" si="671"/>
        <v>93595935</v>
      </c>
      <c r="F1747" s="50">
        <f>B1711</f>
        <v>7</v>
      </c>
      <c r="G1747" s="69"/>
      <c r="H1747" s="70"/>
      <c r="I1747" s="104"/>
      <c r="J1747" s="103">
        <v>8</v>
      </c>
      <c r="K1747" s="104"/>
      <c r="L1747" s="103">
        <v>8</v>
      </c>
      <c r="M1747" s="104"/>
      <c r="N1747" s="103">
        <v>8</v>
      </c>
      <c r="O1747" s="104"/>
      <c r="P1747" s="103">
        <v>8</v>
      </c>
      <c r="Q1747" s="104"/>
      <c r="R1747" s="103">
        <v>8</v>
      </c>
      <c r="S1747" s="69"/>
      <c r="T1747" s="70"/>
      <c r="U1747" s="71">
        <f t="shared" ref="U1747" si="686">SUM(G1747:T1747)</f>
        <v>40</v>
      </c>
      <c r="V1747" s="72"/>
      <c r="W1747" s="69"/>
      <c r="X1747" s="70"/>
      <c r="Y1747" s="104"/>
      <c r="Z1747" s="103">
        <v>8</v>
      </c>
      <c r="AA1747" s="104"/>
      <c r="AB1747" s="103">
        <v>8</v>
      </c>
      <c r="AC1747" s="104"/>
      <c r="AD1747" s="103">
        <v>8</v>
      </c>
      <c r="AE1747" s="104"/>
      <c r="AF1747" s="103">
        <v>8</v>
      </c>
      <c r="AG1747" s="104"/>
      <c r="AH1747" s="103">
        <v>8</v>
      </c>
      <c r="AI1747" s="69"/>
      <c r="AJ1747" s="70"/>
      <c r="AK1747" s="71">
        <f>SUM(Z1747:AH1747)</f>
        <v>40</v>
      </c>
      <c r="AL1747" s="72"/>
      <c r="AM1747" s="73">
        <f>SUMIF($G1746:$T1746,"",$G1747:$T1747)+SUMIF($W1746:$AJ1746,"",$W1747:$AJ1747)-AN1747</f>
        <v>80</v>
      </c>
      <c r="AN1747" s="88">
        <f>IF(SUMIF($G1746:$T1746,"",$G1747:$T1747)+SUMIF($G1746:$T1746,"F",$G1747:$T1747)+SUMIF($G1746:$T1746,"V",$G1747:$T1747)-40&lt;0,0,SUMIF($G1746:$T1746,"",$G1747:$T1747)+SUMIF($G1746:$T1746,"F",$G1747:$T1747)+SUMIF($G1746:$T1746,"V",$G1747:$T1747)-($U$9/2))+IF(SUMIF($W1746:$AJ1746,"",$W1747:$AJ1747)+SUMIF($W1746:$AJ1746,"F",$W1747:$AJ1747)+SUMIF($W1746:$AJ1746,"V",$W1747:$AJ1747)-40&lt;0,0,SUMIF($W1746:$AJ1746,"",$W1747:$AJ1747)+SUMIF($W1746:$AJ1746,"F",$W1747:$AJ1747)+SUMIF($W1746:$AJ1746,"V",$W1747:$AJ1747)-($U$9/2))</f>
        <v>0</v>
      </c>
      <c r="AO1747" s="73">
        <f>SUMIF($G1746:$T1746,"M",$G1747:$T1747)+SUMIF($W1746:$AJ1746,"M",$W1747:$AJ1747)</f>
        <v>0</v>
      </c>
      <c r="AP1747" s="73">
        <f>SUMIF($G1746:$T1746,"F",$G1747:$T1747)+SUMIF($W1746:$AJ1746,"F",$W1747:$AJ1747)</f>
        <v>0</v>
      </c>
      <c r="AQ1747" s="73">
        <f>SUMIF($G1746:$T1746,"V",$G1747:$T1747)+SUMIF($W1746:$AJ1746,"V",$W1747:$AJ1747)</f>
        <v>0</v>
      </c>
      <c r="AR1747" s="74">
        <f>SUMIF($G1746:$T1746,"O",$G1747:$T1747)+SUMIF($W1746:$AJ1746,"O",$W1747:$AJ1747)</f>
        <v>0</v>
      </c>
      <c r="AS1747" s="75">
        <f>SUM(AM1747:AR1747)</f>
        <v>80</v>
      </c>
      <c r="AT1747" s="72"/>
      <c r="AU1747" s="73">
        <f>SUMIF($G1746:$T1746,"A",$G1747:$T1747)+SUMIF($W1746:$AJ1746,"A",$W1747:$AJ1747)</f>
        <v>0</v>
      </c>
      <c r="AV1747" s="72"/>
      <c r="AW1747" s="76">
        <f>IF(B1747="",0,IF($U$9="",0,$U$9))</f>
        <v>80</v>
      </c>
      <c r="BA1747" s="2"/>
      <c r="BB1747" s="2"/>
      <c r="BC1747" s="101"/>
      <c r="BD1747" s="101"/>
    </row>
    <row r="1748" spans="1:56" s="84" customFormat="1" x14ac:dyDescent="0.35">
      <c r="B1748" s="26"/>
      <c r="C1748" s="27"/>
      <c r="D1748" s="28">
        <f>IF(D1674="","",D1674)</f>
        <v>81043</v>
      </c>
      <c r="E1748" s="29" t="str">
        <f t="shared" si="671"/>
        <v/>
      </c>
      <c r="F1748" s="50">
        <f>B1711</f>
        <v>7</v>
      </c>
      <c r="G1748" s="59"/>
      <c r="H1748" s="64"/>
      <c r="I1748" s="106"/>
      <c r="J1748" s="105"/>
      <c r="K1748" s="106"/>
      <c r="L1748" s="105"/>
      <c r="M1748" s="106"/>
      <c r="N1748" s="105"/>
      <c r="O1748" s="106"/>
      <c r="P1748" s="105"/>
      <c r="Q1748" s="106"/>
      <c r="R1748" s="105"/>
      <c r="S1748" s="59"/>
      <c r="T1748" s="64"/>
      <c r="U1748" s="44"/>
      <c r="W1748" s="59"/>
      <c r="X1748" s="64"/>
      <c r="Y1748" s="106"/>
      <c r="Z1748" s="105"/>
      <c r="AA1748" s="106"/>
      <c r="AB1748" s="105"/>
      <c r="AC1748" s="106"/>
      <c r="AD1748" s="105"/>
      <c r="AE1748" s="106"/>
      <c r="AF1748" s="105"/>
      <c r="AG1748" s="106"/>
      <c r="AH1748" s="105"/>
      <c r="AI1748" s="59"/>
      <c r="AJ1748" s="64"/>
      <c r="AK1748" s="44"/>
      <c r="AM1748" s="49"/>
      <c r="AN1748" s="49"/>
      <c r="AO1748" s="49"/>
      <c r="AP1748" s="49"/>
      <c r="AQ1748" s="49"/>
      <c r="AR1748" s="40"/>
      <c r="AS1748" s="51"/>
      <c r="AU1748" s="49"/>
      <c r="AW1748" s="52"/>
      <c r="BA1748" s="2"/>
      <c r="BB1748" s="2"/>
      <c r="BC1748" s="101"/>
      <c r="BD1748" s="101"/>
    </row>
    <row r="1749" spans="1:56" s="84" customFormat="1" x14ac:dyDescent="0.35">
      <c r="B1749" s="30" t="str">
        <f>IF(B1675="","",B1675)</f>
        <v>Rodrigue, Frank</v>
      </c>
      <c r="C1749" s="31"/>
      <c r="D1749" s="32"/>
      <c r="E1749" s="33">
        <f t="shared" si="671"/>
        <v>93545</v>
      </c>
      <c r="F1749" s="50">
        <f>B1711</f>
        <v>7</v>
      </c>
      <c r="G1749" s="69"/>
      <c r="H1749" s="70"/>
      <c r="I1749" s="104"/>
      <c r="J1749" s="103">
        <v>8</v>
      </c>
      <c r="K1749" s="104"/>
      <c r="L1749" s="103">
        <v>8</v>
      </c>
      <c r="M1749" s="104"/>
      <c r="N1749" s="103">
        <v>8</v>
      </c>
      <c r="O1749" s="104"/>
      <c r="P1749" s="103">
        <v>8</v>
      </c>
      <c r="Q1749" s="104"/>
      <c r="R1749" s="103">
        <v>8</v>
      </c>
      <c r="S1749" s="69"/>
      <c r="T1749" s="70"/>
      <c r="U1749" s="71">
        <f t="shared" ref="U1749" si="687">SUM(G1749:T1749)</f>
        <v>40</v>
      </c>
      <c r="V1749" s="72"/>
      <c r="W1749" s="69"/>
      <c r="X1749" s="70"/>
      <c r="Y1749" s="104"/>
      <c r="Z1749" s="103">
        <v>8</v>
      </c>
      <c r="AA1749" s="104"/>
      <c r="AB1749" s="103">
        <v>8</v>
      </c>
      <c r="AC1749" s="104"/>
      <c r="AD1749" s="103">
        <v>8</v>
      </c>
      <c r="AE1749" s="104"/>
      <c r="AF1749" s="103">
        <v>8</v>
      </c>
      <c r="AG1749" s="104"/>
      <c r="AH1749" s="103">
        <v>8</v>
      </c>
      <c r="AI1749" s="69"/>
      <c r="AJ1749" s="70"/>
      <c r="AK1749" s="71">
        <f>SUM(W1749:AJ1749)</f>
        <v>40</v>
      </c>
      <c r="AL1749" s="72"/>
      <c r="AM1749" s="73">
        <f>SUMIF($G1748:$T1748,"",$G1749:$T1749)+SUMIF($W1748:$AJ1748,"",$W1749:$AJ1749)-AN1749</f>
        <v>80</v>
      </c>
      <c r="AN1749" s="88">
        <f>IF(SUMIF($G1748:$T1748,"",$G1749:$T1749)+SUMIF($G1748:$T1748,"F",$G1749:$T1749)+SUMIF($G1748:$T1748,"V",$G1749:$T1749)-40&lt;0,0,SUMIF($G1748:$T1748,"",$G1749:$T1749)+SUMIF($G1748:$T1748,"F",$G1749:$T1749)+SUMIF($G1748:$T1748,"V",$G1749:$T1749)-($U$9/2))+IF(SUMIF($W1748:$AJ1748,"",$W1749:$AJ1749)+SUMIF($W1748:$AJ1748,"F",$W1749:$AJ1749)+SUMIF($W1748:$AJ1748,"V",$W1749:$AJ1749)-40&lt;0,0,SUMIF($W1748:$AJ1748,"",$W1749:$AJ1749)+SUMIF($W1748:$AJ1748,"F",$W1749:$AJ1749)+SUMIF($W1748:$AJ1748,"V",$W1749:$AJ1749)-($U$9/2))</f>
        <v>0</v>
      </c>
      <c r="AO1749" s="73">
        <f>SUMIF($G1748:$T1748,"M",$G1749:$T1749)+SUMIF($W1748:$AJ1748,"M",$W1749:$AJ1749)</f>
        <v>0</v>
      </c>
      <c r="AP1749" s="73">
        <f>SUMIF($G1748:$T1748,"F",$G1749:$T1749)+SUMIF($W1748:$AJ1748,"F",$W1749:$AJ1749)</f>
        <v>0</v>
      </c>
      <c r="AQ1749" s="73">
        <f>SUMIF($G1748:$T1748,"V",$G1749:$T1749)+SUMIF($W1748:$AJ1748,"V",$W1749:$AJ1749)</f>
        <v>0</v>
      </c>
      <c r="AR1749" s="74">
        <f>SUMIF($G1748:$T1748,"O",$G1749:$T1749)+SUMIF($W1748:$AJ1748,"O",$W1749:$AJ1749)</f>
        <v>0</v>
      </c>
      <c r="AS1749" s="75">
        <f>SUM(AM1749:AR1749)</f>
        <v>80</v>
      </c>
      <c r="AT1749" s="72"/>
      <c r="AU1749" s="73">
        <f>SUMIF($G1748:$T1748,"A",$G1749:$T1749)+SUMIF($W1748:$AJ1748,"A",$W1749:$AJ1749)</f>
        <v>0</v>
      </c>
      <c r="AV1749" s="72"/>
      <c r="AW1749" s="76">
        <f>IF(B1749="",0,IF($U$9="",0,$U$9))</f>
        <v>80</v>
      </c>
      <c r="BA1749" s="2"/>
      <c r="BB1749" s="2"/>
      <c r="BC1749" s="101"/>
      <c r="BD1749" s="101"/>
    </row>
    <row r="1750" spans="1:56" s="84" customFormat="1" x14ac:dyDescent="0.35">
      <c r="B1750" s="26"/>
      <c r="C1750" s="27"/>
      <c r="D1750" s="28">
        <f>IF(D1676="","",D1676)</f>
        <v>72673</v>
      </c>
      <c r="E1750" s="29" t="str">
        <f t="shared" si="671"/>
        <v/>
      </c>
      <c r="F1750" s="50">
        <f>B1711</f>
        <v>7</v>
      </c>
      <c r="G1750" s="59"/>
      <c r="H1750" s="64"/>
      <c r="I1750" s="106"/>
      <c r="J1750" s="105"/>
      <c r="K1750" s="106"/>
      <c r="L1750" s="105"/>
      <c r="M1750" s="106"/>
      <c r="N1750" s="105"/>
      <c r="O1750" s="106"/>
      <c r="P1750" s="105"/>
      <c r="Q1750" s="106"/>
      <c r="R1750" s="105"/>
      <c r="S1750" s="59"/>
      <c r="T1750" s="64"/>
      <c r="U1750" s="44"/>
      <c r="W1750" s="59"/>
      <c r="X1750" s="64"/>
      <c r="Y1750" s="106"/>
      <c r="Z1750" s="105"/>
      <c r="AA1750" s="106"/>
      <c r="AB1750" s="105"/>
      <c r="AC1750" s="106"/>
      <c r="AD1750" s="105"/>
      <c r="AE1750" s="106"/>
      <c r="AF1750" s="105"/>
      <c r="AG1750" s="106"/>
      <c r="AH1750" s="105"/>
      <c r="AI1750" s="59"/>
      <c r="AJ1750" s="64"/>
      <c r="AK1750" s="44"/>
      <c r="AM1750" s="49"/>
      <c r="AN1750" s="49"/>
      <c r="AO1750" s="49"/>
      <c r="AP1750" s="49"/>
      <c r="AQ1750" s="49"/>
      <c r="AR1750" s="40"/>
      <c r="AS1750" s="51"/>
      <c r="AU1750" s="49"/>
      <c r="AW1750" s="52"/>
      <c r="BA1750" s="2"/>
      <c r="BB1750" s="2"/>
      <c r="BC1750" s="101"/>
      <c r="BD1750" s="101"/>
    </row>
    <row r="1751" spans="1:56" s="84" customFormat="1" x14ac:dyDescent="0.35">
      <c r="B1751" s="30" t="str">
        <f>IF(B1677="","",B1677)</f>
        <v>St-Georges, Manuel (avance $2,000)</v>
      </c>
      <c r="C1751" s="31"/>
      <c r="D1751" s="32"/>
      <c r="E1751" s="33">
        <f t="shared" si="671"/>
        <v>93595935</v>
      </c>
      <c r="F1751" s="50">
        <f>B1711</f>
        <v>7</v>
      </c>
      <c r="G1751" s="69"/>
      <c r="H1751" s="70"/>
      <c r="I1751" s="104"/>
      <c r="J1751" s="103" t="s">
        <v>69</v>
      </c>
      <c r="K1751" s="104"/>
      <c r="L1751" s="103" t="s">
        <v>69</v>
      </c>
      <c r="M1751" s="104"/>
      <c r="N1751" s="103" t="s">
        <v>69</v>
      </c>
      <c r="O1751" s="104"/>
      <c r="P1751" s="103" t="s">
        <v>69</v>
      </c>
      <c r="Q1751" s="104"/>
      <c r="R1751" s="103" t="s">
        <v>69</v>
      </c>
      <c r="S1751" s="69"/>
      <c r="T1751" s="70"/>
      <c r="U1751" s="71">
        <f t="shared" ref="U1751" si="688">SUM(G1751:T1751)</f>
        <v>0</v>
      </c>
      <c r="V1751" s="72"/>
      <c r="W1751" s="69"/>
      <c r="X1751" s="70"/>
      <c r="Y1751" s="104"/>
      <c r="Z1751" s="103" t="s">
        <v>69</v>
      </c>
      <c r="AA1751" s="104"/>
      <c r="AB1751" s="103" t="s">
        <v>69</v>
      </c>
      <c r="AC1751" s="104"/>
      <c r="AD1751" s="103" t="s">
        <v>69</v>
      </c>
      <c r="AE1751" s="104"/>
      <c r="AF1751" s="103" t="s">
        <v>69</v>
      </c>
      <c r="AG1751" s="104"/>
      <c r="AH1751" s="103" t="s">
        <v>69</v>
      </c>
      <c r="AI1751" s="69"/>
      <c r="AJ1751" s="70"/>
      <c r="AK1751" s="71">
        <f>SUM(W1751:AJ1751)</f>
        <v>0</v>
      </c>
      <c r="AL1751" s="72"/>
      <c r="AM1751" s="73">
        <f>SUMIF($G1750:$T1750,"",$G1751:$T1751)+SUMIF($W1750:$AJ1750,"",$W1751:$AJ1751)-AN1751</f>
        <v>0</v>
      </c>
      <c r="AN1751" s="88">
        <f>IF(SUMIF($G1750:$T1750,"",$G1751:$T1751)+SUMIF($G1750:$T1750,"F",$G1751:$T1751)+SUMIF($G1750:$T1750,"V",$G1751:$T1751)-40&lt;0,0,SUMIF($G1750:$T1750,"",$G1751:$T1751)+SUMIF($G1750:$T1750,"F",$G1751:$T1751)+SUMIF($G1750:$T1750,"V",$G1751:$T1751)-($U$9/2))+IF(SUMIF($W1750:$AJ1750,"",$W1751:$AJ1751)+SUMIF($W1750:$AJ1750,"F",$W1751:$AJ1751)+SUMIF($W1750:$AJ1750,"V",$W1751:$AJ1751)-40&lt;0,0,SUMIF($W1750:$AJ1750,"",$W1751:$AJ1751)+SUMIF($W1750:$AJ1750,"F",$W1751:$AJ1751)+SUMIF($W1750:$AJ1750,"V",$W1751:$AJ1751)-($U$9/2))</f>
        <v>0</v>
      </c>
      <c r="AO1751" s="73">
        <f>SUMIF($G1750:$T1750,"M",$G1751:$T1751)+SUMIF($W1750:$AJ1750,"M",$W1751:$AJ1751)</f>
        <v>0</v>
      </c>
      <c r="AP1751" s="73">
        <f>SUMIF($G1750:$T1750,"F",$G1751:$T1751)+SUMIF($W1750:$AJ1750,"F",$W1751:$AJ1751)</f>
        <v>0</v>
      </c>
      <c r="AQ1751" s="73">
        <f>SUMIF($G1750:$T1750,"V",$G1751:$T1751)+SUMIF($W1750:$AJ1750,"V",$W1751:$AJ1751)</f>
        <v>0</v>
      </c>
      <c r="AR1751" s="74">
        <f>SUMIF($G1750:$T1750,"O",$G1751:$T1751)+SUMIF($W1750:$AJ1750,"O",$W1751:$AJ1751)</f>
        <v>0</v>
      </c>
      <c r="AS1751" s="75">
        <f>SUM(AM1751:AR1751)</f>
        <v>0</v>
      </c>
      <c r="AT1751" s="72"/>
      <c r="AU1751" s="73">
        <f>SUMIF($G1750:$T1750,"A",$G1751:$T1751)+SUMIF($W1750:$AJ1750,"A",$W1751:$AJ1751)</f>
        <v>0</v>
      </c>
      <c r="AV1751" s="72"/>
      <c r="AW1751" s="76">
        <f>IF(B1751="",0,IF($U$9="",0,$U$9))</f>
        <v>80</v>
      </c>
      <c r="BA1751" s="2"/>
      <c r="BB1751" s="2"/>
      <c r="BC1751" s="101"/>
      <c r="BD1751" s="101"/>
    </row>
    <row r="1752" spans="1:56" s="84" customFormat="1" x14ac:dyDescent="0.35">
      <c r="B1752" s="26"/>
      <c r="C1752" s="27"/>
      <c r="D1752" s="28" t="str">
        <f>IF(D1678="","",D1678)</f>
        <v/>
      </c>
      <c r="E1752" s="29" t="str">
        <f t="shared" si="671"/>
        <v/>
      </c>
      <c r="F1752" s="50">
        <f>B1711</f>
        <v>7</v>
      </c>
      <c r="G1752" s="59"/>
      <c r="H1752" s="64"/>
      <c r="I1752" s="106"/>
      <c r="J1752" s="105"/>
      <c r="K1752" s="106"/>
      <c r="L1752" s="105"/>
      <c r="M1752" s="106"/>
      <c r="N1752" s="105"/>
      <c r="O1752" s="106"/>
      <c r="P1752" s="105"/>
      <c r="Q1752" s="106"/>
      <c r="R1752" s="105"/>
      <c r="S1752" s="59"/>
      <c r="T1752" s="64"/>
      <c r="U1752" s="44"/>
      <c r="W1752" s="59"/>
      <c r="X1752" s="64"/>
      <c r="Y1752" s="106"/>
      <c r="Z1752" s="105"/>
      <c r="AA1752" s="106"/>
      <c r="AB1752" s="105"/>
      <c r="AC1752" s="106"/>
      <c r="AD1752" s="105"/>
      <c r="AE1752" s="106"/>
      <c r="AF1752" s="105"/>
      <c r="AG1752" s="106"/>
      <c r="AH1752" s="105"/>
      <c r="AI1752" s="59"/>
      <c r="AJ1752" s="64"/>
      <c r="AK1752" s="44"/>
      <c r="AM1752" s="49"/>
      <c r="AN1752" s="49"/>
      <c r="AO1752" s="49"/>
      <c r="AP1752" s="49"/>
      <c r="AQ1752" s="49"/>
      <c r="AR1752" s="40"/>
      <c r="AS1752" s="51"/>
      <c r="AU1752" s="49"/>
      <c r="AW1752" s="52"/>
      <c r="BA1752" s="2"/>
      <c r="BB1752" s="2"/>
      <c r="BC1752" s="101"/>
      <c r="BD1752" s="101"/>
    </row>
    <row r="1753" spans="1:56" s="84" customFormat="1" x14ac:dyDescent="0.35">
      <c r="B1753" s="30" t="str">
        <f>IF(B1679="","",B1679)</f>
        <v/>
      </c>
      <c r="C1753" s="31"/>
      <c r="D1753" s="32"/>
      <c r="E1753" s="33" t="str">
        <f t="shared" si="671"/>
        <v/>
      </c>
      <c r="F1753" s="50">
        <f>B1711</f>
        <v>7</v>
      </c>
      <c r="G1753" s="69"/>
      <c r="H1753" s="70"/>
      <c r="I1753" s="104"/>
      <c r="J1753" s="103"/>
      <c r="K1753" s="104"/>
      <c r="L1753" s="103"/>
      <c r="M1753" s="104"/>
      <c r="N1753" s="103"/>
      <c r="O1753" s="104"/>
      <c r="P1753" s="103"/>
      <c r="Q1753" s="104"/>
      <c r="R1753" s="103"/>
      <c r="S1753" s="69"/>
      <c r="T1753" s="70"/>
      <c r="U1753" s="71">
        <f t="shared" ref="U1753" si="689">SUM(G1753:T1753)</f>
        <v>0</v>
      </c>
      <c r="V1753" s="72"/>
      <c r="W1753" s="69"/>
      <c r="X1753" s="70"/>
      <c r="Y1753" s="104"/>
      <c r="Z1753" s="103"/>
      <c r="AA1753" s="104"/>
      <c r="AB1753" s="103"/>
      <c r="AC1753" s="104"/>
      <c r="AD1753" s="103"/>
      <c r="AE1753" s="104"/>
      <c r="AF1753" s="103"/>
      <c r="AG1753" s="104"/>
      <c r="AH1753" s="103"/>
      <c r="AI1753" s="69"/>
      <c r="AJ1753" s="70"/>
      <c r="AK1753" s="71">
        <f>SUM(W1753:AJ1753)</f>
        <v>0</v>
      </c>
      <c r="AL1753" s="72"/>
      <c r="AM1753" s="73">
        <f>SUMIF($G1752:$T1752,"",$G1753:$T1753)+SUMIF($W1752:$AJ1752,"",$W1753:$AJ1753)-AN1753</f>
        <v>0</v>
      </c>
      <c r="AN1753" s="88">
        <f>IF(SUMIF($G1752:$T1752,"",$G1753:$T1753)+SUMIF($G1752:$T1752,"F",$G1753:$T1753)+SUMIF($G1752:$T1752,"V",$G1753:$T1753)-40&lt;0,0,SUMIF($G1752:$T1752,"",$G1753:$T1753)+SUMIF($G1752:$T1752,"F",$G1753:$T1753)+SUMIF($G1752:$T1752,"V",$G1753:$T1753)-($U$9/2))+IF(SUMIF($W1752:$AJ1752,"",$W1753:$AJ1753)+SUMIF($W1752:$AJ1752,"F",$W1753:$AJ1753)+SUMIF($W1752:$AJ1752,"V",$W1753:$AJ1753)-40&lt;0,0,SUMIF($W1752:$AJ1752,"",$W1753:$AJ1753)+SUMIF($W1752:$AJ1752,"F",$W1753:$AJ1753)+SUMIF($W1752:$AJ1752,"V",$W1753:$AJ1753)-($U$9/2))</f>
        <v>0</v>
      </c>
      <c r="AO1753" s="73">
        <f>SUMIF($G1752:$T1752,"M",$G1753:$T1753)+SUMIF($W1752:$AJ1752,"M",$W1753:$AJ1753)</f>
        <v>0</v>
      </c>
      <c r="AP1753" s="73">
        <f>SUMIF($G1752:$T1752,"F",$G1753:$T1753)+SUMIF($W1752:$AJ1752,"F",$W1753:$AJ1753)</f>
        <v>0</v>
      </c>
      <c r="AQ1753" s="73">
        <f>SUMIF($G1752:$T1752,"V",$G1753:$T1753)+SUMIF($W1752:$AJ1752,"V",$W1753:$AJ1753)</f>
        <v>0</v>
      </c>
      <c r="AR1753" s="74">
        <f>SUMIF($G1752:$T1752,"O",$G1753:$T1753)+SUMIF($W1752:$AJ1752,"O",$W1753:$AJ1753)</f>
        <v>0</v>
      </c>
      <c r="AS1753" s="75">
        <f>SUM(AM1753:AR1753)</f>
        <v>0</v>
      </c>
      <c r="AT1753" s="72"/>
      <c r="AU1753" s="73">
        <f>SUMIF($G1752:$T1752,"A",$G1753:$T1753)+SUMIF($W1752:$AJ1752,"A",$W1753:$AJ1753)</f>
        <v>0</v>
      </c>
      <c r="AV1753" s="72"/>
      <c r="AW1753" s="76">
        <f>IF(B1753="",0,IF($U$9="",0,$U$9))</f>
        <v>0</v>
      </c>
      <c r="BA1753" s="2"/>
      <c r="BB1753" s="2"/>
      <c r="BC1753" s="101"/>
      <c r="BD1753" s="101"/>
    </row>
    <row r="1754" spans="1:56" s="84" customFormat="1" x14ac:dyDescent="0.35">
      <c r="B1754" s="26"/>
      <c r="C1754" s="27"/>
      <c r="D1754" s="28">
        <f>IF(D1680="","",D1680)</f>
        <v>23736</v>
      </c>
      <c r="E1754" s="29" t="str">
        <f t="shared" si="671"/>
        <v/>
      </c>
      <c r="F1754" s="50">
        <f>B1711</f>
        <v>7</v>
      </c>
      <c r="G1754" s="59"/>
      <c r="H1754" s="64"/>
      <c r="I1754" s="106"/>
      <c r="J1754" s="105"/>
      <c r="K1754" s="106"/>
      <c r="L1754" s="105"/>
      <c r="M1754" s="106"/>
      <c r="N1754" s="105"/>
      <c r="O1754" s="106"/>
      <c r="P1754" s="105"/>
      <c r="Q1754" s="106"/>
      <c r="R1754" s="105"/>
      <c r="S1754" s="59"/>
      <c r="T1754" s="64"/>
      <c r="U1754" s="44"/>
      <c r="W1754" s="59"/>
      <c r="X1754" s="64"/>
      <c r="Y1754" s="106"/>
      <c r="Z1754" s="105"/>
      <c r="AA1754" s="106"/>
      <c r="AB1754" s="105"/>
      <c r="AC1754" s="106"/>
      <c r="AD1754" s="105"/>
      <c r="AE1754" s="106"/>
      <c r="AF1754" s="105"/>
      <c r="AG1754" s="106"/>
      <c r="AH1754" s="105"/>
      <c r="AI1754" s="59"/>
      <c r="AJ1754" s="64"/>
      <c r="AK1754" s="44"/>
      <c r="AM1754" s="49"/>
      <c r="AN1754" s="49"/>
      <c r="AO1754" s="49"/>
      <c r="AP1754" s="49"/>
      <c r="AQ1754" s="49"/>
      <c r="AR1754" s="40"/>
      <c r="AS1754" s="51"/>
      <c r="AU1754" s="49"/>
      <c r="AW1754" s="52"/>
      <c r="BA1754" s="2"/>
      <c r="BB1754" s="2"/>
      <c r="BC1754" s="101"/>
      <c r="BD1754" s="101"/>
    </row>
    <row r="1755" spans="1:56" s="84" customFormat="1" x14ac:dyDescent="0.35">
      <c r="B1755" s="30" t="str">
        <f>IF(B1681="","",B1681)</f>
        <v>Voster, Jean-Michel</v>
      </c>
      <c r="C1755" s="31"/>
      <c r="D1755" s="32"/>
      <c r="E1755" s="33">
        <f t="shared" si="671"/>
        <v>93545</v>
      </c>
      <c r="F1755" s="50">
        <f>B1711</f>
        <v>7</v>
      </c>
      <c r="G1755" s="69"/>
      <c r="H1755" s="70"/>
      <c r="I1755" s="104"/>
      <c r="J1755" s="103">
        <v>8</v>
      </c>
      <c r="K1755" s="104"/>
      <c r="L1755" s="103">
        <v>8</v>
      </c>
      <c r="M1755" s="104"/>
      <c r="N1755" s="103">
        <v>8</v>
      </c>
      <c r="O1755" s="104"/>
      <c r="P1755" s="103">
        <v>7.75</v>
      </c>
      <c r="Q1755" s="104"/>
      <c r="R1755" s="103">
        <v>7.5</v>
      </c>
      <c r="S1755" s="69"/>
      <c r="T1755" s="70"/>
      <c r="U1755" s="71">
        <f t="shared" ref="U1755" si="690">SUM(G1755:T1755)</f>
        <v>39.25</v>
      </c>
      <c r="V1755" s="72"/>
      <c r="W1755" s="69"/>
      <c r="X1755" s="70"/>
      <c r="Y1755" s="104"/>
      <c r="Z1755" s="103">
        <v>7.5</v>
      </c>
      <c r="AA1755" s="104"/>
      <c r="AB1755" s="103">
        <v>8</v>
      </c>
      <c r="AC1755" s="104"/>
      <c r="AD1755" s="103">
        <v>8.25</v>
      </c>
      <c r="AE1755" s="104"/>
      <c r="AF1755" s="103">
        <v>8</v>
      </c>
      <c r="AG1755" s="104"/>
      <c r="AH1755" s="103">
        <v>7.5</v>
      </c>
      <c r="AI1755" s="69"/>
      <c r="AJ1755" s="70"/>
      <c r="AK1755" s="71">
        <f>SUM(W1755:AJ1755)</f>
        <v>39.25</v>
      </c>
      <c r="AL1755" s="72"/>
      <c r="AM1755" s="73">
        <f>SUMIF($G1754:$T1754,"",$G1755:$T1755)+SUMIF($W1754:$AJ1754,"",$W1755:$AJ1755)-AN1755</f>
        <v>78.5</v>
      </c>
      <c r="AN1755" s="88">
        <f>IF(SUMIF($G1754:$T1754,"",$G1755:$T1755)+SUMIF($G1754:$T1754,"F",$G1755:$T1755)+SUMIF($G1754:$T1754,"V",$G1755:$T1755)-40&lt;0,0,SUMIF($G1754:$T1754,"",$G1755:$T1755)+SUMIF($G1754:$T1754,"F",$G1755:$T1755)+SUMIF($G1754:$T1754,"V",$G1755:$T1755)-($U$9/2))+IF(SUMIF($W1754:$AJ1754,"",$W1755:$AJ1755)+SUMIF($W1754:$AJ1754,"F",$W1755:$AJ1755)+SUMIF($W1754:$AJ1754,"V",$W1755:$AJ1755)-40&lt;0,0,SUMIF($W1754:$AJ1754,"",$W1755:$AJ1755)+SUMIF($W1754:$AJ1754,"F",$W1755:$AJ1755)+SUMIF($W1754:$AJ1754,"V",$W1755:$AJ1755)-($U$9/2))</f>
        <v>0</v>
      </c>
      <c r="AO1755" s="73">
        <f>SUMIF($G1754:$T1754,"M",$G1755:$T1755)+SUMIF($W1754:$AJ1754,"M",$W1755:$AJ1755)</f>
        <v>0</v>
      </c>
      <c r="AP1755" s="73">
        <f>SUMIF($G1754:$T1754,"F",$G1755:$T1755)+SUMIF($W1754:$AJ1754,"F",$W1755:$AJ1755)</f>
        <v>0</v>
      </c>
      <c r="AQ1755" s="73">
        <f>SUMIF($G1754:$T1754,"V",$G1755:$T1755)+SUMIF($W1754:$AJ1754,"V",$W1755:$AJ1755)</f>
        <v>0</v>
      </c>
      <c r="AR1755" s="74">
        <f>SUMIF($G1754:$T1754,"O",$G1755:$T1755)+SUMIF($W1754:$AJ1754,"O",$W1755:$AJ1755)</f>
        <v>0</v>
      </c>
      <c r="AS1755" s="75">
        <f>SUM(AM1755:AR1755)</f>
        <v>78.5</v>
      </c>
      <c r="AT1755" s="72"/>
      <c r="AU1755" s="73">
        <f>SUMIF($G1754:$T1754,"A",$G1755:$T1755)+SUMIF($W1754:$AJ1754,"A",$W1755:$AJ1755)</f>
        <v>0</v>
      </c>
      <c r="AV1755" s="72"/>
      <c r="AW1755" s="76">
        <f>IF(B1755="",0,IF($U$9="",0,$U$9))</f>
        <v>80</v>
      </c>
      <c r="BA1755" s="2"/>
      <c r="BB1755" s="2"/>
      <c r="BC1755" s="101"/>
      <c r="BD1755" s="101"/>
    </row>
    <row r="1756" spans="1:56" s="53" customFormat="1" ht="15" customHeight="1" x14ac:dyDescent="0.35">
      <c r="A1756" s="84"/>
      <c r="B1756" s="26"/>
      <c r="C1756" s="27"/>
      <c r="D1756" s="28" t="str">
        <f>IF(D1682="","",D1682)</f>
        <v/>
      </c>
      <c r="E1756" s="29" t="str">
        <f t="shared" si="671"/>
        <v/>
      </c>
      <c r="F1756" s="50">
        <f>B1711</f>
        <v>7</v>
      </c>
      <c r="G1756" s="59"/>
      <c r="H1756" s="64"/>
      <c r="I1756" s="106"/>
      <c r="J1756" s="105"/>
      <c r="K1756" s="106"/>
      <c r="L1756" s="105"/>
      <c r="M1756" s="106"/>
      <c r="N1756" s="105"/>
      <c r="O1756" s="106"/>
      <c r="P1756" s="105"/>
      <c r="Q1756" s="106"/>
      <c r="R1756" s="105"/>
      <c r="S1756" s="59"/>
      <c r="T1756" s="64"/>
      <c r="U1756" s="44"/>
      <c r="V1756" s="84"/>
      <c r="W1756" s="59"/>
      <c r="X1756" s="64"/>
      <c r="Y1756" s="106"/>
      <c r="Z1756" s="105"/>
      <c r="AA1756" s="106"/>
      <c r="AB1756" s="105"/>
      <c r="AC1756" s="106"/>
      <c r="AD1756" s="105"/>
      <c r="AE1756" s="106"/>
      <c r="AF1756" s="105"/>
      <c r="AG1756" s="106"/>
      <c r="AH1756" s="105"/>
      <c r="AI1756" s="59"/>
      <c r="AJ1756" s="64"/>
      <c r="AK1756" s="44"/>
      <c r="AL1756" s="84"/>
      <c r="AM1756" s="49"/>
      <c r="AN1756" s="49"/>
      <c r="AO1756" s="49"/>
      <c r="AP1756" s="49"/>
      <c r="AQ1756" s="49"/>
      <c r="AR1756" s="40"/>
      <c r="AS1756" s="51"/>
      <c r="AT1756" s="84"/>
      <c r="AU1756" s="49"/>
      <c r="AV1756" s="84"/>
      <c r="AW1756" s="52"/>
      <c r="AX1756" s="84"/>
      <c r="BA1756" s="2"/>
      <c r="BB1756" s="2"/>
      <c r="BC1756" s="101"/>
      <c r="BD1756" s="101"/>
    </row>
    <row r="1757" spans="1:56" s="57" customFormat="1" ht="15" customHeight="1" x14ac:dyDescent="0.35">
      <c r="A1757" s="84"/>
      <c r="B1757" s="30"/>
      <c r="C1757" s="31"/>
      <c r="D1757" s="32"/>
      <c r="E1757" s="33" t="str">
        <f t="shared" si="671"/>
        <v/>
      </c>
      <c r="F1757" s="50">
        <f>B1711</f>
        <v>7</v>
      </c>
      <c r="G1757" s="69"/>
      <c r="H1757" s="70"/>
      <c r="I1757" s="104"/>
      <c r="J1757" s="103"/>
      <c r="K1757" s="104"/>
      <c r="L1757" s="103"/>
      <c r="M1757" s="104"/>
      <c r="N1757" s="103"/>
      <c r="O1757" s="104"/>
      <c r="P1757" s="103"/>
      <c r="Q1757" s="104"/>
      <c r="R1757" s="103"/>
      <c r="S1757" s="69"/>
      <c r="T1757" s="70"/>
      <c r="U1757" s="71">
        <f t="shared" ref="U1757" si="691">SUM(G1757:T1757)</f>
        <v>0</v>
      </c>
      <c r="V1757" s="72"/>
      <c r="W1757" s="69"/>
      <c r="X1757" s="70"/>
      <c r="Y1757" s="104"/>
      <c r="Z1757" s="103"/>
      <c r="AA1757" s="104"/>
      <c r="AB1757" s="103"/>
      <c r="AC1757" s="104"/>
      <c r="AD1757" s="103"/>
      <c r="AE1757" s="104"/>
      <c r="AF1757" s="103"/>
      <c r="AG1757" s="104"/>
      <c r="AH1757" s="103"/>
      <c r="AI1757" s="69"/>
      <c r="AJ1757" s="70"/>
      <c r="AK1757" s="71">
        <f>SUM(W1757:AJ1757)</f>
        <v>0</v>
      </c>
      <c r="AL1757" s="72"/>
      <c r="AM1757" s="73">
        <f>SUMIF($G1756:$T1756,"",$G1757:$T1757)+SUMIF($W1756:$AJ1756,"",$W1757:$AJ1757)-AN1757</f>
        <v>0</v>
      </c>
      <c r="AN1757" s="88">
        <f>IF(SUMIF($G1756:$T1756,"",$G1757:$T1757)+SUMIF($G1756:$T1756,"F",$G1757:$T1757)+SUMIF($G1756:$T1756,"V",$G1757:$T1757)-40&lt;0,0,SUMIF($G1756:$T1756,"",$G1757:$T1757)+SUMIF($G1756:$T1756,"F",$G1757:$T1757)+SUMIF($G1756:$T1756,"V",$G1757:$T1757)-($U$9/2))+IF(SUMIF($W1756:$AJ1756,"",$W1757:$AJ1757)+SUMIF($W1756:$AJ1756,"F",$W1757:$AJ1757)+SUMIF($W1756:$AJ1756,"V",$W1757:$AJ1757)-40&lt;0,0,SUMIF($W1756:$AJ1756,"",$W1757:$AJ1757)+SUMIF($W1756:$AJ1756,"F",$W1757:$AJ1757)+SUMIF($W1756:$AJ1756,"V",$W1757:$AJ1757)-($U$9/2))</f>
        <v>0</v>
      </c>
      <c r="AO1757" s="73">
        <f>SUMIF($G1756:$T1756,"M",$G1757:$T1757)+SUMIF($W1756:$AJ1756,"M",$W1757:$AJ1757)</f>
        <v>0</v>
      </c>
      <c r="AP1757" s="73">
        <f>SUMIF($G1756:$T1756,"F",$G1757:$T1757)+SUMIF($W1756:$AJ1756,"F",$W1757:$AJ1757)</f>
        <v>0</v>
      </c>
      <c r="AQ1757" s="73">
        <f>SUMIF($G1756:$T1756,"V",$G1757:$T1757)+SUMIF($W1756:$AJ1756,"V",$W1757:$AJ1757)</f>
        <v>0</v>
      </c>
      <c r="AR1757" s="74">
        <f>SUMIF($G1756:$T1756,"O",$G1757:$T1757)+SUMIF($W1756:$AJ1756,"O",$W1757:$AJ1757)</f>
        <v>0</v>
      </c>
      <c r="AS1757" s="75">
        <f>SUM(AM1757:AR1757)</f>
        <v>0</v>
      </c>
      <c r="AT1757" s="72"/>
      <c r="AU1757" s="73">
        <f>SUMIF($G1756:$T1756,"A",$G1757:$T1757)+SUMIF($W1756:$AJ1756,"A",$W1757:$AJ1757)</f>
        <v>0</v>
      </c>
      <c r="AV1757" s="72"/>
      <c r="AW1757" s="76">
        <f>IF(B1757="",0,IF($U$9="",0,$U$9))</f>
        <v>0</v>
      </c>
      <c r="AX1757" s="84"/>
      <c r="BA1757" s="2"/>
      <c r="BB1757" s="2"/>
      <c r="BC1757" s="101"/>
      <c r="BD1757" s="101"/>
    </row>
    <row r="1758" spans="1:56" s="53" customFormat="1" ht="15" customHeight="1" x14ac:dyDescent="0.35">
      <c r="A1758" s="84"/>
      <c r="B1758" s="26"/>
      <c r="C1758" s="27"/>
      <c r="D1758" s="28">
        <f>IF(D1684="","",D1684)</f>
        <v>35135</v>
      </c>
      <c r="E1758" s="29" t="str">
        <f t="shared" si="671"/>
        <v/>
      </c>
      <c r="F1758" s="50">
        <f>B1711</f>
        <v>7</v>
      </c>
      <c r="G1758" s="59"/>
      <c r="H1758" s="64"/>
      <c r="I1758" s="106"/>
      <c r="J1758" s="105"/>
      <c r="K1758" s="106"/>
      <c r="L1758" s="105"/>
      <c r="M1758" s="106"/>
      <c r="N1758" s="105"/>
      <c r="O1758" s="106"/>
      <c r="P1758" s="105"/>
      <c r="Q1758" s="106"/>
      <c r="R1758" s="105"/>
      <c r="S1758" s="59"/>
      <c r="T1758" s="64"/>
      <c r="U1758" s="44"/>
      <c r="V1758" s="84"/>
      <c r="W1758" s="59"/>
      <c r="X1758" s="64"/>
      <c r="Y1758" s="106"/>
      <c r="Z1758" s="105"/>
      <c r="AA1758" s="106"/>
      <c r="AB1758" s="105"/>
      <c r="AC1758" s="106"/>
      <c r="AD1758" s="105"/>
      <c r="AE1758" s="106"/>
      <c r="AF1758" s="105"/>
      <c r="AG1758" s="106"/>
      <c r="AH1758" s="105"/>
      <c r="AI1758" s="59"/>
      <c r="AJ1758" s="64"/>
      <c r="AK1758" s="44"/>
      <c r="AL1758" s="84"/>
      <c r="AM1758" s="49"/>
      <c r="AN1758" s="49"/>
      <c r="AO1758" s="49"/>
      <c r="AP1758" s="49"/>
      <c r="AQ1758" s="49"/>
      <c r="AR1758" s="40"/>
      <c r="AS1758" s="51"/>
      <c r="AT1758" s="84"/>
      <c r="AU1758" s="49"/>
      <c r="AV1758" s="84"/>
      <c r="AW1758" s="52"/>
      <c r="AX1758" s="84"/>
      <c r="BA1758" s="2"/>
      <c r="BB1758" s="2"/>
      <c r="BC1758" s="101"/>
      <c r="BD1758" s="101"/>
    </row>
    <row r="1759" spans="1:56" s="53" customFormat="1" x14ac:dyDescent="0.35">
      <c r="A1759" s="84"/>
      <c r="B1759" s="30" t="str">
        <f>IF(B1685="","",B1685)</f>
        <v>Dupont,Catherine</v>
      </c>
      <c r="C1759" s="31"/>
      <c r="D1759" s="32"/>
      <c r="E1759" s="33">
        <f t="shared" si="671"/>
        <v>93545</v>
      </c>
      <c r="F1759" s="50">
        <f>B1711</f>
        <v>7</v>
      </c>
      <c r="G1759" s="69"/>
      <c r="H1759" s="70"/>
      <c r="I1759" s="104"/>
      <c r="J1759" s="103">
        <v>7.75</v>
      </c>
      <c r="K1759" s="104"/>
      <c r="L1759" s="103">
        <v>8.25</v>
      </c>
      <c r="M1759" s="104"/>
      <c r="N1759" s="103">
        <v>8</v>
      </c>
      <c r="O1759" s="104"/>
      <c r="P1759" s="103">
        <v>8.25</v>
      </c>
      <c r="Q1759" s="104"/>
      <c r="R1759" s="103">
        <v>8</v>
      </c>
      <c r="S1759" s="69"/>
      <c r="T1759" s="70"/>
      <c r="U1759" s="71">
        <f t="shared" ref="U1759" si="692">SUM(G1759:T1759)</f>
        <v>40.25</v>
      </c>
      <c r="V1759" s="72"/>
      <c r="W1759" s="69"/>
      <c r="X1759" s="70"/>
      <c r="Y1759" s="104"/>
      <c r="Z1759" s="103">
        <v>8</v>
      </c>
      <c r="AA1759" s="104"/>
      <c r="AB1759" s="103">
        <v>8</v>
      </c>
      <c r="AC1759" s="104"/>
      <c r="AD1759" s="103">
        <v>8</v>
      </c>
      <c r="AE1759" s="104"/>
      <c r="AF1759" s="103">
        <v>4.5</v>
      </c>
      <c r="AG1759" s="104"/>
      <c r="AH1759" s="103">
        <v>7.75</v>
      </c>
      <c r="AI1759" s="69"/>
      <c r="AJ1759" s="70"/>
      <c r="AK1759" s="71">
        <f>SUM(W1759:AJ1759)</f>
        <v>36.25</v>
      </c>
      <c r="AL1759" s="72"/>
      <c r="AM1759" s="73">
        <f>SUMIF($G1758:$T1758,"",$G1759:$T1759)+SUMIF($W1758:$AJ1758,"",$W1759:$AJ1759)-AN1759</f>
        <v>76.25</v>
      </c>
      <c r="AN1759" s="88">
        <f>IF(SUMIF($G1758:$T1758,"",$G1759:$T1759)+SUMIF($G1758:$T1758,"F",$G1759:$T1759)+SUMIF($G1758:$T1758,"V",$G1759:$T1759)-40&lt;0,0,SUMIF($G1758:$T1758,"",$G1759:$T1759)+SUMIF($G1758:$T1758,"F",$G1759:$T1759)+SUMIF($G1758:$T1758,"V",$G1759:$T1759)-($U$9/2))+IF(SUMIF($W1758:$AJ1758,"",$W1759:$AJ1759)+SUMIF($W1758:$AJ1758,"F",$W1759:$AJ1759)+SUMIF($W1758:$AJ1758,"V",$W1759:$AJ1759)-40&lt;0,0,SUMIF($W1758:$AJ1758,"",$W1759:$AJ1759)+SUMIF($W1758:$AJ1758,"F",$W1759:$AJ1759)+SUMIF($W1758:$AJ1758,"V",$W1759:$AJ1759)-($U$9/2))</f>
        <v>0.25</v>
      </c>
      <c r="AO1759" s="73">
        <f>SUMIF($G1758:$T1758,"M",$G1759:$T1759)+SUMIF($W1758:$AJ1758,"M",$W1759:$AJ1759)</f>
        <v>0</v>
      </c>
      <c r="AP1759" s="73">
        <f>SUMIF($G1758:$T1758,"F",$G1759:$T1759)+SUMIF($W1758:$AJ1758,"F",$W1759:$AJ1759)</f>
        <v>0</v>
      </c>
      <c r="AQ1759" s="73">
        <f>SUMIF($G1758:$T1758,"V",$G1759:$T1759)+SUMIF($W1758:$AJ1758,"V",$W1759:$AJ1759)</f>
        <v>0</v>
      </c>
      <c r="AR1759" s="74">
        <f>SUMIF($G1758:$T1758,"O",$G1759:$T1759)+SUMIF($W1758:$AJ1758,"O",$W1759:$AJ1759)</f>
        <v>0</v>
      </c>
      <c r="AS1759" s="75">
        <f>SUM(AM1759:AR1759)</f>
        <v>76.5</v>
      </c>
      <c r="AT1759" s="72"/>
      <c r="AU1759" s="73">
        <f>SUMIF($G1758:$T1758,"A",$G1759:$T1759)+SUMIF($W1758:$AJ1758,"A",$W1759:$AJ1759)</f>
        <v>0</v>
      </c>
      <c r="AV1759" s="72"/>
      <c r="AW1759" s="76">
        <f>IF(B1759="",0,IF($U$9="",0,$U$9))</f>
        <v>80</v>
      </c>
      <c r="AX1759" s="84"/>
      <c r="BA1759" s="2"/>
      <c r="BB1759" s="2"/>
      <c r="BC1759" s="101"/>
      <c r="BD1759" s="101"/>
    </row>
    <row r="1760" spans="1:56" s="53" customFormat="1" x14ac:dyDescent="0.35">
      <c r="A1760" s="84"/>
      <c r="B1760" s="26"/>
      <c r="C1760" s="27"/>
      <c r="D1760" s="28" t="str">
        <f>IF(D1686="","",D1686)</f>
        <v/>
      </c>
      <c r="E1760" s="29" t="str">
        <f t="shared" si="671"/>
        <v/>
      </c>
      <c r="F1760" s="50">
        <f>B1711</f>
        <v>7</v>
      </c>
      <c r="G1760" s="59"/>
      <c r="H1760" s="64"/>
      <c r="I1760" s="58"/>
      <c r="J1760" s="65"/>
      <c r="K1760" s="58"/>
      <c r="L1760" s="65"/>
      <c r="M1760" s="58"/>
      <c r="N1760" s="65"/>
      <c r="O1760" s="58"/>
      <c r="P1760" s="65"/>
      <c r="Q1760" s="58"/>
      <c r="R1760" s="65"/>
      <c r="S1760" s="59"/>
      <c r="T1760" s="64"/>
      <c r="U1760" s="44"/>
      <c r="V1760" s="84"/>
      <c r="W1760" s="59"/>
      <c r="X1760" s="64"/>
      <c r="Y1760" s="58"/>
      <c r="Z1760" s="65"/>
      <c r="AA1760" s="58"/>
      <c r="AB1760" s="65"/>
      <c r="AC1760" s="58"/>
      <c r="AD1760" s="65"/>
      <c r="AE1760" s="58"/>
      <c r="AF1760" s="65"/>
      <c r="AG1760" s="58"/>
      <c r="AH1760" s="65"/>
      <c r="AI1760" s="59"/>
      <c r="AJ1760" s="64"/>
      <c r="AK1760" s="44"/>
      <c r="AL1760" s="84"/>
      <c r="AM1760" s="49"/>
      <c r="AN1760" s="49"/>
      <c r="AO1760" s="49"/>
      <c r="AP1760" s="49"/>
      <c r="AQ1760" s="49"/>
      <c r="AR1760" s="40"/>
      <c r="AS1760" s="51"/>
      <c r="AT1760" s="84"/>
      <c r="AU1760" s="49"/>
      <c r="AV1760" s="84"/>
      <c r="AW1760" s="52"/>
      <c r="AX1760" s="84"/>
      <c r="BA1760" s="2"/>
      <c r="BB1760" s="2"/>
      <c r="BC1760" s="101"/>
      <c r="BD1760" s="101"/>
    </row>
    <row r="1761" spans="1:56" s="53" customFormat="1" x14ac:dyDescent="0.35">
      <c r="A1761" s="84"/>
      <c r="B1761" s="30" t="str">
        <f>IF(B1687="","",B1687)</f>
        <v/>
      </c>
      <c r="C1761" s="31"/>
      <c r="D1761" s="32"/>
      <c r="E1761" s="33" t="str">
        <f t="shared" si="671"/>
        <v/>
      </c>
      <c r="F1761" s="50">
        <f>B1711</f>
        <v>7</v>
      </c>
      <c r="G1761" s="69"/>
      <c r="H1761" s="70"/>
      <c r="I1761" s="67"/>
      <c r="J1761" s="68"/>
      <c r="K1761" s="67"/>
      <c r="L1761" s="68"/>
      <c r="M1761" s="67"/>
      <c r="N1761" s="68"/>
      <c r="O1761" s="67"/>
      <c r="P1761" s="68"/>
      <c r="Q1761" s="67"/>
      <c r="R1761" s="68"/>
      <c r="S1761" s="69"/>
      <c r="T1761" s="70"/>
      <c r="U1761" s="71">
        <f t="shared" ref="U1761" si="693">SUM(G1761:T1761)</f>
        <v>0</v>
      </c>
      <c r="V1761" s="72"/>
      <c r="W1761" s="69"/>
      <c r="X1761" s="70"/>
      <c r="Y1761" s="67"/>
      <c r="Z1761" s="68"/>
      <c r="AA1761" s="67"/>
      <c r="AB1761" s="68"/>
      <c r="AC1761" s="67"/>
      <c r="AD1761" s="68"/>
      <c r="AE1761" s="67"/>
      <c r="AF1761" s="68"/>
      <c r="AG1761" s="67"/>
      <c r="AH1761" s="68"/>
      <c r="AI1761" s="69"/>
      <c r="AJ1761" s="70"/>
      <c r="AK1761" s="71">
        <v>0</v>
      </c>
      <c r="AL1761" s="72"/>
      <c r="AM1761" s="73">
        <f>SUMIF($G1760:$T1760,"",$G1761:$T1761)+SUMIF($W1760:$AJ1760,"",$W1761:$AJ1761)-AN1761</f>
        <v>0</v>
      </c>
      <c r="AN1761" s="88">
        <f>IF(SUMIF($G1760:$T1760,"",$G1761:$T1761)+SUMIF($G1760:$T1760,"F",$G1761:$T1761)+SUMIF($G1760:$T1760,"V",$G1761:$T1761)-40&lt;0,0,SUMIF($G1760:$T1760,"",$G1761:$T1761)+SUMIF($G1760:$T1760,"F",$G1761:$T1761)+SUMIF($G1760:$T1760,"V",$G1761:$T1761)-($U$9/2))+IF(SUMIF($W1760:$AJ1760,"",$W1761:$AJ1761)+SUMIF($W1760:$AJ1760,"F",$W1761:$AJ1761)+SUMIF($W1760:$AJ1760,"V",$W1761:$AJ1761)-40&lt;0,0,SUMIF($W1760:$AJ1760,"",$W1761:$AJ1761)+SUMIF($W1760:$AJ1760,"F",$W1761:$AJ1761)+SUMIF($W1760:$AJ1760,"V",$W1761:$AJ1761)-($U$9/2))</f>
        <v>0</v>
      </c>
      <c r="AO1761" s="73">
        <f>SUMIF($G1760:$T1760,"M",$G1761:$T1761)+SUMIF($W1760:$AJ1760,"M",$W1761:$AJ1761)</f>
        <v>0</v>
      </c>
      <c r="AP1761" s="73">
        <f>SUMIF($G1760:$T1760,"F",$G1761:$T1761)+SUMIF($W1760:$AJ1760,"F",$W1761:$AJ1761)</f>
        <v>0</v>
      </c>
      <c r="AQ1761" s="73">
        <f>SUMIF($G1760:$T1760,"V",$G1761:$T1761)+SUMIF($W1760:$AJ1760,"V",$W1761:$AJ1761)</f>
        <v>0</v>
      </c>
      <c r="AR1761" s="74">
        <f>SUMIF($G1760:$T1760,"O",$G1761:$T1761)+SUMIF($W1760:$AJ1760,"O",$W1761:$AJ1761)</f>
        <v>0</v>
      </c>
      <c r="AS1761" s="75">
        <f>SUM(AM1761:AR1761)</f>
        <v>0</v>
      </c>
      <c r="AT1761" s="72"/>
      <c r="AU1761" s="73">
        <f>SUMIF($G1760:$T1760,"A",$G1761:$T1761)+SUMIF($W1760:$AJ1760,"A",$W1761:$AJ1761)</f>
        <v>0</v>
      </c>
      <c r="AV1761" s="72"/>
      <c r="AW1761" s="76">
        <f>IF(B1761="",0,IF($U$9="",0,$U$9))</f>
        <v>0</v>
      </c>
      <c r="AX1761" s="84"/>
      <c r="BA1761" s="2"/>
      <c r="BB1761" s="2"/>
      <c r="BC1761" s="101"/>
      <c r="BD1761" s="101"/>
    </row>
    <row r="1762" spans="1:56" s="53" customFormat="1" x14ac:dyDescent="0.35">
      <c r="A1762" s="84"/>
      <c r="B1762" s="26"/>
      <c r="C1762" s="27"/>
      <c r="D1762" s="28" t="str">
        <f>IF(D1688="","",D1688)</f>
        <v/>
      </c>
      <c r="E1762" s="29" t="str">
        <f t="shared" si="671"/>
        <v/>
      </c>
      <c r="F1762" s="50">
        <f>B1711</f>
        <v>7</v>
      </c>
      <c r="G1762" s="59"/>
      <c r="H1762" s="64"/>
      <c r="I1762" s="58"/>
      <c r="J1762" s="65"/>
      <c r="K1762" s="58"/>
      <c r="L1762" s="65"/>
      <c r="M1762" s="58"/>
      <c r="N1762" s="65"/>
      <c r="O1762" s="58"/>
      <c r="P1762" s="65"/>
      <c r="Q1762" s="58"/>
      <c r="R1762" s="65"/>
      <c r="S1762" s="59"/>
      <c r="T1762" s="64"/>
      <c r="U1762" s="44"/>
      <c r="V1762" s="84"/>
      <c r="W1762" s="59"/>
      <c r="X1762" s="64"/>
      <c r="Y1762" s="58"/>
      <c r="Z1762" s="65"/>
      <c r="AA1762" s="58"/>
      <c r="AB1762" s="65"/>
      <c r="AC1762" s="58"/>
      <c r="AD1762" s="65"/>
      <c r="AE1762" s="58"/>
      <c r="AF1762" s="65"/>
      <c r="AG1762" s="58"/>
      <c r="AH1762" s="65"/>
      <c r="AI1762" s="59"/>
      <c r="AJ1762" s="64"/>
      <c r="AK1762" s="44"/>
      <c r="AL1762" s="84"/>
      <c r="AM1762" s="49"/>
      <c r="AN1762" s="49"/>
      <c r="AO1762" s="49"/>
      <c r="AP1762" s="49"/>
      <c r="AQ1762" s="49"/>
      <c r="AR1762" s="40"/>
      <c r="AS1762" s="51"/>
      <c r="AT1762" s="84"/>
      <c r="AU1762" s="49"/>
      <c r="AV1762" s="84"/>
      <c r="AW1762" s="52"/>
      <c r="AX1762" s="84"/>
      <c r="BA1762" s="2"/>
      <c r="BB1762" s="2"/>
      <c r="BC1762" s="101"/>
      <c r="BD1762" s="101"/>
    </row>
    <row r="1763" spans="1:56" s="53" customFormat="1" x14ac:dyDescent="0.35">
      <c r="A1763" s="84"/>
      <c r="B1763" s="30" t="str">
        <f>IF(B1689="","",B1689)</f>
        <v/>
      </c>
      <c r="C1763" s="31"/>
      <c r="D1763" s="32"/>
      <c r="E1763" s="33" t="str">
        <f t="shared" si="671"/>
        <v/>
      </c>
      <c r="F1763" s="50">
        <f>B1711</f>
        <v>7</v>
      </c>
      <c r="G1763" s="69"/>
      <c r="H1763" s="70"/>
      <c r="I1763" s="67"/>
      <c r="J1763" s="68"/>
      <c r="K1763" s="67"/>
      <c r="L1763" s="68"/>
      <c r="M1763" s="67"/>
      <c r="N1763" s="68"/>
      <c r="O1763" s="67"/>
      <c r="P1763" s="68"/>
      <c r="Q1763" s="67"/>
      <c r="R1763" s="68"/>
      <c r="S1763" s="69"/>
      <c r="T1763" s="70"/>
      <c r="U1763" s="71">
        <f t="shared" ref="U1763" si="694">SUM(G1763:T1763)</f>
        <v>0</v>
      </c>
      <c r="V1763" s="72"/>
      <c r="W1763" s="69"/>
      <c r="X1763" s="70"/>
      <c r="Y1763" s="67"/>
      <c r="Z1763" s="68"/>
      <c r="AA1763" s="67"/>
      <c r="AB1763" s="68"/>
      <c r="AC1763" s="67"/>
      <c r="AD1763" s="68"/>
      <c r="AE1763" s="67"/>
      <c r="AF1763" s="68"/>
      <c r="AG1763" s="67"/>
      <c r="AH1763" s="68"/>
      <c r="AI1763" s="69"/>
      <c r="AJ1763" s="70"/>
      <c r="AK1763" s="71">
        <v>0</v>
      </c>
      <c r="AL1763" s="72"/>
      <c r="AM1763" s="73">
        <v>0</v>
      </c>
      <c r="AN1763" s="88">
        <v>0</v>
      </c>
      <c r="AO1763" s="73">
        <v>0</v>
      </c>
      <c r="AP1763" s="73">
        <v>0</v>
      </c>
      <c r="AQ1763" s="73">
        <v>0</v>
      </c>
      <c r="AR1763" s="74">
        <v>0</v>
      </c>
      <c r="AS1763" s="75">
        <v>0</v>
      </c>
      <c r="AT1763" s="72"/>
      <c r="AU1763" s="73">
        <f>SUMIF($G1762:$T1762,"A",$G1763:$T1763)+SUMIF($W1762:$AJ1762,"A",$W1763:$AJ1763)</f>
        <v>0</v>
      </c>
      <c r="AV1763" s="72"/>
      <c r="AW1763" s="76">
        <f>IF(B1763="",0,IF($U$9="",0,$U$9))</f>
        <v>0</v>
      </c>
      <c r="AX1763" s="84"/>
      <c r="BA1763" s="2"/>
      <c r="BB1763" s="2"/>
      <c r="BC1763" s="101"/>
      <c r="BD1763" s="101"/>
    </row>
    <row r="1764" spans="1:56" s="53" customFormat="1" x14ac:dyDescent="0.35">
      <c r="A1764" s="84"/>
      <c r="B1764" s="26"/>
      <c r="C1764" s="27"/>
      <c r="D1764" s="28" t="str">
        <f>IF(D1690="","",D1690)</f>
        <v/>
      </c>
      <c r="E1764" s="29" t="str">
        <f t="shared" si="671"/>
        <v/>
      </c>
      <c r="F1764" s="50">
        <f>B1711</f>
        <v>7</v>
      </c>
      <c r="G1764" s="59"/>
      <c r="H1764" s="64"/>
      <c r="I1764" s="58"/>
      <c r="J1764" s="65"/>
      <c r="K1764" s="58"/>
      <c r="L1764" s="65"/>
      <c r="M1764" s="58"/>
      <c r="N1764" s="65"/>
      <c r="O1764" s="58"/>
      <c r="P1764" s="65"/>
      <c r="Q1764" s="58"/>
      <c r="R1764" s="65"/>
      <c r="S1764" s="59"/>
      <c r="T1764" s="64"/>
      <c r="U1764" s="44"/>
      <c r="V1764" s="84"/>
      <c r="W1764" s="59"/>
      <c r="X1764" s="64"/>
      <c r="Y1764" s="58"/>
      <c r="Z1764" s="65"/>
      <c r="AA1764" s="58"/>
      <c r="AB1764" s="65"/>
      <c r="AC1764" s="58"/>
      <c r="AD1764" s="65"/>
      <c r="AE1764" s="58"/>
      <c r="AF1764" s="65"/>
      <c r="AG1764" s="58"/>
      <c r="AH1764" s="65"/>
      <c r="AI1764" s="59"/>
      <c r="AJ1764" s="64"/>
      <c r="AK1764" s="44"/>
      <c r="AL1764" s="84"/>
      <c r="AM1764" s="49"/>
      <c r="AN1764" s="49"/>
      <c r="AO1764" s="49"/>
      <c r="AP1764" s="49"/>
      <c r="AQ1764" s="49"/>
      <c r="AR1764" s="40"/>
      <c r="AS1764" s="51"/>
      <c r="AT1764" s="84"/>
      <c r="AU1764" s="49"/>
      <c r="AV1764" s="84"/>
      <c r="AW1764" s="52"/>
      <c r="AX1764" s="84"/>
      <c r="BA1764" s="2"/>
      <c r="BB1764" s="2"/>
      <c r="BC1764" s="101"/>
      <c r="BD1764" s="101"/>
    </row>
    <row r="1765" spans="1:56" s="53" customFormat="1" ht="15" thickBot="1" x14ac:dyDescent="0.4">
      <c r="A1765" s="84"/>
      <c r="B1765" s="30" t="str">
        <f>IF(B1691="","",B1691)</f>
        <v/>
      </c>
      <c r="C1765" s="31"/>
      <c r="D1765" s="32"/>
      <c r="E1765" s="33" t="str">
        <f t="shared" si="671"/>
        <v/>
      </c>
      <c r="F1765" s="50">
        <f>B1711</f>
        <v>7</v>
      </c>
      <c r="G1765" s="69"/>
      <c r="H1765" s="70"/>
      <c r="I1765" s="67"/>
      <c r="J1765" s="68"/>
      <c r="K1765" s="67"/>
      <c r="L1765" s="68"/>
      <c r="M1765" s="67"/>
      <c r="N1765" s="68"/>
      <c r="O1765" s="67"/>
      <c r="P1765" s="68"/>
      <c r="Q1765" s="67"/>
      <c r="R1765" s="68"/>
      <c r="S1765" s="69"/>
      <c r="T1765" s="70"/>
      <c r="U1765" s="71">
        <f t="shared" ref="U1765" si="695">SUM(G1765:T1765)</f>
        <v>0</v>
      </c>
      <c r="V1765" s="72"/>
      <c r="W1765" s="69"/>
      <c r="X1765" s="70"/>
      <c r="Y1765" s="67"/>
      <c r="Z1765" s="68"/>
      <c r="AA1765" s="67"/>
      <c r="AB1765" s="68"/>
      <c r="AC1765" s="67"/>
      <c r="AD1765" s="68"/>
      <c r="AE1765" s="67"/>
      <c r="AF1765" s="68"/>
      <c r="AG1765" s="67"/>
      <c r="AH1765" s="68"/>
      <c r="AI1765" s="69"/>
      <c r="AJ1765" s="70"/>
      <c r="AK1765" s="71">
        <v>0</v>
      </c>
      <c r="AL1765" s="72"/>
      <c r="AM1765" s="73">
        <v>0</v>
      </c>
      <c r="AN1765" s="88">
        <v>0</v>
      </c>
      <c r="AO1765" s="73">
        <v>0</v>
      </c>
      <c r="AP1765" s="73">
        <v>0</v>
      </c>
      <c r="AQ1765" s="73">
        <v>0</v>
      </c>
      <c r="AR1765" s="74">
        <v>0</v>
      </c>
      <c r="AS1765" s="75">
        <v>0</v>
      </c>
      <c r="AT1765" s="72"/>
      <c r="AU1765" s="73">
        <f>SUMIF($G1764:$T1764,"A",$G1765:$T1765)+SUMIF($W1764:$AJ1764,"A",$W1765:$AJ1765)</f>
        <v>0</v>
      </c>
      <c r="AV1765" s="72"/>
      <c r="AW1765" s="76">
        <f>IF(B1765="",0,IF($U$9="",0,$U$9))</f>
        <v>0</v>
      </c>
      <c r="AX1765" s="84"/>
      <c r="BA1765" s="2"/>
      <c r="BB1765" s="2"/>
      <c r="BC1765" s="101"/>
      <c r="BD1765" s="101"/>
    </row>
    <row r="1766" spans="1:56" s="53" customFormat="1" ht="27.75" customHeight="1" thickBot="1" x14ac:dyDescent="0.4">
      <c r="A1766" s="84"/>
      <c r="B1766" s="149" t="s">
        <v>7</v>
      </c>
      <c r="C1766" s="150"/>
      <c r="D1766" s="150"/>
      <c r="E1766" s="151"/>
      <c r="F1766" s="97"/>
      <c r="G1766" s="152">
        <f>SUM(G1716:H1765)</f>
        <v>0</v>
      </c>
      <c r="H1766" s="152"/>
      <c r="I1766" s="152">
        <f>SUM(I1716:J1765)</f>
        <v>120.75</v>
      </c>
      <c r="J1766" s="152"/>
      <c r="K1766" s="152">
        <f>SUM(K1716:L1765)</f>
        <v>121.5</v>
      </c>
      <c r="L1766" s="152"/>
      <c r="M1766" s="152">
        <f>SUM(M1716:N1765)</f>
        <v>120.5</v>
      </c>
      <c r="N1766" s="152"/>
      <c r="O1766" s="152">
        <f>SUM(O1716:P1765)</f>
        <v>121</v>
      </c>
      <c r="P1766" s="152"/>
      <c r="Q1766" s="152">
        <f>SUM(Q1716:R1765)</f>
        <v>118.5</v>
      </c>
      <c r="R1766" s="152"/>
      <c r="S1766" s="152">
        <f>SUM(S1716:T1765)</f>
        <v>0</v>
      </c>
      <c r="T1766" s="153"/>
      <c r="U1766" s="77">
        <f>SUM(U1716:U1765)</f>
        <v>602.25</v>
      </c>
      <c r="V1766" s="78"/>
      <c r="W1766" s="152">
        <f>SUM(W1716:X1765)</f>
        <v>0</v>
      </c>
      <c r="X1766" s="152"/>
      <c r="Y1766" s="152">
        <f>SUM(Y1716:Z1765)</f>
        <v>120</v>
      </c>
      <c r="Z1766" s="152"/>
      <c r="AA1766" s="152">
        <f>SUM(AA1716:AB1765)</f>
        <v>121</v>
      </c>
      <c r="AB1766" s="152"/>
      <c r="AC1766" s="152">
        <f>SUM(AC1716:AD1765)</f>
        <v>121</v>
      </c>
      <c r="AD1766" s="152"/>
      <c r="AE1766" s="152">
        <f>SUM(AE1716:AF1765)</f>
        <v>117.25</v>
      </c>
      <c r="AF1766" s="152"/>
      <c r="AG1766" s="152">
        <f>SUM(AG1716:AH1765)</f>
        <v>118.75</v>
      </c>
      <c r="AH1766" s="152"/>
      <c r="AI1766" s="152">
        <f>SUM(AI1716:AJ1765)</f>
        <v>0</v>
      </c>
      <c r="AJ1766" s="152"/>
      <c r="AK1766" s="77">
        <f>SUM(AK1716:AK1765)</f>
        <v>598</v>
      </c>
      <c r="AL1766" s="78"/>
      <c r="AM1766" s="79">
        <f t="shared" ref="AM1766:AS1766" si="696">SUM(AM1716:AM1765)</f>
        <v>1182</v>
      </c>
      <c r="AN1766" s="79">
        <f t="shared" si="696"/>
        <v>10.25</v>
      </c>
      <c r="AO1766" s="79">
        <f t="shared" si="696"/>
        <v>0</v>
      </c>
      <c r="AP1766" s="79">
        <f t="shared" si="696"/>
        <v>0</v>
      </c>
      <c r="AQ1766" s="79">
        <f t="shared" si="696"/>
        <v>8</v>
      </c>
      <c r="AR1766" s="80">
        <f t="shared" si="696"/>
        <v>0</v>
      </c>
      <c r="AS1766" s="81">
        <f t="shared" si="696"/>
        <v>1200.25</v>
      </c>
      <c r="AT1766" s="78"/>
      <c r="AU1766" s="82">
        <f>SUM(AU1716:AU1765)</f>
        <v>0</v>
      </c>
      <c r="AV1766" s="78"/>
      <c r="AW1766" s="83">
        <f>SUM(AW1716:AW1765)</f>
        <v>1440</v>
      </c>
      <c r="AX1766" s="84"/>
      <c r="BA1766" s="2"/>
      <c r="BB1766" s="2"/>
      <c r="BC1766" s="101"/>
      <c r="BD1766" s="101"/>
    </row>
    <row r="1767" spans="1:56" s="53" customFormat="1" ht="15" thickTop="1" x14ac:dyDescent="0.35">
      <c r="B1767" s="54"/>
      <c r="F1767" s="98"/>
      <c r="G1767" s="55"/>
      <c r="H1767" s="55"/>
      <c r="I1767" s="55"/>
      <c r="J1767" s="55"/>
      <c r="K1767" s="55"/>
      <c r="L1767" s="55"/>
      <c r="M1767" s="55"/>
      <c r="N1767" s="55"/>
      <c r="O1767" s="55"/>
      <c r="P1767" s="55"/>
      <c r="Q1767" s="55"/>
      <c r="R1767" s="55"/>
      <c r="S1767" s="55"/>
      <c r="T1767" s="55"/>
      <c r="U1767" s="56"/>
      <c r="V1767" s="55"/>
      <c r="W1767" s="55"/>
      <c r="X1767" s="55"/>
      <c r="Y1767" s="55"/>
      <c r="Z1767" s="55"/>
      <c r="AA1767" s="55"/>
      <c r="AB1767" s="55"/>
      <c r="AC1767" s="55"/>
      <c r="AD1767" s="55"/>
      <c r="AE1767" s="55"/>
      <c r="AF1767" s="55"/>
      <c r="AG1767" s="55"/>
      <c r="AH1767" s="55"/>
      <c r="AI1767" s="55"/>
      <c r="AJ1767" s="55"/>
      <c r="AK1767" s="56"/>
      <c r="AL1767" s="55"/>
      <c r="AM1767" s="55"/>
      <c r="AN1767" s="55"/>
      <c r="AO1767" s="55"/>
      <c r="AP1767" s="55"/>
      <c r="AQ1767" s="55"/>
      <c r="AR1767" s="55"/>
      <c r="AS1767" s="55"/>
      <c r="AT1767" s="55"/>
      <c r="AU1767" s="55"/>
      <c r="AV1767" s="55"/>
      <c r="AW1767" s="55"/>
      <c r="BA1767" s="2"/>
      <c r="BB1767" s="2"/>
      <c r="BC1767" s="101"/>
      <c r="BD1767" s="101"/>
    </row>
    <row r="1768" spans="1:56" s="53" customFormat="1" x14ac:dyDescent="0.35">
      <c r="B1768" s="54" t="s">
        <v>52</v>
      </c>
      <c r="D1768" s="141"/>
      <c r="E1768" s="141"/>
      <c r="F1768" s="141"/>
      <c r="G1768" s="141"/>
      <c r="H1768" s="141"/>
      <c r="I1768" s="141"/>
      <c r="J1768" s="141"/>
      <c r="K1768" s="141"/>
      <c r="L1768" s="141"/>
      <c r="M1768" s="141"/>
      <c r="N1768" s="141"/>
      <c r="O1768" s="141"/>
      <c r="P1768" s="141"/>
      <c r="Q1768" s="141"/>
      <c r="R1768" s="141"/>
      <c r="S1768" s="141"/>
      <c r="T1768" s="141"/>
      <c r="U1768" s="141"/>
      <c r="V1768" s="141"/>
      <c r="W1768" s="141"/>
      <c r="X1768" s="141"/>
      <c r="Y1768" s="141"/>
      <c r="Z1768" s="141"/>
      <c r="AA1768" s="141"/>
      <c r="AB1768" s="141"/>
      <c r="AC1768" s="141"/>
      <c r="AD1768" s="141"/>
      <c r="AE1768" s="141"/>
      <c r="AF1768" s="141"/>
      <c r="AG1768" s="141"/>
      <c r="AH1768" s="141"/>
      <c r="AI1768" s="141"/>
      <c r="AJ1768" s="141"/>
      <c r="AK1768" s="56"/>
      <c r="AL1768" s="55"/>
      <c r="AM1768" s="55"/>
      <c r="AN1768" s="55"/>
      <c r="AO1768" s="55"/>
      <c r="AP1768" s="55"/>
      <c r="AQ1768" s="55"/>
      <c r="AR1768" s="55"/>
      <c r="AS1768" s="55"/>
      <c r="AT1768" s="55"/>
      <c r="AU1768" s="55"/>
      <c r="AV1768" s="55"/>
      <c r="AW1768" s="55"/>
      <c r="BA1768" s="2"/>
      <c r="BB1768" s="2"/>
      <c r="BC1768" s="101"/>
      <c r="BD1768" s="101"/>
    </row>
    <row r="1769" spans="1:56" s="84" customFormat="1" x14ac:dyDescent="0.35">
      <c r="A1769" s="53"/>
      <c r="B1769" s="54"/>
      <c r="C1769" s="53"/>
      <c r="D1769" s="141"/>
      <c r="E1769" s="141"/>
      <c r="F1769" s="141"/>
      <c r="G1769" s="141"/>
      <c r="H1769" s="141"/>
      <c r="I1769" s="141"/>
      <c r="J1769" s="141"/>
      <c r="K1769" s="141"/>
      <c r="L1769" s="141"/>
      <c r="M1769" s="141"/>
      <c r="N1769" s="141"/>
      <c r="O1769" s="141"/>
      <c r="P1769" s="141"/>
      <c r="Q1769" s="141"/>
      <c r="R1769" s="141"/>
      <c r="S1769" s="141"/>
      <c r="T1769" s="141"/>
      <c r="U1769" s="141"/>
      <c r="V1769" s="141"/>
      <c r="W1769" s="141"/>
      <c r="X1769" s="141"/>
      <c r="Y1769" s="141"/>
      <c r="Z1769" s="141"/>
      <c r="AA1769" s="141"/>
      <c r="AB1769" s="141"/>
      <c r="AC1769" s="141"/>
      <c r="AD1769" s="141"/>
      <c r="AE1769" s="141"/>
      <c r="AF1769" s="141"/>
      <c r="AG1769" s="141"/>
      <c r="AH1769" s="141"/>
      <c r="AI1769" s="141"/>
      <c r="AJ1769" s="141"/>
      <c r="AK1769" s="56"/>
      <c r="AL1769" s="55"/>
      <c r="AM1769" s="55"/>
      <c r="AN1769" s="55"/>
      <c r="AO1769" s="55"/>
      <c r="AP1769" s="55"/>
      <c r="AQ1769" s="55"/>
      <c r="AR1769" s="55"/>
      <c r="AS1769" s="55"/>
      <c r="AT1769" s="55"/>
      <c r="AU1769" s="55"/>
      <c r="AV1769" s="55"/>
      <c r="AW1769" s="55"/>
      <c r="AX1769" s="53"/>
      <c r="BA1769" s="2"/>
      <c r="BB1769" s="2"/>
      <c r="BC1769" s="101"/>
      <c r="BD1769" s="101"/>
    </row>
    <row r="1770" spans="1:56" s="84" customFormat="1" x14ac:dyDescent="0.35">
      <c r="A1770" s="53"/>
      <c r="B1770" s="54"/>
      <c r="C1770" s="53"/>
      <c r="D1770" s="141"/>
      <c r="E1770" s="141"/>
      <c r="F1770" s="141"/>
      <c r="G1770" s="141"/>
      <c r="H1770" s="141"/>
      <c r="I1770" s="141"/>
      <c r="J1770" s="141"/>
      <c r="K1770" s="141"/>
      <c r="L1770" s="141"/>
      <c r="M1770" s="141"/>
      <c r="N1770" s="141"/>
      <c r="O1770" s="141"/>
      <c r="P1770" s="141"/>
      <c r="Q1770" s="141"/>
      <c r="R1770" s="141"/>
      <c r="S1770" s="141"/>
      <c r="T1770" s="141"/>
      <c r="U1770" s="141"/>
      <c r="V1770" s="141"/>
      <c r="W1770" s="141"/>
      <c r="X1770" s="141"/>
      <c r="Y1770" s="141"/>
      <c r="Z1770" s="141"/>
      <c r="AA1770" s="141"/>
      <c r="AB1770" s="141"/>
      <c r="AC1770" s="141"/>
      <c r="AD1770" s="141"/>
      <c r="AE1770" s="141"/>
      <c r="AF1770" s="141"/>
      <c r="AG1770" s="141"/>
      <c r="AH1770" s="141"/>
      <c r="AI1770" s="141"/>
      <c r="AJ1770" s="141"/>
      <c r="AK1770" s="56"/>
      <c r="AL1770" s="55"/>
      <c r="AM1770" s="55"/>
      <c r="AN1770" s="55"/>
      <c r="AO1770" s="55"/>
      <c r="AP1770" s="55"/>
      <c r="AQ1770" s="55"/>
      <c r="AR1770" s="55"/>
      <c r="AS1770" s="55"/>
      <c r="AT1770" s="55"/>
      <c r="AU1770" s="55"/>
      <c r="AV1770" s="55"/>
      <c r="AW1770" s="55"/>
      <c r="AX1770" s="53"/>
      <c r="BA1770" s="2"/>
      <c r="BB1770" s="2"/>
      <c r="BC1770" s="101"/>
      <c r="BD1770" s="101"/>
    </row>
    <row r="1771" spans="1:56" s="84" customFormat="1" ht="15" customHeight="1" x14ac:dyDescent="0.35">
      <c r="A1771" s="53"/>
      <c r="B1771" s="54"/>
      <c r="C1771" s="53"/>
      <c r="D1771" s="53"/>
      <c r="E1771" s="53"/>
      <c r="F1771" s="98"/>
      <c r="G1771" s="55"/>
      <c r="H1771" s="55"/>
      <c r="I1771" s="55"/>
      <c r="J1771" s="55"/>
      <c r="K1771" s="55"/>
      <c r="L1771" s="55"/>
      <c r="M1771" s="55"/>
      <c r="N1771" s="55"/>
      <c r="O1771" s="55"/>
      <c r="P1771" s="55"/>
      <c r="Q1771" s="55"/>
      <c r="R1771" s="55"/>
      <c r="S1771" s="55"/>
      <c r="T1771" s="55"/>
      <c r="U1771" s="56"/>
      <c r="V1771" s="55"/>
      <c r="W1771" s="55"/>
      <c r="X1771" s="55"/>
      <c r="Y1771" s="55"/>
      <c r="Z1771" s="55"/>
      <c r="AA1771" s="55"/>
      <c r="AB1771" s="55"/>
      <c r="AC1771" s="55"/>
      <c r="AD1771" s="55"/>
      <c r="AE1771" s="55"/>
      <c r="AF1771" s="55"/>
      <c r="AG1771" s="55"/>
      <c r="AH1771" s="55"/>
      <c r="AI1771" s="55"/>
      <c r="AJ1771" s="55"/>
      <c r="AK1771" s="56"/>
      <c r="AL1771" s="55"/>
      <c r="AM1771" s="55"/>
      <c r="AN1771" s="55"/>
      <c r="AO1771" s="55"/>
      <c r="AP1771" s="55"/>
      <c r="AQ1771" s="55"/>
      <c r="AR1771" s="55"/>
      <c r="AS1771" s="55"/>
      <c r="AT1771" s="55"/>
      <c r="AU1771" s="55"/>
      <c r="AV1771" s="55"/>
      <c r="AW1771" s="55"/>
      <c r="AX1771" s="53"/>
      <c r="BA1771" s="2"/>
      <c r="BB1771" s="2"/>
      <c r="BC1771" s="101"/>
      <c r="BD1771" s="101"/>
    </row>
    <row r="1772" spans="1:56" s="84" customFormat="1" ht="15" customHeight="1" x14ac:dyDescent="0.35">
      <c r="A1772" s="53"/>
      <c r="B1772" s="54" t="s">
        <v>53</v>
      </c>
      <c r="C1772" s="53"/>
      <c r="D1772" s="31"/>
      <c r="E1772" s="34"/>
      <c r="F1772" s="99"/>
      <c r="G1772" s="34"/>
      <c r="H1772" s="34"/>
      <c r="I1772" s="34"/>
      <c r="J1772" s="34"/>
      <c r="K1772" s="53"/>
      <c r="L1772" s="55" t="s">
        <v>8</v>
      </c>
      <c r="M1772" s="53"/>
      <c r="N1772" s="142">
        <f ca="1">NOW()</f>
        <v>44720.650928935182</v>
      </c>
      <c r="O1772" s="142"/>
      <c r="P1772" s="142"/>
      <c r="Q1772" s="53"/>
      <c r="R1772" s="53"/>
      <c r="S1772" s="53"/>
      <c r="T1772" s="53"/>
      <c r="U1772" s="53"/>
      <c r="V1772" s="55"/>
      <c r="W1772" s="55"/>
      <c r="X1772" s="55"/>
      <c r="Y1772" s="55"/>
      <c r="Z1772" s="55"/>
      <c r="AA1772" s="55"/>
      <c r="AB1772" s="55"/>
      <c r="AC1772" s="55"/>
      <c r="AD1772" s="55"/>
      <c r="AE1772" s="55"/>
      <c r="AF1772" s="55"/>
      <c r="AG1772" s="55"/>
      <c r="AH1772" s="55"/>
      <c r="AI1772" s="55"/>
      <c r="AJ1772" s="55"/>
      <c r="AK1772" s="56"/>
      <c r="AL1772" s="55"/>
      <c r="AM1772" s="55"/>
      <c r="AN1772" s="55"/>
      <c r="AO1772" s="55"/>
      <c r="AP1772" s="55"/>
      <c r="AQ1772" s="55"/>
      <c r="AR1772" s="55"/>
      <c r="AS1772" s="55"/>
      <c r="AT1772" s="55"/>
      <c r="AU1772" s="55"/>
      <c r="AV1772" s="55"/>
      <c r="AW1772" s="55"/>
      <c r="AX1772" s="53"/>
      <c r="BA1772" s="2"/>
      <c r="BB1772" s="2"/>
      <c r="BC1772" s="101"/>
      <c r="BD1772" s="101"/>
    </row>
    <row r="1773" spans="1:56" s="84" customFormat="1" x14ac:dyDescent="0.35">
      <c r="A1773" s="53"/>
      <c r="B1773" s="54"/>
      <c r="C1773" s="53"/>
      <c r="D1773" s="53"/>
      <c r="E1773" s="53"/>
      <c r="F1773" s="98"/>
      <c r="G1773" s="55"/>
      <c r="H1773" s="55"/>
      <c r="I1773" s="55"/>
      <c r="J1773" s="55"/>
      <c r="K1773" s="53"/>
      <c r="L1773" s="55"/>
      <c r="M1773" s="53"/>
      <c r="N1773" s="55"/>
      <c r="O1773" s="56"/>
      <c r="P1773" s="53"/>
      <c r="Q1773" s="53"/>
      <c r="R1773" s="53"/>
      <c r="S1773" s="53"/>
      <c r="T1773" s="53"/>
      <c r="U1773" s="53"/>
      <c r="V1773" s="55"/>
      <c r="W1773" s="55"/>
      <c r="X1773" s="55"/>
      <c r="Y1773" s="55"/>
      <c r="Z1773" s="55"/>
      <c r="AA1773" s="55"/>
      <c r="AB1773" s="55"/>
      <c r="AC1773" s="55"/>
      <c r="AD1773" s="55"/>
      <c r="AE1773" s="55"/>
      <c r="AF1773" s="55"/>
      <c r="AG1773" s="55"/>
      <c r="AH1773" s="55"/>
      <c r="AI1773" s="55"/>
      <c r="AJ1773" s="55"/>
      <c r="AK1773" s="56"/>
      <c r="AL1773" s="55"/>
      <c r="AM1773" s="55"/>
      <c r="AN1773" s="55"/>
      <c r="AO1773" s="55"/>
      <c r="AP1773" s="55"/>
      <c r="AQ1773" s="55"/>
      <c r="AR1773" s="55"/>
      <c r="AS1773" s="55"/>
      <c r="AT1773" s="55"/>
      <c r="AU1773" s="55"/>
      <c r="AV1773" s="55"/>
      <c r="AW1773" s="55"/>
      <c r="AX1773" s="53"/>
      <c r="BA1773" s="2"/>
      <c r="BB1773" s="2"/>
      <c r="BC1773" s="101"/>
      <c r="BD1773" s="101"/>
    </row>
    <row r="1774" spans="1:56" s="84" customFormat="1" x14ac:dyDescent="0.35">
      <c r="A1774" s="53"/>
      <c r="B1774" s="54" t="s">
        <v>54</v>
      </c>
      <c r="C1774" s="53"/>
      <c r="D1774" s="31"/>
      <c r="E1774" s="34"/>
      <c r="F1774" s="99"/>
      <c r="G1774" s="34"/>
      <c r="H1774" s="34"/>
      <c r="I1774" s="34"/>
      <c r="J1774" s="34"/>
      <c r="K1774" s="53"/>
      <c r="L1774" s="55" t="s">
        <v>8</v>
      </c>
      <c r="M1774" s="53"/>
      <c r="N1774" s="142">
        <f ca="1">NOW()</f>
        <v>44720.650928935182</v>
      </c>
      <c r="O1774" s="142"/>
      <c r="P1774" s="142"/>
      <c r="Q1774" s="53"/>
      <c r="R1774" s="53"/>
      <c r="S1774" s="53"/>
      <c r="T1774" s="53"/>
      <c r="U1774" s="53"/>
      <c r="V1774" s="55"/>
      <c r="W1774" s="55"/>
      <c r="X1774" s="55"/>
      <c r="Y1774" s="55"/>
      <c r="Z1774" s="55"/>
      <c r="AA1774" s="55"/>
      <c r="AB1774" s="55"/>
      <c r="AC1774" s="55"/>
      <c r="AD1774" s="55"/>
      <c r="AE1774" s="55"/>
      <c r="AF1774" s="55"/>
      <c r="AG1774" s="55"/>
      <c r="AH1774" s="55"/>
      <c r="AI1774" s="55"/>
      <c r="AJ1774" s="55"/>
      <c r="AK1774" s="56"/>
      <c r="AL1774" s="55"/>
      <c r="AM1774" s="55"/>
      <c r="AN1774" s="55"/>
      <c r="AO1774" s="55"/>
      <c r="AP1774" s="55"/>
      <c r="AQ1774" s="55"/>
      <c r="AR1774" s="55"/>
      <c r="AS1774" s="55"/>
      <c r="AT1774" s="55"/>
      <c r="AU1774" s="55"/>
      <c r="AV1774" s="55"/>
      <c r="AW1774" s="55"/>
      <c r="AX1774" s="53"/>
      <c r="BA1774" s="2"/>
      <c r="BB1774" s="2"/>
      <c r="BC1774" s="101"/>
      <c r="BD1774" s="101"/>
    </row>
    <row r="1775" spans="1:56" s="84" customFormat="1" x14ac:dyDescent="0.35">
      <c r="A1775" s="53"/>
      <c r="B1775" s="54"/>
      <c r="C1775" s="53"/>
      <c r="D1775" s="53"/>
      <c r="E1775" s="53"/>
      <c r="F1775" s="98"/>
      <c r="G1775" s="55"/>
      <c r="H1775" s="55"/>
      <c r="I1775" s="55"/>
      <c r="J1775" s="55"/>
      <c r="K1775" s="55"/>
      <c r="L1775" s="55"/>
      <c r="M1775" s="55"/>
      <c r="N1775" s="55"/>
      <c r="O1775" s="55"/>
      <c r="P1775" s="55"/>
      <c r="Q1775" s="55"/>
      <c r="R1775" s="55"/>
      <c r="S1775" s="55"/>
      <c r="T1775" s="55"/>
      <c r="U1775" s="56"/>
      <c r="V1775" s="55"/>
      <c r="W1775" s="55"/>
      <c r="X1775" s="55"/>
      <c r="Y1775" s="55"/>
      <c r="Z1775" s="55"/>
      <c r="AA1775" s="55"/>
      <c r="AB1775" s="55"/>
      <c r="AC1775" s="55"/>
      <c r="AD1775" s="55"/>
      <c r="AE1775" s="55"/>
      <c r="AF1775" s="55"/>
      <c r="AG1775" s="55"/>
      <c r="AH1775" s="55"/>
      <c r="AI1775" s="55"/>
      <c r="AJ1775" s="55"/>
      <c r="AK1775" s="56"/>
      <c r="AL1775" s="55"/>
      <c r="AM1775" s="55"/>
      <c r="AN1775" s="55"/>
      <c r="AO1775" s="55"/>
      <c r="AP1775" s="55"/>
      <c r="AQ1775" s="55"/>
      <c r="AR1775" s="55"/>
      <c r="AS1775" s="55"/>
      <c r="AT1775" s="55"/>
      <c r="AU1775" s="55"/>
      <c r="AV1775" s="55"/>
      <c r="AW1775" s="55"/>
      <c r="AX1775" s="53"/>
      <c r="BA1775" s="2"/>
      <c r="BB1775" s="2"/>
      <c r="BC1775" s="101"/>
      <c r="BD1775" s="101"/>
    </row>
    <row r="1776" spans="1:56" s="84" customFormat="1" x14ac:dyDescent="0.35">
      <c r="A1776" s="53"/>
      <c r="B1776" s="54" t="s">
        <v>9</v>
      </c>
      <c r="C1776" s="53"/>
      <c r="D1776" s="53"/>
      <c r="E1776" s="53"/>
      <c r="F1776" s="98"/>
      <c r="G1776" s="55"/>
      <c r="H1776" s="55"/>
      <c r="I1776" s="55"/>
      <c r="J1776" s="55"/>
      <c r="K1776" s="55"/>
      <c r="L1776" s="55"/>
      <c r="M1776" s="55"/>
      <c r="N1776" s="55"/>
      <c r="O1776" s="55"/>
      <c r="P1776" s="55"/>
      <c r="Q1776" s="55"/>
      <c r="R1776" s="55"/>
      <c r="S1776" s="55"/>
      <c r="T1776" s="55"/>
      <c r="U1776" s="56"/>
      <c r="V1776" s="55"/>
      <c r="W1776" s="55"/>
      <c r="X1776" s="55"/>
      <c r="Y1776" s="55"/>
      <c r="Z1776" s="55"/>
      <c r="AA1776" s="55"/>
      <c r="AB1776" s="55"/>
      <c r="AC1776" s="55"/>
      <c r="AD1776" s="55"/>
      <c r="AE1776" s="55"/>
      <c r="AF1776" s="55"/>
      <c r="AG1776" s="55"/>
      <c r="AH1776" s="55"/>
      <c r="AI1776" s="55"/>
      <c r="AJ1776" s="55"/>
      <c r="AK1776" s="56"/>
      <c r="AL1776" s="55"/>
      <c r="AM1776" s="55"/>
      <c r="AN1776" s="55"/>
      <c r="AO1776" s="55"/>
      <c r="AP1776" s="55"/>
      <c r="AQ1776" s="55"/>
      <c r="AR1776" s="55"/>
      <c r="AS1776" s="55"/>
      <c r="AT1776" s="55"/>
      <c r="AU1776" s="55"/>
      <c r="AV1776" s="55"/>
      <c r="AW1776" s="55"/>
      <c r="AX1776" s="53"/>
      <c r="BA1776" s="2"/>
      <c r="BB1776" s="2"/>
      <c r="BC1776" s="101"/>
      <c r="BD1776" s="101"/>
    </row>
    <row r="1777" spans="2:56" x14ac:dyDescent="0.35">
      <c r="BA1777" s="2"/>
      <c r="BB1777" s="2"/>
      <c r="BC1777" s="101"/>
      <c r="BD1777" s="101"/>
    </row>
    <row r="1778" spans="2:56" x14ac:dyDescent="0.35">
      <c r="BA1778" s="2"/>
      <c r="BB1778" s="2"/>
      <c r="BC1778" s="101"/>
      <c r="BD1778" s="101"/>
    </row>
    <row r="1779" spans="2:56" s="84" customFormat="1" ht="28.5" x14ac:dyDescent="0.65">
      <c r="F1779" s="50"/>
      <c r="G1779" s="143" t="s">
        <v>10</v>
      </c>
      <c r="H1779" s="143"/>
      <c r="I1779" s="143"/>
      <c r="J1779" s="143"/>
      <c r="K1779" s="143"/>
      <c r="L1779" s="143"/>
      <c r="M1779" s="143"/>
      <c r="N1779" s="143"/>
      <c r="O1779" s="143"/>
      <c r="P1779" s="143"/>
      <c r="Q1779" s="143"/>
      <c r="R1779" s="143"/>
      <c r="S1779" s="143"/>
      <c r="T1779" s="143"/>
      <c r="U1779" s="143"/>
      <c r="W1779" s="37" t="s">
        <v>12</v>
      </c>
      <c r="X1779" s="86" t="s">
        <v>11</v>
      </c>
      <c r="BA1779" s="2"/>
      <c r="BB1779" s="2"/>
      <c r="BC1779" s="101"/>
      <c r="BD1779" s="101"/>
    </row>
    <row r="1780" spans="2:56" s="84" customFormat="1" x14ac:dyDescent="0.35">
      <c r="F1780" s="50"/>
      <c r="G1780" s="84" t="s">
        <v>0</v>
      </c>
      <c r="W1780" s="37" t="s">
        <v>13</v>
      </c>
      <c r="X1780" s="86" t="s">
        <v>14</v>
      </c>
      <c r="BA1780" s="2"/>
      <c r="BB1780" s="2"/>
      <c r="BC1780" s="101"/>
      <c r="BD1780" s="101"/>
    </row>
    <row r="1781" spans="2:56" s="84" customFormat="1" x14ac:dyDescent="0.35">
      <c r="F1781" s="50"/>
      <c r="W1781" s="37" t="s">
        <v>1</v>
      </c>
      <c r="X1781" s="86" t="s">
        <v>15</v>
      </c>
      <c r="BA1781" s="2"/>
      <c r="BB1781" s="2"/>
      <c r="BC1781" s="101"/>
      <c r="BD1781" s="101"/>
    </row>
    <row r="1782" spans="2:56" s="84" customFormat="1" x14ac:dyDescent="0.35">
      <c r="F1782" s="50"/>
      <c r="W1782" s="37" t="s">
        <v>2</v>
      </c>
      <c r="X1782" s="86" t="s">
        <v>16</v>
      </c>
      <c r="BA1782" s="2"/>
      <c r="BB1782" s="2"/>
      <c r="BC1782" s="101"/>
      <c r="BD1782" s="101"/>
    </row>
    <row r="1783" spans="2:56" s="84" customFormat="1" ht="15" customHeight="1" x14ac:dyDescent="0.35">
      <c r="B1783" s="154" t="s">
        <v>35</v>
      </c>
      <c r="F1783" s="50"/>
      <c r="G1783" s="154" t="s">
        <v>36</v>
      </c>
      <c r="H1783" s="154"/>
      <c r="I1783" s="154"/>
      <c r="K1783" s="154" t="s">
        <v>36</v>
      </c>
      <c r="L1783" s="154"/>
      <c r="M1783" s="154"/>
      <c r="W1783" s="37" t="s">
        <v>3</v>
      </c>
      <c r="X1783" s="86" t="s">
        <v>17</v>
      </c>
      <c r="BA1783" s="2"/>
      <c r="BB1783" s="2"/>
      <c r="BC1783" s="101"/>
      <c r="BD1783" s="101"/>
    </row>
    <row r="1784" spans="2:56" s="84" customFormat="1" x14ac:dyDescent="0.35">
      <c r="B1784" s="155"/>
      <c r="D1784" s="37" t="s">
        <v>34</v>
      </c>
      <c r="F1784" s="50"/>
      <c r="G1784" s="154"/>
      <c r="H1784" s="154"/>
      <c r="I1784" s="154"/>
      <c r="K1784" s="154"/>
      <c r="L1784" s="154"/>
      <c r="M1784" s="154"/>
      <c r="W1784" s="38"/>
      <c r="BA1784" s="2"/>
      <c r="BB1784" s="2"/>
      <c r="BC1784" s="101"/>
      <c r="BD1784" s="101"/>
    </row>
    <row r="1785" spans="2:56" s="84" customFormat="1" x14ac:dyDescent="0.35">
      <c r="B1785" s="100">
        <f>B1711+1</f>
        <v>8</v>
      </c>
      <c r="D1785" s="100">
        <f>D1711</f>
        <v>2022</v>
      </c>
      <c r="E1785" s="87" t="s">
        <v>38</v>
      </c>
      <c r="F1785" s="50"/>
      <c r="G1785" s="156">
        <f>K1711+1</f>
        <v>44647</v>
      </c>
      <c r="H1785" s="157"/>
      <c r="I1785" s="158"/>
      <c r="J1785" s="37" t="s">
        <v>37</v>
      </c>
      <c r="K1785" s="156">
        <f>IF(G1785="","",G1785+13)</f>
        <v>44660</v>
      </c>
      <c r="L1785" s="157"/>
      <c r="M1785" s="158"/>
      <c r="P1785" s="159" t="s">
        <v>39</v>
      </c>
      <c r="Q1785" s="160"/>
      <c r="R1785" s="160"/>
      <c r="S1785" s="160"/>
      <c r="T1785" s="161"/>
      <c r="U1785" s="24">
        <v>80</v>
      </c>
      <c r="BA1785" s="2"/>
      <c r="BB1785" s="2"/>
      <c r="BC1785" s="101"/>
      <c r="BD1785" s="101"/>
    </row>
    <row r="1786" spans="2:56" s="84" customFormat="1" x14ac:dyDescent="0.35">
      <c r="F1786" s="50"/>
      <c r="AM1786" s="144" t="s">
        <v>4</v>
      </c>
      <c r="AN1786" s="144"/>
      <c r="AO1786" s="144"/>
      <c r="AP1786" s="144"/>
      <c r="AQ1786" s="144"/>
      <c r="AR1786" s="144"/>
      <c r="AS1786" s="144"/>
      <c r="AU1786" s="100" t="s">
        <v>4</v>
      </c>
      <c r="BA1786" s="2"/>
      <c r="BB1786" s="2"/>
      <c r="BC1786" s="101"/>
      <c r="BD1786" s="101"/>
    </row>
    <row r="1787" spans="2:56" s="84" customFormat="1" ht="15" customHeight="1" x14ac:dyDescent="0.35">
      <c r="B1787" s="40"/>
      <c r="C1787" s="41"/>
      <c r="D1787" s="42" t="s">
        <v>32</v>
      </c>
      <c r="E1787" s="43" t="s">
        <v>5</v>
      </c>
      <c r="F1787" s="50"/>
      <c r="G1787" s="162">
        <f>G1785</f>
        <v>44647</v>
      </c>
      <c r="H1787" s="163"/>
      <c r="I1787" s="162">
        <f>IF(G1787="","",G1787+1)</f>
        <v>44648</v>
      </c>
      <c r="J1787" s="163"/>
      <c r="K1787" s="162">
        <f>IF(I1787="","",I1787+1)</f>
        <v>44649</v>
      </c>
      <c r="L1787" s="163"/>
      <c r="M1787" s="162">
        <f>IF(K1787="","",K1787+1)</f>
        <v>44650</v>
      </c>
      <c r="N1787" s="163"/>
      <c r="O1787" s="162">
        <f>IF(M1787="","",M1787+1)</f>
        <v>44651</v>
      </c>
      <c r="P1787" s="163"/>
      <c r="Q1787" s="162">
        <f>IF(O1787="","",O1787+1)</f>
        <v>44652</v>
      </c>
      <c r="R1787" s="163"/>
      <c r="S1787" s="162">
        <f>IF(Q1787="","",Q1787+1)</f>
        <v>44653</v>
      </c>
      <c r="T1787" s="164"/>
      <c r="U1787" s="44"/>
      <c r="W1787" s="162">
        <f>IF(S1787="","",S1787+1)</f>
        <v>44654</v>
      </c>
      <c r="X1787" s="163"/>
      <c r="Y1787" s="162">
        <f>IF(W1787="","",W1787+1)</f>
        <v>44655</v>
      </c>
      <c r="Z1787" s="163"/>
      <c r="AA1787" s="162">
        <f>IF(Y1787="","",Y1787+1)</f>
        <v>44656</v>
      </c>
      <c r="AB1787" s="163"/>
      <c r="AC1787" s="162">
        <f>IF(AA1787="","",AA1787+1)</f>
        <v>44657</v>
      </c>
      <c r="AD1787" s="163"/>
      <c r="AE1787" s="162">
        <f>IF(AC1787="","",AC1787+1)</f>
        <v>44658</v>
      </c>
      <c r="AF1787" s="163"/>
      <c r="AG1787" s="162">
        <f>IF(AE1787="","",AE1787+1)</f>
        <v>44659</v>
      </c>
      <c r="AH1787" s="163"/>
      <c r="AI1787" s="162">
        <f>IF(AG1787="","",AG1787+1)</f>
        <v>44660</v>
      </c>
      <c r="AJ1787" s="164"/>
      <c r="AK1787" s="44"/>
      <c r="AM1787" s="145" t="s">
        <v>18</v>
      </c>
      <c r="AN1787" s="165" t="s">
        <v>55</v>
      </c>
      <c r="AO1787" s="145" t="s">
        <v>19</v>
      </c>
      <c r="AP1787" s="145" t="s">
        <v>20</v>
      </c>
      <c r="AQ1787" s="145" t="s">
        <v>21</v>
      </c>
      <c r="AR1787" s="166" t="s">
        <v>22</v>
      </c>
      <c r="AS1787" s="167" t="s">
        <v>23</v>
      </c>
      <c r="AU1787" s="144" t="s">
        <v>6</v>
      </c>
      <c r="AW1787" s="145" t="s">
        <v>24</v>
      </c>
      <c r="BA1787" s="2"/>
      <c r="BB1787" s="2"/>
      <c r="BC1787" s="101"/>
      <c r="BD1787" s="101"/>
    </row>
    <row r="1788" spans="2:56" s="84" customFormat="1" x14ac:dyDescent="0.35">
      <c r="B1788" s="45" t="s">
        <v>33</v>
      </c>
      <c r="C1788" s="46"/>
      <c r="D1788" s="47"/>
      <c r="E1788" s="47"/>
      <c r="F1788" s="50"/>
      <c r="G1788" s="146" t="s">
        <v>25</v>
      </c>
      <c r="H1788" s="147"/>
      <c r="I1788" s="146" t="s">
        <v>26</v>
      </c>
      <c r="J1788" s="147"/>
      <c r="K1788" s="146" t="s">
        <v>27</v>
      </c>
      <c r="L1788" s="147"/>
      <c r="M1788" s="146" t="s">
        <v>28</v>
      </c>
      <c r="N1788" s="147"/>
      <c r="O1788" s="146" t="s">
        <v>29</v>
      </c>
      <c r="P1788" s="147"/>
      <c r="Q1788" s="146" t="s">
        <v>30</v>
      </c>
      <c r="R1788" s="147"/>
      <c r="S1788" s="146" t="s">
        <v>31</v>
      </c>
      <c r="T1788" s="148"/>
      <c r="U1788" s="48" t="s">
        <v>7</v>
      </c>
      <c r="W1788" s="146" t="s">
        <v>25</v>
      </c>
      <c r="X1788" s="147"/>
      <c r="Y1788" s="146" t="s">
        <v>26</v>
      </c>
      <c r="Z1788" s="147"/>
      <c r="AA1788" s="146" t="s">
        <v>27</v>
      </c>
      <c r="AB1788" s="147"/>
      <c r="AC1788" s="146" t="s">
        <v>28</v>
      </c>
      <c r="AD1788" s="147"/>
      <c r="AE1788" s="146" t="s">
        <v>29</v>
      </c>
      <c r="AF1788" s="147"/>
      <c r="AG1788" s="146" t="s">
        <v>30</v>
      </c>
      <c r="AH1788" s="147"/>
      <c r="AI1788" s="146" t="s">
        <v>31</v>
      </c>
      <c r="AJ1788" s="148"/>
      <c r="AK1788" s="48" t="s">
        <v>7</v>
      </c>
      <c r="AM1788" s="145"/>
      <c r="AN1788" s="165"/>
      <c r="AO1788" s="145"/>
      <c r="AP1788" s="145"/>
      <c r="AQ1788" s="145"/>
      <c r="AR1788" s="166"/>
      <c r="AS1788" s="167"/>
      <c r="AU1788" s="144"/>
      <c r="AW1788" s="145"/>
      <c r="BA1788" s="2"/>
      <c r="BB1788" s="2"/>
      <c r="BC1788" s="101"/>
      <c r="BD1788" s="101"/>
    </row>
    <row r="1789" spans="2:56" s="84" customFormat="1" x14ac:dyDescent="0.35">
      <c r="B1789" s="63"/>
      <c r="C1789" s="25"/>
      <c r="D1789" s="25"/>
      <c r="E1789" s="25"/>
      <c r="F1789" s="50"/>
      <c r="BA1789" s="2"/>
      <c r="BB1789" s="2"/>
      <c r="BC1789" s="101"/>
      <c r="BD1789" s="101"/>
    </row>
    <row r="1790" spans="2:56" s="84" customFormat="1" x14ac:dyDescent="0.35">
      <c r="B1790" s="26"/>
      <c r="C1790" s="27"/>
      <c r="D1790" s="28">
        <f>IF(D1716="","",D1716)</f>
        <v>31428</v>
      </c>
      <c r="E1790" s="29" t="str">
        <f>IF(E1716="","",E1716)</f>
        <v/>
      </c>
      <c r="F1790" s="50">
        <f>B1785</f>
        <v>8</v>
      </c>
      <c r="G1790" s="59"/>
      <c r="H1790" s="64"/>
      <c r="I1790" s="106"/>
      <c r="J1790" s="105"/>
      <c r="K1790" s="106"/>
      <c r="L1790" s="105"/>
      <c r="M1790" s="106"/>
      <c r="N1790" s="105"/>
      <c r="O1790" s="106"/>
      <c r="P1790" s="105"/>
      <c r="Q1790" s="106"/>
      <c r="R1790" s="105"/>
      <c r="S1790" s="59"/>
      <c r="T1790" s="64"/>
      <c r="U1790" s="44"/>
      <c r="W1790" s="59"/>
      <c r="X1790" s="64"/>
      <c r="Y1790" s="106"/>
      <c r="Z1790" s="105"/>
      <c r="AA1790" s="106"/>
      <c r="AB1790" s="105"/>
      <c r="AC1790" s="106"/>
      <c r="AD1790" s="105"/>
      <c r="AE1790" s="106"/>
      <c r="AF1790" s="105"/>
      <c r="AG1790" s="106"/>
      <c r="AH1790" s="105"/>
      <c r="AI1790" s="59"/>
      <c r="AJ1790" s="64"/>
      <c r="AK1790" s="44"/>
      <c r="AM1790" s="49"/>
      <c r="AN1790" s="49"/>
      <c r="AO1790" s="49"/>
      <c r="AP1790" s="49"/>
      <c r="AQ1790" s="49"/>
      <c r="AR1790" s="40"/>
      <c r="AS1790" s="51"/>
      <c r="AU1790" s="49"/>
      <c r="AW1790" s="52"/>
      <c r="BA1790" s="2"/>
      <c r="BB1790" s="2"/>
      <c r="BC1790" s="101"/>
      <c r="BD1790" s="101"/>
    </row>
    <row r="1791" spans="2:56" s="84" customFormat="1" x14ac:dyDescent="0.35">
      <c r="B1791" s="30" t="str">
        <f>IF(B1717="","",B1717)</f>
        <v>Gaulin, Francis</v>
      </c>
      <c r="C1791" s="31"/>
      <c r="D1791" s="32"/>
      <c r="E1791" s="33">
        <f t="shared" ref="E1791:E1839" si="697">IF(E1717="","",E1717)</f>
        <v>93542</v>
      </c>
      <c r="F1791" s="50">
        <f>B1785</f>
        <v>8</v>
      </c>
      <c r="G1791" s="95"/>
      <c r="H1791" s="70"/>
      <c r="I1791" s="104"/>
      <c r="J1791" s="103">
        <v>8</v>
      </c>
      <c r="K1791" s="104"/>
      <c r="L1791" s="103">
        <v>8</v>
      </c>
      <c r="M1791" s="104"/>
      <c r="N1791" s="103">
        <v>8</v>
      </c>
      <c r="O1791" s="104"/>
      <c r="P1791" s="103">
        <v>8</v>
      </c>
      <c r="Q1791" s="104"/>
      <c r="R1791" s="103">
        <v>7.5</v>
      </c>
      <c r="S1791" s="69"/>
      <c r="T1791" s="70"/>
      <c r="U1791" s="71">
        <f>SUM(G1791:T1791)</f>
        <v>39.5</v>
      </c>
      <c r="V1791" s="72"/>
      <c r="W1791" s="69"/>
      <c r="X1791" s="70"/>
      <c r="Y1791" s="104"/>
      <c r="Z1791" s="103">
        <v>8</v>
      </c>
      <c r="AA1791" s="104"/>
      <c r="AB1791" s="103">
        <v>8</v>
      </c>
      <c r="AC1791" s="104"/>
      <c r="AD1791" s="103">
        <v>8</v>
      </c>
      <c r="AE1791" s="104"/>
      <c r="AF1791" s="103">
        <v>8</v>
      </c>
      <c r="AG1791" s="104"/>
      <c r="AH1791" s="103">
        <v>7.5</v>
      </c>
      <c r="AI1791" s="69"/>
      <c r="AJ1791" s="70"/>
      <c r="AK1791" s="71">
        <f>SUM(W1791:AJ1791)</f>
        <v>39.5</v>
      </c>
      <c r="AL1791" s="72"/>
      <c r="AM1791" s="73">
        <f>SUMIF($G1790:$T1790,"",$G1791:$T1791)+SUMIF($W1790:$AJ1790,"",$W1791:$AJ1791)-AN1791</f>
        <v>79</v>
      </c>
      <c r="AN1791" s="88">
        <f>IF(SUMIF($G1790:$T1790,"",$G1791:$T1791)+SUMIF($G1790:$T1790,"F",$G1791:$T1791)+SUMIF($G1790:$T1790,"V",$G1791:$T1791)-40&lt;0,0,SUMIF($G1790:$T1790,"",$G1791:$T1791)+SUMIF($G1790:$T1790,"F",$G1791:$T1791)+SUMIF($G1790:$T1790,"V",$G1791:$T1791)-($U$9/2))+IF(SUMIF($W1790:$AJ1790,"",$W1791:$AJ1791)+SUMIF($W1790:$AJ1790,"F",$W1791:$AJ1791)+SUMIF($W1790:$AJ1790,"V",$W1791:$AJ1791)-40&lt;0,0,SUMIF($W1790:$AJ1790,"",$W1791:$AJ1791)+SUMIF($W1790:$AJ1790,"F",$W1791:$AJ1791)+SUMIF($W1790:$AJ1790,"V",$W1791:$AJ1791)-($U$9/2))</f>
        <v>0</v>
      </c>
      <c r="AO1791" s="73">
        <f>SUMIF($G1790:$T1790,"M",$G1791:$T1791)+SUMIF($W1790:$AJ1790,"M",$W1791:$AJ1791)</f>
        <v>0</v>
      </c>
      <c r="AP1791" s="73">
        <f>SUMIF($G1790:$T1790,"F",$G1791:$T1791)+SUMIF($W1790:$AJ1790,"F",$W1791:$AJ1791)</f>
        <v>0</v>
      </c>
      <c r="AQ1791" s="73">
        <f>SUMIF($G1790:$T1790,"V",$G1791:$T1791)+SUMIF($W1790:$AJ1790,"V",$W1791:$AJ1791)</f>
        <v>0</v>
      </c>
      <c r="AR1791" s="74">
        <f>SUMIF($G1790:$T1790,"O",$G1791:$T1791)+SUMIF($W1790:$AJ1790,"O",$W1791:$AJ1791)</f>
        <v>0</v>
      </c>
      <c r="AS1791" s="75">
        <f>SUM(AM1791:AR1791)</f>
        <v>79</v>
      </c>
      <c r="AT1791" s="72"/>
      <c r="AU1791" s="73">
        <f>SUMIF($G1790:$T1790,"A",$G1791:$T1791)+SUMIF($W1790:$AJ1790,"A",$W1791:$AJ1791)</f>
        <v>0</v>
      </c>
      <c r="AV1791" s="72"/>
      <c r="AW1791" s="76">
        <f>IF(B1791="",0,IF($U$9="",0,$U$9))</f>
        <v>80</v>
      </c>
      <c r="BA1791" s="2"/>
      <c r="BB1791" s="2"/>
      <c r="BC1791" s="101"/>
      <c r="BD1791" s="101"/>
    </row>
    <row r="1792" spans="2:56" s="84" customFormat="1" x14ac:dyDescent="0.35">
      <c r="B1792" s="26"/>
      <c r="C1792" s="27"/>
      <c r="D1792" s="28">
        <f>IF(D1718="","",D1718)</f>
        <v>24287</v>
      </c>
      <c r="E1792" s="29" t="str">
        <f t="shared" si="697"/>
        <v/>
      </c>
      <c r="F1792" s="50">
        <f>B1785</f>
        <v>8</v>
      </c>
      <c r="G1792" s="59"/>
      <c r="H1792" s="64"/>
      <c r="I1792" s="106"/>
      <c r="J1792" s="105"/>
      <c r="K1792" s="106"/>
      <c r="L1792" s="105"/>
      <c r="M1792" s="106"/>
      <c r="N1792" s="105"/>
      <c r="O1792" s="106"/>
      <c r="P1792" s="105"/>
      <c r="Q1792" s="106"/>
      <c r="R1792" s="105"/>
      <c r="S1792" s="59"/>
      <c r="T1792" s="64"/>
      <c r="U1792" s="44"/>
      <c r="W1792" s="59"/>
      <c r="X1792" s="64"/>
      <c r="Y1792" s="106"/>
      <c r="Z1792" s="105"/>
      <c r="AA1792" s="106"/>
      <c r="AB1792" s="105"/>
      <c r="AC1792" s="106"/>
      <c r="AD1792" s="105"/>
      <c r="AE1792" s="106"/>
      <c r="AF1792" s="105"/>
      <c r="AG1792" s="106"/>
      <c r="AH1792" s="105"/>
      <c r="AI1792" s="59"/>
      <c r="AJ1792" s="64"/>
      <c r="AK1792" s="44"/>
      <c r="AM1792" s="49"/>
      <c r="AN1792" s="49"/>
      <c r="AO1792" s="49"/>
      <c r="AP1792" s="49"/>
      <c r="AQ1792" s="49"/>
      <c r="AR1792" s="40"/>
      <c r="AS1792" s="51"/>
      <c r="AU1792" s="49"/>
      <c r="AW1792" s="52"/>
      <c r="BA1792" s="2"/>
      <c r="BB1792" s="2"/>
      <c r="BC1792" s="101"/>
      <c r="BD1792" s="101"/>
    </row>
    <row r="1793" spans="2:56" s="84" customFormat="1" x14ac:dyDescent="0.35">
      <c r="B1793" s="30" t="str">
        <f>IF(B1719="","",B1719)</f>
        <v>Barrata, Dominic(Avance $500.00)</v>
      </c>
      <c r="C1793" s="31"/>
      <c r="D1793" s="32"/>
      <c r="E1793" s="33">
        <f t="shared" si="697"/>
        <v>93595935</v>
      </c>
      <c r="F1793" s="50">
        <f>B1785</f>
        <v>8</v>
      </c>
      <c r="G1793" s="69"/>
      <c r="H1793" s="70"/>
      <c r="I1793" s="104"/>
      <c r="J1793" s="103" t="s">
        <v>69</v>
      </c>
      <c r="K1793" s="104"/>
      <c r="L1793" s="103" t="s">
        <v>69</v>
      </c>
      <c r="M1793" s="104"/>
      <c r="N1793" s="103" t="s">
        <v>69</v>
      </c>
      <c r="O1793" s="104"/>
      <c r="P1793" s="103" t="s">
        <v>69</v>
      </c>
      <c r="Q1793" s="104"/>
      <c r="R1793" s="103" t="s">
        <v>69</v>
      </c>
      <c r="S1793" s="69"/>
      <c r="T1793" s="70"/>
      <c r="U1793" s="71">
        <f t="shared" ref="U1793" si="698">SUM(G1793:T1793)</f>
        <v>0</v>
      </c>
      <c r="V1793" s="72"/>
      <c r="W1793" s="69"/>
      <c r="X1793" s="70"/>
      <c r="Y1793" s="104"/>
      <c r="Z1793" s="103" t="s">
        <v>69</v>
      </c>
      <c r="AA1793" s="104"/>
      <c r="AB1793" s="103" t="s">
        <v>69</v>
      </c>
      <c r="AC1793" s="104"/>
      <c r="AD1793" s="103" t="s">
        <v>69</v>
      </c>
      <c r="AE1793" s="104"/>
      <c r="AF1793" s="103" t="s">
        <v>69</v>
      </c>
      <c r="AG1793" s="104"/>
      <c r="AH1793" s="103" t="s">
        <v>69</v>
      </c>
      <c r="AI1793" s="69"/>
      <c r="AJ1793" s="70"/>
      <c r="AK1793" s="71">
        <f>SUM(W1793:AJ1793)</f>
        <v>0</v>
      </c>
      <c r="AL1793" s="72"/>
      <c r="AM1793" s="73">
        <f>SUMIF($G1792:$T1792,"",$G1793:$T1793)+SUMIF($W1792:$AJ1792,"",$W1793:$AJ1793)-AN1793</f>
        <v>0</v>
      </c>
      <c r="AN1793" s="88">
        <f>IF(SUMIF($G1792:$T1792,"",$G1793:$T1793)+SUMIF($G1792:$T1792,"F",$G1793:$T1793)+SUMIF($G1792:$T1792,"V",$G1793:$T1793)-40&lt;0,0,SUMIF($G1792:$T1792,"",$G1793:$T1793)+SUMIF($G1792:$T1792,"F",$G1793:$T1793)+SUMIF($G1792:$T1792,"V",$G1793:$T1793)-($U$9/2))+IF(SUMIF($W1792:$AJ1792,"",$W1793:$AJ1793)+SUMIF($W1792:$AJ1792,"F",$W1793:$AJ1793)+SUMIF($W1792:$AJ1792,"V",$W1793:$AJ1793)-40&lt;0,0,SUMIF($W1792:$AJ1792,"",$W1793:$AJ1793)+SUMIF($W1792:$AJ1792,"F",$W1793:$AJ1793)+SUMIF($W1792:$AJ1792,"V",$W1793:$AJ1793)-($U$9/2))</f>
        <v>0</v>
      </c>
      <c r="AO1793" s="73">
        <f>SUMIF($G1792:$T1792,"M",$G1793:$T1793)+SUMIF($W1792:$AJ1792,"M",$W1793:$AJ1793)</f>
        <v>0</v>
      </c>
      <c r="AP1793" s="73">
        <f>SUMIF($G1792:$T1792,"F",$G1793:$T1793)+SUMIF($W1792:$AJ1792,"F",$W1793:$AJ1793)</f>
        <v>0</v>
      </c>
      <c r="AQ1793" s="73">
        <f>SUMIF($G1792:$T1792,"V",$G1793:$T1793)+SUMIF($W1792:$AJ1792,"V",$W1793:$AJ1793)</f>
        <v>0</v>
      </c>
      <c r="AR1793" s="74">
        <f>SUMIF($G1792:$T1792,"O",$G1793:$T1793)+SUMIF($W1792:$AJ1792,"O",$W1793:$AJ1793)</f>
        <v>0</v>
      </c>
      <c r="AS1793" s="75">
        <f>SUM(AM1793:AR1793)</f>
        <v>0</v>
      </c>
      <c r="AT1793" s="72"/>
      <c r="AU1793" s="73">
        <f>SUMIF($G1792:$T1792,"A",$G1793:$T1793)+SUMIF($W1792:$AJ1792,"A",$W1793:$AJ1793)</f>
        <v>0</v>
      </c>
      <c r="AV1793" s="72"/>
      <c r="AW1793" s="76">
        <f>IF(B1793="",0,IF($U$9="",0,$U$9))</f>
        <v>80</v>
      </c>
      <c r="BA1793" s="2"/>
      <c r="BB1793" s="2"/>
      <c r="BC1793" s="101"/>
      <c r="BD1793" s="101"/>
    </row>
    <row r="1794" spans="2:56" s="84" customFormat="1" x14ac:dyDescent="0.35">
      <c r="B1794" s="26"/>
      <c r="C1794" s="27"/>
      <c r="D1794" s="28">
        <f>IF(D1720="","",D1720)</f>
        <v>92032</v>
      </c>
      <c r="E1794" s="29" t="str">
        <f t="shared" si="697"/>
        <v/>
      </c>
      <c r="F1794" s="50">
        <f>B1785</f>
        <v>8</v>
      </c>
      <c r="G1794" s="59"/>
      <c r="H1794" s="64"/>
      <c r="I1794" s="106"/>
      <c r="J1794" s="105"/>
      <c r="K1794" s="106"/>
      <c r="L1794" s="105"/>
      <c r="M1794" s="106"/>
      <c r="N1794" s="105"/>
      <c r="O1794" s="106"/>
      <c r="P1794" s="105"/>
      <c r="Q1794" s="106"/>
      <c r="R1794" s="105"/>
      <c r="S1794" s="59"/>
      <c r="T1794" s="64"/>
      <c r="U1794" s="44"/>
      <c r="W1794" s="59"/>
      <c r="X1794" s="64"/>
      <c r="Y1794" s="106"/>
      <c r="Z1794" s="105"/>
      <c r="AA1794" s="106"/>
      <c r="AB1794" s="105"/>
      <c r="AC1794" s="106"/>
      <c r="AD1794" s="105"/>
      <c r="AE1794" s="106"/>
      <c r="AF1794" s="105"/>
      <c r="AG1794" s="106"/>
      <c r="AH1794" s="105"/>
      <c r="AI1794" s="59"/>
      <c r="AJ1794" s="64"/>
      <c r="AK1794" s="44"/>
      <c r="AM1794" s="49"/>
      <c r="AN1794" s="49"/>
      <c r="AO1794" s="49"/>
      <c r="AP1794" s="49"/>
      <c r="AQ1794" s="49"/>
      <c r="AR1794" s="40"/>
      <c r="AS1794" s="51"/>
      <c r="AU1794" s="49"/>
      <c r="AW1794" s="52"/>
      <c r="BA1794" s="2"/>
      <c r="BB1794" s="2"/>
      <c r="BC1794" s="101"/>
      <c r="BD1794" s="101"/>
    </row>
    <row r="1795" spans="2:56" s="84" customFormat="1" x14ac:dyDescent="0.35">
      <c r="B1795" s="30" t="str">
        <f>IF(B1721="","",B1721)</f>
        <v>Benoit, Jean-Paul(Avance $1,600.00)</v>
      </c>
      <c r="C1795" s="31"/>
      <c r="D1795" s="32"/>
      <c r="E1795" s="33">
        <f t="shared" si="697"/>
        <v>93595935</v>
      </c>
      <c r="F1795" s="50">
        <f>B1785</f>
        <v>8</v>
      </c>
      <c r="G1795" s="69"/>
      <c r="H1795" s="70"/>
      <c r="I1795" s="104"/>
      <c r="J1795" s="103" t="s">
        <v>69</v>
      </c>
      <c r="K1795" s="104"/>
      <c r="L1795" s="103" t="s">
        <v>69</v>
      </c>
      <c r="M1795" s="104"/>
      <c r="N1795" s="103" t="s">
        <v>69</v>
      </c>
      <c r="O1795" s="104"/>
      <c r="P1795" s="103" t="s">
        <v>69</v>
      </c>
      <c r="Q1795" s="104"/>
      <c r="R1795" s="103" t="s">
        <v>69</v>
      </c>
      <c r="S1795" s="69"/>
      <c r="T1795" s="70"/>
      <c r="U1795" s="71">
        <f t="shared" ref="U1795" si="699">SUM(G1795:T1795)</f>
        <v>0</v>
      </c>
      <c r="V1795" s="72"/>
      <c r="W1795" s="69"/>
      <c r="X1795" s="70"/>
      <c r="Y1795" s="104"/>
      <c r="Z1795" s="103" t="s">
        <v>69</v>
      </c>
      <c r="AA1795" s="104"/>
      <c r="AB1795" s="103" t="s">
        <v>69</v>
      </c>
      <c r="AC1795" s="104"/>
      <c r="AD1795" s="103" t="s">
        <v>69</v>
      </c>
      <c r="AE1795" s="104"/>
      <c r="AF1795" s="103" t="s">
        <v>69</v>
      </c>
      <c r="AG1795" s="104"/>
      <c r="AH1795" s="103" t="s">
        <v>69</v>
      </c>
      <c r="AI1795" s="69"/>
      <c r="AJ1795" s="70"/>
      <c r="AK1795" s="71">
        <f>SUM(W1795:AJ1795)</f>
        <v>0</v>
      </c>
      <c r="AL1795" s="72"/>
      <c r="AM1795" s="73">
        <f>SUMIF($G1794:$T1794,"",$G1795:$T1795)+SUMIF($W1794:$AJ1794,"",$W1795:$AJ1795)-AN1795</f>
        <v>0</v>
      </c>
      <c r="AN1795" s="88">
        <f>IF(SUMIF($G1794:$T1794,"",$G1795:$T1795)+SUMIF($G1794:$T1794,"F",$G1795:$T1795)+SUMIF($G1794:$T1794,"V",$G1795:$T1795)-40&lt;0,0,SUMIF($G1794:$T1794,"",$G1795:$T1795)+SUMIF($G1794:$T1794,"F",$G1795:$T1795)+SUMIF($G1794:$T1794,"V",$G1795:$T1795)-($U$9/2))+IF(SUMIF($W1794:$AJ1794,"",$W1795:$AJ1795)+SUMIF($W1794:$AJ1794,"F",$W1795:$AJ1795)+SUMIF($W1794:$AJ1794,"V",$W1795:$AJ1795)-40&lt;0,0,SUMIF($W1794:$AJ1794,"",$W1795:$AJ1795)+SUMIF($W1794:$AJ1794,"F",$W1795:$AJ1795)+SUMIF($W1794:$AJ1794,"V",$W1795:$AJ1795)-($U$9/2))</f>
        <v>0</v>
      </c>
      <c r="AO1795" s="73">
        <f>SUMIF($G1794:$T1794,"M",$G1795:$T1795)+SUMIF($W1794:$AJ1794,"M",$W1795:$AJ1795)</f>
        <v>0</v>
      </c>
      <c r="AP1795" s="73">
        <f>SUMIF($G1794:$T1794,"F",$G1795:$T1795)+SUMIF($W1794:$AJ1794,"F",$W1795:$AJ1795)</f>
        <v>0</v>
      </c>
      <c r="AQ1795" s="73">
        <f>SUMIF($G1794:$T1794,"V",$G1795:$T1795)+SUMIF($W1794:$AJ1794,"V",$W1795:$AJ1795)</f>
        <v>0</v>
      </c>
      <c r="AR1795" s="74">
        <f>SUMIF($G1794:$T1794,"O",$G1795:$T1795)+SUMIF($W1794:$AJ1794,"O",$W1795:$AJ1795)</f>
        <v>0</v>
      </c>
      <c r="AS1795" s="75">
        <f>SUM(AM1795:AR1795)</f>
        <v>0</v>
      </c>
      <c r="AT1795" s="72"/>
      <c r="AU1795" s="73">
        <f>SUMIF($G1794:$T1794,"A",$G1795:$T1795)+SUMIF($W1794:$AJ1794,"A",$W1795:$AJ1795)</f>
        <v>0</v>
      </c>
      <c r="AV1795" s="72"/>
      <c r="AW1795" s="76">
        <f>IF(B1795="",0,IF($U$9="",0,$U$9))</f>
        <v>80</v>
      </c>
      <c r="BA1795" s="2"/>
      <c r="BB1795" s="2"/>
      <c r="BC1795" s="101"/>
      <c r="BD1795" s="101"/>
    </row>
    <row r="1796" spans="2:56" s="84" customFormat="1" x14ac:dyDescent="0.35">
      <c r="B1796" s="26"/>
      <c r="C1796" s="27"/>
      <c r="D1796" s="28">
        <f>IF(D1722="","",D1722)</f>
        <v>81077</v>
      </c>
      <c r="E1796" s="29" t="str">
        <f t="shared" si="697"/>
        <v/>
      </c>
      <c r="F1796" s="50">
        <f>B1785</f>
        <v>8</v>
      </c>
      <c r="G1796" s="93"/>
      <c r="H1796" s="94"/>
      <c r="I1796" s="106"/>
      <c r="J1796" s="105" t="s">
        <v>1</v>
      </c>
      <c r="K1796" s="106"/>
      <c r="L1796" s="105"/>
      <c r="M1796" s="106"/>
      <c r="N1796" s="105"/>
      <c r="O1796" s="106"/>
      <c r="P1796" s="105"/>
      <c r="Q1796" s="106"/>
      <c r="R1796" s="105"/>
      <c r="S1796" s="59"/>
      <c r="T1796" s="64"/>
      <c r="U1796" s="44"/>
      <c r="W1796" s="59"/>
      <c r="X1796" s="64"/>
      <c r="Y1796" s="106"/>
      <c r="Z1796" s="105"/>
      <c r="AA1796" s="106"/>
      <c r="AB1796" s="105"/>
      <c r="AC1796" s="106"/>
      <c r="AD1796" s="105"/>
      <c r="AE1796" s="106"/>
      <c r="AF1796" s="105"/>
      <c r="AG1796" s="106"/>
      <c r="AH1796" s="105"/>
      <c r="AI1796" s="59"/>
      <c r="AJ1796" s="64"/>
      <c r="AK1796" s="44"/>
      <c r="AM1796" s="49"/>
      <c r="AN1796" s="49"/>
      <c r="AO1796" s="49"/>
      <c r="AP1796" s="49"/>
      <c r="AQ1796" s="49"/>
      <c r="AR1796" s="40"/>
      <c r="AS1796" s="51"/>
      <c r="AU1796" s="49"/>
      <c r="AW1796" s="52"/>
      <c r="BA1796" s="2"/>
      <c r="BB1796" s="2"/>
      <c r="BC1796" s="101"/>
      <c r="BD1796" s="101"/>
    </row>
    <row r="1797" spans="2:56" s="84" customFormat="1" x14ac:dyDescent="0.35">
      <c r="B1797" s="30" t="str">
        <f>IF(B1723="","",B1723)</f>
        <v>Bourassa, Julie</v>
      </c>
      <c r="C1797" s="31"/>
      <c r="D1797" s="32"/>
      <c r="E1797" s="33">
        <f t="shared" si="697"/>
        <v>93540</v>
      </c>
      <c r="F1797" s="50">
        <f>B1785</f>
        <v>8</v>
      </c>
      <c r="G1797" s="93"/>
      <c r="H1797" s="94"/>
      <c r="I1797" s="104"/>
      <c r="J1797" s="103">
        <v>8</v>
      </c>
      <c r="K1797" s="104"/>
      <c r="L1797" s="103">
        <v>8</v>
      </c>
      <c r="M1797" s="104"/>
      <c r="N1797" s="103">
        <v>8</v>
      </c>
      <c r="O1797" s="104"/>
      <c r="P1797" s="103">
        <v>8</v>
      </c>
      <c r="Q1797" s="104"/>
      <c r="R1797" s="103">
        <v>7.5</v>
      </c>
      <c r="S1797" s="69"/>
      <c r="T1797" s="70"/>
      <c r="U1797" s="71">
        <f t="shared" ref="U1797" si="700">SUM(G1797:T1797)</f>
        <v>39.5</v>
      </c>
      <c r="V1797" s="72"/>
      <c r="W1797" s="69"/>
      <c r="X1797" s="70"/>
      <c r="Y1797" s="104"/>
      <c r="Z1797" s="103">
        <v>8</v>
      </c>
      <c r="AA1797" s="104"/>
      <c r="AB1797" s="103">
        <v>8</v>
      </c>
      <c r="AC1797" s="104"/>
      <c r="AD1797" s="103">
        <v>8</v>
      </c>
      <c r="AE1797" s="104"/>
      <c r="AF1797" s="103">
        <v>8</v>
      </c>
      <c r="AG1797" s="104"/>
      <c r="AH1797" s="103">
        <v>7.5</v>
      </c>
      <c r="AI1797" s="69"/>
      <c r="AJ1797" s="70"/>
      <c r="AK1797" s="71">
        <f>SUM(W1797:AJ1797)</f>
        <v>39.5</v>
      </c>
      <c r="AL1797" s="72"/>
      <c r="AM1797" s="73">
        <f>SUMIF($G1796:$T1796,"",$G1797:$T1797)+SUMIF($W1796:$AJ1796,"",$W1797:$AJ1797)-AN1797</f>
        <v>71</v>
      </c>
      <c r="AN1797" s="88">
        <f>IF(SUMIF($G1796:$T1796,"",$G1797:$T1797)+SUMIF($G1796:$T1796,"F",$G1797:$T1797)+SUMIF($G1796:$T1796,"V",$G1797:$T1797)-40&lt;0,0,SUMIF($G1796:$T1796,"",$G1797:$T1797)+SUMIF($G1796:$T1796,"F",$G1797:$T1797)+SUMIF($G1796:$T1796,"V",$G1797:$T1797)-($U$9/2))+IF(SUMIF($W1796:$AJ1796,"",$W1797:$AJ1797)+SUMIF($W1796:$AJ1796,"F",$W1797:$AJ1797)+SUMIF($W1796:$AJ1796,"V",$W1797:$AJ1797)-40&lt;0,0,SUMIF($W1796:$AJ1796,"",$W1797:$AJ1797)+SUMIF($W1796:$AJ1796,"F",$W1797:$AJ1797)+SUMIF($W1796:$AJ1796,"V",$W1797:$AJ1797)-($U$9/2))</f>
        <v>0</v>
      </c>
      <c r="AO1797" s="73">
        <f>SUMIF($G1796:$T1796,"M",$G1797:$T1797)+SUMIF($W1796:$AJ1796,"M",$W1797:$AJ1797)</f>
        <v>0</v>
      </c>
      <c r="AP1797" s="73">
        <f>SUMIF($G1796:$T1796,"F",$G1797:$T1797)+SUMIF($W1796:$AJ1796,"F",$W1797:$AJ1797)</f>
        <v>0</v>
      </c>
      <c r="AQ1797" s="73">
        <f>SUMIF($G1796:$T1796,"V",$G1797:$T1797)+SUMIF($W1796:$AJ1796,"V",$W1797:$AJ1797)</f>
        <v>8</v>
      </c>
      <c r="AR1797" s="74">
        <f>SUMIF($G1796:$T1796,"O",$G1797:$T1797)+SUMIF($W1796:$AJ1796,"O",$W1797:$AJ1797)</f>
        <v>0</v>
      </c>
      <c r="AS1797" s="75">
        <f>SUM(AM1797:AR1797)</f>
        <v>79</v>
      </c>
      <c r="AT1797" s="72"/>
      <c r="AU1797" s="73">
        <f>SUMIF($G1796:$T1796,"A",$G1797:$T1797)+SUMIF($W1796:$AJ1796,"A",$W1797:$AJ1797)</f>
        <v>0</v>
      </c>
      <c r="AV1797" s="72"/>
      <c r="AW1797" s="76">
        <f>IF(B1797="",0,IF($U$9="",0,$U$9))</f>
        <v>80</v>
      </c>
      <c r="BA1797" s="2"/>
      <c r="BB1797" s="2"/>
      <c r="BC1797" s="101"/>
      <c r="BD1797" s="101"/>
    </row>
    <row r="1798" spans="2:56" s="84" customFormat="1" x14ac:dyDescent="0.35">
      <c r="B1798" s="26"/>
      <c r="C1798" s="27"/>
      <c r="D1798" s="28">
        <f>IF(D1724="","",D1724)</f>
        <v>78475</v>
      </c>
      <c r="E1798" s="29" t="str">
        <f t="shared" si="697"/>
        <v/>
      </c>
      <c r="F1798" s="50">
        <f>B1785</f>
        <v>8</v>
      </c>
      <c r="G1798" s="59"/>
      <c r="H1798" s="64"/>
      <c r="I1798" s="106"/>
      <c r="J1798" s="105"/>
      <c r="K1798" s="106"/>
      <c r="L1798" s="105"/>
      <c r="M1798" s="106"/>
      <c r="N1798" s="105"/>
      <c r="O1798" s="106"/>
      <c r="P1798" s="105"/>
      <c r="Q1798" s="106"/>
      <c r="R1798" s="105"/>
      <c r="S1798" s="59"/>
      <c r="T1798" s="64"/>
      <c r="U1798" s="44"/>
      <c r="W1798" s="59"/>
      <c r="X1798" s="64"/>
      <c r="Y1798" s="106"/>
      <c r="Z1798" s="105"/>
      <c r="AA1798" s="106"/>
      <c r="AB1798" s="105"/>
      <c r="AC1798" s="106"/>
      <c r="AD1798" s="105"/>
      <c r="AE1798" s="106"/>
      <c r="AF1798" s="105"/>
      <c r="AG1798" s="106"/>
      <c r="AH1798" s="105"/>
      <c r="AI1798" s="59"/>
      <c r="AJ1798" s="64"/>
      <c r="AK1798" s="44"/>
      <c r="AM1798" s="49"/>
      <c r="AN1798" s="49"/>
      <c r="AO1798" s="49"/>
      <c r="AP1798" s="49"/>
      <c r="AQ1798" s="49"/>
      <c r="AR1798" s="40"/>
      <c r="AS1798" s="51"/>
      <c r="AU1798" s="49"/>
      <c r="AW1798" s="52"/>
      <c r="BA1798" s="2"/>
      <c r="BB1798" s="2"/>
      <c r="BC1798" s="101"/>
      <c r="BD1798" s="101"/>
    </row>
    <row r="1799" spans="2:56" s="84" customFormat="1" x14ac:dyDescent="0.35">
      <c r="B1799" s="30" t="str">
        <f>IF(B1725="","",B1725)</f>
        <v>Charbonneau, Samuel</v>
      </c>
      <c r="C1799" s="31"/>
      <c r="D1799" s="32"/>
      <c r="E1799" s="33">
        <f t="shared" si="697"/>
        <v>93540</v>
      </c>
      <c r="F1799" s="50">
        <f>B1785</f>
        <v>8</v>
      </c>
      <c r="G1799" s="69"/>
      <c r="H1799" s="70"/>
      <c r="I1799" s="104"/>
      <c r="J1799" s="103">
        <v>8</v>
      </c>
      <c r="K1799" s="104"/>
      <c r="L1799" s="103">
        <v>8</v>
      </c>
      <c r="M1799" s="104"/>
      <c r="N1799" s="103">
        <v>8</v>
      </c>
      <c r="O1799" s="104"/>
      <c r="P1799" s="103">
        <v>8</v>
      </c>
      <c r="Q1799" s="104"/>
      <c r="R1799" s="103">
        <v>7.5</v>
      </c>
      <c r="S1799" s="69"/>
      <c r="T1799" s="70"/>
      <c r="U1799" s="71">
        <f t="shared" ref="U1799" si="701">SUM(G1799:T1799)</f>
        <v>39.5</v>
      </c>
      <c r="V1799" s="72"/>
      <c r="W1799" s="69"/>
      <c r="X1799" s="70"/>
      <c r="Y1799" s="104"/>
      <c r="Z1799" s="103">
        <v>8</v>
      </c>
      <c r="AA1799" s="104"/>
      <c r="AB1799" s="103">
        <v>8</v>
      </c>
      <c r="AC1799" s="104"/>
      <c r="AD1799" s="103">
        <v>8</v>
      </c>
      <c r="AE1799" s="104"/>
      <c r="AF1799" s="103">
        <v>8</v>
      </c>
      <c r="AG1799" s="104"/>
      <c r="AH1799" s="103">
        <v>7.5</v>
      </c>
      <c r="AI1799" s="69"/>
      <c r="AJ1799" s="70"/>
      <c r="AK1799" s="71">
        <f>SUM(W1799:AJ1799)</f>
        <v>39.5</v>
      </c>
      <c r="AL1799" s="72"/>
      <c r="AM1799" s="73">
        <f>SUMIF($G1798:$T1798,"",$G1799:$T1799)+SUMIF($W1798:$AJ1798,"",$W1799:$AJ1799)-AN1799</f>
        <v>79</v>
      </c>
      <c r="AN1799" s="88">
        <f>IF(SUMIF($G1798:$T1798,"",$G1799:$T1799)+SUMIF($G1798:$T1798,"F",$G1799:$T1799)+SUMIF($G1798:$T1798,"V",$G1799:$T1799)-40&lt;0,0,SUMIF($G1798:$T1798,"",$G1799:$T1799)+SUMIF($G1798:$T1798,"F",$G1799:$T1799)+SUMIF($G1798:$T1798,"V",$G1799:$T1799)-($U$9/2))+IF(SUMIF($W1798:$AJ1798,"",$W1799:$AJ1799)+SUMIF($W1798:$AJ1798,"F",$W1799:$AJ1799)+SUMIF($W1798:$AJ1798,"V",$W1799:$AJ1799)-40&lt;0,0,SUMIF($W1798:$AJ1798,"",$W1799:$AJ1799)+SUMIF($W1798:$AJ1798,"F",$W1799:$AJ1799)+SUMIF($W1798:$AJ1798,"V",$W1799:$AJ1799)-($U$9/2))</f>
        <v>0</v>
      </c>
      <c r="AO1799" s="73">
        <f>SUMIF($G1798:$T1798,"M",$G1799:$T1799)+SUMIF($W1798:$AJ1798,"M",$W1799:$AJ1799)</f>
        <v>0</v>
      </c>
      <c r="AP1799" s="73">
        <f>SUMIF($G1798:$T1798,"F",$G1799:$T1799)+SUMIF($W1798:$AJ1798,"F",$W1799:$AJ1799)</f>
        <v>0</v>
      </c>
      <c r="AQ1799" s="73">
        <f>SUMIF($G1798:$T1798,"V",$G1799:$T1799)+SUMIF($W1798:$AJ1798,"V",$W1799:$AJ1799)</f>
        <v>0</v>
      </c>
      <c r="AR1799" s="74">
        <f>SUMIF($G1798:$T1798,"O",$G1799:$T1799)+SUMIF($W1798:$AJ1798,"O",$W1799:$AJ1799)</f>
        <v>0</v>
      </c>
      <c r="AS1799" s="75">
        <f>SUM(AM1799:AR1799)</f>
        <v>79</v>
      </c>
      <c r="AT1799" s="72"/>
      <c r="AU1799" s="73">
        <f>SUMIF($G1798:$T1798,"A",$G1799:$T1799)+SUMIF($W1798:$AJ1798,"A",$W1799:$AJ1799)</f>
        <v>0</v>
      </c>
      <c r="AV1799" s="72"/>
      <c r="AW1799" s="76">
        <f>IF(B1799="",0,IF($U$9="",0,$U$9))</f>
        <v>80</v>
      </c>
      <c r="BA1799" s="2"/>
      <c r="BB1799" s="2"/>
      <c r="BC1799" s="101"/>
      <c r="BD1799" s="101"/>
    </row>
    <row r="1800" spans="2:56" s="84" customFormat="1" x14ac:dyDescent="0.35">
      <c r="B1800" s="26"/>
      <c r="C1800" s="27"/>
      <c r="D1800" s="28" t="str">
        <f>IF(D1726="","",D1726)</f>
        <v/>
      </c>
      <c r="E1800" s="29" t="str">
        <f t="shared" si="697"/>
        <v/>
      </c>
      <c r="F1800" s="50">
        <f>B1785</f>
        <v>8</v>
      </c>
      <c r="G1800" s="59"/>
      <c r="H1800" s="64"/>
      <c r="I1800" s="106"/>
      <c r="J1800" s="105"/>
      <c r="K1800" s="106"/>
      <c r="L1800" s="105"/>
      <c r="M1800" s="106"/>
      <c r="N1800" s="105"/>
      <c r="O1800" s="106"/>
      <c r="P1800" s="105"/>
      <c r="Q1800" s="106"/>
      <c r="R1800" s="105"/>
      <c r="S1800" s="59"/>
      <c r="T1800" s="64"/>
      <c r="U1800" s="44"/>
      <c r="W1800" s="59"/>
      <c r="X1800" s="64"/>
      <c r="Y1800" s="106"/>
      <c r="Z1800" s="105"/>
      <c r="AA1800" s="106"/>
      <c r="AB1800" s="105"/>
      <c r="AC1800" s="106"/>
      <c r="AD1800" s="105"/>
      <c r="AE1800" s="106"/>
      <c r="AF1800" s="105"/>
      <c r="AG1800" s="106"/>
      <c r="AH1800" s="105"/>
      <c r="AI1800" s="59"/>
      <c r="AJ1800" s="64"/>
      <c r="AK1800" s="44"/>
      <c r="AM1800" s="49"/>
      <c r="AN1800" s="49"/>
      <c r="AO1800" s="49"/>
      <c r="AP1800" s="49"/>
      <c r="AQ1800" s="49"/>
      <c r="AR1800" s="40"/>
      <c r="AS1800" s="51"/>
      <c r="AU1800" s="49"/>
      <c r="AW1800" s="52"/>
      <c r="BA1800" s="2"/>
      <c r="BB1800" s="2"/>
      <c r="BC1800" s="101"/>
      <c r="BD1800" s="101"/>
    </row>
    <row r="1801" spans="2:56" s="84" customFormat="1" x14ac:dyDescent="0.35">
      <c r="B1801" s="30" t="str">
        <f>IF(B1727="","",B1727)</f>
        <v/>
      </c>
      <c r="C1801" s="31"/>
      <c r="D1801" s="32"/>
      <c r="E1801" s="33" t="str">
        <f t="shared" si="697"/>
        <v/>
      </c>
      <c r="F1801" s="50">
        <f>B1785</f>
        <v>8</v>
      </c>
      <c r="G1801" s="69"/>
      <c r="H1801" s="70"/>
      <c r="I1801" s="104"/>
      <c r="J1801" s="103"/>
      <c r="K1801" s="104"/>
      <c r="L1801" s="103"/>
      <c r="M1801" s="104"/>
      <c r="N1801" s="103"/>
      <c r="O1801" s="104"/>
      <c r="P1801" s="103"/>
      <c r="Q1801" s="104"/>
      <c r="R1801" s="103"/>
      <c r="S1801" s="69"/>
      <c r="T1801" s="70"/>
      <c r="U1801" s="71">
        <f t="shared" ref="U1801" si="702">SUM(G1801:T1801)</f>
        <v>0</v>
      </c>
      <c r="V1801" s="72"/>
      <c r="W1801" s="69"/>
      <c r="X1801" s="70"/>
      <c r="Y1801" s="104"/>
      <c r="Z1801" s="103"/>
      <c r="AA1801" s="104"/>
      <c r="AB1801" s="103"/>
      <c r="AC1801" s="104"/>
      <c r="AD1801" s="103"/>
      <c r="AE1801" s="104"/>
      <c r="AF1801" s="103"/>
      <c r="AG1801" s="104"/>
      <c r="AH1801" s="103"/>
      <c r="AI1801" s="69"/>
      <c r="AJ1801" s="70"/>
      <c r="AK1801" s="71">
        <f>SUM(W1801:AJ1801)</f>
        <v>0</v>
      </c>
      <c r="AL1801" s="72"/>
      <c r="AM1801" s="73">
        <f>SUMIF($G1800:$T1800,"",$G1801:$T1801)+SUMIF($W1800:$AJ1800,"",$W1801:$AJ1801)-AN1801</f>
        <v>0</v>
      </c>
      <c r="AN1801" s="88">
        <f>IF(SUMIF($G1800:$T1800,"",$G1801:$T1801)+SUMIF($G1800:$T1800,"F",$G1801:$T1801)+SUMIF($G1800:$T1800,"V",$G1801:$T1801)-40&lt;0,0,SUMIF($G1800:$T1800,"",$G1801:$T1801)+SUMIF($G1800:$T1800,"F",$G1801:$T1801)+SUMIF($G1800:$T1800,"V",$G1801:$T1801)-($U$9/2))+IF(SUMIF($W1800:$AJ1800,"",$W1801:$AJ1801)+SUMIF($W1800:$AJ1800,"F",$W1801:$AJ1801)+SUMIF($W1800:$AJ1800,"V",$W1801:$AJ1801)-40&lt;0,0,SUMIF($W1800:$AJ1800,"",$W1801:$AJ1801)+SUMIF($W1800:$AJ1800,"F",$W1801:$AJ1801)+SUMIF($W1800:$AJ1800,"V",$W1801:$AJ1801)-($U$9/2))</f>
        <v>0</v>
      </c>
      <c r="AO1801" s="73">
        <f>SUMIF($G1800:$T1800,"M",$G1801:$T1801)+SUMIF($W1800:$AJ1800,"M",$W1801:$AJ1801)</f>
        <v>0</v>
      </c>
      <c r="AP1801" s="73">
        <f>SUMIF($G1800:$T1800,"F",$G1801:$T1801)+SUMIF($W1800:$AJ1800,"F",$W1801:$AJ1801)</f>
        <v>0</v>
      </c>
      <c r="AQ1801" s="73">
        <f>SUMIF($G1800:$T1800,"V",$G1801:$T1801)+SUMIF($W1800:$AJ1800,"V",$W1801:$AJ1801)</f>
        <v>0</v>
      </c>
      <c r="AR1801" s="74">
        <f>SUMIF($G1800:$T1800,"O",$G1801:$T1801)+SUMIF($W1800:$AJ1800,"O",$W1801:$AJ1801)</f>
        <v>0</v>
      </c>
      <c r="AS1801" s="75">
        <f>SUM(AM1801:AR1801)</f>
        <v>0</v>
      </c>
      <c r="AT1801" s="72"/>
      <c r="AU1801" s="73">
        <f>SUMIF($G1800:$T1800,"A",$G1801:$T1801)+SUMIF($W1800:$AJ1800,"A",$W1801:$AJ1801)</f>
        <v>0</v>
      </c>
      <c r="AV1801" s="72"/>
      <c r="AW1801" s="76">
        <f>IF(B1801="",0,IF($U$9="",0,$U$9))</f>
        <v>0</v>
      </c>
      <c r="BA1801" s="2"/>
      <c r="BB1801" s="2"/>
      <c r="BC1801" s="101"/>
      <c r="BD1801" s="101"/>
    </row>
    <row r="1802" spans="2:56" s="84" customFormat="1" x14ac:dyDescent="0.35">
      <c r="B1802" s="26"/>
      <c r="C1802" s="27"/>
      <c r="D1802" s="28">
        <f>IF(D1728="","",D1728)</f>
        <v>79709</v>
      </c>
      <c r="E1802" s="29" t="str">
        <f t="shared" si="697"/>
        <v/>
      </c>
      <c r="F1802" s="50">
        <f>B1785</f>
        <v>8</v>
      </c>
      <c r="G1802" s="59"/>
      <c r="H1802" s="64"/>
      <c r="I1802" s="106"/>
      <c r="J1802" s="105"/>
      <c r="K1802" s="106"/>
      <c r="L1802" s="105"/>
      <c r="M1802" s="106"/>
      <c r="N1802" s="105"/>
      <c r="O1802" s="106"/>
      <c r="P1802" s="105"/>
      <c r="Q1802" s="106"/>
      <c r="R1802" s="105"/>
      <c r="S1802" s="59"/>
      <c r="T1802" s="64"/>
      <c r="U1802" s="44"/>
      <c r="W1802" s="59"/>
      <c r="X1802" s="64"/>
      <c r="Y1802" s="106"/>
      <c r="Z1802" s="105"/>
      <c r="AA1802" s="106"/>
      <c r="AB1802" s="105"/>
      <c r="AC1802" s="106"/>
      <c r="AD1802" s="105"/>
      <c r="AE1802" s="106"/>
      <c r="AF1802" s="105"/>
      <c r="AG1802" s="106"/>
      <c r="AH1802" s="105"/>
      <c r="AI1802" s="59"/>
      <c r="AJ1802" s="64"/>
      <c r="AK1802" s="44"/>
      <c r="AM1802" s="49"/>
      <c r="AN1802" s="49"/>
      <c r="AO1802" s="49"/>
      <c r="AP1802" s="49"/>
      <c r="AQ1802" s="49"/>
      <c r="AR1802" s="40"/>
      <c r="AS1802" s="51"/>
      <c r="AU1802" s="49"/>
      <c r="AW1802" s="52"/>
      <c r="BA1802" s="2"/>
      <c r="BB1802" s="2"/>
      <c r="BC1802" s="101"/>
      <c r="BD1802" s="101"/>
    </row>
    <row r="1803" spans="2:56" s="84" customFormat="1" x14ac:dyDescent="0.35">
      <c r="B1803" s="30" t="str">
        <f>IF(B1729="","",B1729)</f>
        <v>De Rose, Natale</v>
      </c>
      <c r="C1803" s="31"/>
      <c r="D1803" s="32"/>
      <c r="E1803" s="33">
        <f t="shared" si="697"/>
        <v>93595935</v>
      </c>
      <c r="F1803" s="50">
        <f>B1785</f>
        <v>8</v>
      </c>
      <c r="G1803" s="69"/>
      <c r="H1803" s="70"/>
      <c r="I1803" s="104"/>
      <c r="J1803" s="103">
        <v>8</v>
      </c>
      <c r="K1803" s="104"/>
      <c r="L1803" s="103">
        <v>8</v>
      </c>
      <c r="M1803" s="104"/>
      <c r="N1803" s="103">
        <v>8</v>
      </c>
      <c r="O1803" s="104"/>
      <c r="P1803" s="103">
        <v>8</v>
      </c>
      <c r="Q1803" s="104"/>
      <c r="R1803" s="103">
        <v>8</v>
      </c>
      <c r="S1803" s="69"/>
      <c r="T1803" s="70"/>
      <c r="U1803" s="71">
        <f t="shared" ref="U1803" si="703">SUM(G1803:T1803)</f>
        <v>40</v>
      </c>
      <c r="V1803" s="72"/>
      <c r="W1803" s="69"/>
      <c r="X1803" s="70"/>
      <c r="Y1803" s="104"/>
      <c r="Z1803" s="103">
        <v>8</v>
      </c>
      <c r="AA1803" s="104"/>
      <c r="AB1803" s="103">
        <v>8</v>
      </c>
      <c r="AC1803" s="104"/>
      <c r="AD1803" s="103">
        <v>8</v>
      </c>
      <c r="AE1803" s="104"/>
      <c r="AF1803" s="103">
        <v>8</v>
      </c>
      <c r="AG1803" s="104"/>
      <c r="AH1803" s="103">
        <v>8</v>
      </c>
      <c r="AI1803" s="69"/>
      <c r="AJ1803" s="70"/>
      <c r="AK1803" s="71">
        <f>SUM(W1803:AJ1803)</f>
        <v>40</v>
      </c>
      <c r="AL1803" s="72"/>
      <c r="AM1803" s="73">
        <f>SUMIF($G1802:$T1802,"",$G1803:$T1803)+SUMIF($W1802:$AJ1802,"",$W1803:$AJ1803)-AN1803</f>
        <v>80</v>
      </c>
      <c r="AN1803" s="88">
        <f>IF(SUMIF($G1802:$T1802,"",$G1803:$T1803)+SUMIF($G1802:$T1802,"F",$G1803:$T1803)+SUMIF($G1802:$T1802,"V",$G1803:$T1803)-40&lt;0,0,SUMIF($G1802:$T1802,"",$G1803:$T1803)+SUMIF($G1802:$T1802,"F",$G1803:$T1803)+SUMIF($G1802:$T1802,"V",$G1803:$T1803)-($U$9/2))+IF(SUMIF($W1802:$AJ1802,"",$W1803:$AJ1803)+SUMIF($W1802:$AJ1802,"F",$W1803:$AJ1803)+SUMIF($W1802:$AJ1802,"V",$W1803:$AJ1803)-40&lt;0,0,SUMIF($W1802:$AJ1802,"",$W1803:$AJ1803)+SUMIF($W1802:$AJ1802,"F",$W1803:$AJ1803)+SUMIF($W1802:$AJ1802,"V",$W1803:$AJ1803)-($U$9/2))</f>
        <v>0</v>
      </c>
      <c r="AO1803" s="73">
        <f>SUMIF($G1802:$T1802,"M",$G1803:$T1803)+SUMIF($W1802:$AJ1802,"M",$W1803:$AJ1803)</f>
        <v>0</v>
      </c>
      <c r="AP1803" s="73">
        <f>SUMIF($G1802:$T1802,"F",$G1803:$T1803)+SUMIF($W1802:$AJ1802,"F",$W1803:$AJ1803)</f>
        <v>0</v>
      </c>
      <c r="AQ1803" s="73">
        <f>SUMIF($G1802:$T1802,"V",$G1803:$T1803)+SUMIF($W1802:$AJ1802,"V",$W1803:$AJ1803)</f>
        <v>0</v>
      </c>
      <c r="AR1803" s="74">
        <f>SUMIF($G1802:$T1802,"O",$G1803:$T1803)+SUMIF($W1802:$AJ1802,"O",$W1803:$AJ1803)</f>
        <v>0</v>
      </c>
      <c r="AS1803" s="75">
        <f>SUM(AM1803:AR1803)</f>
        <v>80</v>
      </c>
      <c r="AT1803" s="72"/>
      <c r="AU1803" s="73">
        <f>SUMIF($G1802:$T1802,"A",$G1803:$T1803)+SUMIF($W1802:$AJ1802,"A",$W1803:$AJ1803)</f>
        <v>0</v>
      </c>
      <c r="AV1803" s="72"/>
      <c r="AW1803" s="76">
        <f>IF(B1803="",0,IF($U$9="",0,$U$9))</f>
        <v>80</v>
      </c>
      <c r="BA1803" s="2"/>
      <c r="BB1803" s="2"/>
      <c r="BC1803" s="101"/>
      <c r="BD1803" s="101"/>
    </row>
    <row r="1804" spans="2:56" s="84" customFormat="1" x14ac:dyDescent="0.35">
      <c r="B1804" s="26"/>
      <c r="C1804" s="27"/>
      <c r="D1804" s="28">
        <f>IF(D1730="","",D1730)</f>
        <v>92027</v>
      </c>
      <c r="E1804" s="29" t="str">
        <f t="shared" si="697"/>
        <v/>
      </c>
      <c r="F1804" s="50">
        <f>B1785</f>
        <v>8</v>
      </c>
      <c r="G1804" s="59"/>
      <c r="H1804" s="64"/>
      <c r="I1804" s="106"/>
      <c r="J1804" s="105"/>
      <c r="K1804" s="106"/>
      <c r="L1804" s="105"/>
      <c r="M1804" s="106"/>
      <c r="N1804" s="105"/>
      <c r="O1804" s="106"/>
      <c r="P1804" s="105"/>
      <c r="Q1804" s="106"/>
      <c r="R1804" s="105"/>
      <c r="S1804" s="59"/>
      <c r="T1804" s="64"/>
      <c r="U1804" s="44"/>
      <c r="W1804" s="59"/>
      <c r="X1804" s="64"/>
      <c r="Y1804" s="106"/>
      <c r="Z1804" s="105"/>
      <c r="AA1804" s="106"/>
      <c r="AB1804" s="105"/>
      <c r="AC1804" s="106"/>
      <c r="AD1804" s="105"/>
      <c r="AE1804" s="106"/>
      <c r="AF1804" s="105"/>
      <c r="AG1804" s="106"/>
      <c r="AH1804" s="105"/>
      <c r="AI1804" s="59"/>
      <c r="AJ1804" s="64"/>
      <c r="AK1804" s="44"/>
      <c r="AM1804" s="49"/>
      <c r="AN1804" s="49"/>
      <c r="AO1804" s="49"/>
      <c r="AP1804" s="49"/>
      <c r="AQ1804" s="49"/>
      <c r="AR1804" s="40"/>
      <c r="AS1804" s="51"/>
      <c r="AU1804" s="49"/>
      <c r="AW1804" s="52"/>
      <c r="BA1804" s="2"/>
      <c r="BB1804" s="2"/>
      <c r="BC1804" s="101"/>
      <c r="BD1804" s="101"/>
    </row>
    <row r="1805" spans="2:56" s="84" customFormat="1" x14ac:dyDescent="0.35">
      <c r="B1805" s="30" t="str">
        <f>IF(B1731="","",B1731)</f>
        <v>Descoteaux, Gerald</v>
      </c>
      <c r="C1805" s="31"/>
      <c r="D1805" s="32"/>
      <c r="E1805" s="33">
        <f t="shared" si="697"/>
        <v>93595935</v>
      </c>
      <c r="F1805" s="50">
        <f>B1785</f>
        <v>8</v>
      </c>
      <c r="G1805" s="69"/>
      <c r="H1805" s="70"/>
      <c r="I1805" s="104"/>
      <c r="J1805" s="103">
        <v>8</v>
      </c>
      <c r="K1805" s="104"/>
      <c r="L1805" s="103">
        <v>8</v>
      </c>
      <c r="M1805" s="104"/>
      <c r="N1805" s="103">
        <v>8</v>
      </c>
      <c r="O1805" s="104"/>
      <c r="P1805" s="103">
        <v>8</v>
      </c>
      <c r="Q1805" s="104"/>
      <c r="R1805" s="103">
        <v>8</v>
      </c>
      <c r="S1805" s="69"/>
      <c r="T1805" s="70"/>
      <c r="U1805" s="71">
        <f t="shared" ref="U1805" si="704">SUM(G1805:T1805)</f>
        <v>40</v>
      </c>
      <c r="V1805" s="72"/>
      <c r="W1805" s="69"/>
      <c r="X1805" s="70"/>
      <c r="Y1805" s="104"/>
      <c r="Z1805" s="103">
        <v>8</v>
      </c>
      <c r="AA1805" s="104"/>
      <c r="AB1805" s="103">
        <v>8</v>
      </c>
      <c r="AC1805" s="104"/>
      <c r="AD1805" s="103">
        <v>8</v>
      </c>
      <c r="AE1805" s="104"/>
      <c r="AF1805" s="103">
        <v>8</v>
      </c>
      <c r="AG1805" s="104"/>
      <c r="AH1805" s="103">
        <v>8</v>
      </c>
      <c r="AI1805" s="69"/>
      <c r="AJ1805" s="70"/>
      <c r="AK1805" s="71">
        <f>SUM(W1805:AJ1805)</f>
        <v>40</v>
      </c>
      <c r="AL1805" s="72"/>
      <c r="AM1805" s="73">
        <f>SUMIF($G1804:$T1804,"",$G1805:$T1805)+SUMIF($W1804:$AJ1804,"",$W1805:$AJ1805)-AN1805</f>
        <v>80</v>
      </c>
      <c r="AN1805" s="88">
        <f>IF(SUMIF($G1804:$T1804,"",$G1805:$T1805)+SUMIF($G1804:$T1804,"F",$G1805:$T1805)+SUMIF($G1804:$T1804,"V",$G1805:$T1805)-40&lt;0,0,SUMIF($G1804:$T1804,"",$G1805:$T1805)+SUMIF($G1804:$T1804,"F",$G1805:$T1805)+SUMIF($G1804:$T1804,"V",$G1805:$T1805)-($U$9/2))+IF(SUMIF($W1804:$AJ1804,"",$W1805:$AJ1805)+SUMIF($W1804:$AJ1804,"F",$W1805:$AJ1805)+SUMIF($W1804:$AJ1804,"V",$W1805:$AJ1805)-40&lt;0,0,SUMIF($W1804:$AJ1804,"",$W1805:$AJ1805)+SUMIF($W1804:$AJ1804,"F",$W1805:$AJ1805)+SUMIF($W1804:$AJ1804,"V",$W1805:$AJ1805)-($U$9/2))</f>
        <v>0</v>
      </c>
      <c r="AO1805" s="73">
        <f>SUMIF($G1804:$T1804,"M",$G1805:$T1805)+SUMIF($W1804:$AJ1804,"M",$W1805:$AJ1805)</f>
        <v>0</v>
      </c>
      <c r="AP1805" s="73">
        <f>SUMIF($G1804:$T1804,"F",$G1805:$T1805)+SUMIF($W1804:$AJ1804,"F",$W1805:$AJ1805)</f>
        <v>0</v>
      </c>
      <c r="AQ1805" s="73">
        <f>SUMIF($G1804:$T1804,"V",$G1805:$T1805)+SUMIF($W1804:$AJ1804,"V",$W1805:$AJ1805)</f>
        <v>0</v>
      </c>
      <c r="AR1805" s="74">
        <f>SUMIF($G1804:$T1804,"O",$G1805:$T1805)+SUMIF($W1804:$AJ1804,"O",$W1805:$AJ1805)</f>
        <v>0</v>
      </c>
      <c r="AS1805" s="75">
        <f>SUM(AM1805:AR1805)</f>
        <v>80</v>
      </c>
      <c r="AT1805" s="72"/>
      <c r="AU1805" s="73">
        <f>SUMIF($G1804:$T1804,"A",$G1805:$T1805)+SUMIF($W1804:$AJ1804,"A",$W1805:$AJ1805)</f>
        <v>0</v>
      </c>
      <c r="AV1805" s="72"/>
      <c r="AW1805" s="76">
        <f>IF(B1805="",0,IF($U$9="",0,$U$9))</f>
        <v>80</v>
      </c>
      <c r="BA1805" s="2"/>
      <c r="BB1805" s="2"/>
      <c r="BC1805" s="101"/>
      <c r="BD1805" s="101"/>
    </row>
    <row r="1806" spans="2:56" s="84" customFormat="1" x14ac:dyDescent="0.35">
      <c r="B1806" s="26"/>
      <c r="C1806" s="27"/>
      <c r="D1806" s="28">
        <f>IF(D1732="","",D1732)</f>
        <v>73795</v>
      </c>
      <c r="E1806" s="29" t="str">
        <f t="shared" si="697"/>
        <v/>
      </c>
      <c r="F1806" s="50">
        <f>B1785</f>
        <v>8</v>
      </c>
      <c r="G1806" s="59"/>
      <c r="H1806" s="64"/>
      <c r="I1806" s="106"/>
      <c r="J1806" s="105"/>
      <c r="K1806" s="106"/>
      <c r="L1806" s="105"/>
      <c r="M1806" s="106"/>
      <c r="N1806" s="105"/>
      <c r="O1806" s="106"/>
      <c r="P1806" s="105"/>
      <c r="Q1806" s="106"/>
      <c r="R1806" s="105"/>
      <c r="S1806" s="59"/>
      <c r="T1806" s="64"/>
      <c r="U1806" s="44"/>
      <c r="W1806" s="59"/>
      <c r="X1806" s="64"/>
      <c r="Y1806" s="106"/>
      <c r="Z1806" s="105"/>
      <c r="AA1806" s="106"/>
      <c r="AB1806" s="105"/>
      <c r="AC1806" s="106"/>
      <c r="AD1806" s="105"/>
      <c r="AE1806" s="106"/>
      <c r="AF1806" s="105"/>
      <c r="AG1806" s="106"/>
      <c r="AH1806" s="105"/>
      <c r="AI1806" s="59"/>
      <c r="AJ1806" s="64"/>
      <c r="AK1806" s="44"/>
      <c r="AM1806" s="49"/>
      <c r="AN1806" s="49"/>
      <c r="AO1806" s="49"/>
      <c r="AP1806" s="49"/>
      <c r="AQ1806" s="49"/>
      <c r="AR1806" s="40"/>
      <c r="AS1806" s="51"/>
      <c r="AU1806" s="49"/>
      <c r="AW1806" s="52"/>
      <c r="BA1806" s="2"/>
      <c r="BB1806" s="2"/>
      <c r="BC1806" s="101"/>
      <c r="BD1806" s="101"/>
    </row>
    <row r="1807" spans="2:56" s="84" customFormat="1" x14ac:dyDescent="0.35">
      <c r="B1807" s="30" t="str">
        <f>IF(B1733="","",B1733)</f>
        <v>Fortin, Veronique</v>
      </c>
      <c r="C1807" s="31"/>
      <c r="D1807" s="32"/>
      <c r="E1807" s="33">
        <f t="shared" si="697"/>
        <v>93540</v>
      </c>
      <c r="F1807" s="50">
        <f>B1785</f>
        <v>8</v>
      </c>
      <c r="G1807" s="69"/>
      <c r="H1807" s="70"/>
      <c r="I1807" s="104"/>
      <c r="J1807" s="103">
        <v>8</v>
      </c>
      <c r="K1807" s="104"/>
      <c r="L1807" s="103">
        <v>8</v>
      </c>
      <c r="M1807" s="104"/>
      <c r="N1807" s="103">
        <v>8</v>
      </c>
      <c r="O1807" s="104"/>
      <c r="P1807" s="103">
        <v>8</v>
      </c>
      <c r="Q1807" s="104"/>
      <c r="R1807" s="103">
        <v>8</v>
      </c>
      <c r="S1807" s="69"/>
      <c r="T1807" s="70"/>
      <c r="U1807" s="71">
        <f t="shared" ref="U1807" si="705">SUM(G1807:T1807)</f>
        <v>40</v>
      </c>
      <c r="V1807" s="72"/>
      <c r="W1807" s="69"/>
      <c r="X1807" s="70"/>
      <c r="Y1807" s="104"/>
      <c r="Z1807" s="103">
        <v>8</v>
      </c>
      <c r="AA1807" s="104"/>
      <c r="AB1807" s="103">
        <v>8</v>
      </c>
      <c r="AC1807" s="104"/>
      <c r="AD1807" s="103">
        <v>8</v>
      </c>
      <c r="AE1807" s="104"/>
      <c r="AF1807" s="103">
        <v>8</v>
      </c>
      <c r="AG1807" s="104"/>
      <c r="AH1807" s="103">
        <v>8</v>
      </c>
      <c r="AI1807" s="69"/>
      <c r="AJ1807" s="70"/>
      <c r="AK1807" s="71">
        <f>SUM(W1807:AJ1807)</f>
        <v>40</v>
      </c>
      <c r="AL1807" s="72"/>
      <c r="AM1807" s="73">
        <f>SUMIF($G1806:$T1806,"",$G1807:$T1807)+SUMIF($W1806:$AJ1806,"",$W1807:$AJ1807)-AN1807</f>
        <v>80</v>
      </c>
      <c r="AN1807" s="88">
        <f>IF(SUMIF($G1806:$T1806,"",$G1807:$T1807)+SUMIF($G1806:$T1806,"F",$G1807:$T1807)+SUMIF($G1806:$T1806,"V",$G1807:$T1807)-40&lt;0,0,SUMIF($G1806:$T1806,"",$G1807:$T1807)+SUMIF($G1806:$T1806,"F",$G1807:$T1807)+SUMIF($G1806:$T1806,"V",$G1807:$T1807)-($U$9/2))+IF(SUMIF($W1806:$AJ1806,"",$W1807:$AJ1807)+SUMIF($W1806:$AJ1806,"F",$W1807:$AJ1807)+SUMIF($W1806:$AJ1806,"V",$W1807:$AJ1807)-40&lt;0,0,SUMIF($W1806:$AJ1806,"",$W1807:$AJ1807)+SUMIF($W1806:$AJ1806,"F",$W1807:$AJ1807)+SUMIF($W1806:$AJ1806,"V",$W1807:$AJ1807)-($U$9/2))</f>
        <v>0</v>
      </c>
      <c r="AO1807" s="73">
        <f>SUMIF($G1806:$T1806,"M",$G1807:$T1807)+SUMIF($W1806:$AJ1806,"M",$W1807:$AJ1807)</f>
        <v>0</v>
      </c>
      <c r="AP1807" s="73">
        <f>SUMIF($G1806:$T1806,"F",$G1807:$T1807)+SUMIF($W1806:$AJ1806,"F",$W1807:$AJ1807)</f>
        <v>0</v>
      </c>
      <c r="AQ1807" s="73">
        <f>SUMIF($G1806:$T1806,"V",$G1807:$T1807)+SUMIF($W1806:$AJ1806,"V",$W1807:$AJ1807)</f>
        <v>0</v>
      </c>
      <c r="AR1807" s="74">
        <f>SUMIF($G1806:$T1806,"O",$G1807:$T1807)+SUMIF($W1806:$AJ1806,"O",$W1807:$AJ1807)</f>
        <v>0</v>
      </c>
      <c r="AS1807" s="75">
        <f>SUM(AM1807:AR1807)</f>
        <v>80</v>
      </c>
      <c r="AT1807" s="72"/>
      <c r="AU1807" s="73">
        <f>SUMIF($G1806:$T1806,"A",$G1807:$T1807)+SUMIF($W1806:$AJ1806,"A",$W1807:$AJ1807)</f>
        <v>0</v>
      </c>
      <c r="AV1807" s="72"/>
      <c r="AW1807" s="76">
        <f>IF(B1807="",0,IF($U$9="",0,$U$9))</f>
        <v>80</v>
      </c>
      <c r="BA1807" s="2"/>
      <c r="BB1807" s="2"/>
      <c r="BC1807" s="101"/>
      <c r="BD1807" s="101"/>
    </row>
    <row r="1808" spans="2:56" s="84" customFormat="1" x14ac:dyDescent="0.35">
      <c r="B1808" s="26"/>
      <c r="C1808" s="27"/>
      <c r="D1808" s="28">
        <f>IF(D1734="","",D1734)</f>
        <v>23206</v>
      </c>
      <c r="E1808" s="29" t="str">
        <f t="shared" si="697"/>
        <v/>
      </c>
      <c r="F1808" s="50">
        <f>B1785</f>
        <v>8</v>
      </c>
      <c r="G1808" s="59"/>
      <c r="H1808" s="64"/>
      <c r="I1808" s="106"/>
      <c r="J1808" s="105"/>
      <c r="K1808" s="106"/>
      <c r="L1808" s="105"/>
      <c r="M1808" s="106"/>
      <c r="N1808" s="105"/>
      <c r="O1808" s="106"/>
      <c r="P1808" s="105"/>
      <c r="Q1808" s="106"/>
      <c r="R1808" s="105"/>
      <c r="S1808" s="59"/>
      <c r="T1808" s="64"/>
      <c r="U1808" s="44"/>
      <c r="W1808" s="59"/>
      <c r="X1808" s="64"/>
      <c r="Y1808" s="106"/>
      <c r="Z1808" s="105" t="s">
        <v>2</v>
      </c>
      <c r="AA1808" s="106"/>
      <c r="AB1808" s="105"/>
      <c r="AC1808" s="106"/>
      <c r="AD1808" s="105"/>
      <c r="AE1808" s="106"/>
      <c r="AF1808" s="105"/>
      <c r="AG1808" s="106"/>
      <c r="AH1808" s="105"/>
      <c r="AI1808" s="59"/>
      <c r="AJ1808" s="64"/>
      <c r="AK1808" s="44"/>
      <c r="AM1808" s="49"/>
      <c r="AN1808" s="49"/>
      <c r="AO1808" s="49"/>
      <c r="AP1808" s="49"/>
      <c r="AQ1808" s="49"/>
      <c r="AR1808" s="40"/>
      <c r="AS1808" s="51"/>
      <c r="AU1808" s="49"/>
      <c r="AW1808" s="52"/>
      <c r="BA1808" s="2"/>
      <c r="BB1808" s="2"/>
      <c r="BC1808" s="101"/>
      <c r="BD1808" s="101"/>
    </row>
    <row r="1809" spans="2:56" s="84" customFormat="1" x14ac:dyDescent="0.35">
      <c r="B1809" s="30" t="str">
        <f>IF(B1735="","",B1735)</f>
        <v>Gadbois, Dominic</v>
      </c>
      <c r="C1809" s="31"/>
      <c r="D1809" s="32"/>
      <c r="E1809" s="33">
        <f t="shared" si="697"/>
        <v>93545</v>
      </c>
      <c r="F1809" s="50">
        <f>B1785</f>
        <v>8</v>
      </c>
      <c r="G1809" s="69"/>
      <c r="H1809" s="70"/>
      <c r="I1809" s="104"/>
      <c r="J1809" s="103">
        <v>9</v>
      </c>
      <c r="K1809" s="104"/>
      <c r="L1809" s="103">
        <v>8.25</v>
      </c>
      <c r="M1809" s="104"/>
      <c r="N1809" s="103">
        <v>7.75</v>
      </c>
      <c r="O1809" s="104"/>
      <c r="P1809" s="103">
        <v>7.75</v>
      </c>
      <c r="Q1809" s="104"/>
      <c r="R1809" s="103">
        <v>7.5</v>
      </c>
      <c r="S1809" s="69"/>
      <c r="T1809" s="70"/>
      <c r="U1809" s="71">
        <f t="shared" ref="U1809" si="706">SUM(G1809:T1809)</f>
        <v>40.25</v>
      </c>
      <c r="V1809" s="72"/>
      <c r="W1809" s="69"/>
      <c r="X1809" s="70"/>
      <c r="Y1809" s="104"/>
      <c r="Z1809" s="103">
        <v>0</v>
      </c>
      <c r="AA1809" s="104"/>
      <c r="AB1809" s="103">
        <v>7.75</v>
      </c>
      <c r="AC1809" s="104"/>
      <c r="AD1809" s="103">
        <v>8</v>
      </c>
      <c r="AE1809" s="104"/>
      <c r="AF1809" s="103">
        <v>8</v>
      </c>
      <c r="AG1809" s="104"/>
      <c r="AH1809" s="103">
        <v>7.5</v>
      </c>
      <c r="AI1809" s="69"/>
      <c r="AJ1809" s="70"/>
      <c r="AK1809" s="71">
        <f>SUM(W1809:AJ1809)</f>
        <v>31.25</v>
      </c>
      <c r="AL1809" s="72"/>
      <c r="AM1809" s="73">
        <f>SUMIF($G1808:$T1808,"",$G1809:$T1809)+SUMIF($W1808:$AJ1808,"",$W1809:$AJ1809)-AN1809</f>
        <v>71.25</v>
      </c>
      <c r="AN1809" s="88">
        <f>IF(SUMIF($G1808:$T1808,"",$G1809:$T1809)+SUMIF($G1808:$T1808,"F",$G1809:$T1809)+SUMIF($G1808:$T1808,"V",$G1809:$T1809)-40&lt;0,0,SUMIF($G1808:$T1808,"",$G1809:$T1809)+SUMIF($G1808:$T1808,"F",$G1809:$T1809)+SUMIF($G1808:$T1808,"V",$G1809:$T1809)-($U$9/2))+IF(SUMIF($W1808:$AJ1808,"",$W1809:$AJ1809)+SUMIF($W1808:$AJ1808,"F",$W1809:$AJ1809)+SUMIF($W1808:$AJ1808,"V",$W1809:$AJ1809)-40&lt;0,0,SUMIF($W1808:$AJ1808,"",$W1809:$AJ1809)+SUMIF($W1808:$AJ1808,"F",$W1809:$AJ1809)+SUMIF($W1808:$AJ1808,"V",$W1809:$AJ1809)-($U$9/2))</f>
        <v>0.25</v>
      </c>
      <c r="AO1809" s="73">
        <f>SUMIF($G1808:$T1808,"M",$G1809:$T1809)+SUMIF($W1808:$AJ1808,"M",$W1809:$AJ1809)</f>
        <v>0</v>
      </c>
      <c r="AP1809" s="73">
        <f>SUMIF($G1808:$T1808,"F",$G1809:$T1809)+SUMIF($W1808:$AJ1808,"F",$W1809:$AJ1809)</f>
        <v>0</v>
      </c>
      <c r="AQ1809" s="73">
        <f>SUMIF($G1808:$T1808,"V",$G1809:$T1809)+SUMIF($W1808:$AJ1808,"V",$W1809:$AJ1809)</f>
        <v>0</v>
      </c>
      <c r="AR1809" s="74">
        <f>SUMIF($G1808:$T1808,"O",$G1809:$T1809)+SUMIF($W1808:$AJ1808,"O",$W1809:$AJ1809)</f>
        <v>0</v>
      </c>
      <c r="AS1809" s="75">
        <f>SUM(AM1809:AR1809)</f>
        <v>71.5</v>
      </c>
      <c r="AT1809" s="72"/>
      <c r="AU1809" s="73">
        <f>SUMIF($G1808:$T1808,"A",$G1809:$T1809)+SUMIF($W1808:$AJ1808,"A",$W1809:$AJ1809)</f>
        <v>0</v>
      </c>
      <c r="AV1809" s="72"/>
      <c r="AW1809" s="76">
        <f>IF(B1809="",0,IF($U$9="",0,$U$9))</f>
        <v>80</v>
      </c>
      <c r="BA1809" s="2"/>
      <c r="BB1809" s="2"/>
      <c r="BC1809" s="101"/>
      <c r="BD1809" s="101"/>
    </row>
    <row r="1810" spans="2:56" s="84" customFormat="1" x14ac:dyDescent="0.35">
      <c r="B1810" s="26"/>
      <c r="C1810" s="27"/>
      <c r="D1810" s="28">
        <f>IF(D1736="","",D1736)</f>
        <v>33664</v>
      </c>
      <c r="E1810" s="29" t="str">
        <f t="shared" si="697"/>
        <v/>
      </c>
      <c r="F1810" s="50">
        <f>B1785</f>
        <v>8</v>
      </c>
      <c r="G1810" s="59"/>
      <c r="H1810" s="64"/>
      <c r="I1810" s="106"/>
      <c r="J1810" s="105"/>
      <c r="K1810" s="106"/>
      <c r="L1810" s="105"/>
      <c r="M1810" s="106"/>
      <c r="N1810" s="105"/>
      <c r="O1810" s="106"/>
      <c r="P1810" s="105"/>
      <c r="Q1810" s="106"/>
      <c r="R1810" s="105"/>
      <c r="S1810" s="59"/>
      <c r="T1810" s="64"/>
      <c r="U1810" s="44"/>
      <c r="W1810" s="59"/>
      <c r="X1810" s="64"/>
      <c r="Y1810" s="106"/>
      <c r="Z1810" s="105"/>
      <c r="AA1810" s="106"/>
      <c r="AB1810" s="105"/>
      <c r="AC1810" s="106"/>
      <c r="AD1810" s="105"/>
      <c r="AE1810" s="106"/>
      <c r="AF1810" s="105"/>
      <c r="AG1810" s="106"/>
      <c r="AH1810" s="105"/>
      <c r="AI1810" s="59"/>
      <c r="AJ1810" s="64"/>
      <c r="AK1810" s="44"/>
      <c r="AM1810" s="49"/>
      <c r="AN1810" s="49"/>
      <c r="AO1810" s="49"/>
      <c r="AP1810" s="49"/>
      <c r="AQ1810" s="49"/>
      <c r="AR1810" s="40"/>
      <c r="AS1810" s="51"/>
      <c r="AU1810" s="49"/>
      <c r="AW1810" s="52"/>
      <c r="BA1810" s="2"/>
      <c r="BB1810" s="2"/>
      <c r="BC1810" s="101"/>
      <c r="BD1810" s="101"/>
    </row>
    <row r="1811" spans="2:56" s="84" customFormat="1" x14ac:dyDescent="0.35">
      <c r="B1811" s="30" t="str">
        <f>IF(B1737="","",B1737)</f>
        <v>Knox Michaud, Jessy</v>
      </c>
      <c r="C1811" s="31"/>
      <c r="D1811" s="32"/>
      <c r="E1811" s="33">
        <f t="shared" si="697"/>
        <v>93542</v>
      </c>
      <c r="F1811" s="50">
        <f>B1785</f>
        <v>8</v>
      </c>
      <c r="G1811" s="69"/>
      <c r="H1811" s="70"/>
      <c r="I1811" s="104"/>
      <c r="J1811" s="103">
        <v>9</v>
      </c>
      <c r="K1811" s="104"/>
      <c r="L1811" s="103">
        <v>9</v>
      </c>
      <c r="M1811" s="104"/>
      <c r="N1811" s="103">
        <v>9.5</v>
      </c>
      <c r="O1811" s="104"/>
      <c r="P1811" s="103">
        <v>9</v>
      </c>
      <c r="Q1811" s="104"/>
      <c r="R1811" s="103">
        <v>9</v>
      </c>
      <c r="S1811" s="69"/>
      <c r="T1811" s="70"/>
      <c r="U1811" s="71">
        <f t="shared" ref="U1811" si="707">SUM(G1811:T1811)</f>
        <v>45.5</v>
      </c>
      <c r="V1811" s="72"/>
      <c r="W1811" s="69"/>
      <c r="X1811" s="70"/>
      <c r="Y1811" s="104"/>
      <c r="Z1811" s="103">
        <v>9</v>
      </c>
      <c r="AA1811" s="104"/>
      <c r="AB1811" s="103">
        <v>9</v>
      </c>
      <c r="AC1811" s="104"/>
      <c r="AD1811" s="103">
        <v>9</v>
      </c>
      <c r="AE1811" s="104"/>
      <c r="AF1811" s="103">
        <v>8.5</v>
      </c>
      <c r="AG1811" s="104"/>
      <c r="AH1811" s="103">
        <v>9</v>
      </c>
      <c r="AI1811" s="69"/>
      <c r="AJ1811" s="70"/>
      <c r="AK1811" s="71">
        <f>SUM(W1811:AJ1811)</f>
        <v>44.5</v>
      </c>
      <c r="AL1811" s="72"/>
      <c r="AM1811" s="73">
        <f>SUMIF($G1810:$T1810,"",$G1811:$T1811)+SUMIF($W1810:$AJ1810,"",$W1811:$AJ1811)-AN1811</f>
        <v>80</v>
      </c>
      <c r="AN1811" s="88">
        <f>IF(SUMIF($G1810:$T1810,"",$G1811:$T1811)+SUMIF($G1810:$T1810,"F",$G1811:$T1811)+SUMIF($G1810:$T1810,"V",$G1811:$T1811)-40&lt;0,0,SUMIF($G1810:$T1810,"",$G1811:$T1811)+SUMIF($G1810:$T1810,"F",$G1811:$T1811)+SUMIF($G1810:$T1810,"V",$G1811:$T1811)-($U$9/2))+IF(SUMIF($W1810:$AJ1810,"",$W1811:$AJ1811)+SUMIF($W1810:$AJ1810,"F",$W1811:$AJ1811)+SUMIF($W1810:$AJ1810,"V",$W1811:$AJ1811)-40&lt;0,0,SUMIF($W1810:$AJ1810,"",$W1811:$AJ1811)+SUMIF($W1810:$AJ1810,"F",$W1811:$AJ1811)+SUMIF($W1810:$AJ1810,"V",$W1811:$AJ1811)-($U$9/2))</f>
        <v>10</v>
      </c>
      <c r="AO1811" s="73">
        <f>SUMIF($G1810:$T1810,"M",$G1811:$T1811)+SUMIF($W1810:$AJ1810,"M",$W1811:$AJ1811)</f>
        <v>0</v>
      </c>
      <c r="AP1811" s="73">
        <f>SUMIF($G1810:$T1810,"F",$G1811:$T1811)+SUMIF($W1810:$AJ1810,"F",$W1811:$AJ1811)</f>
        <v>0</v>
      </c>
      <c r="AQ1811" s="73">
        <f>SUMIF($G1810:$T1810,"V",$G1811:$T1811)+SUMIF($W1810:$AJ1810,"V",$W1811:$AJ1811)</f>
        <v>0</v>
      </c>
      <c r="AR1811" s="74">
        <f>SUMIF($G1810:$T1810,"O",$G1811:$T1811)+SUMIF($W1810:$AJ1810,"O",$W1811:$AJ1811)</f>
        <v>0</v>
      </c>
      <c r="AS1811" s="75">
        <f>SUM(AM1811:AR1811)</f>
        <v>90</v>
      </c>
      <c r="AT1811" s="72"/>
      <c r="AU1811" s="73">
        <f>SUMIF($G1810:$T1810,"A",$G1811:$T1811)+SUMIF($W1810:$AJ1810,"A",$W1811:$AJ1811)</f>
        <v>0</v>
      </c>
      <c r="AV1811" s="72"/>
      <c r="AW1811" s="76">
        <f>IF(B1811="",0,IF($U$9="",0,$U$9))</f>
        <v>80</v>
      </c>
      <c r="BA1811" s="2"/>
      <c r="BB1811" s="2"/>
      <c r="BC1811" s="101"/>
      <c r="BD1811" s="101"/>
    </row>
    <row r="1812" spans="2:56" s="84" customFormat="1" x14ac:dyDescent="0.35">
      <c r="B1812" s="26"/>
      <c r="C1812" s="27"/>
      <c r="D1812" s="28">
        <f>IF(D1738="","",D1738)</f>
        <v>14206</v>
      </c>
      <c r="E1812" s="29" t="str">
        <f t="shared" si="697"/>
        <v/>
      </c>
      <c r="F1812" s="50">
        <f>B1785</f>
        <v>8</v>
      </c>
      <c r="G1812" s="59"/>
      <c r="H1812" s="64"/>
      <c r="I1812" s="106"/>
      <c r="J1812" s="105"/>
      <c r="K1812" s="106"/>
      <c r="L1812" s="105"/>
      <c r="M1812" s="106"/>
      <c r="N1812" s="105"/>
      <c r="O1812" s="106"/>
      <c r="P1812" s="105"/>
      <c r="Q1812" s="106"/>
      <c r="R1812" s="105"/>
      <c r="S1812" s="59"/>
      <c r="T1812" s="64"/>
      <c r="U1812" s="44"/>
      <c r="W1812" s="59"/>
      <c r="X1812" s="64"/>
      <c r="Y1812" s="106"/>
      <c r="Z1812" s="105"/>
      <c r="AA1812" s="106"/>
      <c r="AB1812" s="105"/>
      <c r="AC1812" s="106"/>
      <c r="AD1812" s="105"/>
      <c r="AE1812" s="106"/>
      <c r="AF1812" s="105"/>
      <c r="AG1812" s="106"/>
      <c r="AH1812" s="105"/>
      <c r="AI1812" s="59"/>
      <c r="AJ1812" s="64"/>
      <c r="AK1812" s="44"/>
      <c r="AM1812" s="49"/>
      <c r="AN1812" s="49"/>
      <c r="AO1812" s="49"/>
      <c r="AP1812" s="49"/>
      <c r="AQ1812" s="49"/>
      <c r="AR1812" s="40"/>
      <c r="AS1812" s="51"/>
      <c r="AU1812" s="49"/>
      <c r="AW1812" s="52"/>
      <c r="BA1812" s="2"/>
      <c r="BB1812" s="2"/>
      <c r="BC1812" s="101"/>
      <c r="BD1812" s="101"/>
    </row>
    <row r="1813" spans="2:56" s="84" customFormat="1" x14ac:dyDescent="0.35">
      <c r="B1813" s="30" t="str">
        <f>IF(B1739="","",B1739)</f>
        <v>Landry, Bernard</v>
      </c>
      <c r="C1813" s="31"/>
      <c r="D1813" s="32"/>
      <c r="E1813" s="33">
        <f t="shared" si="697"/>
        <v>93545</v>
      </c>
      <c r="F1813" s="50">
        <f>B1785</f>
        <v>8</v>
      </c>
      <c r="G1813" s="69"/>
      <c r="H1813" s="70"/>
      <c r="I1813" s="104"/>
      <c r="J1813" s="103">
        <v>8</v>
      </c>
      <c r="K1813" s="104"/>
      <c r="L1813" s="103">
        <v>8</v>
      </c>
      <c r="M1813" s="104"/>
      <c r="N1813" s="103">
        <v>8</v>
      </c>
      <c r="O1813" s="104"/>
      <c r="P1813" s="103">
        <v>8</v>
      </c>
      <c r="Q1813" s="104"/>
      <c r="R1813" s="103">
        <v>8</v>
      </c>
      <c r="S1813" s="69"/>
      <c r="T1813" s="70"/>
      <c r="U1813" s="71">
        <f t="shared" ref="U1813" si="708">SUM(G1813:T1813)</f>
        <v>40</v>
      </c>
      <c r="V1813" s="72"/>
      <c r="W1813" s="69"/>
      <c r="X1813" s="70"/>
      <c r="Y1813" s="104"/>
      <c r="Z1813" s="103">
        <v>8</v>
      </c>
      <c r="AA1813" s="104"/>
      <c r="AB1813" s="103">
        <v>8</v>
      </c>
      <c r="AC1813" s="104"/>
      <c r="AD1813" s="103">
        <v>8</v>
      </c>
      <c r="AE1813" s="104"/>
      <c r="AF1813" s="103">
        <v>8</v>
      </c>
      <c r="AG1813" s="104"/>
      <c r="AH1813" s="103">
        <v>8</v>
      </c>
      <c r="AI1813" s="69"/>
      <c r="AJ1813" s="70"/>
      <c r="AK1813" s="71">
        <f>SUM(W1813:AJ1813)</f>
        <v>40</v>
      </c>
      <c r="AL1813" s="72"/>
      <c r="AM1813" s="73">
        <f>SUMIF($G1812:$T1812,"",$G1813:$T1813)+SUMIF($W1812:$AJ1812,"",$W1813:$AJ1813)-AN1813</f>
        <v>80</v>
      </c>
      <c r="AN1813" s="88">
        <f>IF(SUMIF($G1812:$T1812,"",$G1813:$T1813)+SUMIF($G1812:$T1812,"F",$G1813:$T1813)+SUMIF($G1812:$T1812,"V",$G1813:$T1813)-40&lt;0,0,SUMIF($G1812:$T1812,"",$G1813:$T1813)+SUMIF($G1812:$T1812,"F",$G1813:$T1813)+SUMIF($G1812:$T1812,"V",$G1813:$T1813)-($U$9/2))+IF(SUMIF($W1812:$AJ1812,"",$W1813:$AJ1813)+SUMIF($W1812:$AJ1812,"F",$W1813:$AJ1813)+SUMIF($W1812:$AJ1812,"V",$W1813:$AJ1813)-40&lt;0,0,SUMIF($W1812:$AJ1812,"",$W1813:$AJ1813)+SUMIF($W1812:$AJ1812,"F",$W1813:$AJ1813)+SUMIF($W1812:$AJ1812,"V",$W1813:$AJ1813)-($U$9/2))</f>
        <v>0</v>
      </c>
      <c r="AO1813" s="73">
        <f>SUMIF($G1812:$T1812,"M",$G1813:$T1813)+SUMIF($W1812:$AJ1812,"M",$W1813:$AJ1813)</f>
        <v>0</v>
      </c>
      <c r="AP1813" s="73">
        <f>SUMIF($G1812:$T1812,"F",$G1813:$T1813)+SUMIF($W1812:$AJ1812,"F",$W1813:$AJ1813)</f>
        <v>0</v>
      </c>
      <c r="AQ1813" s="73">
        <f>SUMIF($G1812:$T1812,"V",$G1813:$T1813)+SUMIF($W1812:$AJ1812,"V",$W1813:$AJ1813)</f>
        <v>0</v>
      </c>
      <c r="AR1813" s="74">
        <f>SUMIF($G1812:$T1812,"O",$G1813:$T1813)+SUMIF($W1812:$AJ1812,"O",$W1813:$AJ1813)</f>
        <v>0</v>
      </c>
      <c r="AS1813" s="75">
        <f>SUM(AM1813:AR1813)</f>
        <v>80</v>
      </c>
      <c r="AT1813" s="72"/>
      <c r="AU1813" s="73">
        <f>SUMIF($G1812:$T1812,"A",$G1813:$T1813)+SUMIF($W1812:$AJ1812,"A",$W1813:$AJ1813)</f>
        <v>0</v>
      </c>
      <c r="AV1813" s="72"/>
      <c r="AW1813" s="76">
        <f>IF(B1813="",0,IF($U$9="",0,$U$9))</f>
        <v>80</v>
      </c>
      <c r="BA1813" s="2"/>
      <c r="BB1813" s="2"/>
      <c r="BC1813" s="101"/>
      <c r="BD1813" s="101"/>
    </row>
    <row r="1814" spans="2:56" s="84" customFormat="1" x14ac:dyDescent="0.35">
      <c r="B1814" s="26"/>
      <c r="C1814" s="27"/>
      <c r="D1814" s="28">
        <f>IF(D1740="","",D1740)</f>
        <v>92257</v>
      </c>
      <c r="E1814" s="29" t="str">
        <f t="shared" si="697"/>
        <v/>
      </c>
      <c r="F1814" s="50">
        <f>B1785</f>
        <v>8</v>
      </c>
      <c r="G1814" s="59"/>
      <c r="H1814" s="64"/>
      <c r="I1814" s="106"/>
      <c r="J1814" s="105"/>
      <c r="K1814" s="106"/>
      <c r="L1814" s="105"/>
      <c r="M1814" s="106"/>
      <c r="N1814" s="105"/>
      <c r="O1814" s="106"/>
      <c r="P1814" s="105"/>
      <c r="Q1814" s="106"/>
      <c r="R1814" s="105"/>
      <c r="S1814" s="59"/>
      <c r="T1814" s="64"/>
      <c r="U1814" s="44"/>
      <c r="W1814" s="59"/>
      <c r="X1814" s="64"/>
      <c r="Y1814" s="106"/>
      <c r="Z1814" s="105"/>
      <c r="AA1814" s="106"/>
      <c r="AB1814" s="105"/>
      <c r="AC1814" s="106"/>
      <c r="AD1814" s="105"/>
      <c r="AE1814" s="106"/>
      <c r="AF1814" s="105"/>
      <c r="AG1814" s="106"/>
      <c r="AH1814" s="105"/>
      <c r="AI1814" s="59"/>
      <c r="AJ1814" s="64"/>
      <c r="AK1814" s="44"/>
      <c r="AM1814" s="49"/>
      <c r="AN1814" s="49"/>
      <c r="AO1814" s="49"/>
      <c r="AP1814" s="49"/>
      <c r="AQ1814" s="49"/>
      <c r="AR1814" s="40"/>
      <c r="AS1814" s="51"/>
      <c r="AU1814" s="49"/>
      <c r="AW1814" s="52"/>
      <c r="BA1814" s="2"/>
      <c r="BB1814" s="2"/>
      <c r="BC1814" s="101"/>
      <c r="BD1814" s="101"/>
    </row>
    <row r="1815" spans="2:56" s="84" customFormat="1" x14ac:dyDescent="0.35">
      <c r="B1815" s="30" t="str">
        <f>IF(B1741="","",B1741)</f>
        <v>Lelievre, Anik</v>
      </c>
      <c r="C1815" s="31"/>
      <c r="D1815" s="32"/>
      <c r="E1815" s="33">
        <f t="shared" si="697"/>
        <v>93513</v>
      </c>
      <c r="F1815" s="50">
        <f>B1785</f>
        <v>8</v>
      </c>
      <c r="G1815" s="69"/>
      <c r="H1815" s="70"/>
      <c r="I1815" s="104"/>
      <c r="J1815" s="103">
        <v>8</v>
      </c>
      <c r="K1815" s="104"/>
      <c r="L1815" s="103">
        <v>8</v>
      </c>
      <c r="M1815" s="104"/>
      <c r="N1815" s="103">
        <v>8</v>
      </c>
      <c r="O1815" s="104"/>
      <c r="P1815" s="103">
        <v>8</v>
      </c>
      <c r="Q1815" s="104"/>
      <c r="R1815" s="103">
        <v>8</v>
      </c>
      <c r="S1815" s="69"/>
      <c r="T1815" s="70"/>
      <c r="U1815" s="71">
        <f t="shared" ref="U1815" si="709">SUM(G1815:T1815)</f>
        <v>40</v>
      </c>
      <c r="V1815" s="72"/>
      <c r="W1815" s="69"/>
      <c r="X1815" s="70"/>
      <c r="Y1815" s="104"/>
      <c r="Z1815" s="103">
        <v>8</v>
      </c>
      <c r="AA1815" s="104"/>
      <c r="AB1815" s="103">
        <v>8</v>
      </c>
      <c r="AC1815" s="104"/>
      <c r="AD1815" s="103">
        <v>8</v>
      </c>
      <c r="AE1815" s="104"/>
      <c r="AF1815" s="103">
        <v>8</v>
      </c>
      <c r="AG1815" s="104"/>
      <c r="AH1815" s="103">
        <v>8</v>
      </c>
      <c r="AI1815" s="69"/>
      <c r="AJ1815" s="70"/>
      <c r="AK1815" s="71">
        <f>SUM(W1815:AJ1815)</f>
        <v>40</v>
      </c>
      <c r="AL1815" s="72"/>
      <c r="AM1815" s="73">
        <f>SUMIF($G1814:$T1814,"",$G1815:$T1815)+SUMIF($W1814:$AJ1814,"",$W1815:$AJ1815)-AN1815</f>
        <v>80</v>
      </c>
      <c r="AN1815" s="88">
        <f>IF(SUMIF($G1814:$T1814,"",$G1815:$T1815)+SUMIF($G1814:$T1814,"F",$G1815:$T1815)+SUMIF($G1814:$T1814,"V",$G1815:$T1815)-40&lt;0,0,SUMIF($G1814:$T1814,"",$G1815:$T1815)+SUMIF($G1814:$T1814,"F",$G1815:$T1815)+SUMIF($G1814:$T1814,"V",$G1815:$T1815)-($U$9/2))+IF(SUMIF($W1814:$AJ1814,"",$W1815:$AJ1815)+SUMIF($W1814:$AJ1814,"F",$W1815:$AJ1815)+SUMIF($W1814:$AJ1814,"V",$W1815:$AJ1815)-40&lt;0,0,SUMIF($W1814:$AJ1814,"",$W1815:$AJ1815)+SUMIF($W1814:$AJ1814,"F",$W1815:$AJ1815)+SUMIF($W1814:$AJ1814,"V",$W1815:$AJ1815)-($U$9/2))</f>
        <v>0</v>
      </c>
      <c r="AO1815" s="73">
        <f>SUMIF($G1814:$T1814,"M",$G1815:$T1815)+SUMIF($W1814:$AJ1814,"M",$W1815:$AJ1815)</f>
        <v>0</v>
      </c>
      <c r="AP1815" s="73">
        <f>SUMIF($G1814:$T1814,"F",$G1815:$T1815)+SUMIF($W1814:$AJ1814,"F",$W1815:$AJ1815)</f>
        <v>0</v>
      </c>
      <c r="AQ1815" s="73">
        <f>SUMIF($G1814:$T1814,"V",$G1815:$T1815)+SUMIF($W1814:$AJ1814,"V",$W1815:$AJ1815)</f>
        <v>0</v>
      </c>
      <c r="AR1815" s="74">
        <f>SUMIF($G1814:$T1814,"O",$G1815:$T1815)+SUMIF($W1814:$AJ1814,"O",$W1815:$AJ1815)</f>
        <v>0</v>
      </c>
      <c r="AS1815" s="75">
        <f>SUM(AM1815:AR1815)</f>
        <v>80</v>
      </c>
      <c r="AT1815" s="72"/>
      <c r="AU1815" s="73">
        <f>SUMIF($G1814:$T1814,"A",$G1815:$T1815)+SUMIF($W1814:$AJ1814,"A",$W1815:$AJ1815)</f>
        <v>0</v>
      </c>
      <c r="AV1815" s="72"/>
      <c r="AW1815" s="76">
        <f>IF(B1815="",0,IF($U$9="",0,$U$9))</f>
        <v>80</v>
      </c>
      <c r="BA1815" s="2"/>
      <c r="BB1815" s="2"/>
      <c r="BC1815" s="101"/>
      <c r="BD1815" s="101"/>
    </row>
    <row r="1816" spans="2:56" s="84" customFormat="1" x14ac:dyDescent="0.35">
      <c r="B1816" s="26"/>
      <c r="C1816" s="27"/>
      <c r="D1816" s="28">
        <f>IF(D1742="","",D1742)</f>
        <v>81042</v>
      </c>
      <c r="E1816" s="29" t="str">
        <f t="shared" si="697"/>
        <v/>
      </c>
      <c r="F1816" s="50">
        <f>B1785</f>
        <v>8</v>
      </c>
      <c r="G1816" s="59"/>
      <c r="H1816" s="64"/>
      <c r="I1816" s="106"/>
      <c r="J1816" s="105" t="s">
        <v>1</v>
      </c>
      <c r="K1816" s="106"/>
      <c r="L1816" s="105"/>
      <c r="M1816" s="106"/>
      <c r="N1816" s="105"/>
      <c r="O1816" s="106"/>
      <c r="P1816" s="105"/>
      <c r="Q1816" s="106"/>
      <c r="R1816" s="105"/>
      <c r="S1816" s="59"/>
      <c r="T1816" s="64"/>
      <c r="U1816" s="44"/>
      <c r="W1816" s="59"/>
      <c r="X1816" s="64"/>
      <c r="Y1816" s="106"/>
      <c r="Z1816" s="105"/>
      <c r="AA1816" s="106"/>
      <c r="AB1816" s="105"/>
      <c r="AC1816" s="106"/>
      <c r="AD1816" s="105"/>
      <c r="AE1816" s="106"/>
      <c r="AF1816" s="105"/>
      <c r="AG1816" s="106"/>
      <c r="AH1816" s="105"/>
      <c r="AI1816" s="59"/>
      <c r="AJ1816" s="64"/>
      <c r="AK1816" s="44"/>
      <c r="AM1816" s="49"/>
      <c r="AN1816" s="49"/>
      <c r="AO1816" s="49"/>
      <c r="AP1816" s="49"/>
      <c r="AQ1816" s="49"/>
      <c r="AR1816" s="40"/>
      <c r="AS1816" s="51"/>
      <c r="AU1816" s="49"/>
      <c r="AW1816" s="52"/>
      <c r="BA1816" s="2"/>
      <c r="BB1816" s="2"/>
      <c r="BC1816" s="101"/>
      <c r="BD1816" s="101"/>
    </row>
    <row r="1817" spans="2:56" s="84" customFormat="1" x14ac:dyDescent="0.35">
      <c r="B1817" s="30" t="str">
        <f>IF(B1743="","",B1743)</f>
        <v>Letarte, Martin</v>
      </c>
      <c r="C1817" s="31"/>
      <c r="D1817" s="32"/>
      <c r="E1817" s="33">
        <f t="shared" si="697"/>
        <v>93545</v>
      </c>
      <c r="F1817" s="50">
        <f>B1785</f>
        <v>8</v>
      </c>
      <c r="G1817" s="69"/>
      <c r="H1817" s="70"/>
      <c r="I1817" s="104"/>
      <c r="J1817" s="103">
        <v>8</v>
      </c>
      <c r="K1817" s="104"/>
      <c r="L1817" s="103">
        <v>8</v>
      </c>
      <c r="M1817" s="104"/>
      <c r="N1817" s="103">
        <v>8</v>
      </c>
      <c r="O1817" s="104"/>
      <c r="P1817" s="103">
        <v>8</v>
      </c>
      <c r="Q1817" s="104"/>
      <c r="R1817" s="103">
        <v>8</v>
      </c>
      <c r="S1817" s="69"/>
      <c r="T1817" s="70"/>
      <c r="U1817" s="71">
        <f t="shared" ref="U1817" si="710">SUM(G1817:T1817)</f>
        <v>40</v>
      </c>
      <c r="V1817" s="72"/>
      <c r="W1817" s="69"/>
      <c r="X1817" s="70"/>
      <c r="Y1817" s="104"/>
      <c r="Z1817" s="103">
        <v>8</v>
      </c>
      <c r="AA1817" s="104"/>
      <c r="AB1817" s="103">
        <v>8</v>
      </c>
      <c r="AC1817" s="104"/>
      <c r="AD1817" s="103">
        <v>8</v>
      </c>
      <c r="AE1817" s="104"/>
      <c r="AF1817" s="103">
        <v>8</v>
      </c>
      <c r="AG1817" s="104"/>
      <c r="AH1817" s="103">
        <v>8</v>
      </c>
      <c r="AI1817" s="69"/>
      <c r="AJ1817" s="70"/>
      <c r="AK1817" s="71">
        <f>SUM(W1817:AJ1817)</f>
        <v>40</v>
      </c>
      <c r="AL1817" s="72"/>
      <c r="AM1817" s="73">
        <f>SUMIF($G1816:$T1816,"",$G1817:$T1817)+SUMIF($W1816:$AJ1816,"",$W1817:$AJ1817)-AN1817</f>
        <v>72</v>
      </c>
      <c r="AN1817" s="88">
        <f>IF(SUMIF($G1816:$T1816,"",$G1817:$T1817)+SUMIF($G1816:$T1816,"F",$G1817:$T1817)+SUMIF($G1816:$T1816,"V",$G1817:$T1817)-40&lt;0,0,SUMIF($G1816:$T1816,"",$G1817:$T1817)+SUMIF($G1816:$T1816,"F",$G1817:$T1817)+SUMIF($G1816:$T1816,"V",$G1817:$T1817)-($U$9/2))+IF(SUMIF($W1816:$AJ1816,"",$W1817:$AJ1817)+SUMIF($W1816:$AJ1816,"F",$W1817:$AJ1817)+SUMIF($W1816:$AJ1816,"V",$W1817:$AJ1817)-40&lt;0,0,SUMIF($W1816:$AJ1816,"",$W1817:$AJ1817)+SUMIF($W1816:$AJ1816,"F",$W1817:$AJ1817)+SUMIF($W1816:$AJ1816,"V",$W1817:$AJ1817)-($U$9/2))</f>
        <v>0</v>
      </c>
      <c r="AO1817" s="73">
        <f>SUMIF($G1816:$T1816,"M",$G1817:$T1817)+SUMIF($W1816:$AJ1816,"M",$W1817:$AJ1817)</f>
        <v>0</v>
      </c>
      <c r="AP1817" s="73">
        <f>SUMIF($G1816:$T1816,"F",$G1817:$T1817)+SUMIF($W1816:$AJ1816,"F",$W1817:$AJ1817)</f>
        <v>0</v>
      </c>
      <c r="AQ1817" s="73">
        <f>SUMIF($G1816:$T1816,"V",$G1817:$T1817)+SUMIF($W1816:$AJ1816,"V",$W1817:$AJ1817)</f>
        <v>8</v>
      </c>
      <c r="AR1817" s="74">
        <f>SUMIF($G1816:$T1816,"O",$G1817:$T1817)+SUMIF($W1816:$AJ1816,"O",$W1817:$AJ1817)</f>
        <v>0</v>
      </c>
      <c r="AS1817" s="75">
        <f>SUM(AM1817:AR1817)</f>
        <v>80</v>
      </c>
      <c r="AT1817" s="72"/>
      <c r="AU1817" s="73">
        <f>SUMIF($G1816:$T1816,"A",$G1817:$T1817)+SUMIF($W1816:$AJ1816,"A",$W1817:$AJ1817)</f>
        <v>0</v>
      </c>
      <c r="AV1817" s="72"/>
      <c r="AW1817" s="76">
        <f>IF(B1817="",0,IF($U$9="",0,$U$9))</f>
        <v>80</v>
      </c>
      <c r="BA1817" s="2"/>
      <c r="BB1817" s="2"/>
      <c r="BC1817" s="101"/>
      <c r="BD1817" s="101"/>
    </row>
    <row r="1818" spans="2:56" s="84" customFormat="1" x14ac:dyDescent="0.35">
      <c r="B1818" s="26"/>
      <c r="C1818" s="27"/>
      <c r="D1818" s="28" t="str">
        <f>IF(D1744="","",D1744)</f>
        <v/>
      </c>
      <c r="E1818" s="29" t="str">
        <f t="shared" si="697"/>
        <v/>
      </c>
      <c r="F1818" s="50">
        <f>B1785</f>
        <v>8</v>
      </c>
      <c r="G1818" s="59"/>
      <c r="H1818" s="64"/>
      <c r="I1818" s="106"/>
      <c r="J1818" s="105"/>
      <c r="K1818" s="106"/>
      <c r="L1818" s="105"/>
      <c r="M1818" s="106"/>
      <c r="N1818" s="105"/>
      <c r="O1818" s="106"/>
      <c r="P1818" s="105"/>
      <c r="Q1818" s="106"/>
      <c r="R1818" s="105"/>
      <c r="S1818" s="59"/>
      <c r="T1818" s="64"/>
      <c r="U1818" s="44"/>
      <c r="W1818" s="59"/>
      <c r="X1818" s="64"/>
      <c r="Y1818" s="106"/>
      <c r="Z1818" s="105"/>
      <c r="AA1818" s="106"/>
      <c r="AB1818" s="105"/>
      <c r="AC1818" s="106"/>
      <c r="AD1818" s="105"/>
      <c r="AE1818" s="106"/>
      <c r="AF1818" s="105"/>
      <c r="AG1818" s="106"/>
      <c r="AH1818" s="105"/>
      <c r="AI1818" s="59"/>
      <c r="AJ1818" s="64"/>
      <c r="AK1818" s="44"/>
      <c r="AM1818" s="49"/>
      <c r="AN1818" s="49"/>
      <c r="AO1818" s="49"/>
      <c r="AP1818" s="49"/>
      <c r="AQ1818" s="49"/>
      <c r="AR1818" s="40"/>
      <c r="AS1818" s="51"/>
      <c r="AU1818" s="49"/>
      <c r="AW1818" s="52"/>
      <c r="BA1818" s="2"/>
      <c r="BB1818" s="2"/>
      <c r="BC1818" s="101"/>
      <c r="BD1818" s="101"/>
    </row>
    <row r="1819" spans="2:56" s="84" customFormat="1" x14ac:dyDescent="0.35">
      <c r="B1819" s="30" t="str">
        <f>IF(B1745="","",B1745)</f>
        <v/>
      </c>
      <c r="C1819" s="31"/>
      <c r="D1819" s="32"/>
      <c r="E1819" s="33" t="str">
        <f t="shared" si="697"/>
        <v/>
      </c>
      <c r="F1819" s="50">
        <f>B1785</f>
        <v>8</v>
      </c>
      <c r="G1819" s="69"/>
      <c r="H1819" s="70"/>
      <c r="I1819" s="104"/>
      <c r="J1819" s="103"/>
      <c r="K1819" s="104"/>
      <c r="L1819" s="103"/>
      <c r="M1819" s="104"/>
      <c r="N1819" s="103"/>
      <c r="O1819" s="104"/>
      <c r="P1819" s="103"/>
      <c r="Q1819" s="104"/>
      <c r="R1819" s="103"/>
      <c r="S1819" s="69"/>
      <c r="T1819" s="70"/>
      <c r="U1819" s="71">
        <f t="shared" ref="U1819" si="711">SUM(G1819:T1819)</f>
        <v>0</v>
      </c>
      <c r="V1819" s="72"/>
      <c r="W1819" s="69"/>
      <c r="X1819" s="70"/>
      <c r="Y1819" s="104"/>
      <c r="Z1819" s="103"/>
      <c r="AA1819" s="104"/>
      <c r="AB1819" s="103"/>
      <c r="AC1819" s="104"/>
      <c r="AD1819" s="103"/>
      <c r="AE1819" s="104"/>
      <c r="AF1819" s="103"/>
      <c r="AG1819" s="104"/>
      <c r="AH1819" s="103"/>
      <c r="AI1819" s="69"/>
      <c r="AJ1819" s="70"/>
      <c r="AK1819" s="71">
        <f>SUM(W1819:AJ1819)</f>
        <v>0</v>
      </c>
      <c r="AL1819" s="72"/>
      <c r="AM1819" s="73">
        <f>SUMIF($G1818:$T1818,"",$G1819:$T1819)+SUMIF($W1818:$AJ1818,"",$W1819:$AJ1819)-AN1819</f>
        <v>0</v>
      </c>
      <c r="AN1819" s="88">
        <f>IF(SUMIF($G1818:$T1818,"",$G1819:$T1819)+SUMIF($G1818:$T1818,"F",$G1819:$T1819)+SUMIF($G1818:$T1818,"V",$G1819:$T1819)-40&lt;0,0,SUMIF($G1818:$T1818,"",$G1819:$T1819)+SUMIF($G1818:$T1818,"F",$G1819:$T1819)+SUMIF($G1818:$T1818,"V",$G1819:$T1819)-($U$9/2))+IF(SUMIF($W1818:$AJ1818,"",$W1819:$AJ1819)+SUMIF($W1818:$AJ1818,"F",$W1819:$AJ1819)+SUMIF($W1818:$AJ1818,"V",$W1819:$AJ1819)-40&lt;0,0,SUMIF($W1818:$AJ1818,"",$W1819:$AJ1819)+SUMIF($W1818:$AJ1818,"F",$W1819:$AJ1819)+SUMIF($W1818:$AJ1818,"V",$W1819:$AJ1819)-($U$9/2))</f>
        <v>0</v>
      </c>
      <c r="AO1819" s="73">
        <f>SUMIF($G1818:$T1818,"M",$G1819:$T1819)+SUMIF($W1818:$AJ1818,"M",$W1819:$AJ1819)</f>
        <v>0</v>
      </c>
      <c r="AP1819" s="73">
        <f>SUMIF($G1818:$T1818,"F",$G1819:$T1819)+SUMIF($W1818:$AJ1818,"F",$W1819:$AJ1819)</f>
        <v>0</v>
      </c>
      <c r="AQ1819" s="73">
        <f>SUMIF($G1818:$T1818,"V",$G1819:$T1819)+SUMIF($W1818:$AJ1818,"V",$W1819:$AJ1819)</f>
        <v>0</v>
      </c>
      <c r="AR1819" s="74">
        <f>SUMIF($G1818:$T1818,"O",$G1819:$T1819)+SUMIF($W1818:$AJ1818,"O",$W1819:$AJ1819)</f>
        <v>0</v>
      </c>
      <c r="AS1819" s="75">
        <f>SUM(AM1819:AR1819)</f>
        <v>0</v>
      </c>
      <c r="AT1819" s="72"/>
      <c r="AU1819" s="73">
        <f>SUMIF($G1818:$T1818,"A",$G1819:$T1819)+SUMIF($W1818:$AJ1818,"A",$W1819:$AJ1819)</f>
        <v>0</v>
      </c>
      <c r="AV1819" s="72"/>
      <c r="AW1819" s="76">
        <f>IF(B1819="",0,IF($U$9="",0,$U$9))</f>
        <v>0</v>
      </c>
      <c r="BA1819" s="2"/>
      <c r="BB1819" s="2"/>
      <c r="BC1819" s="101"/>
      <c r="BD1819" s="101"/>
    </row>
    <row r="1820" spans="2:56" s="84" customFormat="1" x14ac:dyDescent="0.35">
      <c r="B1820" s="26"/>
      <c r="C1820" s="27"/>
      <c r="D1820" s="28">
        <f>IF(D1746="","",D1746)</f>
        <v>11792</v>
      </c>
      <c r="E1820" s="29" t="str">
        <f t="shared" si="697"/>
        <v/>
      </c>
      <c r="F1820" s="50">
        <f>B1785</f>
        <v>8</v>
      </c>
      <c r="G1820" s="59"/>
      <c r="H1820" s="64"/>
      <c r="I1820" s="106"/>
      <c r="J1820" s="105"/>
      <c r="K1820" s="106"/>
      <c r="L1820" s="105"/>
      <c r="M1820" s="106"/>
      <c r="N1820" s="105"/>
      <c r="O1820" s="106"/>
      <c r="P1820" s="105"/>
      <c r="Q1820" s="106"/>
      <c r="R1820" s="105"/>
      <c r="S1820" s="59"/>
      <c r="T1820" s="64"/>
      <c r="U1820" s="44"/>
      <c r="W1820" s="59"/>
      <c r="X1820" s="64"/>
      <c r="Y1820" s="106"/>
      <c r="Z1820" s="105"/>
      <c r="AA1820" s="106"/>
      <c r="AB1820" s="105"/>
      <c r="AC1820" s="106"/>
      <c r="AD1820" s="105"/>
      <c r="AE1820" s="106"/>
      <c r="AF1820" s="105"/>
      <c r="AG1820" s="106"/>
      <c r="AH1820" s="105"/>
      <c r="AI1820" s="59"/>
      <c r="AJ1820" s="64"/>
      <c r="AK1820" s="44"/>
      <c r="AM1820" s="49"/>
      <c r="AN1820" s="49"/>
      <c r="AO1820" s="49"/>
      <c r="AP1820" s="49"/>
      <c r="AQ1820" s="49"/>
      <c r="AR1820" s="40"/>
      <c r="AS1820" s="51"/>
      <c r="AU1820" s="49"/>
      <c r="AW1820" s="52"/>
      <c r="BA1820" s="2"/>
      <c r="BB1820" s="2"/>
      <c r="BC1820" s="101"/>
      <c r="BD1820" s="101"/>
    </row>
    <row r="1821" spans="2:56" s="84" customFormat="1" x14ac:dyDescent="0.35">
      <c r="B1821" s="30" t="str">
        <f>IF(B1747="","",B1747)</f>
        <v>Pellerin, Pierre</v>
      </c>
      <c r="C1821" s="31"/>
      <c r="D1821" s="32"/>
      <c r="E1821" s="33">
        <f t="shared" si="697"/>
        <v>93595935</v>
      </c>
      <c r="F1821" s="50">
        <f>B1785</f>
        <v>8</v>
      </c>
      <c r="G1821" s="69"/>
      <c r="H1821" s="70"/>
      <c r="I1821" s="104"/>
      <c r="J1821" s="103">
        <v>8</v>
      </c>
      <c r="K1821" s="104"/>
      <c r="L1821" s="103">
        <v>8</v>
      </c>
      <c r="M1821" s="104"/>
      <c r="N1821" s="103">
        <v>8</v>
      </c>
      <c r="O1821" s="104"/>
      <c r="P1821" s="103">
        <v>8</v>
      </c>
      <c r="Q1821" s="104"/>
      <c r="R1821" s="103">
        <v>8</v>
      </c>
      <c r="S1821" s="69"/>
      <c r="T1821" s="70"/>
      <c r="U1821" s="71">
        <f t="shared" ref="U1821" si="712">SUM(G1821:T1821)</f>
        <v>40</v>
      </c>
      <c r="V1821" s="72"/>
      <c r="W1821" s="69"/>
      <c r="X1821" s="70"/>
      <c r="Y1821" s="104"/>
      <c r="Z1821" s="103">
        <v>8</v>
      </c>
      <c r="AA1821" s="104"/>
      <c r="AB1821" s="103">
        <v>8</v>
      </c>
      <c r="AC1821" s="104"/>
      <c r="AD1821" s="103">
        <v>8</v>
      </c>
      <c r="AE1821" s="104"/>
      <c r="AF1821" s="103">
        <v>8</v>
      </c>
      <c r="AG1821" s="104"/>
      <c r="AH1821" s="103">
        <v>8</v>
      </c>
      <c r="AI1821" s="69"/>
      <c r="AJ1821" s="70"/>
      <c r="AK1821" s="71">
        <f>SUM(Z1821:AH1821)</f>
        <v>40</v>
      </c>
      <c r="AL1821" s="72"/>
      <c r="AM1821" s="73">
        <f>SUMIF($G1820:$T1820,"",$G1821:$T1821)+SUMIF($W1820:$AJ1820,"",$W1821:$AJ1821)-AN1821</f>
        <v>80</v>
      </c>
      <c r="AN1821" s="88">
        <f>IF(SUMIF($G1820:$T1820,"",$G1821:$T1821)+SUMIF($G1820:$T1820,"F",$G1821:$T1821)+SUMIF($G1820:$T1820,"V",$G1821:$T1821)-40&lt;0,0,SUMIF($G1820:$T1820,"",$G1821:$T1821)+SUMIF($G1820:$T1820,"F",$G1821:$T1821)+SUMIF($G1820:$T1820,"V",$G1821:$T1821)-($U$9/2))+IF(SUMIF($W1820:$AJ1820,"",$W1821:$AJ1821)+SUMIF($W1820:$AJ1820,"F",$W1821:$AJ1821)+SUMIF($W1820:$AJ1820,"V",$W1821:$AJ1821)-40&lt;0,0,SUMIF($W1820:$AJ1820,"",$W1821:$AJ1821)+SUMIF($W1820:$AJ1820,"F",$W1821:$AJ1821)+SUMIF($W1820:$AJ1820,"V",$W1821:$AJ1821)-($U$9/2))</f>
        <v>0</v>
      </c>
      <c r="AO1821" s="73">
        <f>SUMIF($G1820:$T1820,"M",$G1821:$T1821)+SUMIF($W1820:$AJ1820,"M",$W1821:$AJ1821)</f>
        <v>0</v>
      </c>
      <c r="AP1821" s="73">
        <f>SUMIF($G1820:$T1820,"F",$G1821:$T1821)+SUMIF($W1820:$AJ1820,"F",$W1821:$AJ1821)</f>
        <v>0</v>
      </c>
      <c r="AQ1821" s="73">
        <f>SUMIF($G1820:$T1820,"V",$G1821:$T1821)+SUMIF($W1820:$AJ1820,"V",$W1821:$AJ1821)</f>
        <v>0</v>
      </c>
      <c r="AR1821" s="74">
        <f>SUMIF($G1820:$T1820,"O",$G1821:$T1821)+SUMIF($W1820:$AJ1820,"O",$W1821:$AJ1821)</f>
        <v>0</v>
      </c>
      <c r="AS1821" s="75">
        <f>SUM(AM1821:AR1821)</f>
        <v>80</v>
      </c>
      <c r="AT1821" s="72"/>
      <c r="AU1821" s="73">
        <f>SUMIF($G1820:$T1820,"A",$G1821:$T1821)+SUMIF($W1820:$AJ1820,"A",$W1821:$AJ1821)</f>
        <v>0</v>
      </c>
      <c r="AV1821" s="72"/>
      <c r="AW1821" s="76">
        <f>IF(B1821="",0,IF($U$9="",0,$U$9))</f>
        <v>80</v>
      </c>
      <c r="BA1821" s="2"/>
      <c r="BB1821" s="2"/>
      <c r="BC1821" s="101"/>
      <c r="BD1821" s="101"/>
    </row>
    <row r="1822" spans="2:56" s="84" customFormat="1" x14ac:dyDescent="0.35">
      <c r="B1822" s="26"/>
      <c r="C1822" s="27"/>
      <c r="D1822" s="28">
        <f>IF(D1748="","",D1748)</f>
        <v>81043</v>
      </c>
      <c r="E1822" s="29" t="str">
        <f t="shared" si="697"/>
        <v/>
      </c>
      <c r="F1822" s="50">
        <f>B1785</f>
        <v>8</v>
      </c>
      <c r="G1822" s="59"/>
      <c r="H1822" s="64"/>
      <c r="I1822" s="106"/>
      <c r="J1822" s="105"/>
      <c r="K1822" s="106"/>
      <c r="L1822" s="105"/>
      <c r="M1822" s="106"/>
      <c r="N1822" s="105"/>
      <c r="O1822" s="106"/>
      <c r="P1822" s="105"/>
      <c r="Q1822" s="106"/>
      <c r="R1822" s="105"/>
      <c r="S1822" s="59"/>
      <c r="T1822" s="64"/>
      <c r="U1822" s="44"/>
      <c r="W1822" s="59"/>
      <c r="X1822" s="64"/>
      <c r="Y1822" s="106"/>
      <c r="Z1822" s="105"/>
      <c r="AA1822" s="106"/>
      <c r="AB1822" s="105"/>
      <c r="AC1822" s="106"/>
      <c r="AD1822" s="105"/>
      <c r="AE1822" s="106"/>
      <c r="AF1822" s="105"/>
      <c r="AG1822" s="106"/>
      <c r="AH1822" s="105"/>
      <c r="AI1822" s="59"/>
      <c r="AJ1822" s="64"/>
      <c r="AK1822" s="44"/>
      <c r="AM1822" s="49"/>
      <c r="AN1822" s="49"/>
      <c r="AO1822" s="49"/>
      <c r="AP1822" s="49"/>
      <c r="AQ1822" s="49"/>
      <c r="AR1822" s="40"/>
      <c r="AS1822" s="51"/>
      <c r="AU1822" s="49"/>
      <c r="AW1822" s="52"/>
      <c r="BA1822" s="2"/>
      <c r="BB1822" s="2"/>
      <c r="BC1822" s="101"/>
      <c r="BD1822" s="101"/>
    </row>
    <row r="1823" spans="2:56" s="84" customFormat="1" x14ac:dyDescent="0.35">
      <c r="B1823" s="30" t="str">
        <f>IF(B1749="","",B1749)</f>
        <v>Rodrigue, Frank</v>
      </c>
      <c r="C1823" s="31"/>
      <c r="D1823" s="32"/>
      <c r="E1823" s="33">
        <f t="shared" si="697"/>
        <v>93545</v>
      </c>
      <c r="F1823" s="50">
        <f>B1785</f>
        <v>8</v>
      </c>
      <c r="G1823" s="69"/>
      <c r="H1823" s="70"/>
      <c r="I1823" s="104"/>
      <c r="J1823" s="103">
        <v>8</v>
      </c>
      <c r="K1823" s="104"/>
      <c r="L1823" s="103">
        <v>8</v>
      </c>
      <c r="M1823" s="104"/>
      <c r="N1823" s="103">
        <v>8</v>
      </c>
      <c r="O1823" s="104"/>
      <c r="P1823" s="103">
        <v>8</v>
      </c>
      <c r="Q1823" s="104"/>
      <c r="R1823" s="103">
        <v>8</v>
      </c>
      <c r="S1823" s="69"/>
      <c r="T1823" s="70"/>
      <c r="U1823" s="71">
        <f t="shared" ref="U1823" si="713">SUM(G1823:T1823)</f>
        <v>40</v>
      </c>
      <c r="V1823" s="72"/>
      <c r="W1823" s="69"/>
      <c r="X1823" s="70"/>
      <c r="Y1823" s="104"/>
      <c r="Z1823" s="103">
        <v>8</v>
      </c>
      <c r="AA1823" s="104"/>
      <c r="AB1823" s="103">
        <v>8</v>
      </c>
      <c r="AC1823" s="104"/>
      <c r="AD1823" s="103">
        <v>8</v>
      </c>
      <c r="AE1823" s="104"/>
      <c r="AF1823" s="103">
        <v>8</v>
      </c>
      <c r="AG1823" s="104"/>
      <c r="AH1823" s="103">
        <v>8</v>
      </c>
      <c r="AI1823" s="69"/>
      <c r="AJ1823" s="70"/>
      <c r="AK1823" s="71">
        <f>SUM(W1823:AJ1823)</f>
        <v>40</v>
      </c>
      <c r="AL1823" s="72"/>
      <c r="AM1823" s="73">
        <f>SUMIF($G1822:$T1822,"",$G1823:$T1823)+SUMIF($W1822:$AJ1822,"",$W1823:$AJ1823)-AN1823</f>
        <v>80</v>
      </c>
      <c r="AN1823" s="88">
        <f>IF(SUMIF($G1822:$T1822,"",$G1823:$T1823)+SUMIF($G1822:$T1822,"F",$G1823:$T1823)+SUMIF($G1822:$T1822,"V",$G1823:$T1823)-40&lt;0,0,SUMIF($G1822:$T1822,"",$G1823:$T1823)+SUMIF($G1822:$T1822,"F",$G1823:$T1823)+SUMIF($G1822:$T1822,"V",$G1823:$T1823)-($U$9/2))+IF(SUMIF($W1822:$AJ1822,"",$W1823:$AJ1823)+SUMIF($W1822:$AJ1822,"F",$W1823:$AJ1823)+SUMIF($W1822:$AJ1822,"V",$W1823:$AJ1823)-40&lt;0,0,SUMIF($W1822:$AJ1822,"",$W1823:$AJ1823)+SUMIF($W1822:$AJ1822,"F",$W1823:$AJ1823)+SUMIF($W1822:$AJ1822,"V",$W1823:$AJ1823)-($U$9/2))</f>
        <v>0</v>
      </c>
      <c r="AO1823" s="73">
        <f>SUMIF($G1822:$T1822,"M",$G1823:$T1823)+SUMIF($W1822:$AJ1822,"M",$W1823:$AJ1823)</f>
        <v>0</v>
      </c>
      <c r="AP1823" s="73">
        <f>SUMIF($G1822:$T1822,"F",$G1823:$T1823)+SUMIF($W1822:$AJ1822,"F",$W1823:$AJ1823)</f>
        <v>0</v>
      </c>
      <c r="AQ1823" s="73">
        <f>SUMIF($G1822:$T1822,"V",$G1823:$T1823)+SUMIF($W1822:$AJ1822,"V",$W1823:$AJ1823)</f>
        <v>0</v>
      </c>
      <c r="AR1823" s="74">
        <f>SUMIF($G1822:$T1822,"O",$G1823:$T1823)+SUMIF($W1822:$AJ1822,"O",$W1823:$AJ1823)</f>
        <v>0</v>
      </c>
      <c r="AS1823" s="75">
        <f>SUM(AM1823:AR1823)</f>
        <v>80</v>
      </c>
      <c r="AT1823" s="72"/>
      <c r="AU1823" s="73">
        <f>SUMIF($G1822:$T1822,"A",$G1823:$T1823)+SUMIF($W1822:$AJ1822,"A",$W1823:$AJ1823)</f>
        <v>0</v>
      </c>
      <c r="AV1823" s="72"/>
      <c r="AW1823" s="76">
        <f>IF(B1823="",0,IF($U$9="",0,$U$9))</f>
        <v>80</v>
      </c>
      <c r="BA1823" s="2"/>
      <c r="BB1823" s="2"/>
      <c r="BC1823" s="101"/>
      <c r="BD1823" s="101"/>
    </row>
    <row r="1824" spans="2:56" s="84" customFormat="1" x14ac:dyDescent="0.35">
      <c r="B1824" s="26"/>
      <c r="C1824" s="27"/>
      <c r="D1824" s="28">
        <f>IF(D1750="","",D1750)</f>
        <v>72673</v>
      </c>
      <c r="E1824" s="29" t="str">
        <f t="shared" si="697"/>
        <v/>
      </c>
      <c r="F1824" s="50">
        <f>B1785</f>
        <v>8</v>
      </c>
      <c r="G1824" s="59"/>
      <c r="H1824" s="64"/>
      <c r="I1824" s="106"/>
      <c r="J1824" s="105"/>
      <c r="K1824" s="106"/>
      <c r="L1824" s="105"/>
      <c r="M1824" s="106"/>
      <c r="N1824" s="105"/>
      <c r="O1824" s="106"/>
      <c r="P1824" s="105"/>
      <c r="Q1824" s="106"/>
      <c r="R1824" s="105"/>
      <c r="S1824" s="59"/>
      <c r="T1824" s="64"/>
      <c r="U1824" s="44"/>
      <c r="W1824" s="59"/>
      <c r="X1824" s="64"/>
      <c r="Y1824" s="106"/>
      <c r="Z1824" s="105"/>
      <c r="AA1824" s="106"/>
      <c r="AB1824" s="105"/>
      <c r="AC1824" s="106"/>
      <c r="AD1824" s="105"/>
      <c r="AE1824" s="106"/>
      <c r="AF1824" s="105"/>
      <c r="AG1824" s="106"/>
      <c r="AH1824" s="105"/>
      <c r="AI1824" s="59"/>
      <c r="AJ1824" s="64"/>
      <c r="AK1824" s="44"/>
      <c r="AM1824" s="49"/>
      <c r="AN1824" s="49"/>
      <c r="AO1824" s="49"/>
      <c r="AP1824" s="49"/>
      <c r="AQ1824" s="49"/>
      <c r="AR1824" s="40"/>
      <c r="AS1824" s="51"/>
      <c r="AU1824" s="49"/>
      <c r="AW1824" s="52"/>
      <c r="BA1824" s="2"/>
      <c r="BB1824" s="2"/>
      <c r="BC1824" s="101"/>
      <c r="BD1824" s="101"/>
    </row>
    <row r="1825" spans="1:56" s="84" customFormat="1" x14ac:dyDescent="0.35">
      <c r="B1825" s="30" t="str">
        <f>IF(B1751="","",B1751)</f>
        <v>St-Georges, Manuel (avance $2,000)</v>
      </c>
      <c r="C1825" s="31"/>
      <c r="D1825" s="32"/>
      <c r="E1825" s="33">
        <f t="shared" si="697"/>
        <v>93595935</v>
      </c>
      <c r="F1825" s="50">
        <f>B1785</f>
        <v>8</v>
      </c>
      <c r="G1825" s="69"/>
      <c r="H1825" s="70"/>
      <c r="I1825" s="104"/>
      <c r="J1825" s="103" t="s">
        <v>69</v>
      </c>
      <c r="K1825" s="104"/>
      <c r="L1825" s="103" t="s">
        <v>69</v>
      </c>
      <c r="M1825" s="104"/>
      <c r="N1825" s="103" t="s">
        <v>69</v>
      </c>
      <c r="O1825" s="104"/>
      <c r="P1825" s="103" t="s">
        <v>69</v>
      </c>
      <c r="Q1825" s="104"/>
      <c r="R1825" s="103" t="s">
        <v>69</v>
      </c>
      <c r="S1825" s="69"/>
      <c r="T1825" s="70"/>
      <c r="U1825" s="71">
        <f t="shared" ref="U1825" si="714">SUM(G1825:T1825)</f>
        <v>0</v>
      </c>
      <c r="V1825" s="72"/>
      <c r="W1825" s="69"/>
      <c r="X1825" s="70"/>
      <c r="Y1825" s="104"/>
      <c r="Z1825" s="103" t="s">
        <v>69</v>
      </c>
      <c r="AA1825" s="104"/>
      <c r="AB1825" s="103" t="s">
        <v>69</v>
      </c>
      <c r="AC1825" s="104"/>
      <c r="AD1825" s="103" t="s">
        <v>69</v>
      </c>
      <c r="AE1825" s="104"/>
      <c r="AF1825" s="103" t="s">
        <v>69</v>
      </c>
      <c r="AG1825" s="104"/>
      <c r="AH1825" s="103" t="s">
        <v>69</v>
      </c>
      <c r="AI1825" s="69"/>
      <c r="AJ1825" s="70"/>
      <c r="AK1825" s="71">
        <f>SUM(W1825:AJ1825)</f>
        <v>0</v>
      </c>
      <c r="AL1825" s="72"/>
      <c r="AM1825" s="73">
        <f>SUMIF($G1824:$T1824,"",$G1825:$T1825)+SUMIF($W1824:$AJ1824,"",$W1825:$AJ1825)-AN1825</f>
        <v>0</v>
      </c>
      <c r="AN1825" s="88">
        <f>IF(SUMIF($G1824:$T1824,"",$G1825:$T1825)+SUMIF($G1824:$T1824,"F",$G1825:$T1825)+SUMIF($G1824:$T1824,"V",$G1825:$T1825)-40&lt;0,0,SUMIF($G1824:$T1824,"",$G1825:$T1825)+SUMIF($G1824:$T1824,"F",$G1825:$T1825)+SUMIF($G1824:$T1824,"V",$G1825:$T1825)-($U$9/2))+IF(SUMIF($W1824:$AJ1824,"",$W1825:$AJ1825)+SUMIF($W1824:$AJ1824,"F",$W1825:$AJ1825)+SUMIF($W1824:$AJ1824,"V",$W1825:$AJ1825)-40&lt;0,0,SUMIF($W1824:$AJ1824,"",$W1825:$AJ1825)+SUMIF($W1824:$AJ1824,"F",$W1825:$AJ1825)+SUMIF($W1824:$AJ1824,"V",$W1825:$AJ1825)-($U$9/2))</f>
        <v>0</v>
      </c>
      <c r="AO1825" s="73">
        <f>SUMIF($G1824:$T1824,"M",$G1825:$T1825)+SUMIF($W1824:$AJ1824,"M",$W1825:$AJ1825)</f>
        <v>0</v>
      </c>
      <c r="AP1825" s="73">
        <f>SUMIF($G1824:$T1824,"F",$G1825:$T1825)+SUMIF($W1824:$AJ1824,"F",$W1825:$AJ1825)</f>
        <v>0</v>
      </c>
      <c r="AQ1825" s="73">
        <f>SUMIF($G1824:$T1824,"V",$G1825:$T1825)+SUMIF($W1824:$AJ1824,"V",$W1825:$AJ1825)</f>
        <v>0</v>
      </c>
      <c r="AR1825" s="74">
        <f>SUMIF($G1824:$T1824,"O",$G1825:$T1825)+SUMIF($W1824:$AJ1824,"O",$W1825:$AJ1825)</f>
        <v>0</v>
      </c>
      <c r="AS1825" s="75">
        <f>SUM(AM1825:AR1825)</f>
        <v>0</v>
      </c>
      <c r="AT1825" s="72"/>
      <c r="AU1825" s="73">
        <f>SUMIF($G1824:$T1824,"A",$G1825:$T1825)+SUMIF($W1824:$AJ1824,"A",$W1825:$AJ1825)</f>
        <v>0</v>
      </c>
      <c r="AV1825" s="72"/>
      <c r="AW1825" s="76">
        <f>IF(B1825="",0,IF($U$9="",0,$U$9))</f>
        <v>80</v>
      </c>
      <c r="BA1825" s="2"/>
      <c r="BB1825" s="2"/>
      <c r="BC1825" s="101"/>
      <c r="BD1825" s="101"/>
    </row>
    <row r="1826" spans="1:56" s="84" customFormat="1" x14ac:dyDescent="0.35">
      <c r="B1826" s="26"/>
      <c r="C1826" s="27"/>
      <c r="D1826" s="28" t="str">
        <f>IF(D1752="","",D1752)</f>
        <v/>
      </c>
      <c r="E1826" s="29" t="str">
        <f t="shared" si="697"/>
        <v/>
      </c>
      <c r="F1826" s="50">
        <f>B1785</f>
        <v>8</v>
      </c>
      <c r="G1826" s="59"/>
      <c r="H1826" s="64"/>
      <c r="I1826" s="106"/>
      <c r="J1826" s="105"/>
      <c r="K1826" s="106"/>
      <c r="L1826" s="105"/>
      <c r="M1826" s="106"/>
      <c r="N1826" s="105"/>
      <c r="O1826" s="106"/>
      <c r="P1826" s="105"/>
      <c r="Q1826" s="106"/>
      <c r="R1826" s="105"/>
      <c r="S1826" s="59"/>
      <c r="T1826" s="64"/>
      <c r="U1826" s="44"/>
      <c r="W1826" s="59"/>
      <c r="X1826" s="64"/>
      <c r="Y1826" s="106"/>
      <c r="Z1826" s="105"/>
      <c r="AA1826" s="106"/>
      <c r="AB1826" s="105"/>
      <c r="AC1826" s="106"/>
      <c r="AD1826" s="105"/>
      <c r="AE1826" s="106"/>
      <c r="AF1826" s="105"/>
      <c r="AG1826" s="106"/>
      <c r="AH1826" s="105"/>
      <c r="AI1826" s="59"/>
      <c r="AJ1826" s="64"/>
      <c r="AK1826" s="44"/>
      <c r="AM1826" s="49"/>
      <c r="AN1826" s="49"/>
      <c r="AO1826" s="49"/>
      <c r="AP1826" s="49"/>
      <c r="AQ1826" s="49"/>
      <c r="AR1826" s="40"/>
      <c r="AS1826" s="51"/>
      <c r="AU1826" s="49"/>
      <c r="AW1826" s="52"/>
      <c r="BA1826" s="2"/>
      <c r="BB1826" s="2"/>
      <c r="BC1826" s="101"/>
      <c r="BD1826" s="101"/>
    </row>
    <row r="1827" spans="1:56" s="84" customFormat="1" x14ac:dyDescent="0.35">
      <c r="B1827" s="30" t="str">
        <f>IF(B1753="","",B1753)</f>
        <v/>
      </c>
      <c r="C1827" s="31"/>
      <c r="D1827" s="32"/>
      <c r="E1827" s="33" t="str">
        <f t="shared" si="697"/>
        <v/>
      </c>
      <c r="F1827" s="50">
        <f>B1785</f>
        <v>8</v>
      </c>
      <c r="G1827" s="69"/>
      <c r="H1827" s="70"/>
      <c r="I1827" s="104"/>
      <c r="J1827" s="103"/>
      <c r="K1827" s="104"/>
      <c r="L1827" s="103"/>
      <c r="M1827" s="104"/>
      <c r="N1827" s="103"/>
      <c r="O1827" s="104"/>
      <c r="P1827" s="103"/>
      <c r="Q1827" s="104"/>
      <c r="R1827" s="103"/>
      <c r="S1827" s="69"/>
      <c r="T1827" s="70"/>
      <c r="U1827" s="71">
        <f t="shared" ref="U1827" si="715">SUM(G1827:T1827)</f>
        <v>0</v>
      </c>
      <c r="V1827" s="72"/>
      <c r="W1827" s="69"/>
      <c r="X1827" s="70"/>
      <c r="Y1827" s="104"/>
      <c r="Z1827" s="103"/>
      <c r="AA1827" s="104"/>
      <c r="AB1827" s="103"/>
      <c r="AC1827" s="104"/>
      <c r="AD1827" s="103"/>
      <c r="AE1827" s="104"/>
      <c r="AF1827" s="103"/>
      <c r="AG1827" s="104"/>
      <c r="AH1827" s="103"/>
      <c r="AI1827" s="69"/>
      <c r="AJ1827" s="70"/>
      <c r="AK1827" s="71">
        <f>SUM(W1827:AJ1827)</f>
        <v>0</v>
      </c>
      <c r="AL1827" s="72"/>
      <c r="AM1827" s="73">
        <f>SUMIF($G1826:$T1826,"",$G1827:$T1827)+SUMIF($W1826:$AJ1826,"",$W1827:$AJ1827)-AN1827</f>
        <v>0</v>
      </c>
      <c r="AN1827" s="88">
        <f>IF(SUMIF($G1826:$T1826,"",$G1827:$T1827)+SUMIF($G1826:$T1826,"F",$G1827:$T1827)+SUMIF($G1826:$T1826,"V",$G1827:$T1827)-40&lt;0,0,SUMIF($G1826:$T1826,"",$G1827:$T1827)+SUMIF($G1826:$T1826,"F",$G1827:$T1827)+SUMIF($G1826:$T1826,"V",$G1827:$T1827)-($U$9/2))+IF(SUMIF($W1826:$AJ1826,"",$W1827:$AJ1827)+SUMIF($W1826:$AJ1826,"F",$W1827:$AJ1827)+SUMIF($W1826:$AJ1826,"V",$W1827:$AJ1827)-40&lt;0,0,SUMIF($W1826:$AJ1826,"",$W1827:$AJ1827)+SUMIF($W1826:$AJ1826,"F",$W1827:$AJ1827)+SUMIF($W1826:$AJ1826,"V",$W1827:$AJ1827)-($U$9/2))</f>
        <v>0</v>
      </c>
      <c r="AO1827" s="73">
        <f>SUMIF($G1826:$T1826,"M",$G1827:$T1827)+SUMIF($W1826:$AJ1826,"M",$W1827:$AJ1827)</f>
        <v>0</v>
      </c>
      <c r="AP1827" s="73">
        <f>SUMIF($G1826:$T1826,"F",$G1827:$T1827)+SUMIF($W1826:$AJ1826,"F",$W1827:$AJ1827)</f>
        <v>0</v>
      </c>
      <c r="AQ1827" s="73">
        <f>SUMIF($G1826:$T1826,"V",$G1827:$T1827)+SUMIF($W1826:$AJ1826,"V",$W1827:$AJ1827)</f>
        <v>0</v>
      </c>
      <c r="AR1827" s="74">
        <f>SUMIF($G1826:$T1826,"O",$G1827:$T1827)+SUMIF($W1826:$AJ1826,"O",$W1827:$AJ1827)</f>
        <v>0</v>
      </c>
      <c r="AS1827" s="75">
        <f>SUM(AM1827:AR1827)</f>
        <v>0</v>
      </c>
      <c r="AT1827" s="72"/>
      <c r="AU1827" s="73">
        <f>SUMIF($G1826:$T1826,"A",$G1827:$T1827)+SUMIF($W1826:$AJ1826,"A",$W1827:$AJ1827)</f>
        <v>0</v>
      </c>
      <c r="AV1827" s="72"/>
      <c r="AW1827" s="76">
        <f>IF(B1827="",0,IF($U$9="",0,$U$9))</f>
        <v>0</v>
      </c>
      <c r="BA1827" s="2"/>
      <c r="BB1827" s="2"/>
      <c r="BC1827" s="101"/>
      <c r="BD1827" s="101"/>
    </row>
    <row r="1828" spans="1:56" s="84" customFormat="1" x14ac:dyDescent="0.35">
      <c r="B1828" s="26"/>
      <c r="C1828" s="27"/>
      <c r="D1828" s="28">
        <f>IF(D1754="","",D1754)</f>
        <v>23736</v>
      </c>
      <c r="E1828" s="29" t="str">
        <f t="shared" si="697"/>
        <v/>
      </c>
      <c r="F1828" s="50">
        <f>B1785</f>
        <v>8</v>
      </c>
      <c r="G1828" s="59"/>
      <c r="H1828" s="64"/>
      <c r="I1828" s="106"/>
      <c r="J1828" s="105" t="s">
        <v>2</v>
      </c>
      <c r="K1828" s="106"/>
      <c r="L1828" s="105" t="s">
        <v>2</v>
      </c>
      <c r="M1828" s="106"/>
      <c r="N1828" s="105"/>
      <c r="O1828" s="106"/>
      <c r="P1828" s="105"/>
      <c r="Q1828" s="106"/>
      <c r="R1828" s="105"/>
      <c r="S1828" s="59"/>
      <c r="T1828" s="64"/>
      <c r="U1828" s="44"/>
      <c r="W1828" s="59"/>
      <c r="X1828" s="64"/>
      <c r="Y1828" s="106"/>
      <c r="Z1828" s="105"/>
      <c r="AA1828" s="106"/>
      <c r="AB1828" s="105"/>
      <c r="AC1828" s="106"/>
      <c r="AD1828" s="105"/>
      <c r="AE1828" s="106"/>
      <c r="AF1828" s="105"/>
      <c r="AG1828" s="106"/>
      <c r="AH1828" s="105"/>
      <c r="AI1828" s="59"/>
      <c r="AJ1828" s="64"/>
      <c r="AK1828" s="44"/>
      <c r="AM1828" s="49"/>
      <c r="AN1828" s="49"/>
      <c r="AO1828" s="49"/>
      <c r="AP1828" s="49"/>
      <c r="AQ1828" s="49"/>
      <c r="AR1828" s="40"/>
      <c r="AS1828" s="51"/>
      <c r="AU1828" s="49"/>
      <c r="AW1828" s="52"/>
      <c r="BA1828" s="2"/>
      <c r="BB1828" s="2"/>
      <c r="BC1828" s="101"/>
      <c r="BD1828" s="101"/>
    </row>
    <row r="1829" spans="1:56" s="84" customFormat="1" x14ac:dyDescent="0.35">
      <c r="B1829" s="30" t="str">
        <f>IF(B1755="","",B1755)</f>
        <v>Voster, Jean-Michel</v>
      </c>
      <c r="C1829" s="31"/>
      <c r="D1829" s="32"/>
      <c r="E1829" s="33">
        <f t="shared" si="697"/>
        <v>93545</v>
      </c>
      <c r="F1829" s="50">
        <f>B1785</f>
        <v>8</v>
      </c>
      <c r="G1829" s="69"/>
      <c r="H1829" s="70"/>
      <c r="I1829" s="104"/>
      <c r="J1829" s="103">
        <v>0</v>
      </c>
      <c r="K1829" s="104"/>
      <c r="L1829" s="103">
        <v>0</v>
      </c>
      <c r="M1829" s="104"/>
      <c r="N1829" s="103">
        <v>8.25</v>
      </c>
      <c r="O1829" s="104"/>
      <c r="P1829" s="103">
        <v>8</v>
      </c>
      <c r="Q1829" s="104"/>
      <c r="R1829" s="103">
        <v>5</v>
      </c>
      <c r="S1829" s="69"/>
      <c r="T1829" s="70"/>
      <c r="U1829" s="71">
        <f t="shared" ref="U1829" si="716">SUM(G1829:T1829)</f>
        <v>21.25</v>
      </c>
      <c r="V1829" s="72"/>
      <c r="W1829" s="69"/>
      <c r="X1829" s="70"/>
      <c r="Y1829" s="104"/>
      <c r="Z1829" s="103">
        <v>7.75</v>
      </c>
      <c r="AA1829" s="104"/>
      <c r="AB1829" s="103">
        <v>8</v>
      </c>
      <c r="AC1829" s="104"/>
      <c r="AD1829" s="103">
        <v>8.25</v>
      </c>
      <c r="AE1829" s="104"/>
      <c r="AF1829" s="103">
        <v>8</v>
      </c>
      <c r="AG1829" s="104"/>
      <c r="AH1829" s="103">
        <v>7.75</v>
      </c>
      <c r="AI1829" s="69"/>
      <c r="AJ1829" s="70"/>
      <c r="AK1829" s="71">
        <f>SUM(W1829:AJ1829)</f>
        <v>39.75</v>
      </c>
      <c r="AL1829" s="72"/>
      <c r="AM1829" s="73">
        <f>SUMIF($G1828:$T1828,"",$G1829:$T1829)+SUMIF($W1828:$AJ1828,"",$W1829:$AJ1829)-AN1829</f>
        <v>61</v>
      </c>
      <c r="AN1829" s="88">
        <f>IF(SUMIF($G1828:$T1828,"",$G1829:$T1829)+SUMIF($G1828:$T1828,"F",$G1829:$T1829)+SUMIF($G1828:$T1828,"V",$G1829:$T1829)-40&lt;0,0,SUMIF($G1828:$T1828,"",$G1829:$T1829)+SUMIF($G1828:$T1828,"F",$G1829:$T1829)+SUMIF($G1828:$T1828,"V",$G1829:$T1829)-($U$9/2))+IF(SUMIF($W1828:$AJ1828,"",$W1829:$AJ1829)+SUMIF($W1828:$AJ1828,"F",$W1829:$AJ1829)+SUMIF($W1828:$AJ1828,"V",$W1829:$AJ1829)-40&lt;0,0,SUMIF($W1828:$AJ1828,"",$W1829:$AJ1829)+SUMIF($W1828:$AJ1828,"F",$W1829:$AJ1829)+SUMIF($W1828:$AJ1828,"V",$W1829:$AJ1829)-($U$9/2))</f>
        <v>0</v>
      </c>
      <c r="AO1829" s="73">
        <f>SUMIF($G1828:$T1828,"M",$G1829:$T1829)+SUMIF($W1828:$AJ1828,"M",$W1829:$AJ1829)</f>
        <v>0</v>
      </c>
      <c r="AP1829" s="73">
        <f>SUMIF($G1828:$T1828,"F",$G1829:$T1829)+SUMIF($W1828:$AJ1828,"F",$W1829:$AJ1829)</f>
        <v>0</v>
      </c>
      <c r="AQ1829" s="73">
        <f>SUMIF($G1828:$T1828,"V",$G1829:$T1829)+SUMIF($W1828:$AJ1828,"V",$W1829:$AJ1829)</f>
        <v>0</v>
      </c>
      <c r="AR1829" s="74">
        <f>SUMIF($G1828:$T1828,"O",$G1829:$T1829)+SUMIF($W1828:$AJ1828,"O",$W1829:$AJ1829)</f>
        <v>0</v>
      </c>
      <c r="AS1829" s="75">
        <f>SUM(AM1829:AR1829)</f>
        <v>61</v>
      </c>
      <c r="AT1829" s="72"/>
      <c r="AU1829" s="73">
        <f>SUMIF($G1828:$T1828,"A",$G1829:$T1829)+SUMIF($W1828:$AJ1828,"A",$W1829:$AJ1829)</f>
        <v>0</v>
      </c>
      <c r="AV1829" s="72"/>
      <c r="AW1829" s="76">
        <f>IF(B1829="",0,IF($U$9="",0,$U$9))</f>
        <v>80</v>
      </c>
      <c r="BA1829" s="2"/>
      <c r="BB1829" s="2"/>
      <c r="BC1829" s="101"/>
      <c r="BD1829" s="101"/>
    </row>
    <row r="1830" spans="1:56" s="53" customFormat="1" ht="15" customHeight="1" x14ac:dyDescent="0.35">
      <c r="A1830" s="84"/>
      <c r="B1830" s="26"/>
      <c r="C1830" s="27"/>
      <c r="D1830" s="28" t="str">
        <f>IF(D1756="","",D1756)</f>
        <v/>
      </c>
      <c r="E1830" s="29" t="str">
        <f t="shared" si="697"/>
        <v/>
      </c>
      <c r="F1830" s="50">
        <f>B1785</f>
        <v>8</v>
      </c>
      <c r="G1830" s="59"/>
      <c r="H1830" s="64"/>
      <c r="I1830" s="106"/>
      <c r="J1830" s="105"/>
      <c r="K1830" s="106"/>
      <c r="L1830" s="105"/>
      <c r="M1830" s="106"/>
      <c r="N1830" s="105"/>
      <c r="O1830" s="106"/>
      <c r="P1830" s="105"/>
      <c r="Q1830" s="106"/>
      <c r="R1830" s="105"/>
      <c r="S1830" s="59"/>
      <c r="T1830" s="64"/>
      <c r="U1830" s="44"/>
      <c r="V1830" s="84"/>
      <c r="W1830" s="59"/>
      <c r="X1830" s="64"/>
      <c r="Y1830" s="106"/>
      <c r="Z1830" s="105"/>
      <c r="AA1830" s="106"/>
      <c r="AB1830" s="105"/>
      <c r="AC1830" s="106"/>
      <c r="AD1830" s="105"/>
      <c r="AE1830" s="106"/>
      <c r="AF1830" s="105"/>
      <c r="AG1830" s="106"/>
      <c r="AH1830" s="105"/>
      <c r="AI1830" s="59"/>
      <c r="AJ1830" s="64"/>
      <c r="AK1830" s="44"/>
      <c r="AL1830" s="84"/>
      <c r="AM1830" s="49"/>
      <c r="AN1830" s="49"/>
      <c r="AO1830" s="49"/>
      <c r="AP1830" s="49"/>
      <c r="AQ1830" s="49"/>
      <c r="AR1830" s="40"/>
      <c r="AS1830" s="51"/>
      <c r="AT1830" s="84"/>
      <c r="AU1830" s="49"/>
      <c r="AV1830" s="84"/>
      <c r="AW1830" s="52"/>
      <c r="AX1830" s="84"/>
      <c r="BA1830" s="2"/>
      <c r="BB1830" s="2"/>
      <c r="BC1830" s="101"/>
      <c r="BD1830" s="101"/>
    </row>
    <row r="1831" spans="1:56" s="57" customFormat="1" ht="15" customHeight="1" x14ac:dyDescent="0.35">
      <c r="A1831" s="84"/>
      <c r="B1831" s="30" t="str">
        <f>IF(B1757="","",B1757)</f>
        <v/>
      </c>
      <c r="C1831" s="31"/>
      <c r="D1831" s="32"/>
      <c r="E1831" s="33" t="str">
        <f t="shared" si="697"/>
        <v/>
      </c>
      <c r="F1831" s="50">
        <f>B1785</f>
        <v>8</v>
      </c>
      <c r="G1831" s="69"/>
      <c r="H1831" s="70"/>
      <c r="I1831" s="104"/>
      <c r="J1831" s="103"/>
      <c r="K1831" s="104"/>
      <c r="L1831" s="103"/>
      <c r="M1831" s="104"/>
      <c r="N1831" s="103"/>
      <c r="O1831" s="104"/>
      <c r="P1831" s="103"/>
      <c r="Q1831" s="104"/>
      <c r="R1831" s="103"/>
      <c r="S1831" s="69"/>
      <c r="T1831" s="70"/>
      <c r="U1831" s="71">
        <f t="shared" ref="U1831" si="717">SUM(G1831:T1831)</f>
        <v>0</v>
      </c>
      <c r="V1831" s="72"/>
      <c r="W1831" s="69"/>
      <c r="X1831" s="70"/>
      <c r="Y1831" s="104"/>
      <c r="Z1831" s="103"/>
      <c r="AA1831" s="104"/>
      <c r="AB1831" s="103"/>
      <c r="AC1831" s="104"/>
      <c r="AD1831" s="103"/>
      <c r="AE1831" s="104"/>
      <c r="AF1831" s="103"/>
      <c r="AG1831" s="104"/>
      <c r="AH1831" s="103"/>
      <c r="AI1831" s="69"/>
      <c r="AJ1831" s="70"/>
      <c r="AK1831" s="71">
        <f>SUM(W1831:AJ1831)</f>
        <v>0</v>
      </c>
      <c r="AL1831" s="72"/>
      <c r="AM1831" s="73">
        <f>SUMIF($G1830:$T1830,"",$G1831:$T1831)+SUMIF($W1830:$AJ1830,"",$W1831:$AJ1831)-AN1831</f>
        <v>0</v>
      </c>
      <c r="AN1831" s="88">
        <f>IF(SUMIF($G1830:$T1830,"",$G1831:$T1831)+SUMIF($G1830:$T1830,"F",$G1831:$T1831)+SUMIF($G1830:$T1830,"V",$G1831:$T1831)-40&lt;0,0,SUMIF($G1830:$T1830,"",$G1831:$T1831)+SUMIF($G1830:$T1830,"F",$G1831:$T1831)+SUMIF($G1830:$T1830,"V",$G1831:$T1831)-($U$9/2))+IF(SUMIF($W1830:$AJ1830,"",$W1831:$AJ1831)+SUMIF($W1830:$AJ1830,"F",$W1831:$AJ1831)+SUMIF($W1830:$AJ1830,"V",$W1831:$AJ1831)-40&lt;0,0,SUMIF($W1830:$AJ1830,"",$W1831:$AJ1831)+SUMIF($W1830:$AJ1830,"F",$W1831:$AJ1831)+SUMIF($W1830:$AJ1830,"V",$W1831:$AJ1831)-($U$9/2))</f>
        <v>0</v>
      </c>
      <c r="AO1831" s="73">
        <f>SUMIF($G1830:$T1830,"M",$G1831:$T1831)+SUMIF($W1830:$AJ1830,"M",$W1831:$AJ1831)</f>
        <v>0</v>
      </c>
      <c r="AP1831" s="73">
        <f>SUMIF($G1830:$T1830,"F",$G1831:$T1831)+SUMIF($W1830:$AJ1830,"F",$W1831:$AJ1831)</f>
        <v>0</v>
      </c>
      <c r="AQ1831" s="73">
        <f>SUMIF($G1830:$T1830,"V",$G1831:$T1831)+SUMIF($W1830:$AJ1830,"V",$W1831:$AJ1831)</f>
        <v>0</v>
      </c>
      <c r="AR1831" s="74">
        <f>SUMIF($G1830:$T1830,"O",$G1831:$T1831)+SUMIF($W1830:$AJ1830,"O",$W1831:$AJ1831)</f>
        <v>0</v>
      </c>
      <c r="AS1831" s="75">
        <f>SUM(AM1831:AR1831)</f>
        <v>0</v>
      </c>
      <c r="AT1831" s="72"/>
      <c r="AU1831" s="73">
        <f>SUMIF($G1830:$T1830,"A",$G1831:$T1831)+SUMIF($W1830:$AJ1830,"A",$W1831:$AJ1831)</f>
        <v>0</v>
      </c>
      <c r="AV1831" s="72"/>
      <c r="AW1831" s="76">
        <f>IF(B1831="",0,IF($U$9="",0,$U$9))</f>
        <v>0</v>
      </c>
      <c r="AX1831" s="84"/>
      <c r="BA1831" s="2"/>
      <c r="BB1831" s="2"/>
      <c r="BC1831" s="101"/>
      <c r="BD1831" s="101"/>
    </row>
    <row r="1832" spans="1:56" s="53" customFormat="1" ht="15" customHeight="1" x14ac:dyDescent="0.35">
      <c r="A1832" s="84"/>
      <c r="B1832" s="26"/>
      <c r="C1832" s="27"/>
      <c r="D1832" s="28">
        <f>IF(D1758="","",D1758)</f>
        <v>35135</v>
      </c>
      <c r="E1832" s="29" t="str">
        <f t="shared" si="697"/>
        <v/>
      </c>
      <c r="F1832" s="50">
        <f>B1785</f>
        <v>8</v>
      </c>
      <c r="G1832" s="59"/>
      <c r="H1832" s="64"/>
      <c r="I1832" s="106"/>
      <c r="J1832" s="105"/>
      <c r="K1832" s="106"/>
      <c r="L1832" s="105"/>
      <c r="M1832" s="106"/>
      <c r="N1832" s="105"/>
      <c r="O1832" s="106"/>
      <c r="P1832" s="105" t="s">
        <v>2</v>
      </c>
      <c r="Q1832" s="106"/>
      <c r="R1832" s="105"/>
      <c r="S1832" s="59"/>
      <c r="T1832" s="64"/>
      <c r="U1832" s="44"/>
      <c r="V1832" s="84"/>
      <c r="W1832" s="59"/>
      <c r="X1832" s="64"/>
      <c r="Y1832" s="106"/>
      <c r="Z1832" s="105"/>
      <c r="AA1832" s="106"/>
      <c r="AB1832" s="105"/>
      <c r="AC1832" s="106"/>
      <c r="AD1832" s="105"/>
      <c r="AE1832" s="106"/>
      <c r="AF1832" s="105"/>
      <c r="AG1832" s="106"/>
      <c r="AH1832" s="105" t="s">
        <v>2</v>
      </c>
      <c r="AI1832" s="59"/>
      <c r="AJ1832" s="64"/>
      <c r="AK1832" s="44"/>
      <c r="AL1832" s="84"/>
      <c r="AM1832" s="49"/>
      <c r="AN1832" s="49"/>
      <c r="AO1832" s="49"/>
      <c r="AP1832" s="49"/>
      <c r="AQ1832" s="49"/>
      <c r="AR1832" s="40"/>
      <c r="AS1832" s="51"/>
      <c r="AT1832" s="84"/>
      <c r="AU1832" s="49"/>
      <c r="AV1832" s="84"/>
      <c r="AW1832" s="52"/>
      <c r="AX1832" s="84"/>
      <c r="BA1832" s="2"/>
      <c r="BB1832" s="2"/>
      <c r="BC1832" s="101"/>
      <c r="BD1832" s="101"/>
    </row>
    <row r="1833" spans="1:56" s="53" customFormat="1" x14ac:dyDescent="0.35">
      <c r="A1833" s="84"/>
      <c r="B1833" s="30" t="str">
        <f>IF(B1759="","",B1759)</f>
        <v>Dupont,Catherine</v>
      </c>
      <c r="C1833" s="31"/>
      <c r="D1833" s="32"/>
      <c r="E1833" s="33">
        <f t="shared" si="697"/>
        <v>93545</v>
      </c>
      <c r="F1833" s="50">
        <f>B1785</f>
        <v>8</v>
      </c>
      <c r="G1833" s="69"/>
      <c r="H1833" s="70"/>
      <c r="I1833" s="104"/>
      <c r="J1833" s="103">
        <v>7.75</v>
      </c>
      <c r="K1833" s="104"/>
      <c r="L1833" s="103">
        <v>8.5</v>
      </c>
      <c r="M1833" s="104"/>
      <c r="N1833" s="103">
        <v>7.75</v>
      </c>
      <c r="O1833" s="104"/>
      <c r="P1833" s="103">
        <v>0</v>
      </c>
      <c r="Q1833" s="104"/>
      <c r="R1833" s="103">
        <v>8</v>
      </c>
      <c r="S1833" s="69"/>
      <c r="T1833" s="70"/>
      <c r="U1833" s="71">
        <f t="shared" ref="U1833" si="718">SUM(G1833:T1833)</f>
        <v>32</v>
      </c>
      <c r="V1833" s="72"/>
      <c r="W1833" s="69"/>
      <c r="X1833" s="70"/>
      <c r="Y1833" s="104"/>
      <c r="Z1833" s="103">
        <v>8</v>
      </c>
      <c r="AA1833" s="104"/>
      <c r="AB1833" s="103">
        <v>8</v>
      </c>
      <c r="AC1833" s="104"/>
      <c r="AD1833" s="103">
        <v>8</v>
      </c>
      <c r="AE1833" s="104"/>
      <c r="AF1833" s="103">
        <v>8.25</v>
      </c>
      <c r="AG1833" s="104"/>
      <c r="AH1833" s="103">
        <v>0</v>
      </c>
      <c r="AI1833" s="69"/>
      <c r="AJ1833" s="70"/>
      <c r="AK1833" s="71">
        <f>SUM(W1833:AJ1833)</f>
        <v>32.25</v>
      </c>
      <c r="AL1833" s="72"/>
      <c r="AM1833" s="73">
        <f>SUMIF($G1832:$T1832,"",$G1833:$T1833)+SUMIF($W1832:$AJ1832,"",$W1833:$AJ1833)-AN1833</f>
        <v>64.25</v>
      </c>
      <c r="AN1833" s="88">
        <f>IF(SUMIF($G1832:$T1832,"",$G1833:$T1833)+SUMIF($G1832:$T1832,"F",$G1833:$T1833)+SUMIF($G1832:$T1832,"V",$G1833:$T1833)-40&lt;0,0,SUMIF($G1832:$T1832,"",$G1833:$T1833)+SUMIF($G1832:$T1832,"F",$G1833:$T1833)+SUMIF($G1832:$T1832,"V",$G1833:$T1833)-($U$9/2))+IF(SUMIF($W1832:$AJ1832,"",$W1833:$AJ1833)+SUMIF($W1832:$AJ1832,"F",$W1833:$AJ1833)+SUMIF($W1832:$AJ1832,"V",$W1833:$AJ1833)-40&lt;0,0,SUMIF($W1832:$AJ1832,"",$W1833:$AJ1833)+SUMIF($W1832:$AJ1832,"F",$W1833:$AJ1833)+SUMIF($W1832:$AJ1832,"V",$W1833:$AJ1833)-($U$9/2))</f>
        <v>0</v>
      </c>
      <c r="AO1833" s="73">
        <f>SUMIF($G1832:$T1832,"M",$G1833:$T1833)+SUMIF($W1832:$AJ1832,"M",$W1833:$AJ1833)</f>
        <v>0</v>
      </c>
      <c r="AP1833" s="73">
        <f>SUMIF($G1832:$T1832,"F",$G1833:$T1833)+SUMIF($W1832:$AJ1832,"F",$W1833:$AJ1833)</f>
        <v>0</v>
      </c>
      <c r="AQ1833" s="73">
        <f>SUMIF($G1832:$T1832,"V",$G1833:$T1833)+SUMIF($W1832:$AJ1832,"V",$W1833:$AJ1833)</f>
        <v>0</v>
      </c>
      <c r="AR1833" s="74">
        <f>SUMIF($G1832:$T1832,"O",$G1833:$T1833)+SUMIF($W1832:$AJ1832,"O",$W1833:$AJ1833)</f>
        <v>0</v>
      </c>
      <c r="AS1833" s="75">
        <f>SUM(AM1833:AR1833)</f>
        <v>64.25</v>
      </c>
      <c r="AT1833" s="72"/>
      <c r="AU1833" s="73">
        <f>SUMIF($G1832:$T1832,"A",$G1833:$T1833)+SUMIF($W1832:$AJ1832,"A",$W1833:$AJ1833)</f>
        <v>0</v>
      </c>
      <c r="AV1833" s="72"/>
      <c r="AW1833" s="76">
        <f>IF(B1833="",0,IF($U$9="",0,$U$9))</f>
        <v>80</v>
      </c>
      <c r="AX1833" s="84"/>
      <c r="BA1833" s="2"/>
      <c r="BB1833" s="2"/>
      <c r="BC1833" s="101"/>
      <c r="BD1833" s="101"/>
    </row>
    <row r="1834" spans="1:56" s="53" customFormat="1" x14ac:dyDescent="0.35">
      <c r="A1834" s="84"/>
      <c r="B1834" s="26"/>
      <c r="C1834" s="27"/>
      <c r="D1834" s="28" t="str">
        <f>IF(D1760="","",D1760)</f>
        <v/>
      </c>
      <c r="E1834" s="29" t="str">
        <f t="shared" si="697"/>
        <v/>
      </c>
      <c r="F1834" s="50">
        <f>B1785</f>
        <v>8</v>
      </c>
      <c r="G1834" s="59"/>
      <c r="H1834" s="64"/>
      <c r="I1834" s="58"/>
      <c r="J1834" s="65"/>
      <c r="K1834" s="58"/>
      <c r="L1834" s="65"/>
      <c r="M1834" s="58"/>
      <c r="N1834" s="65"/>
      <c r="O1834" s="58"/>
      <c r="P1834" s="65"/>
      <c r="Q1834" s="58"/>
      <c r="R1834" s="65"/>
      <c r="S1834" s="59"/>
      <c r="T1834" s="64"/>
      <c r="U1834" s="44"/>
      <c r="V1834" s="84"/>
      <c r="W1834" s="59"/>
      <c r="X1834" s="64"/>
      <c r="Y1834" s="58"/>
      <c r="Z1834" s="65"/>
      <c r="AA1834" s="58"/>
      <c r="AB1834" s="65"/>
      <c r="AC1834" s="58"/>
      <c r="AD1834" s="65"/>
      <c r="AE1834" s="58"/>
      <c r="AF1834" s="65"/>
      <c r="AG1834" s="58"/>
      <c r="AH1834" s="65"/>
      <c r="AI1834" s="59"/>
      <c r="AJ1834" s="64"/>
      <c r="AK1834" s="44"/>
      <c r="AL1834" s="84"/>
      <c r="AM1834" s="49"/>
      <c r="AN1834" s="49"/>
      <c r="AO1834" s="49"/>
      <c r="AP1834" s="49"/>
      <c r="AQ1834" s="49"/>
      <c r="AR1834" s="40"/>
      <c r="AS1834" s="51"/>
      <c r="AT1834" s="84"/>
      <c r="AU1834" s="49"/>
      <c r="AV1834" s="84"/>
      <c r="AW1834" s="52"/>
      <c r="AX1834" s="84"/>
      <c r="BA1834" s="2"/>
      <c r="BB1834" s="2"/>
      <c r="BC1834" s="101"/>
      <c r="BD1834" s="101"/>
    </row>
    <row r="1835" spans="1:56" s="53" customFormat="1" x14ac:dyDescent="0.35">
      <c r="A1835" s="84"/>
      <c r="B1835" s="30" t="str">
        <f>IF(B1761="","",B1761)</f>
        <v/>
      </c>
      <c r="C1835" s="31"/>
      <c r="D1835" s="32"/>
      <c r="E1835" s="33" t="str">
        <f t="shared" si="697"/>
        <v/>
      </c>
      <c r="F1835" s="50">
        <f>B1785</f>
        <v>8</v>
      </c>
      <c r="G1835" s="69"/>
      <c r="H1835" s="70"/>
      <c r="I1835" s="67"/>
      <c r="J1835" s="68"/>
      <c r="K1835" s="67"/>
      <c r="L1835" s="68"/>
      <c r="M1835" s="67"/>
      <c r="N1835" s="68"/>
      <c r="O1835" s="67"/>
      <c r="P1835" s="68"/>
      <c r="Q1835" s="67"/>
      <c r="R1835" s="68"/>
      <c r="S1835" s="69"/>
      <c r="T1835" s="70"/>
      <c r="U1835" s="71">
        <f t="shared" ref="U1835" si="719">SUM(G1835:T1835)</f>
        <v>0</v>
      </c>
      <c r="V1835" s="72"/>
      <c r="W1835" s="69"/>
      <c r="X1835" s="70"/>
      <c r="Y1835" s="67"/>
      <c r="Z1835" s="68"/>
      <c r="AA1835" s="67"/>
      <c r="AB1835" s="68"/>
      <c r="AC1835" s="67"/>
      <c r="AD1835" s="68"/>
      <c r="AE1835" s="67"/>
      <c r="AF1835" s="68"/>
      <c r="AG1835" s="67"/>
      <c r="AH1835" s="68"/>
      <c r="AI1835" s="69"/>
      <c r="AJ1835" s="70"/>
      <c r="AK1835" s="71">
        <v>0</v>
      </c>
      <c r="AL1835" s="72"/>
      <c r="AM1835" s="73">
        <f>SUMIF($G1834:$T1834,"",$G1835:$T1835)+SUMIF($W1834:$AJ1834,"",$W1835:$AJ1835)-AN1835</f>
        <v>0</v>
      </c>
      <c r="AN1835" s="88">
        <f>IF(SUMIF($G1834:$T1834,"",$G1835:$T1835)+SUMIF($G1834:$T1834,"F",$G1835:$T1835)+SUMIF($G1834:$T1834,"V",$G1835:$T1835)-40&lt;0,0,SUMIF($G1834:$T1834,"",$G1835:$T1835)+SUMIF($G1834:$T1834,"F",$G1835:$T1835)+SUMIF($G1834:$T1834,"V",$G1835:$T1835)-($U$9/2))+IF(SUMIF($W1834:$AJ1834,"",$W1835:$AJ1835)+SUMIF($W1834:$AJ1834,"F",$W1835:$AJ1835)+SUMIF($W1834:$AJ1834,"V",$W1835:$AJ1835)-40&lt;0,0,SUMIF($W1834:$AJ1834,"",$W1835:$AJ1835)+SUMIF($W1834:$AJ1834,"F",$W1835:$AJ1835)+SUMIF($W1834:$AJ1834,"V",$W1835:$AJ1835)-($U$9/2))</f>
        <v>0</v>
      </c>
      <c r="AO1835" s="73">
        <f>SUMIF($G1834:$T1834,"M",$G1835:$T1835)+SUMIF($W1834:$AJ1834,"M",$W1835:$AJ1835)</f>
        <v>0</v>
      </c>
      <c r="AP1835" s="73">
        <f>SUMIF($G1834:$T1834,"F",$G1835:$T1835)+SUMIF($W1834:$AJ1834,"F",$W1835:$AJ1835)</f>
        <v>0</v>
      </c>
      <c r="AQ1835" s="73">
        <f>SUMIF($G1834:$T1834,"V",$G1835:$T1835)+SUMIF($W1834:$AJ1834,"V",$W1835:$AJ1835)</f>
        <v>0</v>
      </c>
      <c r="AR1835" s="74">
        <f>SUMIF($G1834:$T1834,"O",$G1835:$T1835)+SUMIF($W1834:$AJ1834,"O",$W1835:$AJ1835)</f>
        <v>0</v>
      </c>
      <c r="AS1835" s="75">
        <f>SUM(AM1835:AR1835)</f>
        <v>0</v>
      </c>
      <c r="AT1835" s="72"/>
      <c r="AU1835" s="73">
        <f>SUMIF($G1834:$T1834,"A",$G1835:$T1835)+SUMIF($W1834:$AJ1834,"A",$W1835:$AJ1835)</f>
        <v>0</v>
      </c>
      <c r="AV1835" s="72"/>
      <c r="AW1835" s="76">
        <f>IF(B1835="",0,IF($U$9="",0,$U$9))</f>
        <v>0</v>
      </c>
      <c r="AX1835" s="84"/>
      <c r="BA1835" s="2"/>
      <c r="BB1835" s="2"/>
      <c r="BC1835" s="101"/>
      <c r="BD1835" s="101"/>
    </row>
    <row r="1836" spans="1:56" s="53" customFormat="1" x14ac:dyDescent="0.35">
      <c r="A1836" s="84"/>
      <c r="B1836" s="26"/>
      <c r="C1836" s="27"/>
      <c r="D1836" s="28" t="str">
        <f>IF(D1762="","",D1762)</f>
        <v/>
      </c>
      <c r="E1836" s="29" t="str">
        <f t="shared" si="697"/>
        <v/>
      </c>
      <c r="F1836" s="50">
        <f>B1785</f>
        <v>8</v>
      </c>
      <c r="G1836" s="59"/>
      <c r="H1836" s="64"/>
      <c r="I1836" s="58"/>
      <c r="J1836" s="65"/>
      <c r="K1836" s="58"/>
      <c r="L1836" s="65"/>
      <c r="M1836" s="58"/>
      <c r="N1836" s="65"/>
      <c r="O1836" s="58"/>
      <c r="P1836" s="65"/>
      <c r="Q1836" s="58"/>
      <c r="R1836" s="65"/>
      <c r="S1836" s="59"/>
      <c r="T1836" s="64"/>
      <c r="U1836" s="44"/>
      <c r="V1836" s="84"/>
      <c r="W1836" s="59"/>
      <c r="X1836" s="64"/>
      <c r="Y1836" s="58"/>
      <c r="Z1836" s="65"/>
      <c r="AA1836" s="58"/>
      <c r="AB1836" s="65"/>
      <c r="AC1836" s="58"/>
      <c r="AD1836" s="65"/>
      <c r="AE1836" s="58"/>
      <c r="AF1836" s="65"/>
      <c r="AG1836" s="58"/>
      <c r="AH1836" s="65"/>
      <c r="AI1836" s="59"/>
      <c r="AJ1836" s="64"/>
      <c r="AK1836" s="44"/>
      <c r="AL1836" s="84"/>
      <c r="AM1836" s="49"/>
      <c r="AN1836" s="49"/>
      <c r="AO1836" s="49"/>
      <c r="AP1836" s="49"/>
      <c r="AQ1836" s="49"/>
      <c r="AR1836" s="40"/>
      <c r="AS1836" s="51"/>
      <c r="AT1836" s="84"/>
      <c r="AU1836" s="49"/>
      <c r="AV1836" s="84"/>
      <c r="AW1836" s="52"/>
      <c r="AX1836" s="84"/>
      <c r="BA1836" s="2"/>
      <c r="BB1836" s="2"/>
      <c r="BC1836" s="101"/>
      <c r="BD1836" s="101"/>
    </row>
    <row r="1837" spans="1:56" s="53" customFormat="1" x14ac:dyDescent="0.35">
      <c r="A1837" s="84"/>
      <c r="B1837" s="30" t="str">
        <f>IF(B1763="","",B1763)</f>
        <v/>
      </c>
      <c r="C1837" s="31"/>
      <c r="D1837" s="32"/>
      <c r="E1837" s="33" t="str">
        <f t="shared" si="697"/>
        <v/>
      </c>
      <c r="F1837" s="50">
        <f>B1785</f>
        <v>8</v>
      </c>
      <c r="G1837" s="69"/>
      <c r="H1837" s="70"/>
      <c r="I1837" s="67"/>
      <c r="J1837" s="68"/>
      <c r="K1837" s="67"/>
      <c r="L1837" s="68"/>
      <c r="M1837" s="67"/>
      <c r="N1837" s="68"/>
      <c r="O1837" s="67"/>
      <c r="P1837" s="68"/>
      <c r="Q1837" s="67"/>
      <c r="R1837" s="68"/>
      <c r="S1837" s="69"/>
      <c r="T1837" s="70"/>
      <c r="U1837" s="71">
        <f t="shared" ref="U1837" si="720">SUM(G1837:T1837)</f>
        <v>0</v>
      </c>
      <c r="V1837" s="72"/>
      <c r="W1837" s="69"/>
      <c r="X1837" s="70"/>
      <c r="Y1837" s="67"/>
      <c r="Z1837" s="68"/>
      <c r="AA1837" s="67"/>
      <c r="AB1837" s="68"/>
      <c r="AC1837" s="67"/>
      <c r="AD1837" s="68"/>
      <c r="AE1837" s="67"/>
      <c r="AF1837" s="68"/>
      <c r="AG1837" s="67"/>
      <c r="AH1837" s="68"/>
      <c r="AI1837" s="69"/>
      <c r="AJ1837" s="70"/>
      <c r="AK1837" s="71">
        <v>0</v>
      </c>
      <c r="AL1837" s="72"/>
      <c r="AM1837" s="73">
        <v>0</v>
      </c>
      <c r="AN1837" s="88">
        <v>0</v>
      </c>
      <c r="AO1837" s="73">
        <v>0</v>
      </c>
      <c r="AP1837" s="73">
        <v>0</v>
      </c>
      <c r="AQ1837" s="73">
        <v>0</v>
      </c>
      <c r="AR1837" s="74">
        <v>0</v>
      </c>
      <c r="AS1837" s="75">
        <v>0</v>
      </c>
      <c r="AT1837" s="72"/>
      <c r="AU1837" s="73">
        <f>SUMIF($G1836:$T1836,"A",$G1837:$T1837)+SUMIF($W1836:$AJ1836,"A",$W1837:$AJ1837)</f>
        <v>0</v>
      </c>
      <c r="AV1837" s="72"/>
      <c r="AW1837" s="76">
        <f>IF(B1837="",0,IF($U$9="",0,$U$9))</f>
        <v>0</v>
      </c>
      <c r="AX1837" s="84"/>
      <c r="BA1837" s="2"/>
      <c r="BB1837" s="2"/>
      <c r="BC1837" s="101"/>
      <c r="BD1837" s="101"/>
    </row>
    <row r="1838" spans="1:56" s="53" customFormat="1" x14ac:dyDescent="0.35">
      <c r="A1838" s="84"/>
      <c r="B1838" s="26"/>
      <c r="C1838" s="27"/>
      <c r="D1838" s="28" t="str">
        <f>IF(D1764="","",D1764)</f>
        <v/>
      </c>
      <c r="E1838" s="29" t="str">
        <f t="shared" si="697"/>
        <v/>
      </c>
      <c r="F1838" s="50">
        <f>B1785</f>
        <v>8</v>
      </c>
      <c r="G1838" s="59"/>
      <c r="H1838" s="64"/>
      <c r="I1838" s="58"/>
      <c r="J1838" s="65"/>
      <c r="K1838" s="58"/>
      <c r="L1838" s="65"/>
      <c r="M1838" s="58"/>
      <c r="N1838" s="65"/>
      <c r="O1838" s="58"/>
      <c r="P1838" s="65"/>
      <c r="Q1838" s="58"/>
      <c r="R1838" s="65"/>
      <c r="S1838" s="59"/>
      <c r="T1838" s="64"/>
      <c r="U1838" s="44"/>
      <c r="V1838" s="84"/>
      <c r="W1838" s="59"/>
      <c r="X1838" s="64"/>
      <c r="Y1838" s="58"/>
      <c r="Z1838" s="65"/>
      <c r="AA1838" s="58"/>
      <c r="AB1838" s="65"/>
      <c r="AC1838" s="58"/>
      <c r="AD1838" s="65"/>
      <c r="AE1838" s="58"/>
      <c r="AF1838" s="65"/>
      <c r="AG1838" s="58"/>
      <c r="AH1838" s="65"/>
      <c r="AI1838" s="59"/>
      <c r="AJ1838" s="64"/>
      <c r="AK1838" s="44"/>
      <c r="AL1838" s="84"/>
      <c r="AM1838" s="49"/>
      <c r="AN1838" s="49"/>
      <c r="AO1838" s="49"/>
      <c r="AP1838" s="49"/>
      <c r="AQ1838" s="49"/>
      <c r="AR1838" s="40"/>
      <c r="AS1838" s="51"/>
      <c r="AT1838" s="84"/>
      <c r="AU1838" s="49"/>
      <c r="AV1838" s="84"/>
      <c r="AW1838" s="52"/>
      <c r="AX1838" s="84"/>
      <c r="BA1838" s="2"/>
      <c r="BB1838" s="2"/>
      <c r="BC1838" s="101"/>
      <c r="BD1838" s="101"/>
    </row>
    <row r="1839" spans="1:56" s="53" customFormat="1" ht="15" thickBot="1" x14ac:dyDescent="0.4">
      <c r="A1839" s="84"/>
      <c r="B1839" s="30" t="str">
        <f>IF(B1765="","",B1765)</f>
        <v/>
      </c>
      <c r="C1839" s="31"/>
      <c r="D1839" s="32"/>
      <c r="E1839" s="33" t="str">
        <f t="shared" si="697"/>
        <v/>
      </c>
      <c r="F1839" s="50">
        <f>B1785</f>
        <v>8</v>
      </c>
      <c r="G1839" s="69"/>
      <c r="H1839" s="70"/>
      <c r="I1839" s="67"/>
      <c r="J1839" s="68"/>
      <c r="K1839" s="67"/>
      <c r="L1839" s="68"/>
      <c r="M1839" s="67"/>
      <c r="N1839" s="68"/>
      <c r="O1839" s="67"/>
      <c r="P1839" s="68"/>
      <c r="Q1839" s="67"/>
      <c r="R1839" s="68"/>
      <c r="S1839" s="69"/>
      <c r="T1839" s="70"/>
      <c r="U1839" s="71">
        <f t="shared" ref="U1839" si="721">SUM(G1839:T1839)</f>
        <v>0</v>
      </c>
      <c r="V1839" s="72"/>
      <c r="W1839" s="69"/>
      <c r="X1839" s="70"/>
      <c r="Y1839" s="67"/>
      <c r="Z1839" s="68"/>
      <c r="AA1839" s="67"/>
      <c r="AB1839" s="68"/>
      <c r="AC1839" s="67"/>
      <c r="AD1839" s="68"/>
      <c r="AE1839" s="67"/>
      <c r="AF1839" s="68"/>
      <c r="AG1839" s="67"/>
      <c r="AH1839" s="68"/>
      <c r="AI1839" s="69"/>
      <c r="AJ1839" s="70"/>
      <c r="AK1839" s="71">
        <v>0</v>
      </c>
      <c r="AL1839" s="72"/>
      <c r="AM1839" s="73">
        <v>0</v>
      </c>
      <c r="AN1839" s="88">
        <v>0</v>
      </c>
      <c r="AO1839" s="73">
        <v>0</v>
      </c>
      <c r="AP1839" s="73">
        <v>0</v>
      </c>
      <c r="AQ1839" s="73">
        <v>0</v>
      </c>
      <c r="AR1839" s="74">
        <v>0</v>
      </c>
      <c r="AS1839" s="75">
        <v>0</v>
      </c>
      <c r="AT1839" s="72"/>
      <c r="AU1839" s="73">
        <f>SUMIF($G1838:$T1838,"A",$G1839:$T1839)+SUMIF($W1838:$AJ1838,"A",$W1839:$AJ1839)</f>
        <v>0</v>
      </c>
      <c r="AV1839" s="72"/>
      <c r="AW1839" s="76">
        <f>IF(B1839="",0,IF($U$9="",0,$U$9))</f>
        <v>0</v>
      </c>
      <c r="AX1839" s="84"/>
      <c r="BA1839" s="2"/>
      <c r="BB1839" s="2"/>
      <c r="BC1839" s="101"/>
      <c r="BD1839" s="101"/>
    </row>
    <row r="1840" spans="1:56" s="53" customFormat="1" ht="27.75" customHeight="1" thickBot="1" x14ac:dyDescent="0.4">
      <c r="A1840" s="84"/>
      <c r="B1840" s="149" t="s">
        <v>7</v>
      </c>
      <c r="C1840" s="150"/>
      <c r="D1840" s="150"/>
      <c r="E1840" s="151"/>
      <c r="F1840" s="97"/>
      <c r="G1840" s="152">
        <f>SUM(G1790:H1839)</f>
        <v>0</v>
      </c>
      <c r="H1840" s="152"/>
      <c r="I1840" s="152">
        <f>SUM(I1790:J1839)</f>
        <v>113.75</v>
      </c>
      <c r="J1840" s="152"/>
      <c r="K1840" s="152">
        <f>SUM(K1790:L1839)</f>
        <v>113.75</v>
      </c>
      <c r="L1840" s="152"/>
      <c r="M1840" s="152">
        <f>SUM(M1790:N1839)</f>
        <v>121.25</v>
      </c>
      <c r="N1840" s="152"/>
      <c r="O1840" s="152">
        <f>SUM(O1790:P1839)</f>
        <v>112.75</v>
      </c>
      <c r="P1840" s="152"/>
      <c r="Q1840" s="152">
        <f>SUM(Q1790:R1839)</f>
        <v>116</v>
      </c>
      <c r="R1840" s="152"/>
      <c r="S1840" s="152">
        <f>SUM(S1790:T1839)</f>
        <v>0</v>
      </c>
      <c r="T1840" s="153"/>
      <c r="U1840" s="77">
        <f>SUM(U1790:U1839)</f>
        <v>577.5</v>
      </c>
      <c r="V1840" s="78"/>
      <c r="W1840" s="152">
        <f>SUM(W1790:X1839)</f>
        <v>0</v>
      </c>
      <c r="X1840" s="152"/>
      <c r="Y1840" s="152">
        <f>SUM(Y1790:Z1839)</f>
        <v>112.75</v>
      </c>
      <c r="Z1840" s="152"/>
      <c r="AA1840" s="152">
        <f>SUM(AA1790:AB1839)</f>
        <v>120.75</v>
      </c>
      <c r="AB1840" s="152"/>
      <c r="AC1840" s="152">
        <f>SUM(AC1790:AD1839)</f>
        <v>121.25</v>
      </c>
      <c r="AD1840" s="152"/>
      <c r="AE1840" s="152">
        <f>SUM(AE1790:AF1839)</f>
        <v>120.75</v>
      </c>
      <c r="AF1840" s="152"/>
      <c r="AG1840" s="152">
        <f>SUM(AG1790:AH1839)</f>
        <v>110.75</v>
      </c>
      <c r="AH1840" s="152"/>
      <c r="AI1840" s="152">
        <f>SUM(AI1790:AJ1839)</f>
        <v>0</v>
      </c>
      <c r="AJ1840" s="152"/>
      <c r="AK1840" s="77">
        <f>SUM(AK1790:AK1839)</f>
        <v>586.25</v>
      </c>
      <c r="AL1840" s="78"/>
      <c r="AM1840" s="79">
        <f t="shared" ref="AM1840:AS1840" si="722">SUM(AM1790:AM1839)</f>
        <v>1137.5</v>
      </c>
      <c r="AN1840" s="79">
        <f t="shared" si="722"/>
        <v>10.25</v>
      </c>
      <c r="AO1840" s="79">
        <f t="shared" si="722"/>
        <v>0</v>
      </c>
      <c r="AP1840" s="79">
        <f t="shared" si="722"/>
        <v>0</v>
      </c>
      <c r="AQ1840" s="79">
        <f t="shared" si="722"/>
        <v>16</v>
      </c>
      <c r="AR1840" s="80">
        <f t="shared" si="722"/>
        <v>0</v>
      </c>
      <c r="AS1840" s="81">
        <f t="shared" si="722"/>
        <v>1163.75</v>
      </c>
      <c r="AT1840" s="78"/>
      <c r="AU1840" s="82">
        <f>SUM(AU1790:AU1839)</f>
        <v>0</v>
      </c>
      <c r="AV1840" s="78"/>
      <c r="AW1840" s="83">
        <f>SUM(AW1790:AW1839)</f>
        <v>1440</v>
      </c>
      <c r="AX1840" s="84"/>
      <c r="BA1840" s="2"/>
      <c r="BB1840" s="2"/>
      <c r="BC1840" s="101"/>
      <c r="BD1840" s="101"/>
    </row>
    <row r="1841" spans="1:56" s="53" customFormat="1" ht="15" thickTop="1" x14ac:dyDescent="0.35">
      <c r="B1841" s="54"/>
      <c r="F1841" s="98"/>
      <c r="G1841" s="55"/>
      <c r="H1841" s="55"/>
      <c r="I1841" s="55"/>
      <c r="J1841" s="55"/>
      <c r="K1841" s="55"/>
      <c r="L1841" s="55"/>
      <c r="M1841" s="55"/>
      <c r="N1841" s="55"/>
      <c r="O1841" s="55"/>
      <c r="P1841" s="55"/>
      <c r="Q1841" s="55"/>
      <c r="R1841" s="55"/>
      <c r="S1841" s="55"/>
      <c r="T1841" s="55"/>
      <c r="U1841" s="56"/>
      <c r="V1841" s="55"/>
      <c r="W1841" s="55"/>
      <c r="X1841" s="55"/>
      <c r="Y1841" s="55"/>
      <c r="Z1841" s="55"/>
      <c r="AA1841" s="55"/>
      <c r="AB1841" s="55"/>
      <c r="AC1841" s="55"/>
      <c r="AD1841" s="55"/>
      <c r="AE1841" s="55"/>
      <c r="AF1841" s="55"/>
      <c r="AG1841" s="55"/>
      <c r="AH1841" s="55"/>
      <c r="AI1841" s="55"/>
      <c r="AJ1841" s="55"/>
      <c r="AK1841" s="56"/>
      <c r="AL1841" s="55"/>
      <c r="AM1841" s="55"/>
      <c r="AN1841" s="55"/>
      <c r="AO1841" s="55"/>
      <c r="AP1841" s="55"/>
      <c r="AQ1841" s="55"/>
      <c r="AR1841" s="55"/>
      <c r="AS1841" s="55"/>
      <c r="AT1841" s="55"/>
      <c r="AU1841" s="55"/>
      <c r="AV1841" s="55"/>
      <c r="AW1841" s="55"/>
      <c r="BA1841" s="2"/>
      <c r="BB1841" s="2"/>
      <c r="BC1841" s="101"/>
      <c r="BD1841" s="101"/>
    </row>
    <row r="1842" spans="1:56" s="53" customFormat="1" x14ac:dyDescent="0.35">
      <c r="B1842" s="54" t="s">
        <v>52</v>
      </c>
      <c r="D1842" s="141"/>
      <c r="E1842" s="141"/>
      <c r="F1842" s="141"/>
      <c r="G1842" s="141"/>
      <c r="H1842" s="141"/>
      <c r="I1842" s="141"/>
      <c r="J1842" s="141"/>
      <c r="K1842" s="141"/>
      <c r="L1842" s="141"/>
      <c r="M1842" s="141"/>
      <c r="N1842" s="141"/>
      <c r="O1842" s="141"/>
      <c r="P1842" s="141"/>
      <c r="Q1842" s="141"/>
      <c r="R1842" s="141"/>
      <c r="S1842" s="141"/>
      <c r="T1842" s="141"/>
      <c r="U1842" s="141"/>
      <c r="V1842" s="141"/>
      <c r="W1842" s="141"/>
      <c r="X1842" s="141"/>
      <c r="Y1842" s="141"/>
      <c r="Z1842" s="141"/>
      <c r="AA1842" s="141"/>
      <c r="AB1842" s="141"/>
      <c r="AC1842" s="141"/>
      <c r="AD1842" s="141"/>
      <c r="AE1842" s="141"/>
      <c r="AF1842" s="141"/>
      <c r="AG1842" s="141"/>
      <c r="AH1842" s="141"/>
      <c r="AI1842" s="141"/>
      <c r="AJ1842" s="141"/>
      <c r="AK1842" s="56"/>
      <c r="AL1842" s="55"/>
      <c r="AM1842" s="55"/>
      <c r="AN1842" s="55"/>
      <c r="AO1842" s="55"/>
      <c r="AP1842" s="55"/>
      <c r="AQ1842" s="55"/>
      <c r="AR1842" s="55"/>
      <c r="AS1842" s="55"/>
      <c r="AT1842" s="55"/>
      <c r="AU1842" s="55"/>
      <c r="AV1842" s="55"/>
      <c r="AW1842" s="55"/>
      <c r="BA1842" s="2"/>
      <c r="BB1842" s="2"/>
      <c r="BC1842" s="101"/>
      <c r="BD1842" s="101"/>
    </row>
    <row r="1843" spans="1:56" s="84" customFormat="1" x14ac:dyDescent="0.35">
      <c r="A1843" s="53"/>
      <c r="B1843" s="54"/>
      <c r="C1843" s="53"/>
      <c r="D1843" s="141"/>
      <c r="E1843" s="141"/>
      <c r="F1843" s="141"/>
      <c r="G1843" s="141"/>
      <c r="H1843" s="141"/>
      <c r="I1843" s="141"/>
      <c r="J1843" s="141"/>
      <c r="K1843" s="141"/>
      <c r="L1843" s="141"/>
      <c r="M1843" s="141"/>
      <c r="N1843" s="141"/>
      <c r="O1843" s="141"/>
      <c r="P1843" s="141"/>
      <c r="Q1843" s="141"/>
      <c r="R1843" s="141"/>
      <c r="S1843" s="141"/>
      <c r="T1843" s="141"/>
      <c r="U1843" s="141"/>
      <c r="V1843" s="141"/>
      <c r="W1843" s="141"/>
      <c r="X1843" s="141"/>
      <c r="Y1843" s="141"/>
      <c r="Z1843" s="141"/>
      <c r="AA1843" s="141"/>
      <c r="AB1843" s="141"/>
      <c r="AC1843" s="141"/>
      <c r="AD1843" s="141"/>
      <c r="AE1843" s="141"/>
      <c r="AF1843" s="141"/>
      <c r="AG1843" s="141"/>
      <c r="AH1843" s="141"/>
      <c r="AI1843" s="141"/>
      <c r="AJ1843" s="141"/>
      <c r="AK1843" s="56"/>
      <c r="AL1843" s="55"/>
      <c r="AM1843" s="55"/>
      <c r="AN1843" s="55"/>
      <c r="AO1843" s="55"/>
      <c r="AP1843" s="55"/>
      <c r="AQ1843" s="55"/>
      <c r="AR1843" s="55"/>
      <c r="AS1843" s="55"/>
      <c r="AT1843" s="55"/>
      <c r="AU1843" s="55"/>
      <c r="AV1843" s="55"/>
      <c r="AW1843" s="55"/>
      <c r="AX1843" s="53"/>
      <c r="BA1843" s="2"/>
      <c r="BB1843" s="2"/>
      <c r="BC1843" s="101"/>
      <c r="BD1843" s="101"/>
    </row>
    <row r="1844" spans="1:56" s="84" customFormat="1" x14ac:dyDescent="0.35">
      <c r="A1844" s="53"/>
      <c r="B1844" s="54"/>
      <c r="C1844" s="53"/>
      <c r="D1844" s="141"/>
      <c r="E1844" s="141"/>
      <c r="F1844" s="141"/>
      <c r="G1844" s="141"/>
      <c r="H1844" s="141"/>
      <c r="I1844" s="141"/>
      <c r="J1844" s="141"/>
      <c r="K1844" s="141"/>
      <c r="L1844" s="141"/>
      <c r="M1844" s="141"/>
      <c r="N1844" s="141"/>
      <c r="O1844" s="141"/>
      <c r="P1844" s="141"/>
      <c r="Q1844" s="141"/>
      <c r="R1844" s="141"/>
      <c r="S1844" s="141"/>
      <c r="T1844" s="141"/>
      <c r="U1844" s="141"/>
      <c r="V1844" s="141"/>
      <c r="W1844" s="141"/>
      <c r="X1844" s="141"/>
      <c r="Y1844" s="141"/>
      <c r="Z1844" s="141"/>
      <c r="AA1844" s="141"/>
      <c r="AB1844" s="141"/>
      <c r="AC1844" s="141"/>
      <c r="AD1844" s="141"/>
      <c r="AE1844" s="141"/>
      <c r="AF1844" s="141"/>
      <c r="AG1844" s="141"/>
      <c r="AH1844" s="141"/>
      <c r="AI1844" s="141"/>
      <c r="AJ1844" s="141"/>
      <c r="AK1844" s="56"/>
      <c r="AL1844" s="55"/>
      <c r="AM1844" s="55"/>
      <c r="AN1844" s="55"/>
      <c r="AO1844" s="55"/>
      <c r="AP1844" s="55"/>
      <c r="AQ1844" s="55"/>
      <c r="AR1844" s="55"/>
      <c r="AS1844" s="55"/>
      <c r="AT1844" s="55"/>
      <c r="AU1844" s="55"/>
      <c r="AV1844" s="55"/>
      <c r="AW1844" s="55"/>
      <c r="AX1844" s="53"/>
      <c r="BA1844" s="2"/>
      <c r="BB1844" s="2"/>
      <c r="BC1844" s="101"/>
      <c r="BD1844" s="101"/>
    </row>
    <row r="1845" spans="1:56" s="84" customFormat="1" ht="15" customHeight="1" x14ac:dyDescent="0.35">
      <c r="A1845" s="53"/>
      <c r="B1845" s="54"/>
      <c r="C1845" s="53"/>
      <c r="D1845" s="53"/>
      <c r="E1845" s="53"/>
      <c r="F1845" s="98"/>
      <c r="G1845" s="55"/>
      <c r="H1845" s="55"/>
      <c r="I1845" s="55"/>
      <c r="J1845" s="55"/>
      <c r="K1845" s="55"/>
      <c r="L1845" s="55"/>
      <c r="M1845" s="55"/>
      <c r="N1845" s="55"/>
      <c r="O1845" s="55"/>
      <c r="P1845" s="55"/>
      <c r="Q1845" s="55"/>
      <c r="R1845" s="55"/>
      <c r="S1845" s="55"/>
      <c r="T1845" s="55"/>
      <c r="U1845" s="56"/>
      <c r="V1845" s="55"/>
      <c r="W1845" s="55"/>
      <c r="X1845" s="55"/>
      <c r="Y1845" s="55"/>
      <c r="Z1845" s="55"/>
      <c r="AA1845" s="55"/>
      <c r="AB1845" s="55"/>
      <c r="AC1845" s="55"/>
      <c r="AD1845" s="55"/>
      <c r="AE1845" s="55"/>
      <c r="AF1845" s="55"/>
      <c r="AG1845" s="55"/>
      <c r="AH1845" s="55"/>
      <c r="AI1845" s="55"/>
      <c r="AJ1845" s="55"/>
      <c r="AK1845" s="56"/>
      <c r="AL1845" s="55"/>
      <c r="AM1845" s="55"/>
      <c r="AN1845" s="55"/>
      <c r="AO1845" s="55"/>
      <c r="AP1845" s="55"/>
      <c r="AQ1845" s="55"/>
      <c r="AR1845" s="55"/>
      <c r="AS1845" s="55"/>
      <c r="AT1845" s="55"/>
      <c r="AU1845" s="55"/>
      <c r="AV1845" s="55"/>
      <c r="AW1845" s="55"/>
      <c r="AX1845" s="53"/>
      <c r="BA1845" s="2"/>
      <c r="BB1845" s="2"/>
      <c r="BC1845" s="101"/>
      <c r="BD1845" s="101"/>
    </row>
    <row r="1846" spans="1:56" s="84" customFormat="1" ht="15" customHeight="1" x14ac:dyDescent="0.35">
      <c r="A1846" s="53"/>
      <c r="B1846" s="54" t="s">
        <v>53</v>
      </c>
      <c r="C1846" s="53"/>
      <c r="D1846" s="31" t="s">
        <v>74</v>
      </c>
      <c r="E1846" s="34"/>
      <c r="F1846" s="99"/>
      <c r="G1846" s="34"/>
      <c r="H1846" s="34"/>
      <c r="I1846" s="34"/>
      <c r="J1846" s="34"/>
      <c r="K1846" s="53"/>
      <c r="L1846" s="55" t="s">
        <v>8</v>
      </c>
      <c r="M1846" s="53"/>
      <c r="N1846" s="142">
        <f ca="1">NOW()</f>
        <v>44720.650928935182</v>
      </c>
      <c r="O1846" s="142"/>
      <c r="P1846" s="142"/>
      <c r="Q1846" s="53"/>
      <c r="R1846" s="53"/>
      <c r="S1846" s="53"/>
      <c r="T1846" s="53"/>
      <c r="U1846" s="53"/>
      <c r="V1846" s="55"/>
      <c r="W1846" s="55"/>
      <c r="X1846" s="55"/>
      <c r="Y1846" s="55"/>
      <c r="Z1846" s="55"/>
      <c r="AA1846" s="55"/>
      <c r="AB1846" s="55"/>
      <c r="AC1846" s="55"/>
      <c r="AD1846" s="55"/>
      <c r="AE1846" s="55"/>
      <c r="AF1846" s="55"/>
      <c r="AG1846" s="55"/>
      <c r="AH1846" s="55"/>
      <c r="AI1846" s="55"/>
      <c r="AJ1846" s="55"/>
      <c r="AK1846" s="56"/>
      <c r="AL1846" s="55"/>
      <c r="AM1846" s="55"/>
      <c r="AN1846" s="55"/>
      <c r="AO1846" s="55"/>
      <c r="AP1846" s="55"/>
      <c r="AQ1846" s="55"/>
      <c r="AR1846" s="55"/>
      <c r="AS1846" s="55"/>
      <c r="AT1846" s="55"/>
      <c r="AU1846" s="55"/>
      <c r="AV1846" s="55"/>
      <c r="AW1846" s="55"/>
      <c r="AX1846" s="53"/>
      <c r="BA1846" s="2"/>
      <c r="BB1846" s="2"/>
      <c r="BC1846" s="101"/>
      <c r="BD1846" s="101"/>
    </row>
    <row r="1847" spans="1:56" s="84" customFormat="1" x14ac:dyDescent="0.35">
      <c r="A1847" s="53"/>
      <c r="B1847" s="54"/>
      <c r="C1847" s="53"/>
      <c r="D1847" s="53"/>
      <c r="E1847" s="53"/>
      <c r="F1847" s="98"/>
      <c r="G1847" s="55"/>
      <c r="H1847" s="55"/>
      <c r="I1847" s="55"/>
      <c r="J1847" s="55"/>
      <c r="K1847" s="53"/>
      <c r="L1847" s="55"/>
      <c r="M1847" s="53"/>
      <c r="N1847" s="55"/>
      <c r="O1847" s="56"/>
      <c r="P1847" s="53"/>
      <c r="Q1847" s="53"/>
      <c r="R1847" s="53"/>
      <c r="S1847" s="53"/>
      <c r="T1847" s="53"/>
      <c r="U1847" s="53"/>
      <c r="V1847" s="55"/>
      <c r="W1847" s="55"/>
      <c r="X1847" s="55"/>
      <c r="Y1847" s="55"/>
      <c r="Z1847" s="55"/>
      <c r="AA1847" s="55"/>
      <c r="AB1847" s="55"/>
      <c r="AC1847" s="55"/>
      <c r="AD1847" s="55"/>
      <c r="AE1847" s="55"/>
      <c r="AF1847" s="55"/>
      <c r="AG1847" s="55"/>
      <c r="AH1847" s="55"/>
      <c r="AI1847" s="55"/>
      <c r="AJ1847" s="55"/>
      <c r="AK1847" s="56"/>
      <c r="AL1847" s="55"/>
      <c r="AM1847" s="55"/>
      <c r="AN1847" s="55"/>
      <c r="AO1847" s="55"/>
      <c r="AP1847" s="55"/>
      <c r="AQ1847" s="55"/>
      <c r="AR1847" s="55"/>
      <c r="AS1847" s="55"/>
      <c r="AT1847" s="55"/>
      <c r="AU1847" s="55"/>
      <c r="AV1847" s="55"/>
      <c r="AW1847" s="55"/>
      <c r="AX1847" s="53"/>
      <c r="BA1847" s="2"/>
      <c r="BB1847" s="2"/>
      <c r="BC1847" s="101"/>
      <c r="BD1847" s="101"/>
    </row>
    <row r="1848" spans="1:56" s="84" customFormat="1" x14ac:dyDescent="0.35">
      <c r="A1848" s="53"/>
      <c r="B1848" s="54" t="s">
        <v>54</v>
      </c>
      <c r="C1848" s="53"/>
      <c r="D1848" s="31"/>
      <c r="E1848" s="34"/>
      <c r="F1848" s="99"/>
      <c r="G1848" s="34"/>
      <c r="H1848" s="34"/>
      <c r="I1848" s="34"/>
      <c r="J1848" s="34"/>
      <c r="K1848" s="53"/>
      <c r="L1848" s="55" t="s">
        <v>8</v>
      </c>
      <c r="M1848" s="53"/>
      <c r="N1848" s="142">
        <f ca="1">NOW()</f>
        <v>44720.650928935182</v>
      </c>
      <c r="O1848" s="142"/>
      <c r="P1848" s="142"/>
      <c r="Q1848" s="53"/>
      <c r="R1848" s="53"/>
      <c r="S1848" s="53"/>
      <c r="T1848" s="53"/>
      <c r="U1848" s="53"/>
      <c r="V1848" s="55"/>
      <c r="W1848" s="55"/>
      <c r="X1848" s="55"/>
      <c r="Y1848" s="55"/>
      <c r="Z1848" s="55"/>
      <c r="AA1848" s="55"/>
      <c r="AB1848" s="55"/>
      <c r="AC1848" s="55"/>
      <c r="AD1848" s="55"/>
      <c r="AE1848" s="55"/>
      <c r="AF1848" s="55"/>
      <c r="AG1848" s="55"/>
      <c r="AH1848" s="55"/>
      <c r="AI1848" s="55"/>
      <c r="AJ1848" s="55"/>
      <c r="AK1848" s="56"/>
      <c r="AL1848" s="55"/>
      <c r="AM1848" s="55"/>
      <c r="AN1848" s="55"/>
      <c r="AO1848" s="55"/>
      <c r="AP1848" s="55"/>
      <c r="AQ1848" s="55"/>
      <c r="AR1848" s="55"/>
      <c r="AS1848" s="55"/>
      <c r="AT1848" s="55"/>
      <c r="AU1848" s="55"/>
      <c r="AV1848" s="55"/>
      <c r="AW1848" s="55"/>
      <c r="AX1848" s="53"/>
      <c r="BA1848" s="2"/>
      <c r="BB1848" s="2"/>
      <c r="BC1848" s="101"/>
      <c r="BD1848" s="101"/>
    </row>
    <row r="1849" spans="1:56" s="84" customFormat="1" x14ac:dyDescent="0.35">
      <c r="A1849" s="53"/>
      <c r="B1849" s="54"/>
      <c r="C1849" s="53"/>
      <c r="D1849" s="53"/>
      <c r="E1849" s="53"/>
      <c r="F1849" s="98"/>
      <c r="G1849" s="55"/>
      <c r="H1849" s="55"/>
      <c r="I1849" s="55"/>
      <c r="J1849" s="55"/>
      <c r="K1849" s="55"/>
      <c r="L1849" s="55"/>
      <c r="M1849" s="55"/>
      <c r="N1849" s="55"/>
      <c r="O1849" s="55"/>
      <c r="P1849" s="55"/>
      <c r="Q1849" s="55"/>
      <c r="R1849" s="55"/>
      <c r="S1849" s="55"/>
      <c r="T1849" s="55"/>
      <c r="U1849" s="56"/>
      <c r="V1849" s="55"/>
      <c r="W1849" s="55"/>
      <c r="X1849" s="55"/>
      <c r="Y1849" s="55"/>
      <c r="Z1849" s="55"/>
      <c r="AA1849" s="55"/>
      <c r="AB1849" s="55"/>
      <c r="AC1849" s="55"/>
      <c r="AD1849" s="55"/>
      <c r="AE1849" s="55"/>
      <c r="AF1849" s="55"/>
      <c r="AG1849" s="55"/>
      <c r="AH1849" s="55"/>
      <c r="AI1849" s="55"/>
      <c r="AJ1849" s="55"/>
      <c r="AK1849" s="56"/>
      <c r="AL1849" s="55"/>
      <c r="AM1849" s="55"/>
      <c r="AN1849" s="55"/>
      <c r="AO1849" s="55"/>
      <c r="AP1849" s="55"/>
      <c r="AQ1849" s="55"/>
      <c r="AR1849" s="55"/>
      <c r="AS1849" s="55"/>
      <c r="AT1849" s="55"/>
      <c r="AU1849" s="55"/>
      <c r="AV1849" s="55"/>
      <c r="AW1849" s="55"/>
      <c r="AX1849" s="53"/>
      <c r="BA1849" s="2"/>
      <c r="BB1849" s="2"/>
      <c r="BC1849" s="101"/>
      <c r="BD1849" s="101"/>
    </row>
    <row r="1850" spans="1:56" s="84" customFormat="1" x14ac:dyDescent="0.35">
      <c r="A1850" s="53"/>
      <c r="B1850" s="54" t="s">
        <v>9</v>
      </c>
      <c r="C1850" s="53"/>
      <c r="D1850" s="53"/>
      <c r="E1850" s="53"/>
      <c r="F1850" s="98"/>
      <c r="G1850" s="55"/>
      <c r="H1850" s="55"/>
      <c r="I1850" s="55"/>
      <c r="J1850" s="55"/>
      <c r="K1850" s="55"/>
      <c r="L1850" s="55"/>
      <c r="M1850" s="55"/>
      <c r="N1850" s="55"/>
      <c r="O1850" s="55"/>
      <c r="P1850" s="55"/>
      <c r="Q1850" s="55"/>
      <c r="R1850" s="55"/>
      <c r="S1850" s="55"/>
      <c r="T1850" s="55"/>
      <c r="U1850" s="56"/>
      <c r="V1850" s="55"/>
      <c r="W1850" s="55"/>
      <c r="X1850" s="55"/>
      <c r="Y1850" s="55"/>
      <c r="Z1850" s="55"/>
      <c r="AA1850" s="55"/>
      <c r="AB1850" s="55"/>
      <c r="AC1850" s="55"/>
      <c r="AD1850" s="55"/>
      <c r="AE1850" s="55"/>
      <c r="AF1850" s="55"/>
      <c r="AG1850" s="55"/>
      <c r="AH1850" s="55"/>
      <c r="AI1850" s="55"/>
      <c r="AJ1850" s="55"/>
      <c r="AK1850" s="56"/>
      <c r="AL1850" s="55"/>
      <c r="AM1850" s="55"/>
      <c r="AN1850" s="55"/>
      <c r="AO1850" s="55"/>
      <c r="AP1850" s="55"/>
      <c r="AQ1850" s="55"/>
      <c r="AR1850" s="55"/>
      <c r="AS1850" s="55"/>
      <c r="AT1850" s="55"/>
      <c r="AU1850" s="55"/>
      <c r="AV1850" s="55"/>
      <c r="AW1850" s="55"/>
      <c r="AX1850" s="53"/>
      <c r="BA1850" s="2"/>
      <c r="BB1850" s="2"/>
      <c r="BC1850" s="101"/>
      <c r="BD1850" s="101"/>
    </row>
    <row r="1851" spans="1:56" x14ac:dyDescent="0.35">
      <c r="BA1851" s="2"/>
      <c r="BB1851" s="2"/>
      <c r="BC1851" s="101"/>
      <c r="BD1851" s="101"/>
    </row>
    <row r="1852" spans="1:56" x14ac:dyDescent="0.35">
      <c r="BA1852" s="2"/>
      <c r="BB1852" s="2"/>
      <c r="BC1852" s="101"/>
      <c r="BD1852" s="101"/>
    </row>
    <row r="1853" spans="1:56" s="84" customFormat="1" ht="28.5" x14ac:dyDescent="0.65">
      <c r="F1853" s="50"/>
      <c r="G1853" s="143" t="s">
        <v>10</v>
      </c>
      <c r="H1853" s="143"/>
      <c r="I1853" s="143"/>
      <c r="J1853" s="143"/>
      <c r="K1853" s="143"/>
      <c r="L1853" s="143"/>
      <c r="M1853" s="143"/>
      <c r="N1853" s="143"/>
      <c r="O1853" s="143"/>
      <c r="P1853" s="143"/>
      <c r="Q1853" s="143"/>
      <c r="R1853" s="143"/>
      <c r="S1853" s="143"/>
      <c r="T1853" s="143"/>
      <c r="U1853" s="143"/>
      <c r="W1853" s="37" t="s">
        <v>12</v>
      </c>
      <c r="X1853" s="86" t="s">
        <v>11</v>
      </c>
      <c r="BA1853" s="2"/>
      <c r="BB1853" s="2"/>
      <c r="BC1853" s="101"/>
      <c r="BD1853" s="101"/>
    </row>
    <row r="1854" spans="1:56" s="84" customFormat="1" x14ac:dyDescent="0.35">
      <c r="F1854" s="50"/>
      <c r="G1854" s="84" t="s">
        <v>0</v>
      </c>
      <c r="W1854" s="37" t="s">
        <v>13</v>
      </c>
      <c r="X1854" s="86" t="s">
        <v>14</v>
      </c>
      <c r="BA1854" s="2"/>
      <c r="BB1854" s="2"/>
      <c r="BC1854" s="101"/>
      <c r="BD1854" s="101"/>
    </row>
    <row r="1855" spans="1:56" s="84" customFormat="1" x14ac:dyDescent="0.35">
      <c r="F1855" s="50"/>
      <c r="W1855" s="37" t="s">
        <v>1</v>
      </c>
      <c r="X1855" s="86" t="s">
        <v>15</v>
      </c>
      <c r="BA1855" s="2"/>
      <c r="BB1855" s="2"/>
      <c r="BC1855" s="101"/>
      <c r="BD1855" s="101"/>
    </row>
    <row r="1856" spans="1:56" s="84" customFormat="1" x14ac:dyDescent="0.35">
      <c r="F1856" s="50"/>
      <c r="W1856" s="37" t="s">
        <v>2</v>
      </c>
      <c r="X1856" s="86" t="s">
        <v>16</v>
      </c>
      <c r="BA1856" s="2"/>
      <c r="BB1856" s="2"/>
      <c r="BC1856" s="101"/>
      <c r="BD1856" s="101"/>
    </row>
    <row r="1857" spans="2:56" s="84" customFormat="1" ht="15" customHeight="1" x14ac:dyDescent="0.35">
      <c r="B1857" s="154" t="s">
        <v>35</v>
      </c>
      <c r="F1857" s="50"/>
      <c r="G1857" s="154" t="s">
        <v>36</v>
      </c>
      <c r="H1857" s="154"/>
      <c r="I1857" s="154"/>
      <c r="K1857" s="154" t="s">
        <v>36</v>
      </c>
      <c r="L1857" s="154"/>
      <c r="M1857" s="154"/>
      <c r="W1857" s="37" t="s">
        <v>3</v>
      </c>
      <c r="X1857" s="86" t="s">
        <v>17</v>
      </c>
      <c r="BA1857" s="2"/>
      <c r="BB1857" s="2"/>
      <c r="BC1857" s="101"/>
      <c r="BD1857" s="101"/>
    </row>
    <row r="1858" spans="2:56" s="84" customFormat="1" x14ac:dyDescent="0.35">
      <c r="B1858" s="155"/>
      <c r="D1858" s="37" t="s">
        <v>34</v>
      </c>
      <c r="F1858" s="50"/>
      <c r="G1858" s="154"/>
      <c r="H1858" s="154"/>
      <c r="I1858" s="154"/>
      <c r="K1858" s="154"/>
      <c r="L1858" s="154"/>
      <c r="M1858" s="154"/>
      <c r="W1858" s="38"/>
      <c r="BA1858" s="2"/>
      <c r="BB1858" s="2"/>
      <c r="BC1858" s="101"/>
      <c r="BD1858" s="101"/>
    </row>
    <row r="1859" spans="2:56" s="84" customFormat="1" x14ac:dyDescent="0.35">
      <c r="B1859" s="100">
        <f>B1785+1</f>
        <v>9</v>
      </c>
      <c r="D1859" s="100">
        <f>D1785</f>
        <v>2022</v>
      </c>
      <c r="E1859" s="87" t="s">
        <v>38</v>
      </c>
      <c r="F1859" s="50"/>
      <c r="G1859" s="156">
        <f>K1785+1</f>
        <v>44661</v>
      </c>
      <c r="H1859" s="157"/>
      <c r="I1859" s="158"/>
      <c r="J1859" s="37" t="s">
        <v>37</v>
      </c>
      <c r="K1859" s="156">
        <f>IF(G1859="","",G1859+13)</f>
        <v>44674</v>
      </c>
      <c r="L1859" s="157"/>
      <c r="M1859" s="158"/>
      <c r="P1859" s="159" t="s">
        <v>39</v>
      </c>
      <c r="Q1859" s="160"/>
      <c r="R1859" s="160"/>
      <c r="S1859" s="160"/>
      <c r="T1859" s="161"/>
      <c r="U1859" s="24">
        <v>80</v>
      </c>
      <c r="BA1859" s="2"/>
      <c r="BB1859" s="2"/>
      <c r="BC1859" s="101"/>
      <c r="BD1859" s="101"/>
    </row>
    <row r="1860" spans="2:56" s="84" customFormat="1" x14ac:dyDescent="0.35">
      <c r="F1860" s="50"/>
      <c r="AM1860" s="144" t="s">
        <v>4</v>
      </c>
      <c r="AN1860" s="144"/>
      <c r="AO1860" s="144"/>
      <c r="AP1860" s="144"/>
      <c r="AQ1860" s="144"/>
      <c r="AR1860" s="144"/>
      <c r="AS1860" s="144"/>
      <c r="AU1860" s="100" t="s">
        <v>4</v>
      </c>
      <c r="BA1860" s="2"/>
      <c r="BB1860" s="2"/>
      <c r="BC1860" s="101"/>
      <c r="BD1860" s="101"/>
    </row>
    <row r="1861" spans="2:56" s="84" customFormat="1" ht="15" customHeight="1" x14ac:dyDescent="0.35">
      <c r="B1861" s="40"/>
      <c r="C1861" s="41"/>
      <c r="D1861" s="42" t="s">
        <v>32</v>
      </c>
      <c r="E1861" s="43" t="s">
        <v>5</v>
      </c>
      <c r="F1861" s="50"/>
      <c r="G1861" s="162">
        <f>G1859</f>
        <v>44661</v>
      </c>
      <c r="H1861" s="163"/>
      <c r="I1861" s="162">
        <f>IF(G1861="","",G1861+1)</f>
        <v>44662</v>
      </c>
      <c r="J1861" s="163"/>
      <c r="K1861" s="162">
        <f>IF(I1861="","",I1861+1)</f>
        <v>44663</v>
      </c>
      <c r="L1861" s="163"/>
      <c r="M1861" s="162">
        <f>IF(K1861="","",K1861+1)</f>
        <v>44664</v>
      </c>
      <c r="N1861" s="163"/>
      <c r="O1861" s="162">
        <f>IF(M1861="","",M1861+1)</f>
        <v>44665</v>
      </c>
      <c r="P1861" s="163"/>
      <c r="Q1861" s="162">
        <f>IF(O1861="","",O1861+1)</f>
        <v>44666</v>
      </c>
      <c r="R1861" s="163"/>
      <c r="S1861" s="162">
        <f>IF(Q1861="","",Q1861+1)</f>
        <v>44667</v>
      </c>
      <c r="T1861" s="164"/>
      <c r="U1861" s="44"/>
      <c r="W1861" s="162">
        <f>IF(S1861="","",S1861+1)</f>
        <v>44668</v>
      </c>
      <c r="X1861" s="163"/>
      <c r="Y1861" s="162">
        <f>IF(W1861="","",W1861+1)</f>
        <v>44669</v>
      </c>
      <c r="Z1861" s="163"/>
      <c r="AA1861" s="162">
        <f>IF(Y1861="","",Y1861+1)</f>
        <v>44670</v>
      </c>
      <c r="AB1861" s="163"/>
      <c r="AC1861" s="162">
        <f>IF(AA1861="","",AA1861+1)</f>
        <v>44671</v>
      </c>
      <c r="AD1861" s="163"/>
      <c r="AE1861" s="162">
        <f>IF(AC1861="","",AC1861+1)</f>
        <v>44672</v>
      </c>
      <c r="AF1861" s="163"/>
      <c r="AG1861" s="162">
        <f>IF(AE1861="","",AE1861+1)</f>
        <v>44673</v>
      </c>
      <c r="AH1861" s="163"/>
      <c r="AI1861" s="162">
        <f>IF(AG1861="","",AG1861+1)</f>
        <v>44674</v>
      </c>
      <c r="AJ1861" s="164"/>
      <c r="AK1861" s="44"/>
      <c r="AM1861" s="145" t="s">
        <v>18</v>
      </c>
      <c r="AN1861" s="165" t="s">
        <v>55</v>
      </c>
      <c r="AO1861" s="145" t="s">
        <v>19</v>
      </c>
      <c r="AP1861" s="145" t="s">
        <v>20</v>
      </c>
      <c r="AQ1861" s="145" t="s">
        <v>21</v>
      </c>
      <c r="AR1861" s="166" t="s">
        <v>22</v>
      </c>
      <c r="AS1861" s="167" t="s">
        <v>23</v>
      </c>
      <c r="AU1861" s="144" t="s">
        <v>6</v>
      </c>
      <c r="AW1861" s="145" t="s">
        <v>24</v>
      </c>
      <c r="BA1861" s="2"/>
      <c r="BB1861" s="2"/>
      <c r="BC1861" s="101"/>
      <c r="BD1861" s="101"/>
    </row>
    <row r="1862" spans="2:56" s="84" customFormat="1" x14ac:dyDescent="0.35">
      <c r="B1862" s="45" t="s">
        <v>33</v>
      </c>
      <c r="C1862" s="46"/>
      <c r="D1862" s="47"/>
      <c r="E1862" s="47"/>
      <c r="F1862" s="50"/>
      <c r="G1862" s="146" t="s">
        <v>25</v>
      </c>
      <c r="H1862" s="147"/>
      <c r="I1862" s="146" t="s">
        <v>26</v>
      </c>
      <c r="J1862" s="147"/>
      <c r="K1862" s="146" t="s">
        <v>27</v>
      </c>
      <c r="L1862" s="147"/>
      <c r="M1862" s="146" t="s">
        <v>28</v>
      </c>
      <c r="N1862" s="147"/>
      <c r="O1862" s="146" t="s">
        <v>29</v>
      </c>
      <c r="P1862" s="147"/>
      <c r="Q1862" s="146" t="s">
        <v>30</v>
      </c>
      <c r="R1862" s="147"/>
      <c r="S1862" s="146" t="s">
        <v>31</v>
      </c>
      <c r="T1862" s="148"/>
      <c r="U1862" s="48" t="s">
        <v>7</v>
      </c>
      <c r="W1862" s="146" t="s">
        <v>25</v>
      </c>
      <c r="X1862" s="147"/>
      <c r="Y1862" s="146" t="s">
        <v>26</v>
      </c>
      <c r="Z1862" s="147"/>
      <c r="AA1862" s="146" t="s">
        <v>27</v>
      </c>
      <c r="AB1862" s="147"/>
      <c r="AC1862" s="146" t="s">
        <v>28</v>
      </c>
      <c r="AD1862" s="147"/>
      <c r="AE1862" s="146" t="s">
        <v>29</v>
      </c>
      <c r="AF1862" s="147"/>
      <c r="AG1862" s="146" t="s">
        <v>30</v>
      </c>
      <c r="AH1862" s="147"/>
      <c r="AI1862" s="146" t="s">
        <v>31</v>
      </c>
      <c r="AJ1862" s="148"/>
      <c r="AK1862" s="48" t="s">
        <v>7</v>
      </c>
      <c r="AM1862" s="145"/>
      <c r="AN1862" s="165"/>
      <c r="AO1862" s="145"/>
      <c r="AP1862" s="145"/>
      <c r="AQ1862" s="145"/>
      <c r="AR1862" s="166"/>
      <c r="AS1862" s="167"/>
      <c r="AU1862" s="144"/>
      <c r="AW1862" s="145"/>
      <c r="BA1862" s="2"/>
      <c r="BB1862" s="2"/>
      <c r="BC1862" s="101"/>
      <c r="BD1862" s="101"/>
    </row>
    <row r="1863" spans="2:56" s="84" customFormat="1" x14ac:dyDescent="0.35">
      <c r="B1863" s="63"/>
      <c r="C1863" s="25"/>
      <c r="D1863" s="25"/>
      <c r="E1863" s="25"/>
      <c r="F1863" s="50"/>
      <c r="BA1863" s="2"/>
      <c r="BB1863" s="2"/>
      <c r="BC1863" s="101"/>
      <c r="BD1863" s="101"/>
    </row>
    <row r="1864" spans="2:56" s="84" customFormat="1" x14ac:dyDescent="0.35">
      <c r="B1864" s="26"/>
      <c r="C1864" s="27"/>
      <c r="D1864" s="28">
        <f>IF(D1790="","",D1790)</f>
        <v>31428</v>
      </c>
      <c r="E1864" s="29" t="str">
        <f>IF(E1790="","",E1790)</f>
        <v/>
      </c>
      <c r="F1864" s="50">
        <f>B1859</f>
        <v>9</v>
      </c>
      <c r="G1864" s="59"/>
      <c r="H1864" s="64"/>
      <c r="I1864" s="106"/>
      <c r="J1864" s="105" t="s">
        <v>12</v>
      </c>
      <c r="K1864" s="106"/>
      <c r="L1864" s="105"/>
      <c r="M1864" s="106"/>
      <c r="N1864" s="105"/>
      <c r="O1864" s="106"/>
      <c r="P1864" s="105"/>
      <c r="Q1864" s="106"/>
      <c r="R1864" s="105" t="s">
        <v>13</v>
      </c>
      <c r="S1864" s="59"/>
      <c r="T1864" s="64"/>
      <c r="U1864" s="44"/>
      <c r="W1864" s="59"/>
      <c r="X1864" s="64"/>
      <c r="Y1864" s="106"/>
      <c r="Z1864" s="105"/>
      <c r="AA1864" s="106"/>
      <c r="AB1864" s="105"/>
      <c r="AC1864" s="106"/>
      <c r="AD1864" s="105"/>
      <c r="AE1864" s="106"/>
      <c r="AF1864" s="105"/>
      <c r="AG1864" s="106"/>
      <c r="AH1864" s="105"/>
      <c r="AI1864" s="59"/>
      <c r="AJ1864" s="64"/>
      <c r="AK1864" s="44"/>
      <c r="AM1864" s="49"/>
      <c r="AN1864" s="49"/>
      <c r="AO1864" s="49"/>
      <c r="AP1864" s="49"/>
      <c r="AQ1864" s="49"/>
      <c r="AR1864" s="40"/>
      <c r="AS1864" s="51"/>
      <c r="AU1864" s="49"/>
      <c r="AW1864" s="52"/>
      <c r="BA1864" s="2"/>
      <c r="BB1864" s="2"/>
      <c r="BC1864" s="101"/>
      <c r="BD1864" s="101"/>
    </row>
    <row r="1865" spans="2:56" s="84" customFormat="1" x14ac:dyDescent="0.35">
      <c r="B1865" s="30" t="str">
        <f>IF(B1791="","",B1791)</f>
        <v>Gaulin, Francis</v>
      </c>
      <c r="C1865" s="31"/>
      <c r="D1865" s="32"/>
      <c r="E1865" s="33">
        <f t="shared" ref="E1865:E1896" si="723">IF(E1791="","",E1791)</f>
        <v>93542</v>
      </c>
      <c r="F1865" s="50">
        <f>B1859</f>
        <v>9</v>
      </c>
      <c r="G1865" s="95"/>
      <c r="H1865" s="70"/>
      <c r="I1865" s="104"/>
      <c r="J1865" s="103">
        <v>8</v>
      </c>
      <c r="K1865" s="104"/>
      <c r="L1865" s="103">
        <v>8</v>
      </c>
      <c r="M1865" s="104"/>
      <c r="N1865" s="103">
        <v>8</v>
      </c>
      <c r="O1865" s="104"/>
      <c r="P1865" s="103">
        <v>8</v>
      </c>
      <c r="Q1865" s="104"/>
      <c r="R1865" s="103">
        <v>8</v>
      </c>
      <c r="S1865" s="69"/>
      <c r="T1865" s="70"/>
      <c r="U1865" s="71">
        <f>SUM(G1865:T1865)</f>
        <v>40</v>
      </c>
      <c r="V1865" s="72"/>
      <c r="W1865" s="69"/>
      <c r="X1865" s="70"/>
      <c r="Y1865" s="104"/>
      <c r="Z1865" s="103">
        <v>8.5</v>
      </c>
      <c r="AA1865" s="104"/>
      <c r="AB1865" s="103">
        <v>8</v>
      </c>
      <c r="AC1865" s="104"/>
      <c r="AD1865" s="103">
        <v>8</v>
      </c>
      <c r="AE1865" s="104"/>
      <c r="AF1865" s="103">
        <v>8</v>
      </c>
      <c r="AG1865" s="104"/>
      <c r="AH1865" s="103">
        <v>7.5</v>
      </c>
      <c r="AI1865" s="69"/>
      <c r="AJ1865" s="70"/>
      <c r="AK1865" s="71">
        <f>SUM(W1865:AJ1865)</f>
        <v>40</v>
      </c>
      <c r="AL1865" s="72"/>
      <c r="AM1865" s="73">
        <f>SUMIF($G1864:$T1864,"",$G1865:$T1865)+SUMIF($W1864:$AJ1864,"",$W1865:$AJ1865)-AN1865</f>
        <v>64</v>
      </c>
      <c r="AN1865" s="88">
        <f>IF(SUMIF($G1864:$T1864,"",$G1865:$T1865)+SUMIF($G1864:$T1864,"F",$G1865:$T1865)+SUMIF($G1864:$T1864,"V",$G1865:$T1865)-40&lt;0,0,SUMIF($G1864:$T1864,"",$G1865:$T1865)+SUMIF($G1864:$T1864,"F",$G1865:$T1865)+SUMIF($G1864:$T1864,"V",$G1865:$T1865)-($U$9/2))+IF(SUMIF($W1864:$AJ1864,"",$W1865:$AJ1865)+SUMIF($W1864:$AJ1864,"F",$W1865:$AJ1865)+SUMIF($W1864:$AJ1864,"V",$W1865:$AJ1865)-40&lt;0,0,SUMIF($W1864:$AJ1864,"",$W1865:$AJ1865)+SUMIF($W1864:$AJ1864,"F",$W1865:$AJ1865)+SUMIF($W1864:$AJ1864,"V",$W1865:$AJ1865)-($U$9/2))</f>
        <v>0</v>
      </c>
      <c r="AO1865" s="73">
        <f>SUMIF($G1864:$T1864,"M",$G1865:$T1865)+SUMIF($W1864:$AJ1864,"M",$W1865:$AJ1865)</f>
        <v>8</v>
      </c>
      <c r="AP1865" s="73">
        <f>SUMIF($G1864:$T1864,"F",$G1865:$T1865)+SUMIF($W1864:$AJ1864,"F",$W1865:$AJ1865)</f>
        <v>8</v>
      </c>
      <c r="AQ1865" s="73">
        <f>SUMIF($G1864:$T1864,"V",$G1865:$T1865)+SUMIF($W1864:$AJ1864,"V",$W1865:$AJ1865)</f>
        <v>0</v>
      </c>
      <c r="AR1865" s="74">
        <f>SUMIF($G1864:$T1864,"O",$G1865:$T1865)+SUMIF($W1864:$AJ1864,"O",$W1865:$AJ1865)</f>
        <v>0</v>
      </c>
      <c r="AS1865" s="75">
        <f>SUM(AM1865:AR1865)</f>
        <v>80</v>
      </c>
      <c r="AT1865" s="72"/>
      <c r="AU1865" s="73">
        <f>SUMIF($G1864:$T1864,"A",$G1865:$T1865)+SUMIF($W1864:$AJ1864,"A",$W1865:$AJ1865)</f>
        <v>0</v>
      </c>
      <c r="AV1865" s="72"/>
      <c r="AW1865" s="76">
        <f>IF(B1865="",0,IF($U$9="",0,$U$9))</f>
        <v>80</v>
      </c>
      <c r="BA1865" s="2"/>
      <c r="BB1865" s="2"/>
      <c r="BC1865" s="101"/>
      <c r="BD1865" s="101"/>
    </row>
    <row r="1866" spans="2:56" s="84" customFormat="1" x14ac:dyDescent="0.35">
      <c r="B1866" s="26"/>
      <c r="C1866" s="27"/>
      <c r="D1866" s="28">
        <f>IF(D1792="","",D1792)</f>
        <v>24287</v>
      </c>
      <c r="E1866" s="29" t="str">
        <f t="shared" si="723"/>
        <v/>
      </c>
      <c r="F1866" s="50">
        <f>B1859</f>
        <v>9</v>
      </c>
      <c r="G1866" s="59"/>
      <c r="H1866" s="64"/>
      <c r="I1866" s="106"/>
      <c r="J1866" s="105"/>
      <c r="K1866" s="106"/>
      <c r="L1866" s="105"/>
      <c r="M1866" s="106"/>
      <c r="N1866" s="105"/>
      <c r="O1866" s="106"/>
      <c r="P1866" s="105"/>
      <c r="Q1866" s="106"/>
      <c r="R1866" s="105"/>
      <c r="S1866" s="59"/>
      <c r="T1866" s="64"/>
      <c r="U1866" s="44"/>
      <c r="W1866" s="59"/>
      <c r="X1866" s="64"/>
      <c r="Y1866" s="106"/>
      <c r="Z1866" s="105"/>
      <c r="AA1866" s="106"/>
      <c r="AB1866" s="105"/>
      <c r="AC1866" s="106"/>
      <c r="AD1866" s="105"/>
      <c r="AE1866" s="106"/>
      <c r="AF1866" s="105"/>
      <c r="AG1866" s="106"/>
      <c r="AH1866" s="105"/>
      <c r="AI1866" s="59"/>
      <c r="AJ1866" s="64"/>
      <c r="AK1866" s="44"/>
      <c r="AM1866" s="49"/>
      <c r="AN1866" s="49"/>
      <c r="AO1866" s="49"/>
      <c r="AP1866" s="49"/>
      <c r="AQ1866" s="49"/>
      <c r="AR1866" s="40"/>
      <c r="AS1866" s="51"/>
      <c r="AU1866" s="49"/>
      <c r="AW1866" s="52"/>
      <c r="BA1866" s="2"/>
      <c r="BB1866" s="2"/>
      <c r="BC1866" s="101"/>
      <c r="BD1866" s="101"/>
    </row>
    <row r="1867" spans="2:56" s="84" customFormat="1" x14ac:dyDescent="0.35">
      <c r="B1867" s="30" t="str">
        <f>IF(B1793="","",B1793)</f>
        <v>Barrata, Dominic(Avance $500.00)</v>
      </c>
      <c r="C1867" s="31"/>
      <c r="D1867" s="32"/>
      <c r="E1867" s="33">
        <f t="shared" si="723"/>
        <v>93595935</v>
      </c>
      <c r="F1867" s="50">
        <f>B1859</f>
        <v>9</v>
      </c>
      <c r="G1867" s="69"/>
      <c r="H1867" s="70"/>
      <c r="I1867" s="104"/>
      <c r="J1867" s="103" t="s">
        <v>69</v>
      </c>
      <c r="K1867" s="104"/>
      <c r="L1867" s="103" t="s">
        <v>69</v>
      </c>
      <c r="M1867" s="104"/>
      <c r="N1867" s="103" t="s">
        <v>69</v>
      </c>
      <c r="O1867" s="104"/>
      <c r="P1867" s="103" t="s">
        <v>69</v>
      </c>
      <c r="Q1867" s="104"/>
      <c r="R1867" s="103" t="s">
        <v>69</v>
      </c>
      <c r="S1867" s="69"/>
      <c r="T1867" s="70"/>
      <c r="U1867" s="71">
        <f t="shared" ref="U1867" si="724">SUM(G1867:T1867)</f>
        <v>0</v>
      </c>
      <c r="V1867" s="72"/>
      <c r="W1867" s="69"/>
      <c r="X1867" s="70"/>
      <c r="Y1867" s="104"/>
      <c r="Z1867" s="103" t="s">
        <v>69</v>
      </c>
      <c r="AA1867" s="104"/>
      <c r="AB1867" s="103" t="s">
        <v>69</v>
      </c>
      <c r="AC1867" s="104"/>
      <c r="AD1867" s="103" t="s">
        <v>69</v>
      </c>
      <c r="AE1867" s="104"/>
      <c r="AF1867" s="103" t="s">
        <v>69</v>
      </c>
      <c r="AG1867" s="104"/>
      <c r="AH1867" s="103" t="s">
        <v>69</v>
      </c>
      <c r="AI1867" s="69"/>
      <c r="AJ1867" s="70"/>
      <c r="AK1867" s="71">
        <f>SUM(W1867:AJ1867)</f>
        <v>0</v>
      </c>
      <c r="AL1867" s="72"/>
      <c r="AM1867" s="73">
        <f>SUMIF($G1866:$T1866,"",$G1867:$T1867)+SUMIF($W1866:$AJ1866,"",$W1867:$AJ1867)-AN1867</f>
        <v>0</v>
      </c>
      <c r="AN1867" s="88">
        <f>IF(SUMIF($G1866:$T1866,"",$G1867:$T1867)+SUMIF($G1866:$T1866,"F",$G1867:$T1867)+SUMIF($G1866:$T1866,"V",$G1867:$T1867)-40&lt;0,0,SUMIF($G1866:$T1866,"",$G1867:$T1867)+SUMIF($G1866:$T1866,"F",$G1867:$T1867)+SUMIF($G1866:$T1866,"V",$G1867:$T1867)-($U$9/2))+IF(SUMIF($W1866:$AJ1866,"",$W1867:$AJ1867)+SUMIF($W1866:$AJ1866,"F",$W1867:$AJ1867)+SUMIF($W1866:$AJ1866,"V",$W1867:$AJ1867)-40&lt;0,0,SUMIF($W1866:$AJ1866,"",$W1867:$AJ1867)+SUMIF($W1866:$AJ1866,"F",$W1867:$AJ1867)+SUMIF($W1866:$AJ1866,"V",$W1867:$AJ1867)-($U$9/2))</f>
        <v>0</v>
      </c>
      <c r="AO1867" s="73">
        <f>SUMIF($G1866:$T1866,"M",$G1867:$T1867)+SUMIF($W1866:$AJ1866,"M",$W1867:$AJ1867)</f>
        <v>0</v>
      </c>
      <c r="AP1867" s="73">
        <f>SUMIF($G1866:$T1866,"F",$G1867:$T1867)+SUMIF($W1866:$AJ1866,"F",$W1867:$AJ1867)</f>
        <v>0</v>
      </c>
      <c r="AQ1867" s="73">
        <f>SUMIF($G1866:$T1866,"V",$G1867:$T1867)+SUMIF($W1866:$AJ1866,"V",$W1867:$AJ1867)</f>
        <v>0</v>
      </c>
      <c r="AR1867" s="74">
        <f>SUMIF($G1866:$T1866,"O",$G1867:$T1867)+SUMIF($W1866:$AJ1866,"O",$W1867:$AJ1867)</f>
        <v>0</v>
      </c>
      <c r="AS1867" s="75">
        <f>SUM(AM1867:AR1867)</f>
        <v>0</v>
      </c>
      <c r="AT1867" s="72"/>
      <c r="AU1867" s="73">
        <f>SUMIF($G1866:$T1866,"A",$G1867:$T1867)+SUMIF($W1866:$AJ1866,"A",$W1867:$AJ1867)</f>
        <v>0</v>
      </c>
      <c r="AV1867" s="72"/>
      <c r="AW1867" s="76">
        <f>IF(B1867="",0,IF($U$9="",0,$U$9))</f>
        <v>80</v>
      </c>
      <c r="BA1867" s="2"/>
      <c r="BB1867" s="2"/>
      <c r="BC1867" s="101"/>
      <c r="BD1867" s="101"/>
    </row>
    <row r="1868" spans="2:56" s="84" customFormat="1" x14ac:dyDescent="0.35">
      <c r="B1868" s="26"/>
      <c r="C1868" s="27"/>
      <c r="D1868" s="28">
        <f>IF(D1794="","",D1794)</f>
        <v>92032</v>
      </c>
      <c r="E1868" s="29" t="str">
        <f t="shared" si="723"/>
        <v/>
      </c>
      <c r="F1868" s="50">
        <f>B1859</f>
        <v>9</v>
      </c>
      <c r="G1868" s="59"/>
      <c r="H1868" s="64"/>
      <c r="I1868" s="106"/>
      <c r="J1868" s="105"/>
      <c r="K1868" s="106"/>
      <c r="L1868" s="105"/>
      <c r="M1868" s="106"/>
      <c r="N1868" s="105"/>
      <c r="O1868" s="106"/>
      <c r="P1868" s="105"/>
      <c r="Q1868" s="106"/>
      <c r="R1868" s="105"/>
      <c r="S1868" s="59"/>
      <c r="T1868" s="64"/>
      <c r="U1868" s="44"/>
      <c r="W1868" s="59"/>
      <c r="X1868" s="64"/>
      <c r="Y1868" s="106"/>
      <c r="Z1868" s="105"/>
      <c r="AA1868" s="106"/>
      <c r="AB1868" s="105"/>
      <c r="AC1868" s="106"/>
      <c r="AD1868" s="105"/>
      <c r="AE1868" s="106"/>
      <c r="AF1868" s="105"/>
      <c r="AG1868" s="106"/>
      <c r="AH1868" s="105"/>
      <c r="AI1868" s="59"/>
      <c r="AJ1868" s="64"/>
      <c r="AK1868" s="44"/>
      <c r="AM1868" s="49"/>
      <c r="AN1868" s="49"/>
      <c r="AO1868" s="49"/>
      <c r="AP1868" s="49"/>
      <c r="AQ1868" s="49"/>
      <c r="AR1868" s="40"/>
      <c r="AS1868" s="51"/>
      <c r="AU1868" s="49"/>
      <c r="AW1868" s="52"/>
      <c r="BA1868" s="2"/>
      <c r="BB1868" s="2"/>
      <c r="BC1868" s="101"/>
      <c r="BD1868" s="101"/>
    </row>
    <row r="1869" spans="2:56" s="84" customFormat="1" x14ac:dyDescent="0.35">
      <c r="B1869" s="30" t="str">
        <f>IF(B1795="","",B1795)</f>
        <v>Benoit, Jean-Paul(Avance $1,600.00)</v>
      </c>
      <c r="C1869" s="31"/>
      <c r="D1869" s="32"/>
      <c r="E1869" s="33">
        <f t="shared" si="723"/>
        <v>93595935</v>
      </c>
      <c r="F1869" s="50">
        <f>B1859</f>
        <v>9</v>
      </c>
      <c r="G1869" s="69"/>
      <c r="H1869" s="70"/>
      <c r="I1869" s="104"/>
      <c r="J1869" s="103" t="s">
        <v>69</v>
      </c>
      <c r="K1869" s="104"/>
      <c r="L1869" s="103" t="s">
        <v>69</v>
      </c>
      <c r="M1869" s="104"/>
      <c r="N1869" s="103" t="s">
        <v>69</v>
      </c>
      <c r="O1869" s="104"/>
      <c r="P1869" s="103" t="s">
        <v>69</v>
      </c>
      <c r="Q1869" s="104"/>
      <c r="R1869" s="103" t="s">
        <v>69</v>
      </c>
      <c r="S1869" s="69"/>
      <c r="T1869" s="70"/>
      <c r="U1869" s="71">
        <f t="shared" ref="U1869" si="725">SUM(G1869:T1869)</f>
        <v>0</v>
      </c>
      <c r="V1869" s="72"/>
      <c r="W1869" s="69"/>
      <c r="X1869" s="70"/>
      <c r="Y1869" s="104"/>
      <c r="Z1869" s="103" t="s">
        <v>69</v>
      </c>
      <c r="AA1869" s="104"/>
      <c r="AB1869" s="103" t="s">
        <v>69</v>
      </c>
      <c r="AC1869" s="104"/>
      <c r="AD1869" s="103" t="s">
        <v>69</v>
      </c>
      <c r="AE1869" s="104"/>
      <c r="AF1869" s="103" t="s">
        <v>69</v>
      </c>
      <c r="AG1869" s="104"/>
      <c r="AH1869" s="103" t="s">
        <v>69</v>
      </c>
      <c r="AI1869" s="69"/>
      <c r="AJ1869" s="70"/>
      <c r="AK1869" s="71">
        <f>SUM(W1869:AJ1869)</f>
        <v>0</v>
      </c>
      <c r="AL1869" s="72"/>
      <c r="AM1869" s="73">
        <f>SUMIF($G1868:$T1868,"",$G1869:$T1869)+SUMIF($W1868:$AJ1868,"",$W1869:$AJ1869)-AN1869</f>
        <v>0</v>
      </c>
      <c r="AN1869" s="88">
        <f>IF(SUMIF($G1868:$T1868,"",$G1869:$T1869)+SUMIF($G1868:$T1868,"F",$G1869:$T1869)+SUMIF($G1868:$T1868,"V",$G1869:$T1869)-40&lt;0,0,SUMIF($G1868:$T1868,"",$G1869:$T1869)+SUMIF($G1868:$T1868,"F",$G1869:$T1869)+SUMIF($G1868:$T1868,"V",$G1869:$T1869)-($U$9/2))+IF(SUMIF($W1868:$AJ1868,"",$W1869:$AJ1869)+SUMIF($W1868:$AJ1868,"F",$W1869:$AJ1869)+SUMIF($W1868:$AJ1868,"V",$W1869:$AJ1869)-40&lt;0,0,SUMIF($W1868:$AJ1868,"",$W1869:$AJ1869)+SUMIF($W1868:$AJ1868,"F",$W1869:$AJ1869)+SUMIF($W1868:$AJ1868,"V",$W1869:$AJ1869)-($U$9/2))</f>
        <v>0</v>
      </c>
      <c r="AO1869" s="73">
        <f>SUMIF($G1868:$T1868,"M",$G1869:$T1869)+SUMIF($W1868:$AJ1868,"M",$W1869:$AJ1869)</f>
        <v>0</v>
      </c>
      <c r="AP1869" s="73">
        <f>SUMIF($G1868:$T1868,"F",$G1869:$T1869)+SUMIF($W1868:$AJ1868,"F",$W1869:$AJ1869)</f>
        <v>0</v>
      </c>
      <c r="AQ1869" s="73">
        <f>SUMIF($G1868:$T1868,"V",$G1869:$T1869)+SUMIF($W1868:$AJ1868,"V",$W1869:$AJ1869)</f>
        <v>0</v>
      </c>
      <c r="AR1869" s="74">
        <f>SUMIF($G1868:$T1868,"O",$G1869:$T1869)+SUMIF($W1868:$AJ1868,"O",$W1869:$AJ1869)</f>
        <v>0</v>
      </c>
      <c r="AS1869" s="75">
        <f>SUM(AM1869:AR1869)</f>
        <v>0</v>
      </c>
      <c r="AT1869" s="72"/>
      <c r="AU1869" s="73">
        <f>SUMIF($G1868:$T1868,"A",$G1869:$T1869)+SUMIF($W1868:$AJ1868,"A",$W1869:$AJ1869)</f>
        <v>0</v>
      </c>
      <c r="AV1869" s="72"/>
      <c r="AW1869" s="76">
        <f>IF(B1869="",0,IF($U$9="",0,$U$9))</f>
        <v>80</v>
      </c>
      <c r="BA1869" s="2"/>
      <c r="BB1869" s="2"/>
      <c r="BC1869" s="101"/>
      <c r="BD1869" s="101"/>
    </row>
    <row r="1870" spans="2:56" s="84" customFormat="1" x14ac:dyDescent="0.35">
      <c r="B1870" s="26"/>
      <c r="C1870" s="27"/>
      <c r="D1870" s="28">
        <f>IF(D1796="","",D1796)</f>
        <v>81077</v>
      </c>
      <c r="E1870" s="29" t="str">
        <f t="shared" si="723"/>
        <v/>
      </c>
      <c r="F1870" s="50">
        <f>B1859</f>
        <v>9</v>
      </c>
      <c r="G1870" s="93"/>
      <c r="H1870" s="94"/>
      <c r="I1870" s="106"/>
      <c r="J1870" s="105"/>
      <c r="K1870" s="106"/>
      <c r="L1870" s="105"/>
      <c r="M1870" s="106"/>
      <c r="N1870" s="105"/>
      <c r="O1870" s="106"/>
      <c r="P1870" s="105"/>
      <c r="Q1870" s="106"/>
      <c r="R1870" s="105"/>
      <c r="S1870" s="59"/>
      <c r="T1870" s="64"/>
      <c r="U1870" s="44"/>
      <c r="W1870" s="59"/>
      <c r="X1870" s="64"/>
      <c r="Y1870" s="106"/>
      <c r="Z1870" s="105" t="s">
        <v>13</v>
      </c>
      <c r="AA1870" s="106"/>
      <c r="AB1870" s="105"/>
      <c r="AC1870" s="106"/>
      <c r="AD1870" s="105"/>
      <c r="AE1870" s="106"/>
      <c r="AF1870" s="105"/>
      <c r="AG1870" s="106"/>
      <c r="AH1870" s="105"/>
      <c r="AI1870" s="59"/>
      <c r="AJ1870" s="64"/>
      <c r="AK1870" s="44"/>
      <c r="AM1870" s="49"/>
      <c r="AN1870" s="49"/>
      <c r="AO1870" s="49"/>
      <c r="AP1870" s="49"/>
      <c r="AQ1870" s="49"/>
      <c r="AR1870" s="40"/>
      <c r="AS1870" s="51"/>
      <c r="AU1870" s="49"/>
      <c r="AW1870" s="52"/>
      <c r="BA1870" s="2"/>
      <c r="BB1870" s="2"/>
      <c r="BC1870" s="101"/>
      <c r="BD1870" s="101"/>
    </row>
    <row r="1871" spans="2:56" s="84" customFormat="1" x14ac:dyDescent="0.35">
      <c r="B1871" s="30" t="str">
        <f>IF(B1797="","",B1797)</f>
        <v>Bourassa, Julie</v>
      </c>
      <c r="C1871" s="31"/>
      <c r="D1871" s="32"/>
      <c r="E1871" s="33">
        <f t="shared" si="723"/>
        <v>93540</v>
      </c>
      <c r="F1871" s="50">
        <f>B1859</f>
        <v>9</v>
      </c>
      <c r="G1871" s="93"/>
      <c r="H1871" s="94"/>
      <c r="I1871" s="104"/>
      <c r="J1871" s="103">
        <v>8</v>
      </c>
      <c r="K1871" s="104"/>
      <c r="L1871" s="103">
        <v>8</v>
      </c>
      <c r="M1871" s="104"/>
      <c r="N1871" s="103">
        <v>8</v>
      </c>
      <c r="O1871" s="104"/>
      <c r="P1871" s="103">
        <v>8</v>
      </c>
      <c r="Q1871" s="104"/>
      <c r="R1871" s="103">
        <v>8</v>
      </c>
      <c r="S1871" s="69"/>
      <c r="T1871" s="70"/>
      <c r="U1871" s="71">
        <f t="shared" ref="U1871" si="726">SUM(G1871:T1871)</f>
        <v>40</v>
      </c>
      <c r="V1871" s="72"/>
      <c r="W1871" s="69"/>
      <c r="X1871" s="70"/>
      <c r="Y1871" s="104"/>
      <c r="Z1871" s="103">
        <v>8</v>
      </c>
      <c r="AA1871" s="104"/>
      <c r="AB1871" s="103">
        <v>8</v>
      </c>
      <c r="AC1871" s="104"/>
      <c r="AD1871" s="103">
        <v>8</v>
      </c>
      <c r="AE1871" s="104"/>
      <c r="AF1871" s="103">
        <v>8</v>
      </c>
      <c r="AG1871" s="104"/>
      <c r="AH1871" s="103">
        <v>7.5</v>
      </c>
      <c r="AI1871" s="69"/>
      <c r="AJ1871" s="70"/>
      <c r="AK1871" s="71">
        <f>SUM(W1871:AJ1871)</f>
        <v>39.5</v>
      </c>
      <c r="AL1871" s="72"/>
      <c r="AM1871" s="73">
        <f>SUMIF($G1870:$T1870,"",$G1871:$T1871)+SUMIF($W1870:$AJ1870,"",$W1871:$AJ1871)-AN1871</f>
        <v>71.5</v>
      </c>
      <c r="AN1871" s="88">
        <f>IF(SUMIF($G1870:$T1870,"",$G1871:$T1871)+SUMIF($G1870:$T1870,"F",$G1871:$T1871)+SUMIF($G1870:$T1870,"V",$G1871:$T1871)-40&lt;0,0,SUMIF($G1870:$T1870,"",$G1871:$T1871)+SUMIF($G1870:$T1870,"F",$G1871:$T1871)+SUMIF($G1870:$T1870,"V",$G1871:$T1871)-($U$9/2))+IF(SUMIF($W1870:$AJ1870,"",$W1871:$AJ1871)+SUMIF($W1870:$AJ1870,"F",$W1871:$AJ1871)+SUMIF($W1870:$AJ1870,"V",$W1871:$AJ1871)-40&lt;0,0,SUMIF($W1870:$AJ1870,"",$W1871:$AJ1871)+SUMIF($W1870:$AJ1870,"F",$W1871:$AJ1871)+SUMIF($W1870:$AJ1870,"V",$W1871:$AJ1871)-($U$9/2))</f>
        <v>0</v>
      </c>
      <c r="AO1871" s="73">
        <f>SUMIF($G1870:$T1870,"M",$G1871:$T1871)+SUMIF($W1870:$AJ1870,"M",$W1871:$AJ1871)</f>
        <v>0</v>
      </c>
      <c r="AP1871" s="73">
        <f>SUMIF($G1870:$T1870,"F",$G1871:$T1871)+SUMIF($W1870:$AJ1870,"F",$W1871:$AJ1871)</f>
        <v>8</v>
      </c>
      <c r="AQ1871" s="73">
        <f>SUMIF($G1870:$T1870,"V",$G1871:$T1871)+SUMIF($W1870:$AJ1870,"V",$W1871:$AJ1871)</f>
        <v>0</v>
      </c>
      <c r="AR1871" s="74">
        <f>SUMIF($G1870:$T1870,"O",$G1871:$T1871)+SUMIF($W1870:$AJ1870,"O",$W1871:$AJ1871)</f>
        <v>0</v>
      </c>
      <c r="AS1871" s="75">
        <f>SUM(AM1871:AR1871)</f>
        <v>79.5</v>
      </c>
      <c r="AT1871" s="72"/>
      <c r="AU1871" s="73">
        <f>SUMIF($G1870:$T1870,"A",$G1871:$T1871)+SUMIF($W1870:$AJ1870,"A",$W1871:$AJ1871)</f>
        <v>0</v>
      </c>
      <c r="AV1871" s="72"/>
      <c r="AW1871" s="76">
        <f>IF(B1871="",0,IF($U$9="",0,$U$9))</f>
        <v>80</v>
      </c>
      <c r="BA1871" s="2"/>
      <c r="BB1871" s="2"/>
      <c r="BC1871" s="101"/>
      <c r="BD1871" s="101"/>
    </row>
    <row r="1872" spans="2:56" s="84" customFormat="1" x14ac:dyDescent="0.35">
      <c r="B1872" s="26"/>
      <c r="C1872" s="27"/>
      <c r="D1872" s="28">
        <f>IF(D1798="","",D1798)</f>
        <v>78475</v>
      </c>
      <c r="E1872" s="29" t="str">
        <f t="shared" si="723"/>
        <v/>
      </c>
      <c r="F1872" s="50">
        <f>B1859</f>
        <v>9</v>
      </c>
      <c r="G1872" s="59"/>
      <c r="H1872" s="64"/>
      <c r="I1872" s="106"/>
      <c r="J1872" s="105"/>
      <c r="K1872" s="106"/>
      <c r="L1872" s="105"/>
      <c r="M1872" s="106"/>
      <c r="N1872" s="105" t="s">
        <v>3</v>
      </c>
      <c r="O1872" s="106"/>
      <c r="P1872" s="105" t="s">
        <v>3</v>
      </c>
      <c r="Q1872" s="106"/>
      <c r="R1872" s="105" t="s">
        <v>3</v>
      </c>
      <c r="S1872" s="59"/>
      <c r="T1872" s="64"/>
      <c r="U1872" s="44"/>
      <c r="W1872" s="59"/>
      <c r="X1872" s="64"/>
      <c r="Y1872" s="106"/>
      <c r="Z1872" s="105" t="s">
        <v>3</v>
      </c>
      <c r="AA1872" s="106"/>
      <c r="AB1872" s="105" t="s">
        <v>3</v>
      </c>
      <c r="AC1872" s="106"/>
      <c r="AD1872" s="105" t="s">
        <v>3</v>
      </c>
      <c r="AE1872" s="106"/>
      <c r="AF1872" s="105" t="s">
        <v>3</v>
      </c>
      <c r="AG1872" s="106"/>
      <c r="AH1872" s="105" t="s">
        <v>3</v>
      </c>
      <c r="AI1872" s="59"/>
      <c r="AJ1872" s="64"/>
      <c r="AK1872" s="44"/>
      <c r="AM1872" s="49"/>
      <c r="AN1872" s="49"/>
      <c r="AO1872" s="49"/>
      <c r="AP1872" s="49"/>
      <c r="AQ1872" s="49"/>
      <c r="AR1872" s="40"/>
      <c r="AS1872" s="51"/>
      <c r="AU1872" s="49"/>
      <c r="AW1872" s="52"/>
      <c r="BA1872" s="2"/>
      <c r="BB1872" s="2"/>
      <c r="BC1872" s="101"/>
      <c r="BD1872" s="101"/>
    </row>
    <row r="1873" spans="2:56" s="84" customFormat="1" x14ac:dyDescent="0.35">
      <c r="B1873" s="30" t="str">
        <f>IF(B1799="","",B1799)</f>
        <v>Charbonneau, Samuel</v>
      </c>
      <c r="C1873" s="31"/>
      <c r="D1873" s="32"/>
      <c r="E1873" s="33">
        <f t="shared" si="723"/>
        <v>93540</v>
      </c>
      <c r="F1873" s="50">
        <f>B1859</f>
        <v>9</v>
      </c>
      <c r="G1873" s="69"/>
      <c r="H1873" s="70"/>
      <c r="I1873" s="104"/>
      <c r="J1873" s="103">
        <v>8.5</v>
      </c>
      <c r="K1873" s="104"/>
      <c r="L1873" s="103">
        <v>8</v>
      </c>
      <c r="M1873" s="104"/>
      <c r="N1873" s="103">
        <v>0</v>
      </c>
      <c r="O1873" s="104"/>
      <c r="P1873" s="103">
        <v>0</v>
      </c>
      <c r="Q1873" s="104"/>
      <c r="R1873" s="103">
        <v>0</v>
      </c>
      <c r="S1873" s="69"/>
      <c r="T1873" s="70"/>
      <c r="U1873" s="71">
        <f t="shared" ref="U1873" si="727">SUM(G1873:T1873)</f>
        <v>16.5</v>
      </c>
      <c r="V1873" s="72"/>
      <c r="W1873" s="69"/>
      <c r="X1873" s="70"/>
      <c r="Y1873" s="104"/>
      <c r="Z1873" s="103">
        <v>0</v>
      </c>
      <c r="AA1873" s="104"/>
      <c r="AB1873" s="103">
        <v>0</v>
      </c>
      <c r="AC1873" s="104"/>
      <c r="AD1873" s="103">
        <v>0</v>
      </c>
      <c r="AE1873" s="104"/>
      <c r="AF1873" s="103">
        <v>0</v>
      </c>
      <c r="AG1873" s="104"/>
      <c r="AH1873" s="103">
        <v>0</v>
      </c>
      <c r="AI1873" s="69"/>
      <c r="AJ1873" s="70"/>
      <c r="AK1873" s="71">
        <f>SUM(W1873:AJ1873)</f>
        <v>0</v>
      </c>
      <c r="AL1873" s="72"/>
      <c r="AM1873" s="73">
        <f>SUMIF($G1872:$T1872,"",$G1873:$T1873)+SUMIF($W1872:$AJ1872,"",$W1873:$AJ1873)-AN1873</f>
        <v>16.5</v>
      </c>
      <c r="AN1873" s="88">
        <f>IF(SUMIF($G1872:$T1872,"",$G1873:$T1873)+SUMIF($G1872:$T1872,"F",$G1873:$T1873)+SUMIF($G1872:$T1872,"V",$G1873:$T1873)-40&lt;0,0,SUMIF($G1872:$T1872,"",$G1873:$T1873)+SUMIF($G1872:$T1872,"F",$G1873:$T1873)+SUMIF($G1872:$T1872,"V",$G1873:$T1873)-($U$9/2))+IF(SUMIF($W1872:$AJ1872,"",$W1873:$AJ1873)+SUMIF($W1872:$AJ1872,"F",$W1873:$AJ1873)+SUMIF($W1872:$AJ1872,"V",$W1873:$AJ1873)-40&lt;0,0,SUMIF($W1872:$AJ1872,"",$W1873:$AJ1873)+SUMIF($W1872:$AJ1872,"F",$W1873:$AJ1873)+SUMIF($W1872:$AJ1872,"V",$W1873:$AJ1873)-($U$9/2))</f>
        <v>0</v>
      </c>
      <c r="AO1873" s="73">
        <f>SUMIF($G1872:$T1872,"M",$G1873:$T1873)+SUMIF($W1872:$AJ1872,"M",$W1873:$AJ1873)</f>
        <v>0</v>
      </c>
      <c r="AP1873" s="73">
        <f>SUMIF($G1872:$T1872,"F",$G1873:$T1873)+SUMIF($W1872:$AJ1872,"F",$W1873:$AJ1873)</f>
        <v>0</v>
      </c>
      <c r="AQ1873" s="73">
        <f>SUMIF($G1872:$T1872,"V",$G1873:$T1873)+SUMIF($W1872:$AJ1872,"V",$W1873:$AJ1873)</f>
        <v>0</v>
      </c>
      <c r="AR1873" s="74">
        <f>SUMIF($G1872:$T1872,"O",$G1873:$T1873)+SUMIF($W1872:$AJ1872,"O",$W1873:$AJ1873)</f>
        <v>0</v>
      </c>
      <c r="AS1873" s="75">
        <f>SUM(AM1873:AR1873)</f>
        <v>16.5</v>
      </c>
      <c r="AT1873" s="72"/>
      <c r="AU1873" s="73">
        <f>SUMIF($G1872:$T1872,"A",$G1873:$T1873)+SUMIF($W1872:$AJ1872,"A",$W1873:$AJ1873)</f>
        <v>0</v>
      </c>
      <c r="AV1873" s="72"/>
      <c r="AW1873" s="76">
        <f>IF(B1873="",0,IF($U$9="",0,$U$9))</f>
        <v>80</v>
      </c>
      <c r="BA1873" s="2"/>
      <c r="BB1873" s="2"/>
      <c r="BC1873" s="101"/>
      <c r="BD1873" s="101"/>
    </row>
    <row r="1874" spans="2:56" s="84" customFormat="1" x14ac:dyDescent="0.35">
      <c r="B1874" s="26"/>
      <c r="C1874" s="27"/>
      <c r="D1874" s="28"/>
      <c r="E1874" s="29" t="str">
        <f t="shared" si="723"/>
        <v/>
      </c>
      <c r="F1874" s="50">
        <f>B1859</f>
        <v>9</v>
      </c>
      <c r="G1874" s="59"/>
      <c r="H1874" s="64"/>
      <c r="I1874" s="106"/>
      <c r="J1874" s="105"/>
      <c r="K1874" s="106"/>
      <c r="L1874" s="105"/>
      <c r="M1874" s="106"/>
      <c r="N1874" s="105"/>
      <c r="O1874" s="106"/>
      <c r="P1874" s="105"/>
      <c r="Q1874" s="106"/>
      <c r="R1874" s="105"/>
      <c r="S1874" s="59"/>
      <c r="T1874" s="64"/>
      <c r="U1874" s="44"/>
      <c r="W1874" s="59"/>
      <c r="X1874" s="64"/>
      <c r="Y1874" s="106"/>
      <c r="Z1874" s="105"/>
      <c r="AA1874" s="106"/>
      <c r="AB1874" s="105"/>
      <c r="AC1874" s="106"/>
      <c r="AD1874" s="105"/>
      <c r="AE1874" s="106"/>
      <c r="AF1874" s="105"/>
      <c r="AG1874" s="106"/>
      <c r="AH1874" s="105"/>
      <c r="AI1874" s="59"/>
      <c r="AJ1874" s="64"/>
      <c r="AK1874" s="44"/>
      <c r="AM1874" s="49"/>
      <c r="AN1874" s="49"/>
      <c r="AO1874" s="49"/>
      <c r="AP1874" s="49"/>
      <c r="AQ1874" s="49"/>
      <c r="AR1874" s="40"/>
      <c r="AS1874" s="51"/>
      <c r="AU1874" s="49"/>
      <c r="AW1874" s="52"/>
      <c r="BA1874" s="2"/>
      <c r="BB1874" s="2"/>
      <c r="BC1874" s="101"/>
      <c r="BD1874" s="101"/>
    </row>
    <row r="1875" spans="2:56" s="84" customFormat="1" x14ac:dyDescent="0.35">
      <c r="B1875" s="30" t="str">
        <f>IF(B1801="","",B1801)</f>
        <v/>
      </c>
      <c r="C1875" s="31"/>
      <c r="D1875" s="32"/>
      <c r="E1875" s="33" t="str">
        <f t="shared" si="723"/>
        <v/>
      </c>
      <c r="F1875" s="50">
        <f>B1859</f>
        <v>9</v>
      </c>
      <c r="G1875" s="69"/>
      <c r="H1875" s="70"/>
      <c r="I1875" s="104"/>
      <c r="J1875" s="103"/>
      <c r="K1875" s="104"/>
      <c r="L1875" s="103"/>
      <c r="M1875" s="104"/>
      <c r="N1875" s="103"/>
      <c r="O1875" s="104"/>
      <c r="P1875" s="103"/>
      <c r="Q1875" s="104"/>
      <c r="R1875" s="103"/>
      <c r="S1875" s="69"/>
      <c r="T1875" s="70"/>
      <c r="U1875" s="71">
        <f t="shared" ref="U1875" si="728">SUM(G1875:T1875)</f>
        <v>0</v>
      </c>
      <c r="V1875" s="72"/>
      <c r="W1875" s="69"/>
      <c r="X1875" s="70"/>
      <c r="Y1875" s="104"/>
      <c r="Z1875" s="103"/>
      <c r="AA1875" s="104"/>
      <c r="AB1875" s="103"/>
      <c r="AC1875" s="104"/>
      <c r="AD1875" s="103"/>
      <c r="AE1875" s="104"/>
      <c r="AF1875" s="103"/>
      <c r="AG1875" s="104"/>
      <c r="AH1875" s="103"/>
      <c r="AI1875" s="69"/>
      <c r="AJ1875" s="70"/>
      <c r="AK1875" s="71">
        <f>SUM(W1875:AJ1875)</f>
        <v>0</v>
      </c>
      <c r="AL1875" s="72"/>
      <c r="AM1875" s="73">
        <f>SUMIF($G1874:$T1874,"",$G1875:$T1875)+SUMIF($W1874:$AJ1874,"",$W1875:$AJ1875)-AN1875</f>
        <v>0</v>
      </c>
      <c r="AN1875" s="88">
        <f>IF(SUMIF($G1874:$T1874,"",$G1875:$T1875)+SUMIF($G1874:$T1874,"F",$G1875:$T1875)+SUMIF($G1874:$T1874,"V",$G1875:$T1875)-40&lt;0,0,SUMIF($G1874:$T1874,"",$G1875:$T1875)+SUMIF($G1874:$T1874,"F",$G1875:$T1875)+SUMIF($G1874:$T1874,"V",$G1875:$T1875)-($U$9/2))+IF(SUMIF($W1874:$AJ1874,"",$W1875:$AJ1875)+SUMIF($W1874:$AJ1874,"F",$W1875:$AJ1875)+SUMIF($W1874:$AJ1874,"V",$W1875:$AJ1875)-40&lt;0,0,SUMIF($W1874:$AJ1874,"",$W1875:$AJ1875)+SUMIF($W1874:$AJ1874,"F",$W1875:$AJ1875)+SUMIF($W1874:$AJ1874,"V",$W1875:$AJ1875)-($U$9/2))</f>
        <v>0</v>
      </c>
      <c r="AO1875" s="73">
        <f>SUMIF($G1874:$T1874,"M",$G1875:$T1875)+SUMIF($W1874:$AJ1874,"M",$W1875:$AJ1875)</f>
        <v>0</v>
      </c>
      <c r="AP1875" s="73">
        <f>SUMIF($G1874:$T1874,"F",$G1875:$T1875)+SUMIF($W1874:$AJ1874,"F",$W1875:$AJ1875)</f>
        <v>0</v>
      </c>
      <c r="AQ1875" s="73">
        <f>SUMIF($G1874:$T1874,"V",$G1875:$T1875)+SUMIF($W1874:$AJ1874,"V",$W1875:$AJ1875)</f>
        <v>0</v>
      </c>
      <c r="AR1875" s="74">
        <f>SUMIF($G1874:$T1874,"O",$G1875:$T1875)+SUMIF($W1874:$AJ1874,"O",$W1875:$AJ1875)</f>
        <v>0</v>
      </c>
      <c r="AS1875" s="75">
        <f>SUM(AM1875:AR1875)</f>
        <v>0</v>
      </c>
      <c r="AT1875" s="72"/>
      <c r="AU1875" s="73">
        <f>SUMIF($G1874:$T1874,"A",$G1875:$T1875)+SUMIF($W1874:$AJ1874,"A",$W1875:$AJ1875)</f>
        <v>0</v>
      </c>
      <c r="AV1875" s="72"/>
      <c r="AW1875" s="76">
        <f>IF(B1875="",0,IF($U$9="",0,$U$9))</f>
        <v>0</v>
      </c>
      <c r="BA1875" s="2"/>
      <c r="BB1875" s="2"/>
      <c r="BC1875" s="101"/>
      <c r="BD1875" s="101"/>
    </row>
    <row r="1876" spans="2:56" s="84" customFormat="1" x14ac:dyDescent="0.35">
      <c r="B1876" s="26"/>
      <c r="C1876" s="27"/>
      <c r="D1876" s="28">
        <f>IF(D1802="","",D1802)</f>
        <v>79709</v>
      </c>
      <c r="E1876" s="29" t="str">
        <f t="shared" si="723"/>
        <v/>
      </c>
      <c r="F1876" s="50">
        <f>B1859</f>
        <v>9</v>
      </c>
      <c r="G1876" s="59"/>
      <c r="H1876" s="64"/>
      <c r="I1876" s="106"/>
      <c r="J1876" s="105"/>
      <c r="K1876" s="106"/>
      <c r="L1876" s="105"/>
      <c r="M1876" s="106"/>
      <c r="N1876" s="105"/>
      <c r="O1876" s="106"/>
      <c r="P1876" s="105"/>
      <c r="Q1876" s="106"/>
      <c r="R1876" s="105"/>
      <c r="S1876" s="59"/>
      <c r="T1876" s="64"/>
      <c r="U1876" s="44"/>
      <c r="W1876" s="59"/>
      <c r="X1876" s="64"/>
      <c r="Y1876" s="106"/>
      <c r="Z1876" s="105" t="s">
        <v>13</v>
      </c>
      <c r="AA1876" s="106"/>
      <c r="AB1876" s="105"/>
      <c r="AC1876" s="106"/>
      <c r="AD1876" s="105"/>
      <c r="AE1876" s="106"/>
      <c r="AF1876" s="105"/>
      <c r="AG1876" s="106"/>
      <c r="AH1876" s="105"/>
      <c r="AI1876" s="59"/>
      <c r="AJ1876" s="64"/>
      <c r="AK1876" s="44"/>
      <c r="AM1876" s="49"/>
      <c r="AN1876" s="49"/>
      <c r="AO1876" s="49"/>
      <c r="AP1876" s="49"/>
      <c r="AQ1876" s="49"/>
      <c r="AR1876" s="40"/>
      <c r="AS1876" s="51"/>
      <c r="AU1876" s="49"/>
      <c r="AW1876" s="52"/>
      <c r="BA1876" s="2"/>
      <c r="BB1876" s="2"/>
      <c r="BC1876" s="101"/>
      <c r="BD1876" s="101"/>
    </row>
    <row r="1877" spans="2:56" s="84" customFormat="1" x14ac:dyDescent="0.35">
      <c r="B1877" s="30" t="str">
        <f>IF(B1803="","",B1803)</f>
        <v>De Rose, Natale</v>
      </c>
      <c r="C1877" s="31"/>
      <c r="D1877" s="32"/>
      <c r="E1877" s="33">
        <f t="shared" si="723"/>
        <v>93595935</v>
      </c>
      <c r="F1877" s="50">
        <f>B1859</f>
        <v>9</v>
      </c>
      <c r="G1877" s="69"/>
      <c r="H1877" s="70"/>
      <c r="I1877" s="104"/>
      <c r="J1877" s="103">
        <v>8</v>
      </c>
      <c r="K1877" s="104"/>
      <c r="L1877" s="103">
        <v>8</v>
      </c>
      <c r="M1877" s="104"/>
      <c r="N1877" s="103">
        <v>8</v>
      </c>
      <c r="O1877" s="104"/>
      <c r="P1877" s="103">
        <v>8</v>
      </c>
      <c r="Q1877" s="104"/>
      <c r="R1877" s="103">
        <v>8</v>
      </c>
      <c r="S1877" s="69"/>
      <c r="T1877" s="70"/>
      <c r="U1877" s="71">
        <f t="shared" ref="U1877" si="729">SUM(G1877:T1877)</f>
        <v>40</v>
      </c>
      <c r="V1877" s="72"/>
      <c r="W1877" s="69"/>
      <c r="X1877" s="70"/>
      <c r="Y1877" s="104"/>
      <c r="Z1877" s="103">
        <v>8</v>
      </c>
      <c r="AA1877" s="104"/>
      <c r="AB1877" s="103">
        <v>8</v>
      </c>
      <c r="AC1877" s="104"/>
      <c r="AD1877" s="103">
        <v>8</v>
      </c>
      <c r="AE1877" s="104"/>
      <c r="AF1877" s="103">
        <v>8</v>
      </c>
      <c r="AG1877" s="104"/>
      <c r="AH1877" s="103">
        <v>8</v>
      </c>
      <c r="AI1877" s="69"/>
      <c r="AJ1877" s="70"/>
      <c r="AK1877" s="71">
        <f>SUM(W1877:AJ1877)</f>
        <v>40</v>
      </c>
      <c r="AL1877" s="72"/>
      <c r="AM1877" s="73">
        <f>SUMIF($G1876:$T1876,"",$G1877:$T1877)+SUMIF($W1876:$AJ1876,"",$W1877:$AJ1877)-AN1877</f>
        <v>72</v>
      </c>
      <c r="AN1877" s="88">
        <f>IF(SUMIF($G1876:$T1876,"",$G1877:$T1877)+SUMIF($G1876:$T1876,"F",$G1877:$T1877)+SUMIF($G1876:$T1876,"V",$G1877:$T1877)-40&lt;0,0,SUMIF($G1876:$T1876,"",$G1877:$T1877)+SUMIF($G1876:$T1876,"F",$G1877:$T1877)+SUMIF($G1876:$T1876,"V",$G1877:$T1877)-($U$9/2))+IF(SUMIF($W1876:$AJ1876,"",$W1877:$AJ1877)+SUMIF($W1876:$AJ1876,"F",$W1877:$AJ1877)+SUMIF($W1876:$AJ1876,"V",$W1877:$AJ1877)-40&lt;0,0,SUMIF($W1876:$AJ1876,"",$W1877:$AJ1877)+SUMIF($W1876:$AJ1876,"F",$W1877:$AJ1877)+SUMIF($W1876:$AJ1876,"V",$W1877:$AJ1877)-($U$9/2))</f>
        <v>0</v>
      </c>
      <c r="AO1877" s="73">
        <f>SUMIF($G1876:$T1876,"M",$G1877:$T1877)+SUMIF($W1876:$AJ1876,"M",$W1877:$AJ1877)</f>
        <v>0</v>
      </c>
      <c r="AP1877" s="73">
        <f>SUMIF($G1876:$T1876,"F",$G1877:$T1877)+SUMIF($W1876:$AJ1876,"F",$W1877:$AJ1877)</f>
        <v>8</v>
      </c>
      <c r="AQ1877" s="73">
        <f>SUMIF($G1876:$T1876,"V",$G1877:$T1877)+SUMIF($W1876:$AJ1876,"V",$W1877:$AJ1877)</f>
        <v>0</v>
      </c>
      <c r="AR1877" s="74">
        <f>SUMIF($G1876:$T1876,"O",$G1877:$T1877)+SUMIF($W1876:$AJ1876,"O",$W1877:$AJ1877)</f>
        <v>0</v>
      </c>
      <c r="AS1877" s="75">
        <f>SUM(AM1877:AR1877)</f>
        <v>80</v>
      </c>
      <c r="AT1877" s="72"/>
      <c r="AU1877" s="73">
        <f>SUMIF($G1876:$T1876,"A",$G1877:$T1877)+SUMIF($W1876:$AJ1876,"A",$W1877:$AJ1877)</f>
        <v>0</v>
      </c>
      <c r="AV1877" s="72"/>
      <c r="AW1877" s="76">
        <f>IF(B1877="",0,IF($U$9="",0,$U$9))</f>
        <v>80</v>
      </c>
      <c r="BA1877" s="2"/>
      <c r="BB1877" s="2"/>
      <c r="BC1877" s="101"/>
      <c r="BD1877" s="101"/>
    </row>
    <row r="1878" spans="2:56" s="84" customFormat="1" x14ac:dyDescent="0.35">
      <c r="B1878" s="26"/>
      <c r="C1878" s="27"/>
      <c r="D1878" s="28">
        <f>IF(D1804="","",D1804)</f>
        <v>92027</v>
      </c>
      <c r="E1878" s="29" t="str">
        <f t="shared" si="723"/>
        <v/>
      </c>
      <c r="F1878" s="50">
        <f>B1859</f>
        <v>9</v>
      </c>
      <c r="G1878" s="59"/>
      <c r="H1878" s="64"/>
      <c r="I1878" s="106"/>
      <c r="J1878" s="105"/>
      <c r="K1878" s="106"/>
      <c r="L1878" s="105"/>
      <c r="M1878" s="106"/>
      <c r="N1878" s="105"/>
      <c r="O1878" s="106"/>
      <c r="P1878" s="105"/>
      <c r="Q1878" s="106"/>
      <c r="R1878" s="105"/>
      <c r="S1878" s="59"/>
      <c r="T1878" s="64"/>
      <c r="U1878" s="44"/>
      <c r="W1878" s="59"/>
      <c r="X1878" s="64"/>
      <c r="Y1878" s="106"/>
      <c r="Z1878" s="105" t="s">
        <v>13</v>
      </c>
      <c r="AA1878" s="106"/>
      <c r="AB1878" s="105"/>
      <c r="AC1878" s="106"/>
      <c r="AD1878" s="105"/>
      <c r="AE1878" s="106"/>
      <c r="AF1878" s="105"/>
      <c r="AG1878" s="106"/>
      <c r="AH1878" s="105"/>
      <c r="AI1878" s="59"/>
      <c r="AJ1878" s="64"/>
      <c r="AK1878" s="44"/>
      <c r="AM1878" s="49"/>
      <c r="AN1878" s="49"/>
      <c r="AO1878" s="49"/>
      <c r="AP1878" s="49"/>
      <c r="AQ1878" s="49"/>
      <c r="AR1878" s="40"/>
      <c r="AS1878" s="51"/>
      <c r="AU1878" s="49"/>
      <c r="AW1878" s="52"/>
      <c r="BA1878" s="2"/>
      <c r="BB1878" s="2"/>
      <c r="BC1878" s="101"/>
      <c r="BD1878" s="101"/>
    </row>
    <row r="1879" spans="2:56" s="84" customFormat="1" x14ac:dyDescent="0.35">
      <c r="B1879" s="30" t="str">
        <f>IF(B1805="","",B1805)</f>
        <v>Descoteaux, Gerald</v>
      </c>
      <c r="C1879" s="31"/>
      <c r="D1879" s="32"/>
      <c r="E1879" s="33">
        <f t="shared" si="723"/>
        <v>93595935</v>
      </c>
      <c r="F1879" s="50">
        <f>B1859</f>
        <v>9</v>
      </c>
      <c r="G1879" s="69"/>
      <c r="H1879" s="70"/>
      <c r="I1879" s="104"/>
      <c r="J1879" s="103">
        <v>8</v>
      </c>
      <c r="K1879" s="104"/>
      <c r="L1879" s="103">
        <v>8</v>
      </c>
      <c r="M1879" s="104"/>
      <c r="N1879" s="103">
        <v>8</v>
      </c>
      <c r="O1879" s="104"/>
      <c r="P1879" s="103">
        <v>8</v>
      </c>
      <c r="Q1879" s="104"/>
      <c r="R1879" s="103">
        <v>8</v>
      </c>
      <c r="S1879" s="69"/>
      <c r="T1879" s="70"/>
      <c r="U1879" s="71">
        <f t="shared" ref="U1879" si="730">SUM(G1879:T1879)</f>
        <v>40</v>
      </c>
      <c r="V1879" s="72"/>
      <c r="W1879" s="69"/>
      <c r="X1879" s="70"/>
      <c r="Y1879" s="104"/>
      <c r="Z1879" s="103">
        <v>8</v>
      </c>
      <c r="AA1879" s="104"/>
      <c r="AB1879" s="103">
        <v>8</v>
      </c>
      <c r="AC1879" s="104"/>
      <c r="AD1879" s="103">
        <v>8</v>
      </c>
      <c r="AE1879" s="104"/>
      <c r="AF1879" s="103">
        <v>8</v>
      </c>
      <c r="AG1879" s="104"/>
      <c r="AH1879" s="103">
        <v>8</v>
      </c>
      <c r="AI1879" s="69"/>
      <c r="AJ1879" s="70"/>
      <c r="AK1879" s="71">
        <f>SUM(W1879:AJ1879)</f>
        <v>40</v>
      </c>
      <c r="AL1879" s="72"/>
      <c r="AM1879" s="73">
        <f>SUMIF($G1878:$T1878,"",$G1879:$T1879)+SUMIF($W1878:$AJ1878,"",$W1879:$AJ1879)-AN1879</f>
        <v>72</v>
      </c>
      <c r="AN1879" s="88">
        <f>IF(SUMIF($G1878:$T1878,"",$G1879:$T1879)+SUMIF($G1878:$T1878,"F",$G1879:$T1879)+SUMIF($G1878:$T1878,"V",$G1879:$T1879)-40&lt;0,0,SUMIF($G1878:$T1878,"",$G1879:$T1879)+SUMIF($G1878:$T1878,"F",$G1879:$T1879)+SUMIF($G1878:$T1878,"V",$G1879:$T1879)-($U$9/2))+IF(SUMIF($W1878:$AJ1878,"",$W1879:$AJ1879)+SUMIF($W1878:$AJ1878,"F",$W1879:$AJ1879)+SUMIF($W1878:$AJ1878,"V",$W1879:$AJ1879)-40&lt;0,0,SUMIF($W1878:$AJ1878,"",$W1879:$AJ1879)+SUMIF($W1878:$AJ1878,"F",$W1879:$AJ1879)+SUMIF($W1878:$AJ1878,"V",$W1879:$AJ1879)-($U$9/2))</f>
        <v>0</v>
      </c>
      <c r="AO1879" s="73">
        <f>SUMIF($G1878:$T1878,"M",$G1879:$T1879)+SUMIF($W1878:$AJ1878,"M",$W1879:$AJ1879)</f>
        <v>0</v>
      </c>
      <c r="AP1879" s="73">
        <f>SUMIF($G1878:$T1878,"F",$G1879:$T1879)+SUMIF($W1878:$AJ1878,"F",$W1879:$AJ1879)</f>
        <v>8</v>
      </c>
      <c r="AQ1879" s="73">
        <f>SUMIF($G1878:$T1878,"V",$G1879:$T1879)+SUMIF($W1878:$AJ1878,"V",$W1879:$AJ1879)</f>
        <v>0</v>
      </c>
      <c r="AR1879" s="74">
        <f>SUMIF($G1878:$T1878,"O",$G1879:$T1879)+SUMIF($W1878:$AJ1878,"O",$W1879:$AJ1879)</f>
        <v>0</v>
      </c>
      <c r="AS1879" s="75">
        <f>SUM(AM1879:AR1879)</f>
        <v>80</v>
      </c>
      <c r="AT1879" s="72"/>
      <c r="AU1879" s="73">
        <f>SUMIF($G1878:$T1878,"A",$G1879:$T1879)+SUMIF($W1878:$AJ1878,"A",$W1879:$AJ1879)</f>
        <v>0</v>
      </c>
      <c r="AV1879" s="72"/>
      <c r="AW1879" s="76">
        <f>IF(B1879="",0,IF($U$9="",0,$U$9))</f>
        <v>80</v>
      </c>
      <c r="BA1879" s="2"/>
      <c r="BB1879" s="2"/>
      <c r="BC1879" s="101"/>
      <c r="BD1879" s="101"/>
    </row>
    <row r="1880" spans="2:56" s="84" customFormat="1" x14ac:dyDescent="0.35">
      <c r="B1880" s="26"/>
      <c r="C1880" s="27"/>
      <c r="D1880" s="28">
        <f>IF(D1806="","",D1806)</f>
        <v>73795</v>
      </c>
      <c r="E1880" s="29" t="str">
        <f t="shared" si="723"/>
        <v/>
      </c>
      <c r="F1880" s="50">
        <f>B1859</f>
        <v>9</v>
      </c>
      <c r="G1880" s="59"/>
      <c r="H1880" s="64"/>
      <c r="I1880" s="106"/>
      <c r="J1880" s="105"/>
      <c r="K1880" s="106"/>
      <c r="L1880" s="105"/>
      <c r="M1880" s="106"/>
      <c r="N1880" s="105"/>
      <c r="O1880" s="106"/>
      <c r="P1880" s="105"/>
      <c r="Q1880" s="106"/>
      <c r="R1880" s="105" t="s">
        <v>13</v>
      </c>
      <c r="S1880" s="59"/>
      <c r="T1880" s="64"/>
      <c r="U1880" s="44"/>
      <c r="W1880" s="59"/>
      <c r="X1880" s="64"/>
      <c r="Y1880" s="106"/>
      <c r="Z1880" s="105"/>
      <c r="AA1880" s="106"/>
      <c r="AB1880" s="105"/>
      <c r="AC1880" s="106"/>
      <c r="AD1880" s="105"/>
      <c r="AE1880" s="106"/>
      <c r="AF1880" s="105"/>
      <c r="AG1880" s="106"/>
      <c r="AH1880" s="105"/>
      <c r="AI1880" s="59"/>
      <c r="AJ1880" s="64"/>
      <c r="AK1880" s="44"/>
      <c r="AM1880" s="49"/>
      <c r="AN1880" s="49"/>
      <c r="AO1880" s="49"/>
      <c r="AP1880" s="49"/>
      <c r="AQ1880" s="49"/>
      <c r="AR1880" s="40"/>
      <c r="AS1880" s="51"/>
      <c r="AU1880" s="49"/>
      <c r="AW1880" s="52"/>
      <c r="BA1880" s="2"/>
      <c r="BB1880" s="2"/>
      <c r="BC1880" s="101"/>
      <c r="BD1880" s="101"/>
    </row>
    <row r="1881" spans="2:56" s="84" customFormat="1" x14ac:dyDescent="0.35">
      <c r="B1881" s="30" t="str">
        <f>IF(B1807="","",B1807)</f>
        <v>Fortin, Veronique</v>
      </c>
      <c r="C1881" s="31"/>
      <c r="D1881" s="32"/>
      <c r="E1881" s="33">
        <f t="shared" si="723"/>
        <v>93540</v>
      </c>
      <c r="F1881" s="50">
        <f>B1859</f>
        <v>9</v>
      </c>
      <c r="G1881" s="69"/>
      <c r="H1881" s="70"/>
      <c r="I1881" s="104"/>
      <c r="J1881" s="103">
        <v>8</v>
      </c>
      <c r="K1881" s="104"/>
      <c r="L1881" s="103">
        <v>8</v>
      </c>
      <c r="M1881" s="104"/>
      <c r="N1881" s="103">
        <v>8</v>
      </c>
      <c r="O1881" s="104"/>
      <c r="P1881" s="103">
        <v>8</v>
      </c>
      <c r="Q1881" s="104"/>
      <c r="R1881" s="103">
        <v>8</v>
      </c>
      <c r="S1881" s="69"/>
      <c r="T1881" s="70"/>
      <c r="U1881" s="71">
        <f t="shared" ref="U1881" si="731">SUM(G1881:T1881)</f>
        <v>40</v>
      </c>
      <c r="V1881" s="72"/>
      <c r="W1881" s="69"/>
      <c r="X1881" s="70"/>
      <c r="Y1881" s="104"/>
      <c r="Z1881" s="103">
        <v>8</v>
      </c>
      <c r="AA1881" s="104"/>
      <c r="AB1881" s="103">
        <v>8</v>
      </c>
      <c r="AC1881" s="104"/>
      <c r="AD1881" s="103">
        <v>8</v>
      </c>
      <c r="AE1881" s="104"/>
      <c r="AF1881" s="103">
        <v>8</v>
      </c>
      <c r="AG1881" s="104"/>
      <c r="AH1881" s="103">
        <v>8</v>
      </c>
      <c r="AI1881" s="69"/>
      <c r="AJ1881" s="70"/>
      <c r="AK1881" s="71">
        <f>SUM(W1881:AJ1881)</f>
        <v>40</v>
      </c>
      <c r="AL1881" s="72"/>
      <c r="AM1881" s="73">
        <f>SUMIF($G1880:$T1880,"",$G1881:$T1881)+SUMIF($W1880:$AJ1880,"",$W1881:$AJ1881)-AN1881</f>
        <v>72</v>
      </c>
      <c r="AN1881" s="88">
        <f>IF(SUMIF($G1880:$T1880,"",$G1881:$T1881)+SUMIF($G1880:$T1880,"F",$G1881:$T1881)+SUMIF($G1880:$T1880,"V",$G1881:$T1881)-40&lt;0,0,SUMIF($G1880:$T1880,"",$G1881:$T1881)+SUMIF($G1880:$T1880,"F",$G1881:$T1881)+SUMIF($G1880:$T1880,"V",$G1881:$T1881)-($U$9/2))+IF(SUMIF($W1880:$AJ1880,"",$W1881:$AJ1881)+SUMIF($W1880:$AJ1880,"F",$W1881:$AJ1881)+SUMIF($W1880:$AJ1880,"V",$W1881:$AJ1881)-40&lt;0,0,SUMIF($W1880:$AJ1880,"",$W1881:$AJ1881)+SUMIF($W1880:$AJ1880,"F",$W1881:$AJ1881)+SUMIF($W1880:$AJ1880,"V",$W1881:$AJ1881)-($U$9/2))</f>
        <v>0</v>
      </c>
      <c r="AO1881" s="73">
        <f>SUMIF($G1880:$T1880,"M",$G1881:$T1881)+SUMIF($W1880:$AJ1880,"M",$W1881:$AJ1881)</f>
        <v>0</v>
      </c>
      <c r="AP1881" s="73">
        <f>SUMIF($G1880:$T1880,"F",$G1881:$T1881)+SUMIF($W1880:$AJ1880,"F",$W1881:$AJ1881)</f>
        <v>8</v>
      </c>
      <c r="AQ1881" s="73">
        <f>SUMIF($G1880:$T1880,"V",$G1881:$T1881)+SUMIF($W1880:$AJ1880,"V",$W1881:$AJ1881)</f>
        <v>0</v>
      </c>
      <c r="AR1881" s="74">
        <f>SUMIF($G1880:$T1880,"O",$G1881:$T1881)+SUMIF($W1880:$AJ1880,"O",$W1881:$AJ1881)</f>
        <v>0</v>
      </c>
      <c r="AS1881" s="75">
        <f>SUM(AM1881:AR1881)</f>
        <v>80</v>
      </c>
      <c r="AT1881" s="72"/>
      <c r="AU1881" s="73">
        <f>SUMIF($G1880:$T1880,"A",$G1881:$T1881)+SUMIF($W1880:$AJ1880,"A",$W1881:$AJ1881)</f>
        <v>0</v>
      </c>
      <c r="AV1881" s="72"/>
      <c r="AW1881" s="76">
        <f>IF(B1881="",0,IF($U$9="",0,$U$9))</f>
        <v>80</v>
      </c>
      <c r="BA1881" s="2"/>
      <c r="BB1881" s="2"/>
      <c r="BC1881" s="101"/>
      <c r="BD1881" s="101"/>
    </row>
    <row r="1882" spans="2:56" s="84" customFormat="1" x14ac:dyDescent="0.35">
      <c r="B1882" s="26"/>
      <c r="C1882" s="27"/>
      <c r="D1882" s="28">
        <f>IF(D1808="","",D1808)</f>
        <v>23206</v>
      </c>
      <c r="E1882" s="29" t="str">
        <f t="shared" si="723"/>
        <v/>
      </c>
      <c r="F1882" s="50">
        <f>B1859</f>
        <v>9</v>
      </c>
      <c r="G1882" s="59"/>
      <c r="H1882" s="64"/>
      <c r="I1882" s="106"/>
      <c r="J1882" s="105"/>
      <c r="K1882" s="106"/>
      <c r="L1882" s="105"/>
      <c r="M1882" s="106"/>
      <c r="N1882" s="105"/>
      <c r="O1882" s="106"/>
      <c r="P1882" s="105" t="s">
        <v>2</v>
      </c>
      <c r="Q1882" s="106"/>
      <c r="R1882" s="105" t="s">
        <v>13</v>
      </c>
      <c r="S1882" s="59"/>
      <c r="T1882" s="64"/>
      <c r="U1882" s="44"/>
      <c r="W1882" s="59"/>
      <c r="X1882" s="64"/>
      <c r="Y1882" s="106"/>
      <c r="Z1882" s="105" t="s">
        <v>2</v>
      </c>
      <c r="AA1882" s="106"/>
      <c r="AB1882" s="105"/>
      <c r="AC1882" s="106"/>
      <c r="AD1882" s="105"/>
      <c r="AE1882" s="106"/>
      <c r="AF1882" s="105"/>
      <c r="AG1882" s="106"/>
      <c r="AH1882" s="105"/>
      <c r="AI1882" s="59"/>
      <c r="AJ1882" s="64"/>
      <c r="AK1882" s="44"/>
      <c r="AM1882" s="49"/>
      <c r="AN1882" s="49"/>
      <c r="AO1882" s="49"/>
      <c r="AP1882" s="49"/>
      <c r="AQ1882" s="49"/>
      <c r="AR1882" s="40"/>
      <c r="AS1882" s="51"/>
      <c r="AU1882" s="49"/>
      <c r="AW1882" s="52"/>
      <c r="BA1882" s="2"/>
      <c r="BB1882" s="2"/>
      <c r="BC1882" s="101"/>
      <c r="BD1882" s="101"/>
    </row>
    <row r="1883" spans="2:56" s="84" customFormat="1" x14ac:dyDescent="0.35">
      <c r="B1883" s="30" t="str">
        <f>IF(B1809="","",B1809)</f>
        <v>Gadbois, Dominic</v>
      </c>
      <c r="C1883" s="31"/>
      <c r="D1883" s="32"/>
      <c r="E1883" s="33">
        <f t="shared" si="723"/>
        <v>93545</v>
      </c>
      <c r="F1883" s="50">
        <f>B1859</f>
        <v>9</v>
      </c>
      <c r="G1883" s="69"/>
      <c r="H1883" s="70"/>
      <c r="I1883" s="104"/>
      <c r="J1883" s="103">
        <v>7.75</v>
      </c>
      <c r="K1883" s="104"/>
      <c r="L1883" s="103">
        <v>7.75</v>
      </c>
      <c r="M1883" s="104"/>
      <c r="N1883" s="103">
        <v>7.75</v>
      </c>
      <c r="O1883" s="104"/>
      <c r="P1883" s="103">
        <v>0</v>
      </c>
      <c r="Q1883" s="104"/>
      <c r="R1883" s="103">
        <v>8</v>
      </c>
      <c r="S1883" s="69"/>
      <c r="T1883" s="70"/>
      <c r="U1883" s="71">
        <f t="shared" ref="U1883" si="732">SUM(G1883:T1883)</f>
        <v>31.25</v>
      </c>
      <c r="V1883" s="72"/>
      <c r="W1883" s="69"/>
      <c r="X1883" s="70"/>
      <c r="Y1883" s="104"/>
      <c r="Z1883" s="103">
        <v>0</v>
      </c>
      <c r="AA1883" s="104"/>
      <c r="AB1883" s="103">
        <v>7.75</v>
      </c>
      <c r="AC1883" s="104"/>
      <c r="AD1883" s="103">
        <v>7.75</v>
      </c>
      <c r="AE1883" s="104"/>
      <c r="AF1883" s="103">
        <v>7.75</v>
      </c>
      <c r="AG1883" s="104"/>
      <c r="AH1883" s="103">
        <v>7.5</v>
      </c>
      <c r="AI1883" s="69"/>
      <c r="AJ1883" s="70"/>
      <c r="AK1883" s="71">
        <f>SUM(W1883:AJ1883)</f>
        <v>30.75</v>
      </c>
      <c r="AL1883" s="72"/>
      <c r="AM1883" s="73">
        <f>SUMIF($G1882:$T1882,"",$G1883:$T1883)+SUMIF($W1882:$AJ1882,"",$W1883:$AJ1883)-AN1883</f>
        <v>54</v>
      </c>
      <c r="AN1883" s="88">
        <f>IF(SUMIF($G1882:$T1882,"",$G1883:$T1883)+SUMIF($G1882:$T1882,"F",$G1883:$T1883)+SUMIF($G1882:$T1882,"V",$G1883:$T1883)-40&lt;0,0,SUMIF($G1882:$T1882,"",$G1883:$T1883)+SUMIF($G1882:$T1882,"F",$G1883:$T1883)+SUMIF($G1882:$T1882,"V",$G1883:$T1883)-($U$9/2))+IF(SUMIF($W1882:$AJ1882,"",$W1883:$AJ1883)+SUMIF($W1882:$AJ1882,"F",$W1883:$AJ1883)+SUMIF($W1882:$AJ1882,"V",$W1883:$AJ1883)-40&lt;0,0,SUMIF($W1882:$AJ1882,"",$W1883:$AJ1883)+SUMIF($W1882:$AJ1882,"F",$W1883:$AJ1883)+SUMIF($W1882:$AJ1882,"V",$W1883:$AJ1883)-($U$9/2))</f>
        <v>0</v>
      </c>
      <c r="AO1883" s="73">
        <f>SUMIF($G1882:$T1882,"M",$G1883:$T1883)+SUMIF($W1882:$AJ1882,"M",$W1883:$AJ1883)</f>
        <v>0</v>
      </c>
      <c r="AP1883" s="73">
        <f>SUMIF($G1882:$T1882,"F",$G1883:$T1883)+SUMIF($W1882:$AJ1882,"F",$W1883:$AJ1883)</f>
        <v>8</v>
      </c>
      <c r="AQ1883" s="73">
        <f>SUMIF($G1882:$T1882,"V",$G1883:$T1883)+SUMIF($W1882:$AJ1882,"V",$W1883:$AJ1883)</f>
        <v>0</v>
      </c>
      <c r="AR1883" s="74">
        <f>SUMIF($G1882:$T1882,"O",$G1883:$T1883)+SUMIF($W1882:$AJ1882,"O",$W1883:$AJ1883)</f>
        <v>0</v>
      </c>
      <c r="AS1883" s="75">
        <f>SUM(AM1883:AR1883)</f>
        <v>62</v>
      </c>
      <c r="AT1883" s="72"/>
      <c r="AU1883" s="73">
        <f>SUMIF($G1882:$T1882,"A",$G1883:$T1883)+SUMIF($W1882:$AJ1882,"A",$W1883:$AJ1883)</f>
        <v>0</v>
      </c>
      <c r="AV1883" s="72"/>
      <c r="AW1883" s="76">
        <f>IF(B1883="",0,IF($U$9="",0,$U$9))</f>
        <v>80</v>
      </c>
      <c r="BA1883" s="2"/>
      <c r="BB1883" s="2"/>
      <c r="BC1883" s="101"/>
      <c r="BD1883" s="101"/>
    </row>
    <row r="1884" spans="2:56" s="84" customFormat="1" x14ac:dyDescent="0.35">
      <c r="B1884" s="26"/>
      <c r="C1884" s="27"/>
      <c r="D1884" s="28">
        <f>IF(D1810="","",D1810)</f>
        <v>33664</v>
      </c>
      <c r="E1884" s="29" t="str">
        <f t="shared" si="723"/>
        <v/>
      </c>
      <c r="F1884" s="50">
        <f>B1859</f>
        <v>9</v>
      </c>
      <c r="G1884" s="59"/>
      <c r="H1884" s="64"/>
      <c r="I1884" s="106"/>
      <c r="J1884" s="105"/>
      <c r="K1884" s="106"/>
      <c r="L1884" s="105"/>
      <c r="M1884" s="106"/>
      <c r="N1884" s="105"/>
      <c r="O1884" s="106"/>
      <c r="P1884" s="105"/>
      <c r="Q1884" s="106"/>
      <c r="R1884" s="105"/>
      <c r="S1884" s="59"/>
      <c r="T1884" s="64"/>
      <c r="U1884" s="44"/>
      <c r="W1884" s="59"/>
      <c r="X1884" s="64"/>
      <c r="Y1884" s="106"/>
      <c r="Z1884" s="105" t="s">
        <v>13</v>
      </c>
      <c r="AA1884" s="106"/>
      <c r="AB1884" s="105"/>
      <c r="AC1884" s="106"/>
      <c r="AD1884" s="105"/>
      <c r="AE1884" s="106"/>
      <c r="AF1884" s="105"/>
      <c r="AG1884" s="106"/>
      <c r="AH1884" s="105"/>
      <c r="AI1884" s="59"/>
      <c r="AJ1884" s="64"/>
      <c r="AK1884" s="44"/>
      <c r="AM1884" s="49"/>
      <c r="AN1884" s="49"/>
      <c r="AO1884" s="49"/>
      <c r="AP1884" s="49"/>
      <c r="AQ1884" s="49"/>
      <c r="AR1884" s="40"/>
      <c r="AS1884" s="51"/>
      <c r="AU1884" s="49"/>
      <c r="AW1884" s="52"/>
      <c r="BA1884" s="2"/>
      <c r="BB1884" s="2"/>
      <c r="BC1884" s="101"/>
      <c r="BD1884" s="101"/>
    </row>
    <row r="1885" spans="2:56" s="84" customFormat="1" x14ac:dyDescent="0.35">
      <c r="B1885" s="30" t="str">
        <f>IF(B1811="","",B1811)</f>
        <v>Knox Michaud, Jessy</v>
      </c>
      <c r="C1885" s="31"/>
      <c r="D1885" s="32"/>
      <c r="E1885" s="33">
        <f t="shared" si="723"/>
        <v>93542</v>
      </c>
      <c r="F1885" s="50">
        <f>B1859</f>
        <v>9</v>
      </c>
      <c r="G1885" s="69"/>
      <c r="H1885" s="70"/>
      <c r="I1885" s="104"/>
      <c r="J1885" s="103">
        <v>9</v>
      </c>
      <c r="K1885" s="104"/>
      <c r="L1885" s="103">
        <v>9</v>
      </c>
      <c r="M1885" s="104"/>
      <c r="N1885" s="103">
        <v>9</v>
      </c>
      <c r="O1885" s="104"/>
      <c r="P1885" s="103">
        <v>9</v>
      </c>
      <c r="Q1885" s="104"/>
      <c r="R1885" s="103">
        <v>9</v>
      </c>
      <c r="S1885" s="69"/>
      <c r="T1885" s="70"/>
      <c r="U1885" s="71">
        <f t="shared" ref="U1885" si="733">SUM(G1885:T1885)</f>
        <v>45</v>
      </c>
      <c r="V1885" s="72"/>
      <c r="W1885" s="69"/>
      <c r="X1885" s="70"/>
      <c r="Y1885" s="104"/>
      <c r="Z1885" s="103">
        <v>8</v>
      </c>
      <c r="AA1885" s="104"/>
      <c r="AB1885" s="103">
        <v>8.75</v>
      </c>
      <c r="AC1885" s="104"/>
      <c r="AD1885" s="103">
        <v>9</v>
      </c>
      <c r="AE1885" s="104"/>
      <c r="AF1885" s="103">
        <v>9</v>
      </c>
      <c r="AG1885" s="104"/>
      <c r="AH1885" s="103">
        <v>9</v>
      </c>
      <c r="AI1885" s="69"/>
      <c r="AJ1885" s="70"/>
      <c r="AK1885" s="71">
        <f>SUM(W1885:AJ1885)</f>
        <v>43.75</v>
      </c>
      <c r="AL1885" s="72"/>
      <c r="AM1885" s="73">
        <f>SUMIF($G1884:$T1884,"",$G1885:$T1885)+SUMIF($W1884:$AJ1884,"",$W1885:$AJ1885)-AN1885</f>
        <v>72</v>
      </c>
      <c r="AN1885" s="88">
        <f>IF(SUMIF($G1884:$T1884,"",$G1885:$T1885)+SUMIF($G1884:$T1884,"F",$G1885:$T1885)+SUMIF($G1884:$T1884,"V",$G1885:$T1885)-40&lt;0,0,SUMIF($G1884:$T1884,"",$G1885:$T1885)+SUMIF($G1884:$T1884,"F",$G1885:$T1885)+SUMIF($G1884:$T1884,"V",$G1885:$T1885)-($U$9/2))+IF(SUMIF($W1884:$AJ1884,"",$W1885:$AJ1885)+SUMIF($W1884:$AJ1884,"F",$W1885:$AJ1885)+SUMIF($W1884:$AJ1884,"V",$W1885:$AJ1885)-40&lt;0,0,SUMIF($W1884:$AJ1884,"",$W1885:$AJ1885)+SUMIF($W1884:$AJ1884,"F",$W1885:$AJ1885)+SUMIF($W1884:$AJ1884,"V",$W1885:$AJ1885)-($U$9/2))</f>
        <v>8.75</v>
      </c>
      <c r="AO1885" s="73">
        <f>SUMIF($G1884:$T1884,"M",$G1885:$T1885)+SUMIF($W1884:$AJ1884,"M",$W1885:$AJ1885)</f>
        <v>0</v>
      </c>
      <c r="AP1885" s="73">
        <f>SUMIF($G1884:$T1884,"F",$G1885:$T1885)+SUMIF($W1884:$AJ1884,"F",$W1885:$AJ1885)</f>
        <v>8</v>
      </c>
      <c r="AQ1885" s="73">
        <f>SUMIF($G1884:$T1884,"V",$G1885:$T1885)+SUMIF($W1884:$AJ1884,"V",$W1885:$AJ1885)</f>
        <v>0</v>
      </c>
      <c r="AR1885" s="74">
        <f>SUMIF($G1884:$T1884,"O",$G1885:$T1885)+SUMIF($W1884:$AJ1884,"O",$W1885:$AJ1885)</f>
        <v>0</v>
      </c>
      <c r="AS1885" s="75">
        <f>SUM(AM1885:AR1885)</f>
        <v>88.75</v>
      </c>
      <c r="AT1885" s="72"/>
      <c r="AU1885" s="73">
        <f>SUMIF($G1884:$T1884,"A",$G1885:$T1885)+SUMIF($W1884:$AJ1884,"A",$W1885:$AJ1885)</f>
        <v>0</v>
      </c>
      <c r="AV1885" s="72"/>
      <c r="AW1885" s="76">
        <f>IF(B1885="",0,IF($U$9="",0,$U$9))</f>
        <v>80</v>
      </c>
      <c r="BA1885" s="2"/>
      <c r="BB1885" s="2"/>
      <c r="BC1885" s="101"/>
      <c r="BD1885" s="101"/>
    </row>
    <row r="1886" spans="2:56" s="84" customFormat="1" x14ac:dyDescent="0.35">
      <c r="B1886" s="26"/>
      <c r="C1886" s="27"/>
      <c r="D1886" s="28">
        <f>IF(D1812="","",D1812)</f>
        <v>14206</v>
      </c>
      <c r="E1886" s="29" t="str">
        <f t="shared" si="723"/>
        <v/>
      </c>
      <c r="F1886" s="50">
        <f>B1859</f>
        <v>9</v>
      </c>
      <c r="G1886" s="59"/>
      <c r="H1886" s="64"/>
      <c r="I1886" s="106"/>
      <c r="J1886" s="105"/>
      <c r="K1886" s="106"/>
      <c r="L1886" s="105"/>
      <c r="M1886" s="106"/>
      <c r="N1886" s="105"/>
      <c r="O1886" s="106"/>
      <c r="P1886" s="105"/>
      <c r="Q1886" s="106"/>
      <c r="R1886" s="105"/>
      <c r="S1886" s="59"/>
      <c r="T1886" s="64"/>
      <c r="U1886" s="44"/>
      <c r="W1886" s="59"/>
      <c r="X1886" s="64"/>
      <c r="Y1886" s="106"/>
      <c r="Z1886" s="105" t="s">
        <v>13</v>
      </c>
      <c r="AA1886" s="106"/>
      <c r="AB1886" s="105"/>
      <c r="AC1886" s="106"/>
      <c r="AD1886" s="105"/>
      <c r="AE1886" s="106"/>
      <c r="AF1886" s="105"/>
      <c r="AG1886" s="106"/>
      <c r="AH1886" s="105"/>
      <c r="AI1886" s="59"/>
      <c r="AJ1886" s="64"/>
      <c r="AK1886" s="44"/>
      <c r="AM1886" s="49"/>
      <c r="AN1886" s="49"/>
      <c r="AO1886" s="49"/>
      <c r="AP1886" s="49"/>
      <c r="AQ1886" s="49"/>
      <c r="AR1886" s="40"/>
      <c r="AS1886" s="51"/>
      <c r="AU1886" s="49"/>
      <c r="AW1886" s="52"/>
      <c r="BA1886" s="2"/>
      <c r="BB1886" s="2"/>
      <c r="BC1886" s="101"/>
      <c r="BD1886" s="101"/>
    </row>
    <row r="1887" spans="2:56" s="84" customFormat="1" x14ac:dyDescent="0.35">
      <c r="B1887" s="30" t="str">
        <f>IF(B1813="","",B1813)</f>
        <v>Landry, Bernard</v>
      </c>
      <c r="C1887" s="31"/>
      <c r="D1887" s="32"/>
      <c r="E1887" s="33">
        <f t="shared" si="723"/>
        <v>93545</v>
      </c>
      <c r="F1887" s="50">
        <f>B1859</f>
        <v>9</v>
      </c>
      <c r="G1887" s="69"/>
      <c r="H1887" s="70"/>
      <c r="I1887" s="104"/>
      <c r="J1887" s="103">
        <v>8</v>
      </c>
      <c r="K1887" s="104"/>
      <c r="L1887" s="103">
        <v>8</v>
      </c>
      <c r="M1887" s="104"/>
      <c r="N1887" s="103">
        <v>8</v>
      </c>
      <c r="O1887" s="104"/>
      <c r="P1887" s="103">
        <v>8</v>
      </c>
      <c r="Q1887" s="104"/>
      <c r="R1887" s="103">
        <v>8</v>
      </c>
      <c r="S1887" s="69"/>
      <c r="T1887" s="70"/>
      <c r="U1887" s="71">
        <f t="shared" ref="U1887" si="734">SUM(G1887:T1887)</f>
        <v>40</v>
      </c>
      <c r="V1887" s="72"/>
      <c r="W1887" s="69"/>
      <c r="X1887" s="70"/>
      <c r="Y1887" s="104"/>
      <c r="Z1887" s="103">
        <v>8</v>
      </c>
      <c r="AA1887" s="104"/>
      <c r="AB1887" s="103">
        <v>8</v>
      </c>
      <c r="AC1887" s="104"/>
      <c r="AD1887" s="103">
        <v>8</v>
      </c>
      <c r="AE1887" s="104"/>
      <c r="AF1887" s="103">
        <v>8</v>
      </c>
      <c r="AG1887" s="104"/>
      <c r="AH1887" s="103">
        <v>8</v>
      </c>
      <c r="AI1887" s="69"/>
      <c r="AJ1887" s="70"/>
      <c r="AK1887" s="71">
        <f>SUM(W1887:AJ1887)</f>
        <v>40</v>
      </c>
      <c r="AL1887" s="72"/>
      <c r="AM1887" s="73">
        <f>SUMIF($G1886:$T1886,"",$G1887:$T1887)+SUMIF($W1886:$AJ1886,"",$W1887:$AJ1887)-AN1887</f>
        <v>72</v>
      </c>
      <c r="AN1887" s="88">
        <f>IF(SUMIF($G1886:$T1886,"",$G1887:$T1887)+SUMIF($G1886:$T1886,"F",$G1887:$T1887)+SUMIF($G1886:$T1886,"V",$G1887:$T1887)-40&lt;0,0,SUMIF($G1886:$T1886,"",$G1887:$T1887)+SUMIF($G1886:$T1886,"F",$G1887:$T1887)+SUMIF($G1886:$T1886,"V",$G1887:$T1887)-($U$9/2))+IF(SUMIF($W1886:$AJ1886,"",$W1887:$AJ1887)+SUMIF($W1886:$AJ1886,"F",$W1887:$AJ1887)+SUMIF($W1886:$AJ1886,"V",$W1887:$AJ1887)-40&lt;0,0,SUMIF($W1886:$AJ1886,"",$W1887:$AJ1887)+SUMIF($W1886:$AJ1886,"F",$W1887:$AJ1887)+SUMIF($W1886:$AJ1886,"V",$W1887:$AJ1887)-($U$9/2))</f>
        <v>0</v>
      </c>
      <c r="AO1887" s="73">
        <f>SUMIF($G1886:$T1886,"M",$G1887:$T1887)+SUMIF($W1886:$AJ1886,"M",$W1887:$AJ1887)</f>
        <v>0</v>
      </c>
      <c r="AP1887" s="73">
        <f>SUMIF($G1886:$T1886,"F",$G1887:$T1887)+SUMIF($W1886:$AJ1886,"F",$W1887:$AJ1887)</f>
        <v>8</v>
      </c>
      <c r="AQ1887" s="73">
        <f>SUMIF($G1886:$T1886,"V",$G1887:$T1887)+SUMIF($W1886:$AJ1886,"V",$W1887:$AJ1887)</f>
        <v>0</v>
      </c>
      <c r="AR1887" s="74">
        <f>SUMIF($G1886:$T1886,"O",$G1887:$T1887)+SUMIF($W1886:$AJ1886,"O",$W1887:$AJ1887)</f>
        <v>0</v>
      </c>
      <c r="AS1887" s="75">
        <f>SUM(AM1887:AR1887)</f>
        <v>80</v>
      </c>
      <c r="AT1887" s="72"/>
      <c r="AU1887" s="73">
        <f>SUMIF($G1886:$T1886,"A",$G1887:$T1887)+SUMIF($W1886:$AJ1886,"A",$W1887:$AJ1887)</f>
        <v>0</v>
      </c>
      <c r="AV1887" s="72"/>
      <c r="AW1887" s="76">
        <f>IF(B1887="",0,IF($U$9="",0,$U$9))</f>
        <v>80</v>
      </c>
      <c r="BA1887" s="2"/>
      <c r="BB1887" s="2"/>
      <c r="BC1887" s="101"/>
      <c r="BD1887" s="101"/>
    </row>
    <row r="1888" spans="2:56" s="84" customFormat="1" x14ac:dyDescent="0.35">
      <c r="B1888" s="26"/>
      <c r="C1888" s="27"/>
      <c r="D1888" s="28">
        <f>IF(D1814="","",D1814)</f>
        <v>92257</v>
      </c>
      <c r="E1888" s="29" t="str">
        <f t="shared" si="723"/>
        <v/>
      </c>
      <c r="F1888" s="50">
        <f>B1859</f>
        <v>9</v>
      </c>
      <c r="G1888" s="59"/>
      <c r="H1888" s="64"/>
      <c r="I1888" s="106"/>
      <c r="J1888" s="105"/>
      <c r="K1888" s="106"/>
      <c r="L1888" s="105"/>
      <c r="M1888" s="106"/>
      <c r="N1888" s="105"/>
      <c r="O1888" s="106"/>
      <c r="P1888" s="105"/>
      <c r="Q1888" s="106"/>
      <c r="R1888" s="105"/>
      <c r="S1888" s="59"/>
      <c r="T1888" s="64"/>
      <c r="U1888" s="44"/>
      <c r="W1888" s="59"/>
      <c r="X1888" s="64"/>
      <c r="Y1888" s="106"/>
      <c r="Z1888" s="105" t="s">
        <v>13</v>
      </c>
      <c r="AA1888" s="106"/>
      <c r="AB1888" s="105" t="s">
        <v>1</v>
      </c>
      <c r="AC1888" s="106"/>
      <c r="AD1888" s="105" t="s">
        <v>1</v>
      </c>
      <c r="AE1888" s="106"/>
      <c r="AF1888" s="105" t="s">
        <v>1</v>
      </c>
      <c r="AG1888" s="106"/>
      <c r="AH1888" s="105" t="s">
        <v>1</v>
      </c>
      <c r="AI1888" s="59"/>
      <c r="AJ1888" s="64"/>
      <c r="AK1888" s="44"/>
      <c r="AM1888" s="49"/>
      <c r="AN1888" s="49"/>
      <c r="AO1888" s="49"/>
      <c r="AP1888" s="49"/>
      <c r="AQ1888" s="49"/>
      <c r="AR1888" s="40"/>
      <c r="AS1888" s="51"/>
      <c r="AU1888" s="49"/>
      <c r="AW1888" s="52"/>
      <c r="BA1888" s="2"/>
      <c r="BB1888" s="2"/>
      <c r="BC1888" s="101"/>
      <c r="BD1888" s="101"/>
    </row>
    <row r="1889" spans="1:56" s="84" customFormat="1" x14ac:dyDescent="0.35">
      <c r="B1889" s="30" t="str">
        <f>IF(B1815="","",B1815)</f>
        <v>Lelievre, Anik</v>
      </c>
      <c r="C1889" s="31"/>
      <c r="D1889" s="32"/>
      <c r="E1889" s="33">
        <f t="shared" si="723"/>
        <v>93513</v>
      </c>
      <c r="F1889" s="50">
        <f>B1859</f>
        <v>9</v>
      </c>
      <c r="G1889" s="69"/>
      <c r="H1889" s="70"/>
      <c r="I1889" s="104"/>
      <c r="J1889" s="103">
        <v>8</v>
      </c>
      <c r="K1889" s="104"/>
      <c r="L1889" s="103">
        <v>8</v>
      </c>
      <c r="M1889" s="104"/>
      <c r="N1889" s="103">
        <v>8</v>
      </c>
      <c r="O1889" s="104"/>
      <c r="P1889" s="103">
        <v>8</v>
      </c>
      <c r="Q1889" s="104"/>
      <c r="R1889" s="103">
        <v>8</v>
      </c>
      <c r="S1889" s="69"/>
      <c r="T1889" s="70"/>
      <c r="U1889" s="71">
        <f t="shared" ref="U1889" si="735">SUM(G1889:T1889)</f>
        <v>40</v>
      </c>
      <c r="V1889" s="72"/>
      <c r="W1889" s="69"/>
      <c r="X1889" s="70"/>
      <c r="Y1889" s="104"/>
      <c r="Z1889" s="103">
        <v>8</v>
      </c>
      <c r="AA1889" s="104"/>
      <c r="AB1889" s="103">
        <v>8</v>
      </c>
      <c r="AC1889" s="104"/>
      <c r="AD1889" s="103">
        <v>8</v>
      </c>
      <c r="AE1889" s="104"/>
      <c r="AF1889" s="103">
        <v>8</v>
      </c>
      <c r="AG1889" s="104"/>
      <c r="AH1889" s="103">
        <v>8</v>
      </c>
      <c r="AI1889" s="69"/>
      <c r="AJ1889" s="70"/>
      <c r="AK1889" s="71">
        <f>SUM(W1889:AJ1889)</f>
        <v>40</v>
      </c>
      <c r="AL1889" s="72"/>
      <c r="AM1889" s="73">
        <f>SUMIF($G1888:$T1888,"",$G1889:$T1889)+SUMIF($W1888:$AJ1888,"",$W1889:$AJ1889)-AN1889</f>
        <v>40</v>
      </c>
      <c r="AN1889" s="88">
        <f>IF(SUMIF($G1888:$T1888,"",$G1889:$T1889)+SUMIF($G1888:$T1888,"F",$G1889:$T1889)+SUMIF($G1888:$T1888,"V",$G1889:$T1889)-40&lt;0,0,SUMIF($G1888:$T1888,"",$G1889:$T1889)+SUMIF($G1888:$T1888,"F",$G1889:$T1889)+SUMIF($G1888:$T1888,"V",$G1889:$T1889)-($U$9/2))+IF(SUMIF($W1888:$AJ1888,"",$W1889:$AJ1889)+SUMIF($W1888:$AJ1888,"F",$W1889:$AJ1889)+SUMIF($W1888:$AJ1888,"V",$W1889:$AJ1889)-40&lt;0,0,SUMIF($W1888:$AJ1888,"",$W1889:$AJ1889)+SUMIF($W1888:$AJ1888,"F",$W1889:$AJ1889)+SUMIF($W1888:$AJ1888,"V",$W1889:$AJ1889)-($U$9/2))</f>
        <v>0</v>
      </c>
      <c r="AO1889" s="73">
        <f>SUMIF($G1888:$T1888,"M",$G1889:$T1889)+SUMIF($W1888:$AJ1888,"M",$W1889:$AJ1889)</f>
        <v>0</v>
      </c>
      <c r="AP1889" s="73">
        <f>SUMIF($G1888:$T1888,"F",$G1889:$T1889)+SUMIF($W1888:$AJ1888,"F",$W1889:$AJ1889)</f>
        <v>8</v>
      </c>
      <c r="AQ1889" s="73">
        <f>SUMIF($G1888:$T1888,"V",$G1889:$T1889)+SUMIF($W1888:$AJ1888,"V",$W1889:$AJ1889)</f>
        <v>32</v>
      </c>
      <c r="AR1889" s="74">
        <f>SUMIF($G1888:$T1888,"O",$G1889:$T1889)+SUMIF($W1888:$AJ1888,"O",$W1889:$AJ1889)</f>
        <v>0</v>
      </c>
      <c r="AS1889" s="75">
        <f>SUM(AM1889:AR1889)</f>
        <v>80</v>
      </c>
      <c r="AT1889" s="72"/>
      <c r="AU1889" s="73">
        <f>SUMIF($G1888:$T1888,"A",$G1889:$T1889)+SUMIF($W1888:$AJ1888,"A",$W1889:$AJ1889)</f>
        <v>0</v>
      </c>
      <c r="AV1889" s="72"/>
      <c r="AW1889" s="76">
        <f>IF(B1889="",0,IF($U$9="",0,$U$9))</f>
        <v>80</v>
      </c>
      <c r="BA1889" s="2"/>
      <c r="BB1889" s="2"/>
      <c r="BC1889" s="101"/>
      <c r="BD1889" s="101"/>
    </row>
    <row r="1890" spans="1:56" s="84" customFormat="1" x14ac:dyDescent="0.35">
      <c r="B1890" s="26"/>
      <c r="C1890" s="27"/>
      <c r="D1890" s="28">
        <f>IF(D1816="","",D1816)</f>
        <v>81042</v>
      </c>
      <c r="E1890" s="29" t="str">
        <f t="shared" si="723"/>
        <v/>
      </c>
      <c r="F1890" s="50">
        <f>B1859</f>
        <v>9</v>
      </c>
      <c r="G1890" s="59"/>
      <c r="H1890" s="64"/>
      <c r="I1890" s="106"/>
      <c r="J1890" s="105" t="s">
        <v>1</v>
      </c>
      <c r="K1890" s="106"/>
      <c r="L1890" s="105"/>
      <c r="M1890" s="106"/>
      <c r="N1890" s="105"/>
      <c r="O1890" s="106"/>
      <c r="P1890" s="105"/>
      <c r="Q1890" s="106"/>
      <c r="R1890" s="105" t="s">
        <v>13</v>
      </c>
      <c r="S1890" s="59"/>
      <c r="T1890" s="64"/>
      <c r="U1890" s="44"/>
      <c r="W1890" s="59"/>
      <c r="X1890" s="64"/>
      <c r="Y1890" s="106"/>
      <c r="Z1890" s="105"/>
      <c r="AA1890" s="106"/>
      <c r="AB1890" s="105"/>
      <c r="AC1890" s="106"/>
      <c r="AD1890" s="105"/>
      <c r="AE1890" s="106"/>
      <c r="AF1890" s="105"/>
      <c r="AG1890" s="106"/>
      <c r="AH1890" s="105"/>
      <c r="AI1890" s="59"/>
      <c r="AJ1890" s="64"/>
      <c r="AK1890" s="44"/>
      <c r="AM1890" s="49"/>
      <c r="AN1890" s="49"/>
      <c r="AO1890" s="49"/>
      <c r="AP1890" s="49"/>
      <c r="AQ1890" s="49"/>
      <c r="AR1890" s="40"/>
      <c r="AS1890" s="51"/>
      <c r="AU1890" s="49"/>
      <c r="AW1890" s="52"/>
      <c r="BA1890" s="2"/>
      <c r="BB1890" s="2"/>
      <c r="BC1890" s="101"/>
      <c r="BD1890" s="101"/>
    </row>
    <row r="1891" spans="1:56" s="84" customFormat="1" x14ac:dyDescent="0.35">
      <c r="B1891" s="30" t="str">
        <f>IF(B1817="","",B1817)</f>
        <v>Letarte, Martin</v>
      </c>
      <c r="C1891" s="31"/>
      <c r="D1891" s="32"/>
      <c r="E1891" s="33">
        <f t="shared" si="723"/>
        <v>93545</v>
      </c>
      <c r="F1891" s="50">
        <f>B1859</f>
        <v>9</v>
      </c>
      <c r="G1891" s="69"/>
      <c r="H1891" s="70"/>
      <c r="I1891" s="104"/>
      <c r="J1891" s="103">
        <v>8</v>
      </c>
      <c r="K1891" s="104"/>
      <c r="L1891" s="103">
        <v>8</v>
      </c>
      <c r="M1891" s="104"/>
      <c r="N1891" s="103">
        <v>8</v>
      </c>
      <c r="O1891" s="104"/>
      <c r="P1891" s="103">
        <v>8</v>
      </c>
      <c r="Q1891" s="104"/>
      <c r="R1891" s="103">
        <v>8</v>
      </c>
      <c r="S1891" s="69"/>
      <c r="T1891" s="70"/>
      <c r="U1891" s="71">
        <f t="shared" ref="U1891" si="736">SUM(G1891:T1891)</f>
        <v>40</v>
      </c>
      <c r="V1891" s="72"/>
      <c r="W1891" s="69"/>
      <c r="X1891" s="70"/>
      <c r="Y1891" s="104"/>
      <c r="Z1891" s="103">
        <v>8</v>
      </c>
      <c r="AA1891" s="104"/>
      <c r="AB1891" s="103">
        <v>8</v>
      </c>
      <c r="AC1891" s="104"/>
      <c r="AD1891" s="103">
        <v>8</v>
      </c>
      <c r="AE1891" s="104"/>
      <c r="AF1891" s="103">
        <v>8</v>
      </c>
      <c r="AG1891" s="104"/>
      <c r="AH1891" s="103">
        <v>8</v>
      </c>
      <c r="AI1891" s="69"/>
      <c r="AJ1891" s="70"/>
      <c r="AK1891" s="71">
        <f>SUM(W1891:AJ1891)</f>
        <v>40</v>
      </c>
      <c r="AL1891" s="72"/>
      <c r="AM1891" s="73">
        <f>SUMIF($G1890:$T1890,"",$G1891:$T1891)+SUMIF($W1890:$AJ1890,"",$W1891:$AJ1891)-AN1891</f>
        <v>64</v>
      </c>
      <c r="AN1891" s="88">
        <f>IF(SUMIF($G1890:$T1890,"",$G1891:$T1891)+SUMIF($G1890:$T1890,"F",$G1891:$T1891)+SUMIF($G1890:$T1890,"V",$G1891:$T1891)-40&lt;0,0,SUMIF($G1890:$T1890,"",$G1891:$T1891)+SUMIF($G1890:$T1890,"F",$G1891:$T1891)+SUMIF($G1890:$T1890,"V",$G1891:$T1891)-($U$9/2))+IF(SUMIF($W1890:$AJ1890,"",$W1891:$AJ1891)+SUMIF($W1890:$AJ1890,"F",$W1891:$AJ1891)+SUMIF($W1890:$AJ1890,"V",$W1891:$AJ1891)-40&lt;0,0,SUMIF($W1890:$AJ1890,"",$W1891:$AJ1891)+SUMIF($W1890:$AJ1890,"F",$W1891:$AJ1891)+SUMIF($W1890:$AJ1890,"V",$W1891:$AJ1891)-($U$9/2))</f>
        <v>0</v>
      </c>
      <c r="AO1891" s="73">
        <f>SUMIF($G1890:$T1890,"M",$G1891:$T1891)+SUMIF($W1890:$AJ1890,"M",$W1891:$AJ1891)</f>
        <v>0</v>
      </c>
      <c r="AP1891" s="73">
        <f>SUMIF($G1890:$T1890,"F",$G1891:$T1891)+SUMIF($W1890:$AJ1890,"F",$W1891:$AJ1891)</f>
        <v>8</v>
      </c>
      <c r="AQ1891" s="73">
        <f>SUMIF($G1890:$T1890,"V",$G1891:$T1891)+SUMIF($W1890:$AJ1890,"V",$W1891:$AJ1891)</f>
        <v>8</v>
      </c>
      <c r="AR1891" s="74">
        <f>SUMIF($G1890:$T1890,"O",$G1891:$T1891)+SUMIF($W1890:$AJ1890,"O",$W1891:$AJ1891)</f>
        <v>0</v>
      </c>
      <c r="AS1891" s="75">
        <f>SUM(AM1891:AR1891)</f>
        <v>80</v>
      </c>
      <c r="AT1891" s="72"/>
      <c r="AU1891" s="73">
        <f>SUMIF($G1890:$T1890,"A",$G1891:$T1891)+SUMIF($W1890:$AJ1890,"A",$W1891:$AJ1891)</f>
        <v>0</v>
      </c>
      <c r="AV1891" s="72"/>
      <c r="AW1891" s="76">
        <f>IF(B1891="",0,IF($U$9="",0,$U$9))</f>
        <v>80</v>
      </c>
      <c r="BA1891" s="2"/>
      <c r="BB1891" s="2"/>
      <c r="BC1891" s="101"/>
      <c r="BD1891" s="101"/>
    </row>
    <row r="1892" spans="1:56" s="84" customFormat="1" x14ac:dyDescent="0.35">
      <c r="B1892" s="26"/>
      <c r="C1892" s="27"/>
      <c r="D1892" s="28" t="str">
        <f>IF(D1818="","",D1818)</f>
        <v/>
      </c>
      <c r="E1892" s="29" t="str">
        <f t="shared" si="723"/>
        <v/>
      </c>
      <c r="F1892" s="50">
        <f>B1859</f>
        <v>9</v>
      </c>
      <c r="G1892" s="59"/>
      <c r="H1892" s="64"/>
      <c r="I1892" s="106"/>
      <c r="J1892" s="105"/>
      <c r="K1892" s="106"/>
      <c r="L1892" s="105"/>
      <c r="M1892" s="106"/>
      <c r="N1892" s="105"/>
      <c r="O1892" s="106"/>
      <c r="P1892" s="105"/>
      <c r="Q1892" s="106"/>
      <c r="R1892" s="105"/>
      <c r="S1892" s="59"/>
      <c r="T1892" s="64"/>
      <c r="U1892" s="44"/>
      <c r="W1892" s="59"/>
      <c r="X1892" s="64"/>
      <c r="Y1892" s="106"/>
      <c r="Z1892" s="105"/>
      <c r="AA1892" s="106"/>
      <c r="AB1892" s="105"/>
      <c r="AC1892" s="106"/>
      <c r="AD1892" s="105"/>
      <c r="AE1892" s="106"/>
      <c r="AF1892" s="105"/>
      <c r="AG1892" s="106"/>
      <c r="AH1892" s="105"/>
      <c r="AI1892" s="59"/>
      <c r="AJ1892" s="64"/>
      <c r="AK1892" s="44"/>
      <c r="AM1892" s="49"/>
      <c r="AN1892" s="49"/>
      <c r="AO1892" s="49"/>
      <c r="AP1892" s="49"/>
      <c r="AQ1892" s="49"/>
      <c r="AR1892" s="40"/>
      <c r="AS1892" s="51"/>
      <c r="AU1892" s="49"/>
      <c r="AW1892" s="52"/>
      <c r="BA1892" s="2"/>
      <c r="BB1892" s="2"/>
      <c r="BC1892" s="101"/>
      <c r="BD1892" s="101"/>
    </row>
    <row r="1893" spans="1:56" s="84" customFormat="1" x14ac:dyDescent="0.35">
      <c r="B1893" s="30" t="str">
        <f>IF(B1819="","",B1819)</f>
        <v/>
      </c>
      <c r="C1893" s="31"/>
      <c r="D1893" s="32"/>
      <c r="E1893" s="33" t="str">
        <f t="shared" si="723"/>
        <v/>
      </c>
      <c r="F1893" s="50">
        <f>B1859</f>
        <v>9</v>
      </c>
      <c r="G1893" s="69"/>
      <c r="H1893" s="70"/>
      <c r="I1893" s="104"/>
      <c r="J1893" s="103"/>
      <c r="K1893" s="104"/>
      <c r="L1893" s="103"/>
      <c r="M1893" s="104"/>
      <c r="N1893" s="103"/>
      <c r="O1893" s="104"/>
      <c r="P1893" s="103"/>
      <c r="Q1893" s="104"/>
      <c r="R1893" s="103"/>
      <c r="S1893" s="69"/>
      <c r="T1893" s="70"/>
      <c r="U1893" s="71">
        <f t="shared" ref="U1893" si="737">SUM(G1893:T1893)</f>
        <v>0</v>
      </c>
      <c r="V1893" s="72"/>
      <c r="W1893" s="69"/>
      <c r="X1893" s="70"/>
      <c r="Y1893" s="104"/>
      <c r="Z1893" s="103"/>
      <c r="AA1893" s="104"/>
      <c r="AB1893" s="103"/>
      <c r="AC1893" s="104"/>
      <c r="AD1893" s="103"/>
      <c r="AE1893" s="104"/>
      <c r="AF1893" s="103"/>
      <c r="AG1893" s="104"/>
      <c r="AH1893" s="103"/>
      <c r="AI1893" s="69"/>
      <c r="AJ1893" s="70"/>
      <c r="AK1893" s="71">
        <f>SUM(W1893:AJ1893)</f>
        <v>0</v>
      </c>
      <c r="AL1893" s="72"/>
      <c r="AM1893" s="73">
        <f>SUMIF($G1892:$T1892,"",$G1893:$T1893)+SUMIF($W1892:$AJ1892,"",$W1893:$AJ1893)-AN1893</f>
        <v>0</v>
      </c>
      <c r="AN1893" s="88">
        <f>IF(SUMIF($G1892:$T1892,"",$G1893:$T1893)+SUMIF($G1892:$T1892,"F",$G1893:$T1893)+SUMIF($G1892:$T1892,"V",$G1893:$T1893)-40&lt;0,0,SUMIF($G1892:$T1892,"",$G1893:$T1893)+SUMIF($G1892:$T1892,"F",$G1893:$T1893)+SUMIF($G1892:$T1892,"V",$G1893:$T1893)-($U$9/2))+IF(SUMIF($W1892:$AJ1892,"",$W1893:$AJ1893)+SUMIF($W1892:$AJ1892,"F",$W1893:$AJ1893)+SUMIF($W1892:$AJ1892,"V",$W1893:$AJ1893)-40&lt;0,0,SUMIF($W1892:$AJ1892,"",$W1893:$AJ1893)+SUMIF($W1892:$AJ1892,"F",$W1893:$AJ1893)+SUMIF($W1892:$AJ1892,"V",$W1893:$AJ1893)-($U$9/2))</f>
        <v>0</v>
      </c>
      <c r="AO1893" s="73">
        <f>SUMIF($G1892:$T1892,"M",$G1893:$T1893)+SUMIF($W1892:$AJ1892,"M",$W1893:$AJ1893)</f>
        <v>0</v>
      </c>
      <c r="AP1893" s="73">
        <f>SUMIF($G1892:$T1892,"F",$G1893:$T1893)+SUMIF($W1892:$AJ1892,"F",$W1893:$AJ1893)</f>
        <v>0</v>
      </c>
      <c r="AQ1893" s="73">
        <f>SUMIF($G1892:$T1892,"V",$G1893:$T1893)+SUMIF($W1892:$AJ1892,"V",$W1893:$AJ1893)</f>
        <v>0</v>
      </c>
      <c r="AR1893" s="74">
        <f>SUMIF($G1892:$T1892,"O",$G1893:$T1893)+SUMIF($W1892:$AJ1892,"O",$W1893:$AJ1893)</f>
        <v>0</v>
      </c>
      <c r="AS1893" s="75">
        <f>SUM(AM1893:AR1893)</f>
        <v>0</v>
      </c>
      <c r="AT1893" s="72"/>
      <c r="AU1893" s="73">
        <f>SUMIF($G1892:$T1892,"A",$G1893:$T1893)+SUMIF($W1892:$AJ1892,"A",$W1893:$AJ1893)</f>
        <v>0</v>
      </c>
      <c r="AV1893" s="72"/>
      <c r="AW1893" s="76">
        <f>IF(B1893="",0,IF($U$9="",0,$U$9))</f>
        <v>0</v>
      </c>
      <c r="BA1893" s="2"/>
      <c r="BB1893" s="2"/>
      <c r="BC1893" s="101"/>
      <c r="BD1893" s="101"/>
    </row>
    <row r="1894" spans="1:56" s="84" customFormat="1" x14ac:dyDescent="0.35">
      <c r="B1894" s="26"/>
      <c r="C1894" s="27"/>
      <c r="D1894" s="28">
        <f>IF(D1820="","",D1820)</f>
        <v>11792</v>
      </c>
      <c r="E1894" s="29" t="str">
        <f t="shared" si="723"/>
        <v/>
      </c>
      <c r="F1894" s="50">
        <f>B1859</f>
        <v>9</v>
      </c>
      <c r="G1894" s="59"/>
      <c r="H1894" s="64"/>
      <c r="I1894" s="106"/>
      <c r="J1894" s="105"/>
      <c r="K1894" s="106"/>
      <c r="L1894" s="105"/>
      <c r="M1894" s="106"/>
      <c r="N1894" s="105"/>
      <c r="O1894" s="106"/>
      <c r="P1894" s="105"/>
      <c r="Q1894" s="106"/>
      <c r="R1894" s="105"/>
      <c r="S1894" s="59"/>
      <c r="T1894" s="64"/>
      <c r="U1894" s="44"/>
      <c r="W1894" s="59"/>
      <c r="X1894" s="64"/>
      <c r="Y1894" s="106"/>
      <c r="Z1894" s="105" t="s">
        <v>13</v>
      </c>
      <c r="AA1894" s="106"/>
      <c r="AB1894" s="105"/>
      <c r="AC1894" s="106"/>
      <c r="AD1894" s="105"/>
      <c r="AE1894" s="106"/>
      <c r="AF1894" s="105"/>
      <c r="AG1894" s="106"/>
      <c r="AH1894" s="105"/>
      <c r="AI1894" s="59"/>
      <c r="AJ1894" s="64"/>
      <c r="AK1894" s="44"/>
      <c r="AM1894" s="49"/>
      <c r="AN1894" s="49"/>
      <c r="AO1894" s="49"/>
      <c r="AP1894" s="49"/>
      <c r="AQ1894" s="49"/>
      <c r="AR1894" s="40"/>
      <c r="AS1894" s="51"/>
      <c r="AU1894" s="49"/>
      <c r="AW1894" s="52"/>
      <c r="BA1894" s="2"/>
      <c r="BB1894" s="2"/>
      <c r="BC1894" s="101"/>
      <c r="BD1894" s="101"/>
    </row>
    <row r="1895" spans="1:56" s="84" customFormat="1" x14ac:dyDescent="0.35">
      <c r="B1895" s="30" t="str">
        <f>IF(B1821="","",B1821)</f>
        <v>Pellerin, Pierre</v>
      </c>
      <c r="C1895" s="31"/>
      <c r="D1895" s="32"/>
      <c r="E1895" s="33">
        <f t="shared" si="723"/>
        <v>93595935</v>
      </c>
      <c r="F1895" s="50">
        <f>B1859</f>
        <v>9</v>
      </c>
      <c r="G1895" s="69"/>
      <c r="H1895" s="70"/>
      <c r="I1895" s="104"/>
      <c r="J1895" s="103">
        <v>8</v>
      </c>
      <c r="K1895" s="104"/>
      <c r="L1895" s="103">
        <v>8</v>
      </c>
      <c r="M1895" s="104"/>
      <c r="N1895" s="103">
        <v>8</v>
      </c>
      <c r="O1895" s="104"/>
      <c r="P1895" s="103">
        <v>8</v>
      </c>
      <c r="Q1895" s="104"/>
      <c r="R1895" s="103">
        <v>8</v>
      </c>
      <c r="S1895" s="69"/>
      <c r="T1895" s="70"/>
      <c r="U1895" s="71">
        <f t="shared" ref="U1895" si="738">SUM(G1895:T1895)</f>
        <v>40</v>
      </c>
      <c r="V1895" s="72"/>
      <c r="W1895" s="69"/>
      <c r="X1895" s="70"/>
      <c r="Y1895" s="104"/>
      <c r="Z1895" s="103">
        <v>8</v>
      </c>
      <c r="AA1895" s="104"/>
      <c r="AB1895" s="103">
        <v>8</v>
      </c>
      <c r="AC1895" s="104"/>
      <c r="AD1895" s="103">
        <v>8</v>
      </c>
      <c r="AE1895" s="104"/>
      <c r="AF1895" s="103">
        <v>8</v>
      </c>
      <c r="AG1895" s="104"/>
      <c r="AH1895" s="103">
        <v>8</v>
      </c>
      <c r="AI1895" s="69"/>
      <c r="AJ1895" s="70"/>
      <c r="AK1895" s="71">
        <f>SUM(Z1895:AH1895)</f>
        <v>40</v>
      </c>
      <c r="AL1895" s="72"/>
      <c r="AM1895" s="73">
        <f>SUMIF($G1894:$T1894,"",$G1895:$T1895)+SUMIF($W1894:$AJ1894,"",$W1895:$AJ1895)-AN1895</f>
        <v>72</v>
      </c>
      <c r="AN1895" s="88">
        <f>IF(SUMIF($G1894:$T1894,"",$G1895:$T1895)+SUMIF($G1894:$T1894,"F",$G1895:$T1895)+SUMIF($G1894:$T1894,"V",$G1895:$T1895)-40&lt;0,0,SUMIF($G1894:$T1894,"",$G1895:$T1895)+SUMIF($G1894:$T1894,"F",$G1895:$T1895)+SUMIF($G1894:$T1894,"V",$G1895:$T1895)-($U$9/2))+IF(SUMIF($W1894:$AJ1894,"",$W1895:$AJ1895)+SUMIF($W1894:$AJ1894,"F",$W1895:$AJ1895)+SUMIF($W1894:$AJ1894,"V",$W1895:$AJ1895)-40&lt;0,0,SUMIF($W1894:$AJ1894,"",$W1895:$AJ1895)+SUMIF($W1894:$AJ1894,"F",$W1895:$AJ1895)+SUMIF($W1894:$AJ1894,"V",$W1895:$AJ1895)-($U$9/2))</f>
        <v>0</v>
      </c>
      <c r="AO1895" s="73">
        <f>SUMIF($G1894:$T1894,"M",$G1895:$T1895)+SUMIF($W1894:$AJ1894,"M",$W1895:$AJ1895)</f>
        <v>0</v>
      </c>
      <c r="AP1895" s="73">
        <f>SUMIF($G1894:$T1894,"F",$G1895:$T1895)+SUMIF($W1894:$AJ1894,"F",$W1895:$AJ1895)</f>
        <v>8</v>
      </c>
      <c r="AQ1895" s="73">
        <f>SUMIF($G1894:$T1894,"V",$G1895:$T1895)+SUMIF($W1894:$AJ1894,"V",$W1895:$AJ1895)</f>
        <v>0</v>
      </c>
      <c r="AR1895" s="74">
        <f>SUMIF($G1894:$T1894,"O",$G1895:$T1895)+SUMIF($W1894:$AJ1894,"O",$W1895:$AJ1895)</f>
        <v>0</v>
      </c>
      <c r="AS1895" s="75">
        <f>SUM(AM1895:AR1895)</f>
        <v>80</v>
      </c>
      <c r="AT1895" s="72"/>
      <c r="AU1895" s="73">
        <f>SUMIF($G1894:$T1894,"A",$G1895:$T1895)+SUMIF($W1894:$AJ1894,"A",$W1895:$AJ1895)</f>
        <v>0</v>
      </c>
      <c r="AV1895" s="72"/>
      <c r="AW1895" s="76">
        <f>IF(B1895="",0,IF($U$9="",0,$U$9))</f>
        <v>80</v>
      </c>
      <c r="BA1895" s="2"/>
      <c r="BB1895" s="2"/>
      <c r="BC1895" s="101"/>
      <c r="BD1895" s="101"/>
    </row>
    <row r="1896" spans="1:56" s="84" customFormat="1" x14ac:dyDescent="0.35">
      <c r="B1896" s="26"/>
      <c r="C1896" s="27"/>
      <c r="D1896" s="28">
        <f>IF(D1822="","",D1822)</f>
        <v>81043</v>
      </c>
      <c r="E1896" s="29" t="str">
        <f t="shared" si="723"/>
        <v/>
      </c>
      <c r="F1896" s="50">
        <f>B1859</f>
        <v>9</v>
      </c>
      <c r="G1896" s="59"/>
      <c r="H1896" s="64"/>
      <c r="I1896" s="106"/>
      <c r="J1896" s="105"/>
      <c r="K1896" s="106"/>
      <c r="L1896" s="105"/>
      <c r="M1896" s="106"/>
      <c r="N1896" s="105"/>
      <c r="O1896" s="106"/>
      <c r="P1896" s="105"/>
      <c r="Q1896" s="106"/>
      <c r="R1896" s="105"/>
      <c r="S1896" s="59"/>
      <c r="T1896" s="64"/>
      <c r="U1896" s="44"/>
      <c r="W1896" s="59"/>
      <c r="X1896" s="64"/>
      <c r="Y1896" s="106"/>
      <c r="Z1896" s="105" t="s">
        <v>13</v>
      </c>
      <c r="AA1896" s="106"/>
      <c r="AB1896" s="105"/>
      <c r="AC1896" s="106"/>
      <c r="AD1896" s="105"/>
      <c r="AE1896" s="106"/>
      <c r="AF1896" s="105"/>
      <c r="AG1896" s="106"/>
      <c r="AH1896" s="105"/>
      <c r="AI1896" s="59"/>
      <c r="AJ1896" s="64"/>
      <c r="AK1896" s="44"/>
      <c r="AM1896" s="49"/>
      <c r="AN1896" s="49"/>
      <c r="AO1896" s="49"/>
      <c r="AP1896" s="49"/>
      <c r="AQ1896" s="49"/>
      <c r="AR1896" s="40"/>
      <c r="AS1896" s="51"/>
      <c r="AU1896" s="49"/>
      <c r="AW1896" s="52"/>
      <c r="BA1896" s="2"/>
      <c r="BB1896" s="2"/>
      <c r="BC1896" s="101"/>
      <c r="BD1896" s="101"/>
    </row>
    <row r="1897" spans="1:56" s="84" customFormat="1" x14ac:dyDescent="0.35">
      <c r="B1897" s="30" t="str">
        <f>IF(B1823="","",B1823)</f>
        <v>Rodrigue, Frank</v>
      </c>
      <c r="C1897" s="31"/>
      <c r="D1897" s="32"/>
      <c r="E1897" s="33">
        <f t="shared" ref="E1897:E1913" si="739">IF(E1823="","",E1823)</f>
        <v>93545</v>
      </c>
      <c r="F1897" s="50">
        <f>B1859</f>
        <v>9</v>
      </c>
      <c r="G1897" s="69"/>
      <c r="H1897" s="70"/>
      <c r="I1897" s="104"/>
      <c r="J1897" s="103">
        <v>8</v>
      </c>
      <c r="K1897" s="104"/>
      <c r="L1897" s="103">
        <v>8</v>
      </c>
      <c r="M1897" s="104"/>
      <c r="N1897" s="103">
        <v>8</v>
      </c>
      <c r="O1897" s="104"/>
      <c r="P1897" s="103">
        <v>8</v>
      </c>
      <c r="Q1897" s="104"/>
      <c r="R1897" s="103">
        <v>8</v>
      </c>
      <c r="S1897" s="69"/>
      <c r="T1897" s="70"/>
      <c r="U1897" s="71">
        <f t="shared" ref="U1897" si="740">SUM(G1897:T1897)</f>
        <v>40</v>
      </c>
      <c r="V1897" s="72"/>
      <c r="W1897" s="69"/>
      <c r="X1897" s="70"/>
      <c r="Y1897" s="104"/>
      <c r="Z1897" s="103">
        <v>8</v>
      </c>
      <c r="AA1897" s="104"/>
      <c r="AB1897" s="103">
        <v>8</v>
      </c>
      <c r="AC1897" s="104"/>
      <c r="AD1897" s="103">
        <v>8</v>
      </c>
      <c r="AE1897" s="104"/>
      <c r="AF1897" s="103">
        <v>8</v>
      </c>
      <c r="AG1897" s="104"/>
      <c r="AH1897" s="103">
        <v>8</v>
      </c>
      <c r="AI1897" s="69"/>
      <c r="AJ1897" s="70"/>
      <c r="AK1897" s="71">
        <f>SUM(W1897:AJ1897)</f>
        <v>40</v>
      </c>
      <c r="AL1897" s="72"/>
      <c r="AM1897" s="73">
        <f>SUMIF($G1896:$T1896,"",$G1897:$T1897)+SUMIF($W1896:$AJ1896,"",$W1897:$AJ1897)-AN1897</f>
        <v>72</v>
      </c>
      <c r="AN1897" s="88">
        <f>IF(SUMIF($G1896:$T1896,"",$G1897:$T1897)+SUMIF($G1896:$T1896,"F",$G1897:$T1897)+SUMIF($G1896:$T1896,"V",$G1897:$T1897)-40&lt;0,0,SUMIF($G1896:$T1896,"",$G1897:$T1897)+SUMIF($G1896:$T1896,"F",$G1897:$T1897)+SUMIF($G1896:$T1896,"V",$G1897:$T1897)-($U$9/2))+IF(SUMIF($W1896:$AJ1896,"",$W1897:$AJ1897)+SUMIF($W1896:$AJ1896,"F",$W1897:$AJ1897)+SUMIF($W1896:$AJ1896,"V",$W1897:$AJ1897)-40&lt;0,0,SUMIF($W1896:$AJ1896,"",$W1897:$AJ1897)+SUMIF($W1896:$AJ1896,"F",$W1897:$AJ1897)+SUMIF($W1896:$AJ1896,"V",$W1897:$AJ1897)-($U$9/2))</f>
        <v>0</v>
      </c>
      <c r="AO1897" s="73">
        <f>SUMIF($G1896:$T1896,"M",$G1897:$T1897)+SUMIF($W1896:$AJ1896,"M",$W1897:$AJ1897)</f>
        <v>0</v>
      </c>
      <c r="AP1897" s="73">
        <f>SUMIF($G1896:$T1896,"F",$G1897:$T1897)+SUMIF($W1896:$AJ1896,"F",$W1897:$AJ1897)</f>
        <v>8</v>
      </c>
      <c r="AQ1897" s="73">
        <f>SUMIF($G1896:$T1896,"V",$G1897:$T1897)+SUMIF($W1896:$AJ1896,"V",$W1897:$AJ1897)</f>
        <v>0</v>
      </c>
      <c r="AR1897" s="74">
        <f>SUMIF($G1896:$T1896,"O",$G1897:$T1897)+SUMIF($W1896:$AJ1896,"O",$W1897:$AJ1897)</f>
        <v>0</v>
      </c>
      <c r="AS1897" s="75">
        <f>SUM(AM1897:AR1897)</f>
        <v>80</v>
      </c>
      <c r="AT1897" s="72"/>
      <c r="AU1897" s="73">
        <f>SUMIF($G1896:$T1896,"A",$G1897:$T1897)+SUMIF($W1896:$AJ1896,"A",$W1897:$AJ1897)</f>
        <v>0</v>
      </c>
      <c r="AV1897" s="72"/>
      <c r="AW1897" s="76">
        <f>IF(B1897="",0,IF($U$9="",0,$U$9))</f>
        <v>80</v>
      </c>
      <c r="BA1897" s="2"/>
      <c r="BB1897" s="2"/>
      <c r="BC1897" s="101"/>
      <c r="BD1897" s="101"/>
    </row>
    <row r="1898" spans="1:56" s="84" customFormat="1" x14ac:dyDescent="0.35">
      <c r="B1898" s="26"/>
      <c r="C1898" s="27"/>
      <c r="D1898" s="28">
        <f>IF(D1824="","",D1824)</f>
        <v>72673</v>
      </c>
      <c r="E1898" s="29" t="str">
        <f t="shared" si="739"/>
        <v/>
      </c>
      <c r="F1898" s="50">
        <f>B1859</f>
        <v>9</v>
      </c>
      <c r="G1898" s="59"/>
      <c r="H1898" s="64"/>
      <c r="I1898" s="106"/>
      <c r="J1898" s="105"/>
      <c r="K1898" s="106"/>
      <c r="L1898" s="105"/>
      <c r="M1898" s="106"/>
      <c r="N1898" s="105"/>
      <c r="O1898" s="106"/>
      <c r="P1898" s="105"/>
      <c r="Q1898" s="106"/>
      <c r="R1898" s="105"/>
      <c r="S1898" s="59"/>
      <c r="T1898" s="64"/>
      <c r="U1898" s="44"/>
      <c r="W1898" s="59"/>
      <c r="X1898" s="64"/>
      <c r="Y1898" s="106"/>
      <c r="Z1898" s="105"/>
      <c r="AA1898" s="106"/>
      <c r="AB1898" s="105"/>
      <c r="AC1898" s="106"/>
      <c r="AD1898" s="105"/>
      <c r="AE1898" s="106"/>
      <c r="AF1898" s="105"/>
      <c r="AG1898" s="106"/>
      <c r="AH1898" s="105"/>
      <c r="AI1898" s="59"/>
      <c r="AJ1898" s="64"/>
      <c r="AK1898" s="44"/>
      <c r="AM1898" s="49"/>
      <c r="AN1898" s="49"/>
      <c r="AO1898" s="49"/>
      <c r="AP1898" s="49"/>
      <c r="AQ1898" s="49"/>
      <c r="AR1898" s="40"/>
      <c r="AS1898" s="51"/>
      <c r="AU1898" s="49"/>
      <c r="AW1898" s="52"/>
      <c r="BA1898" s="2"/>
      <c r="BB1898" s="2"/>
      <c r="BC1898" s="101"/>
      <c r="BD1898" s="101"/>
    </row>
    <row r="1899" spans="1:56" s="84" customFormat="1" x14ac:dyDescent="0.35">
      <c r="B1899" s="30" t="str">
        <f>IF(B1825="","",B1825)</f>
        <v>St-Georges, Manuel (avance $2,000)</v>
      </c>
      <c r="C1899" s="31"/>
      <c r="D1899" s="32"/>
      <c r="E1899" s="33">
        <f t="shared" si="739"/>
        <v>93595935</v>
      </c>
      <c r="F1899" s="50">
        <f>B1859</f>
        <v>9</v>
      </c>
      <c r="G1899" s="69"/>
      <c r="H1899" s="70"/>
      <c r="I1899" s="104"/>
      <c r="J1899" s="103" t="s">
        <v>69</v>
      </c>
      <c r="K1899" s="104"/>
      <c r="L1899" s="103" t="s">
        <v>69</v>
      </c>
      <c r="M1899" s="104"/>
      <c r="N1899" s="103" t="s">
        <v>69</v>
      </c>
      <c r="O1899" s="104"/>
      <c r="P1899" s="103" t="s">
        <v>69</v>
      </c>
      <c r="Q1899" s="104"/>
      <c r="R1899" s="103" t="s">
        <v>69</v>
      </c>
      <c r="S1899" s="69"/>
      <c r="T1899" s="70"/>
      <c r="U1899" s="71">
        <f t="shared" ref="U1899" si="741">SUM(G1899:T1899)</f>
        <v>0</v>
      </c>
      <c r="V1899" s="72"/>
      <c r="W1899" s="69"/>
      <c r="X1899" s="70"/>
      <c r="Y1899" s="104"/>
      <c r="Z1899" s="103" t="s">
        <v>69</v>
      </c>
      <c r="AA1899" s="104"/>
      <c r="AB1899" s="103" t="s">
        <v>69</v>
      </c>
      <c r="AC1899" s="104"/>
      <c r="AD1899" s="103" t="s">
        <v>69</v>
      </c>
      <c r="AE1899" s="104"/>
      <c r="AF1899" s="103" t="s">
        <v>69</v>
      </c>
      <c r="AG1899" s="104"/>
      <c r="AH1899" s="103" t="s">
        <v>69</v>
      </c>
      <c r="AI1899" s="69"/>
      <c r="AJ1899" s="70"/>
      <c r="AK1899" s="71">
        <f>SUM(W1899:AJ1899)</f>
        <v>0</v>
      </c>
      <c r="AL1899" s="72"/>
      <c r="AM1899" s="73">
        <f>SUMIF($G1898:$T1898,"",$G1899:$T1899)+SUMIF($W1898:$AJ1898,"",$W1899:$AJ1899)-AN1899</f>
        <v>0</v>
      </c>
      <c r="AN1899" s="88">
        <f>IF(SUMIF($G1898:$T1898,"",$G1899:$T1899)+SUMIF($G1898:$T1898,"F",$G1899:$T1899)+SUMIF($G1898:$T1898,"V",$G1899:$T1899)-40&lt;0,0,SUMIF($G1898:$T1898,"",$G1899:$T1899)+SUMIF($G1898:$T1898,"F",$G1899:$T1899)+SUMIF($G1898:$T1898,"V",$G1899:$T1899)-($U$9/2))+IF(SUMIF($W1898:$AJ1898,"",$W1899:$AJ1899)+SUMIF($W1898:$AJ1898,"F",$W1899:$AJ1899)+SUMIF($W1898:$AJ1898,"V",$W1899:$AJ1899)-40&lt;0,0,SUMIF($W1898:$AJ1898,"",$W1899:$AJ1899)+SUMIF($W1898:$AJ1898,"F",$W1899:$AJ1899)+SUMIF($W1898:$AJ1898,"V",$W1899:$AJ1899)-($U$9/2))</f>
        <v>0</v>
      </c>
      <c r="AO1899" s="73">
        <f>SUMIF($G1898:$T1898,"M",$G1899:$T1899)+SUMIF($W1898:$AJ1898,"M",$W1899:$AJ1899)</f>
        <v>0</v>
      </c>
      <c r="AP1899" s="73">
        <f>SUMIF($G1898:$T1898,"F",$G1899:$T1899)+SUMIF($W1898:$AJ1898,"F",$W1899:$AJ1899)</f>
        <v>0</v>
      </c>
      <c r="AQ1899" s="73">
        <f>SUMIF($G1898:$T1898,"V",$G1899:$T1899)+SUMIF($W1898:$AJ1898,"V",$W1899:$AJ1899)</f>
        <v>0</v>
      </c>
      <c r="AR1899" s="74">
        <f>SUMIF($G1898:$T1898,"O",$G1899:$T1899)+SUMIF($W1898:$AJ1898,"O",$W1899:$AJ1899)</f>
        <v>0</v>
      </c>
      <c r="AS1899" s="75">
        <f>SUM(AM1899:AR1899)</f>
        <v>0</v>
      </c>
      <c r="AT1899" s="72"/>
      <c r="AU1899" s="73">
        <f>SUMIF($G1898:$T1898,"A",$G1899:$T1899)+SUMIF($W1898:$AJ1898,"A",$W1899:$AJ1899)</f>
        <v>0</v>
      </c>
      <c r="AV1899" s="72"/>
      <c r="AW1899" s="76">
        <f>IF(B1899="",0,IF($U$9="",0,$U$9))</f>
        <v>80</v>
      </c>
      <c r="BA1899" s="2"/>
      <c r="BB1899" s="2"/>
      <c r="BC1899" s="101"/>
      <c r="BD1899" s="101"/>
    </row>
    <row r="1900" spans="1:56" s="84" customFormat="1" x14ac:dyDescent="0.35">
      <c r="B1900" s="26"/>
      <c r="C1900" s="27"/>
      <c r="D1900" s="28"/>
      <c r="E1900" s="29" t="str">
        <f t="shared" si="739"/>
        <v/>
      </c>
      <c r="F1900" s="50">
        <f>B1859</f>
        <v>9</v>
      </c>
      <c r="G1900" s="59"/>
      <c r="H1900" s="64"/>
      <c r="I1900" s="106"/>
      <c r="J1900" s="105"/>
      <c r="K1900" s="106"/>
      <c r="L1900" s="105"/>
      <c r="M1900" s="106"/>
      <c r="N1900" s="105"/>
      <c r="O1900" s="106"/>
      <c r="P1900" s="105"/>
      <c r="Q1900" s="106"/>
      <c r="R1900" s="105"/>
      <c r="S1900" s="59"/>
      <c r="T1900" s="64"/>
      <c r="U1900" s="44"/>
      <c r="W1900" s="59"/>
      <c r="X1900" s="64"/>
      <c r="Y1900" s="106"/>
      <c r="Z1900" s="105"/>
      <c r="AA1900" s="106"/>
      <c r="AB1900" s="105"/>
      <c r="AC1900" s="106"/>
      <c r="AD1900" s="105"/>
      <c r="AE1900" s="106"/>
      <c r="AF1900" s="105"/>
      <c r="AG1900" s="106"/>
      <c r="AH1900" s="105"/>
      <c r="AI1900" s="59"/>
      <c r="AJ1900" s="64"/>
      <c r="AK1900" s="44"/>
      <c r="AM1900" s="49"/>
      <c r="AN1900" s="49"/>
      <c r="AO1900" s="49"/>
      <c r="AP1900" s="49"/>
      <c r="AQ1900" s="49"/>
      <c r="AR1900" s="40"/>
      <c r="AS1900" s="51"/>
      <c r="AU1900" s="49"/>
      <c r="AW1900" s="52"/>
      <c r="BA1900" s="2"/>
      <c r="BB1900" s="2"/>
      <c r="BC1900" s="101"/>
      <c r="BD1900" s="101"/>
    </row>
    <row r="1901" spans="1:56" s="84" customFormat="1" x14ac:dyDescent="0.35">
      <c r="B1901" s="30"/>
      <c r="C1901" s="31"/>
      <c r="D1901" s="32"/>
      <c r="E1901" s="33"/>
      <c r="F1901" s="50">
        <f>B1859</f>
        <v>9</v>
      </c>
      <c r="G1901" s="69"/>
      <c r="H1901" s="70"/>
      <c r="I1901" s="104"/>
      <c r="J1901" s="103"/>
      <c r="K1901" s="104"/>
      <c r="L1901" s="103"/>
      <c r="M1901" s="104"/>
      <c r="N1901" s="103"/>
      <c r="O1901" s="104"/>
      <c r="P1901" s="103"/>
      <c r="Q1901" s="104"/>
      <c r="R1901" s="103"/>
      <c r="S1901" s="69"/>
      <c r="T1901" s="70"/>
      <c r="U1901" s="71">
        <f t="shared" ref="U1901" si="742">SUM(G1901:T1901)</f>
        <v>0</v>
      </c>
      <c r="V1901" s="72"/>
      <c r="W1901" s="69"/>
      <c r="X1901" s="70"/>
      <c r="Y1901" s="104"/>
      <c r="Z1901" s="103"/>
      <c r="AA1901" s="104"/>
      <c r="AB1901" s="103"/>
      <c r="AC1901" s="104"/>
      <c r="AD1901" s="103"/>
      <c r="AE1901" s="104"/>
      <c r="AF1901" s="103"/>
      <c r="AG1901" s="104"/>
      <c r="AH1901" s="103"/>
      <c r="AI1901" s="69"/>
      <c r="AJ1901" s="70"/>
      <c r="AK1901" s="71">
        <f>SUM(W1901:AJ1901)</f>
        <v>0</v>
      </c>
      <c r="AL1901" s="72"/>
      <c r="AM1901" s="73">
        <f>SUMIF($G1900:$T1900,"",$G1901:$T1901)+SUMIF($W1900:$AJ1900,"",$W1901:$AJ1901)-AN1901</f>
        <v>0</v>
      </c>
      <c r="AN1901" s="88">
        <f>IF(SUMIF($G1900:$T1900,"",$G1901:$T1901)+SUMIF($G1900:$T1900,"F",$G1901:$T1901)+SUMIF($G1900:$T1900,"V",$G1901:$T1901)-40&lt;0,0,SUMIF($G1900:$T1900,"",$G1901:$T1901)+SUMIF($G1900:$T1900,"F",$G1901:$T1901)+SUMIF($G1900:$T1900,"V",$G1901:$T1901)-($U$9/2))+IF(SUMIF($W1900:$AJ1900,"",$W1901:$AJ1901)+SUMIF($W1900:$AJ1900,"F",$W1901:$AJ1901)+SUMIF($W1900:$AJ1900,"V",$W1901:$AJ1901)-40&lt;0,0,SUMIF($W1900:$AJ1900,"",$W1901:$AJ1901)+SUMIF($W1900:$AJ1900,"F",$W1901:$AJ1901)+SUMIF($W1900:$AJ1900,"V",$W1901:$AJ1901)-($U$9/2))</f>
        <v>0</v>
      </c>
      <c r="AO1901" s="73">
        <f>SUMIF($G1900:$T1900,"M",$G1901:$T1901)+SUMIF($W1900:$AJ1900,"M",$W1901:$AJ1901)</f>
        <v>0</v>
      </c>
      <c r="AP1901" s="73">
        <f>SUMIF($G1900:$T1900,"F",$G1901:$T1901)+SUMIF($W1900:$AJ1900,"F",$W1901:$AJ1901)</f>
        <v>0</v>
      </c>
      <c r="AQ1901" s="73">
        <f>SUMIF($G1900:$T1900,"V",$G1901:$T1901)+SUMIF($W1900:$AJ1900,"V",$W1901:$AJ1901)</f>
        <v>0</v>
      </c>
      <c r="AR1901" s="74">
        <f>SUMIF($G1900:$T1900,"O",$G1901:$T1901)+SUMIF($W1900:$AJ1900,"O",$W1901:$AJ1901)</f>
        <v>0</v>
      </c>
      <c r="AS1901" s="75">
        <f>SUM(AM1901:AR1901)</f>
        <v>0</v>
      </c>
      <c r="AT1901" s="72"/>
      <c r="AU1901" s="73">
        <f>SUMIF($G1900:$T1900,"A",$G1901:$T1901)+SUMIF($W1900:$AJ1900,"A",$W1901:$AJ1901)</f>
        <v>0</v>
      </c>
      <c r="AV1901" s="72"/>
      <c r="AW1901" s="76">
        <f>IF(B1901="",0,IF($U$9="",0,$U$9))</f>
        <v>0</v>
      </c>
      <c r="BA1901" s="2"/>
      <c r="BB1901" s="2"/>
      <c r="BC1901" s="101"/>
      <c r="BD1901" s="101"/>
    </row>
    <row r="1902" spans="1:56" s="84" customFormat="1" x14ac:dyDescent="0.35">
      <c r="B1902" s="26"/>
      <c r="C1902" s="27"/>
      <c r="D1902" s="28">
        <f>IF(D1828="","",D1828)</f>
        <v>23736</v>
      </c>
      <c r="E1902" s="29" t="str">
        <f t="shared" si="739"/>
        <v/>
      </c>
      <c r="F1902" s="50">
        <f>B1859</f>
        <v>9</v>
      </c>
      <c r="G1902" s="59"/>
      <c r="H1902" s="64"/>
      <c r="I1902" s="106"/>
      <c r="J1902" s="105"/>
      <c r="K1902" s="106"/>
      <c r="L1902" s="105"/>
      <c r="M1902" s="106"/>
      <c r="N1902" s="105"/>
      <c r="O1902" s="106"/>
      <c r="P1902" s="105" t="s">
        <v>2</v>
      </c>
      <c r="Q1902" s="106"/>
      <c r="R1902" s="105" t="s">
        <v>13</v>
      </c>
      <c r="S1902" s="59"/>
      <c r="T1902" s="64"/>
      <c r="U1902" s="44"/>
      <c r="W1902" s="59"/>
      <c r="X1902" s="64"/>
      <c r="Y1902" s="106"/>
      <c r="Z1902" s="105"/>
      <c r="AA1902" s="106"/>
      <c r="AB1902" s="105"/>
      <c r="AC1902" s="106"/>
      <c r="AD1902" s="105"/>
      <c r="AE1902" s="106"/>
      <c r="AF1902" s="105"/>
      <c r="AG1902" s="106"/>
      <c r="AH1902" s="105"/>
      <c r="AI1902" s="59"/>
      <c r="AJ1902" s="64"/>
      <c r="AK1902" s="44"/>
      <c r="AM1902" s="49"/>
      <c r="AN1902" s="49"/>
      <c r="AO1902" s="49"/>
      <c r="AP1902" s="49"/>
      <c r="AQ1902" s="49"/>
      <c r="AR1902" s="40"/>
      <c r="AS1902" s="51"/>
      <c r="AU1902" s="49"/>
      <c r="AW1902" s="52"/>
      <c r="BA1902" s="2"/>
      <c r="BB1902" s="2"/>
      <c r="BC1902" s="101"/>
      <c r="BD1902" s="101"/>
    </row>
    <row r="1903" spans="1:56" s="84" customFormat="1" x14ac:dyDescent="0.35">
      <c r="B1903" s="30" t="str">
        <f>IF(B1829="","",B1829)</f>
        <v>Voster, Jean-Michel</v>
      </c>
      <c r="C1903" s="31"/>
      <c r="D1903" s="32"/>
      <c r="E1903" s="33">
        <f t="shared" si="739"/>
        <v>93545</v>
      </c>
      <c r="F1903" s="50">
        <f>B1859</f>
        <v>9</v>
      </c>
      <c r="G1903" s="69"/>
      <c r="H1903" s="70"/>
      <c r="I1903" s="104"/>
      <c r="J1903" s="103">
        <v>8</v>
      </c>
      <c r="K1903" s="104"/>
      <c r="L1903" s="103">
        <v>8</v>
      </c>
      <c r="M1903" s="104"/>
      <c r="N1903" s="103">
        <v>4.25</v>
      </c>
      <c r="O1903" s="104"/>
      <c r="P1903" s="103">
        <v>0</v>
      </c>
      <c r="Q1903" s="104"/>
      <c r="R1903" s="103">
        <v>8</v>
      </c>
      <c r="S1903" s="69"/>
      <c r="T1903" s="70"/>
      <c r="U1903" s="71">
        <f t="shared" ref="U1903" si="743">SUM(G1903:T1903)</f>
        <v>28.25</v>
      </c>
      <c r="V1903" s="72"/>
      <c r="W1903" s="69"/>
      <c r="X1903" s="70"/>
      <c r="Y1903" s="104"/>
      <c r="Z1903" s="103">
        <v>8</v>
      </c>
      <c r="AA1903" s="104"/>
      <c r="AB1903" s="103">
        <v>7.75</v>
      </c>
      <c r="AC1903" s="104"/>
      <c r="AD1903" s="103">
        <v>8.25</v>
      </c>
      <c r="AE1903" s="104"/>
      <c r="AF1903" s="103">
        <v>6.5</v>
      </c>
      <c r="AG1903" s="104"/>
      <c r="AH1903" s="103">
        <v>7.5</v>
      </c>
      <c r="AI1903" s="69"/>
      <c r="AJ1903" s="70"/>
      <c r="AK1903" s="71">
        <f>SUM(W1903:AJ1903)</f>
        <v>38</v>
      </c>
      <c r="AL1903" s="72"/>
      <c r="AM1903" s="73">
        <f>SUMIF($G1902:$T1902,"",$G1903:$T1903)+SUMIF($W1902:$AJ1902,"",$W1903:$AJ1903)-AN1903</f>
        <v>58.25</v>
      </c>
      <c r="AN1903" s="88">
        <f>IF(SUMIF($G1902:$T1902,"",$G1903:$T1903)+SUMIF($G1902:$T1902,"F",$G1903:$T1903)+SUMIF($G1902:$T1902,"V",$G1903:$T1903)-40&lt;0,0,SUMIF($G1902:$T1902,"",$G1903:$T1903)+SUMIF($G1902:$T1902,"F",$G1903:$T1903)+SUMIF($G1902:$T1902,"V",$G1903:$T1903)-($U$9/2))+IF(SUMIF($W1902:$AJ1902,"",$W1903:$AJ1903)+SUMIF($W1902:$AJ1902,"F",$W1903:$AJ1903)+SUMIF($W1902:$AJ1902,"V",$W1903:$AJ1903)-40&lt;0,0,SUMIF($W1902:$AJ1902,"",$W1903:$AJ1903)+SUMIF($W1902:$AJ1902,"F",$W1903:$AJ1903)+SUMIF($W1902:$AJ1902,"V",$W1903:$AJ1903)-($U$9/2))</f>
        <v>0</v>
      </c>
      <c r="AO1903" s="73">
        <f>SUMIF($G1902:$T1902,"M",$G1903:$T1903)+SUMIF($W1902:$AJ1902,"M",$W1903:$AJ1903)</f>
        <v>0</v>
      </c>
      <c r="AP1903" s="73">
        <f>SUMIF($G1902:$T1902,"F",$G1903:$T1903)+SUMIF($W1902:$AJ1902,"F",$W1903:$AJ1903)</f>
        <v>8</v>
      </c>
      <c r="AQ1903" s="73">
        <f>SUMIF($G1902:$T1902,"V",$G1903:$T1903)+SUMIF($W1902:$AJ1902,"V",$W1903:$AJ1903)</f>
        <v>0</v>
      </c>
      <c r="AR1903" s="74">
        <f>SUMIF($G1902:$T1902,"O",$G1903:$T1903)+SUMIF($W1902:$AJ1902,"O",$W1903:$AJ1903)</f>
        <v>0</v>
      </c>
      <c r="AS1903" s="75">
        <f>SUM(AM1903:AR1903)</f>
        <v>66.25</v>
      </c>
      <c r="AT1903" s="72"/>
      <c r="AU1903" s="73"/>
      <c r="AV1903" s="72"/>
      <c r="AW1903" s="76">
        <f>IF(B1903="",0,IF($U$9="",0,$U$9))</f>
        <v>80</v>
      </c>
      <c r="AX1903" s="129"/>
      <c r="BA1903" s="2"/>
      <c r="BB1903" s="2"/>
      <c r="BC1903" s="101"/>
      <c r="BD1903" s="101"/>
    </row>
    <row r="1904" spans="1:56" s="53" customFormat="1" ht="15" customHeight="1" x14ac:dyDescent="0.35">
      <c r="A1904" s="84"/>
      <c r="B1904" s="26"/>
      <c r="C1904" s="27"/>
      <c r="D1904" s="28" t="str">
        <f>IF(D1830="","",D1830)</f>
        <v/>
      </c>
      <c r="E1904" s="29" t="str">
        <f t="shared" si="739"/>
        <v/>
      </c>
      <c r="F1904" s="50">
        <f>B1859</f>
        <v>9</v>
      </c>
      <c r="G1904" s="59"/>
      <c r="H1904" s="64"/>
      <c r="I1904" s="106"/>
      <c r="J1904" s="105"/>
      <c r="K1904" s="106"/>
      <c r="L1904" s="105"/>
      <c r="M1904" s="106"/>
      <c r="N1904" s="105"/>
      <c r="O1904" s="106"/>
      <c r="P1904" s="105"/>
      <c r="Q1904" s="106"/>
      <c r="R1904" s="105"/>
      <c r="S1904" s="59"/>
      <c r="T1904" s="64"/>
      <c r="U1904" s="44"/>
      <c r="V1904" s="84"/>
      <c r="W1904" s="59"/>
      <c r="X1904" s="64"/>
      <c r="Y1904" s="106"/>
      <c r="Z1904" s="105"/>
      <c r="AA1904" s="106"/>
      <c r="AB1904" s="105"/>
      <c r="AC1904" s="106"/>
      <c r="AD1904" s="105"/>
      <c r="AE1904" s="106"/>
      <c r="AF1904" s="105"/>
      <c r="AG1904" s="106"/>
      <c r="AH1904" s="105"/>
      <c r="AI1904" s="59"/>
      <c r="AJ1904" s="64"/>
      <c r="AK1904" s="44"/>
      <c r="AL1904" s="84"/>
      <c r="AM1904" s="49"/>
      <c r="AN1904" s="49"/>
      <c r="AO1904" s="49"/>
      <c r="AP1904" s="49"/>
      <c r="AQ1904" s="49"/>
      <c r="AR1904" s="40"/>
      <c r="AS1904" s="51"/>
      <c r="AT1904" s="84"/>
      <c r="AU1904" s="49"/>
      <c r="AV1904" s="84"/>
      <c r="AW1904" s="52"/>
      <c r="AX1904" s="84"/>
      <c r="BA1904" s="2"/>
      <c r="BB1904" s="2"/>
      <c r="BC1904" s="101"/>
      <c r="BD1904" s="101"/>
    </row>
    <row r="1905" spans="1:56" s="57" customFormat="1" ht="15" customHeight="1" x14ac:dyDescent="0.35">
      <c r="A1905" s="84"/>
      <c r="B1905" s="30" t="str">
        <f>IF(B1831="","",B1831)</f>
        <v/>
      </c>
      <c r="C1905" s="31"/>
      <c r="D1905" s="32"/>
      <c r="E1905" s="33" t="str">
        <f t="shared" si="739"/>
        <v/>
      </c>
      <c r="F1905" s="50">
        <f>B1859</f>
        <v>9</v>
      </c>
      <c r="G1905" s="69"/>
      <c r="H1905" s="70"/>
      <c r="I1905" s="104"/>
      <c r="J1905" s="103"/>
      <c r="K1905" s="104"/>
      <c r="L1905" s="103"/>
      <c r="M1905" s="104"/>
      <c r="N1905" s="103"/>
      <c r="O1905" s="104"/>
      <c r="P1905" s="103"/>
      <c r="Q1905" s="104"/>
      <c r="R1905" s="103"/>
      <c r="S1905" s="69"/>
      <c r="T1905" s="70"/>
      <c r="U1905" s="71">
        <f t="shared" ref="U1905" si="744">SUM(G1905:T1905)</f>
        <v>0</v>
      </c>
      <c r="V1905" s="72"/>
      <c r="W1905" s="69"/>
      <c r="X1905" s="70"/>
      <c r="Y1905" s="104"/>
      <c r="Z1905" s="103"/>
      <c r="AA1905" s="104"/>
      <c r="AB1905" s="103"/>
      <c r="AC1905" s="104"/>
      <c r="AD1905" s="103"/>
      <c r="AE1905" s="104"/>
      <c r="AF1905" s="103"/>
      <c r="AG1905" s="104"/>
      <c r="AH1905" s="103"/>
      <c r="AI1905" s="69"/>
      <c r="AJ1905" s="70"/>
      <c r="AK1905" s="71">
        <f>SUM(W1905:AJ1905)</f>
        <v>0</v>
      </c>
      <c r="AL1905" s="72"/>
      <c r="AM1905" s="73">
        <f>SUMIF($G1904:$T1904,"",$G1905:$T1905)+SUMIF($W1904:$AJ1904,"",$W1905:$AJ1905)-AN1905</f>
        <v>0</v>
      </c>
      <c r="AN1905" s="88">
        <f>IF(SUMIF($G1904:$T1904,"",$G1905:$T1905)+SUMIF($G1904:$T1904,"F",$G1905:$T1905)+SUMIF($G1904:$T1904,"V",$G1905:$T1905)-40&lt;0,0,SUMIF($G1904:$T1904,"",$G1905:$T1905)+SUMIF($G1904:$T1904,"F",$G1905:$T1905)+SUMIF($G1904:$T1904,"V",$G1905:$T1905)-($U$9/2))+IF(SUMIF($W1904:$AJ1904,"",$W1905:$AJ1905)+SUMIF($W1904:$AJ1904,"F",$W1905:$AJ1905)+SUMIF($W1904:$AJ1904,"V",$W1905:$AJ1905)-40&lt;0,0,SUMIF($W1904:$AJ1904,"",$W1905:$AJ1905)+SUMIF($W1904:$AJ1904,"F",$W1905:$AJ1905)+SUMIF($W1904:$AJ1904,"V",$W1905:$AJ1905)-($U$9/2))</f>
        <v>0</v>
      </c>
      <c r="AO1905" s="73">
        <f>SUMIF($G1904:$T1904,"M",$G1905:$T1905)+SUMIF($W1904:$AJ1904,"M",$W1905:$AJ1905)</f>
        <v>0</v>
      </c>
      <c r="AP1905" s="73">
        <f>SUMIF($G1904:$T1904,"F",$G1905:$T1905)+SUMIF($W1904:$AJ1904,"F",$W1905:$AJ1905)</f>
        <v>0</v>
      </c>
      <c r="AQ1905" s="73">
        <f>SUMIF($G1904:$T1904,"V",$G1905:$T1905)+SUMIF($W1904:$AJ1904,"V",$W1905:$AJ1905)</f>
        <v>0</v>
      </c>
      <c r="AR1905" s="74">
        <f>SUMIF($G1904:$T1904,"O",$G1905:$T1905)+SUMIF($W1904:$AJ1904,"O",$W1905:$AJ1905)</f>
        <v>0</v>
      </c>
      <c r="AS1905" s="75">
        <f>SUM(AM1905:AR1905)</f>
        <v>0</v>
      </c>
      <c r="AT1905" s="72"/>
      <c r="AU1905" s="73">
        <f>SUMIF($G1904:$T1904,"A",$G1905:$T1905)+SUMIF($W1904:$AJ1904,"A",$W1905:$AJ1905)</f>
        <v>0</v>
      </c>
      <c r="AV1905" s="72"/>
      <c r="AW1905" s="76">
        <f>IF(B1905="",0,IF($U$9="",0,$U$9))</f>
        <v>0</v>
      </c>
      <c r="AX1905" s="84"/>
      <c r="BA1905" s="2"/>
      <c r="BB1905" s="2"/>
      <c r="BC1905" s="101"/>
      <c r="BD1905" s="101"/>
    </row>
    <row r="1906" spans="1:56" s="53" customFormat="1" ht="15" customHeight="1" x14ac:dyDescent="0.35">
      <c r="A1906" s="84"/>
      <c r="B1906" s="26"/>
      <c r="C1906" s="27"/>
      <c r="D1906" s="28">
        <f>IF(D1832="","",D1832)</f>
        <v>35135</v>
      </c>
      <c r="E1906" s="29" t="str">
        <f t="shared" si="739"/>
        <v/>
      </c>
      <c r="F1906" s="50">
        <f>B1859</f>
        <v>9</v>
      </c>
      <c r="G1906" s="59"/>
      <c r="H1906" s="64"/>
      <c r="I1906" s="106"/>
      <c r="J1906" s="105"/>
      <c r="K1906" s="106"/>
      <c r="L1906" s="105"/>
      <c r="M1906" s="106"/>
      <c r="N1906" s="105"/>
      <c r="O1906" s="106"/>
      <c r="P1906" s="105"/>
      <c r="Q1906" s="106"/>
      <c r="R1906" s="105"/>
      <c r="S1906" s="59"/>
      <c r="T1906" s="64"/>
      <c r="U1906" s="44"/>
      <c r="V1906" s="84"/>
      <c r="W1906" s="59"/>
      <c r="X1906" s="64"/>
      <c r="Y1906" s="106"/>
      <c r="Z1906" s="105" t="s">
        <v>13</v>
      </c>
      <c r="AA1906" s="106"/>
      <c r="AB1906" s="105"/>
      <c r="AC1906" s="106"/>
      <c r="AD1906" s="105"/>
      <c r="AE1906" s="106"/>
      <c r="AF1906" s="105"/>
      <c r="AG1906" s="106"/>
      <c r="AH1906" s="105"/>
      <c r="AI1906" s="59"/>
      <c r="AJ1906" s="64"/>
      <c r="AK1906" s="44"/>
      <c r="AL1906" s="84"/>
      <c r="AM1906" s="49"/>
      <c r="AN1906" s="49"/>
      <c r="AO1906" s="49"/>
      <c r="AP1906" s="49"/>
      <c r="AQ1906" s="49"/>
      <c r="AR1906" s="40"/>
      <c r="AS1906" s="51"/>
      <c r="AT1906" s="84"/>
      <c r="AU1906" s="49"/>
      <c r="AV1906" s="84"/>
      <c r="AW1906" s="52"/>
      <c r="AX1906" s="84"/>
      <c r="BA1906" s="2"/>
      <c r="BB1906" s="2"/>
      <c r="BC1906" s="101"/>
      <c r="BD1906" s="101"/>
    </row>
    <row r="1907" spans="1:56" s="53" customFormat="1" x14ac:dyDescent="0.35">
      <c r="A1907" s="84"/>
      <c r="B1907" s="30" t="str">
        <f>IF(B1833="","",B1833)</f>
        <v>Dupont,Catherine</v>
      </c>
      <c r="C1907" s="31"/>
      <c r="D1907" s="32"/>
      <c r="E1907" s="33">
        <f t="shared" si="739"/>
        <v>93545</v>
      </c>
      <c r="F1907" s="50">
        <f>B1859</f>
        <v>9</v>
      </c>
      <c r="G1907" s="69"/>
      <c r="H1907" s="70"/>
      <c r="I1907" s="104"/>
      <c r="J1907" s="103">
        <v>8.25</v>
      </c>
      <c r="K1907" s="104"/>
      <c r="L1907" s="103">
        <v>8.25</v>
      </c>
      <c r="M1907" s="104"/>
      <c r="N1907" s="103">
        <v>8</v>
      </c>
      <c r="O1907" s="104"/>
      <c r="P1907" s="103">
        <v>7.75</v>
      </c>
      <c r="Q1907" s="104"/>
      <c r="R1907" s="103">
        <v>8</v>
      </c>
      <c r="S1907" s="69"/>
      <c r="T1907" s="70"/>
      <c r="U1907" s="71">
        <f t="shared" ref="U1907" si="745">SUM(G1907:T1907)</f>
        <v>40.25</v>
      </c>
      <c r="V1907" s="72"/>
      <c r="W1907" s="69"/>
      <c r="X1907" s="70"/>
      <c r="Y1907" s="104"/>
      <c r="Z1907" s="103">
        <v>8</v>
      </c>
      <c r="AA1907" s="104"/>
      <c r="AB1907" s="103">
        <v>7.25</v>
      </c>
      <c r="AC1907" s="104"/>
      <c r="AD1907" s="103">
        <v>8</v>
      </c>
      <c r="AE1907" s="104"/>
      <c r="AF1907" s="103">
        <v>8</v>
      </c>
      <c r="AG1907" s="104"/>
      <c r="AH1907" s="103">
        <v>7.75</v>
      </c>
      <c r="AI1907" s="69"/>
      <c r="AJ1907" s="70"/>
      <c r="AK1907" s="71">
        <f>SUM(W1907:AJ1907)</f>
        <v>39</v>
      </c>
      <c r="AL1907" s="72"/>
      <c r="AM1907" s="73">
        <f>SUMIF($G1906:$T1906,"",$G1907:$T1907)+SUMIF($W1906:$AJ1906,"",$W1907:$AJ1907)-AN1907</f>
        <v>71</v>
      </c>
      <c r="AN1907" s="88">
        <f>IF(SUMIF($G1906:$T1906,"",$G1907:$T1907)+SUMIF($G1906:$T1906,"F",$G1907:$T1907)+SUMIF($G1906:$T1906,"V",$G1907:$T1907)-40&lt;0,0,SUMIF($G1906:$T1906,"",$G1907:$T1907)+SUMIF($G1906:$T1906,"F",$G1907:$T1907)+SUMIF($G1906:$T1906,"V",$G1907:$T1907)-($U$9/2))+IF(SUMIF($W1906:$AJ1906,"",$W1907:$AJ1907)+SUMIF($W1906:$AJ1906,"F",$W1907:$AJ1907)+SUMIF($W1906:$AJ1906,"V",$W1907:$AJ1907)-40&lt;0,0,SUMIF($W1906:$AJ1906,"",$W1907:$AJ1907)+SUMIF($W1906:$AJ1906,"F",$W1907:$AJ1907)+SUMIF($W1906:$AJ1906,"V",$W1907:$AJ1907)-($U$9/2))</f>
        <v>0.25</v>
      </c>
      <c r="AO1907" s="73">
        <f>SUMIF($G1906:$T1906,"M",$G1907:$T1907)+SUMIF($W1906:$AJ1906,"M",$W1907:$AJ1907)</f>
        <v>0</v>
      </c>
      <c r="AP1907" s="73">
        <f>SUMIF($G1906:$T1906,"F",$G1907:$T1907)+SUMIF($W1906:$AJ1906,"F",$W1907:$AJ1907)</f>
        <v>8</v>
      </c>
      <c r="AQ1907" s="73">
        <f>SUMIF($G1906:$T1906,"V",$G1907:$T1907)+SUMIF($W1906:$AJ1906,"V",$W1907:$AJ1907)</f>
        <v>0</v>
      </c>
      <c r="AR1907" s="74">
        <f>SUMIF($G1906:$T1906,"O",$G1907:$T1907)+SUMIF($W1906:$AJ1906,"O",$W1907:$AJ1907)</f>
        <v>0</v>
      </c>
      <c r="AS1907" s="75">
        <f>SUM(AM1907:AR1907)</f>
        <v>79.25</v>
      </c>
      <c r="AT1907" s="72"/>
      <c r="AU1907" s="73">
        <f>SUMIF($G1906:$T1906,"A",$G1907:$T1907)+SUMIF($W1906:$AJ1906,"A",$W1907:$AJ1907)</f>
        <v>0</v>
      </c>
      <c r="AV1907" s="72"/>
      <c r="AW1907" s="76">
        <f>IF(B1907="",0,IF($U$9="",0,$U$9))</f>
        <v>80</v>
      </c>
      <c r="AX1907" s="84"/>
      <c r="BA1907" s="2"/>
      <c r="BB1907" s="2"/>
      <c r="BC1907" s="101"/>
      <c r="BD1907" s="101"/>
    </row>
    <row r="1908" spans="1:56" s="53" customFormat="1" x14ac:dyDescent="0.35">
      <c r="A1908" s="84"/>
      <c r="B1908" s="26"/>
      <c r="C1908" s="27"/>
      <c r="D1908" s="28" t="str">
        <f>IF(D1834="","",D1834)</f>
        <v/>
      </c>
      <c r="E1908" s="29" t="str">
        <f t="shared" si="739"/>
        <v/>
      </c>
      <c r="F1908" s="50">
        <f>B1859</f>
        <v>9</v>
      </c>
      <c r="G1908" s="59"/>
      <c r="H1908" s="64"/>
      <c r="I1908" s="58"/>
      <c r="J1908" s="65"/>
      <c r="K1908" s="58"/>
      <c r="L1908" s="65"/>
      <c r="M1908" s="58"/>
      <c r="N1908" s="65"/>
      <c r="O1908" s="58"/>
      <c r="P1908" s="65"/>
      <c r="Q1908" s="58"/>
      <c r="R1908" s="65"/>
      <c r="S1908" s="59"/>
      <c r="T1908" s="64"/>
      <c r="U1908" s="44"/>
      <c r="V1908" s="84"/>
      <c r="W1908" s="59"/>
      <c r="X1908" s="64"/>
      <c r="Y1908" s="58"/>
      <c r="Z1908" s="65"/>
      <c r="AA1908" s="58"/>
      <c r="AB1908" s="65"/>
      <c r="AC1908" s="58"/>
      <c r="AD1908" s="65"/>
      <c r="AE1908" s="58"/>
      <c r="AF1908" s="65"/>
      <c r="AG1908" s="58"/>
      <c r="AH1908" s="65"/>
      <c r="AI1908" s="59"/>
      <c r="AJ1908" s="64"/>
      <c r="AK1908" s="44"/>
      <c r="AL1908" s="84"/>
      <c r="AM1908" s="49"/>
      <c r="AN1908" s="49"/>
      <c r="AO1908" s="49"/>
      <c r="AP1908" s="49"/>
      <c r="AQ1908" s="49"/>
      <c r="AR1908" s="40"/>
      <c r="AS1908" s="51"/>
      <c r="AT1908" s="84"/>
      <c r="AU1908" s="49"/>
      <c r="AV1908" s="84"/>
      <c r="AW1908" s="52"/>
      <c r="AX1908" s="84"/>
      <c r="BA1908" s="2"/>
      <c r="BB1908" s="2"/>
      <c r="BC1908" s="101"/>
      <c r="BD1908" s="101"/>
    </row>
    <row r="1909" spans="1:56" s="53" customFormat="1" x14ac:dyDescent="0.35">
      <c r="A1909" s="84"/>
      <c r="B1909" s="30" t="str">
        <f>IF(B1835="","",B1835)</f>
        <v/>
      </c>
      <c r="C1909" s="31"/>
      <c r="D1909" s="32"/>
      <c r="E1909" s="33" t="str">
        <f t="shared" si="739"/>
        <v/>
      </c>
      <c r="F1909" s="50">
        <f>B1859</f>
        <v>9</v>
      </c>
      <c r="G1909" s="69"/>
      <c r="H1909" s="70"/>
      <c r="I1909" s="67"/>
      <c r="J1909" s="68"/>
      <c r="K1909" s="67"/>
      <c r="L1909" s="68"/>
      <c r="M1909" s="67"/>
      <c r="N1909" s="68"/>
      <c r="O1909" s="67"/>
      <c r="P1909" s="68"/>
      <c r="Q1909" s="67"/>
      <c r="R1909" s="68"/>
      <c r="S1909" s="69"/>
      <c r="T1909" s="70"/>
      <c r="U1909" s="71">
        <f t="shared" ref="U1909" si="746">SUM(G1909:T1909)</f>
        <v>0</v>
      </c>
      <c r="V1909" s="72"/>
      <c r="W1909" s="69"/>
      <c r="X1909" s="70"/>
      <c r="Y1909" s="67"/>
      <c r="Z1909" s="68"/>
      <c r="AA1909" s="67"/>
      <c r="AB1909" s="68"/>
      <c r="AC1909" s="67"/>
      <c r="AD1909" s="68"/>
      <c r="AE1909" s="67"/>
      <c r="AF1909" s="68"/>
      <c r="AG1909" s="67"/>
      <c r="AH1909" s="68"/>
      <c r="AI1909" s="69"/>
      <c r="AJ1909" s="70"/>
      <c r="AK1909" s="71">
        <v>0</v>
      </c>
      <c r="AL1909" s="72"/>
      <c r="AM1909" s="73">
        <f>SUMIF($G1908:$T1908,"",$G1909:$T1909)+SUMIF($W1908:$AJ1908,"",$W1909:$AJ1909)-AN1909</f>
        <v>0</v>
      </c>
      <c r="AN1909" s="88">
        <f>IF(SUMIF($G1908:$T1908,"",$G1909:$T1909)+SUMIF($G1908:$T1908,"F",$G1909:$T1909)+SUMIF($G1908:$T1908,"V",$G1909:$T1909)-40&lt;0,0,SUMIF($G1908:$T1908,"",$G1909:$T1909)+SUMIF($G1908:$T1908,"F",$G1909:$T1909)+SUMIF($G1908:$T1908,"V",$G1909:$T1909)-($U$9/2))+IF(SUMIF($W1908:$AJ1908,"",$W1909:$AJ1909)+SUMIF($W1908:$AJ1908,"F",$W1909:$AJ1909)+SUMIF($W1908:$AJ1908,"V",$W1909:$AJ1909)-40&lt;0,0,SUMIF($W1908:$AJ1908,"",$W1909:$AJ1909)+SUMIF($W1908:$AJ1908,"F",$W1909:$AJ1909)+SUMIF($W1908:$AJ1908,"V",$W1909:$AJ1909)-($U$9/2))</f>
        <v>0</v>
      </c>
      <c r="AO1909" s="73">
        <f>SUMIF($G1908:$T1908,"M",$G1909:$T1909)+SUMIF($W1908:$AJ1908,"M",$W1909:$AJ1909)</f>
        <v>0</v>
      </c>
      <c r="AP1909" s="73">
        <f>SUMIF($G1908:$T1908,"F",$G1909:$T1909)+SUMIF($W1908:$AJ1908,"F",$W1909:$AJ1909)</f>
        <v>0</v>
      </c>
      <c r="AQ1909" s="73">
        <f>SUMIF($G1908:$T1908,"V",$G1909:$T1909)+SUMIF($W1908:$AJ1908,"V",$W1909:$AJ1909)</f>
        <v>0</v>
      </c>
      <c r="AR1909" s="74">
        <f>SUMIF($G1908:$T1908,"O",$G1909:$T1909)+SUMIF($W1908:$AJ1908,"O",$W1909:$AJ1909)</f>
        <v>0</v>
      </c>
      <c r="AS1909" s="75">
        <f>SUM(AM1909:AR1909)</f>
        <v>0</v>
      </c>
      <c r="AT1909" s="72"/>
      <c r="AU1909" s="73">
        <f>SUMIF($G1908:$T1908,"A",$G1909:$T1909)+SUMIF($W1908:$AJ1908,"A",$W1909:$AJ1909)</f>
        <v>0</v>
      </c>
      <c r="AV1909" s="72"/>
      <c r="AW1909" s="76">
        <f>IF(B1909="",0,IF($U$9="",0,$U$9))</f>
        <v>0</v>
      </c>
      <c r="AX1909" s="84"/>
      <c r="BA1909" s="2"/>
      <c r="BB1909" s="2"/>
      <c r="BC1909" s="101"/>
      <c r="BD1909" s="101"/>
    </row>
    <row r="1910" spans="1:56" s="53" customFormat="1" x14ac:dyDescent="0.35">
      <c r="A1910" s="84"/>
      <c r="B1910" s="26"/>
      <c r="C1910" s="27"/>
      <c r="D1910" s="28" t="str">
        <f>IF(D1836="","",D1836)</f>
        <v/>
      </c>
      <c r="E1910" s="29" t="str">
        <f t="shared" si="739"/>
        <v/>
      </c>
      <c r="F1910" s="50">
        <f>B1859</f>
        <v>9</v>
      </c>
      <c r="G1910" s="59"/>
      <c r="H1910" s="64"/>
      <c r="I1910" s="58"/>
      <c r="J1910" s="65"/>
      <c r="K1910" s="58"/>
      <c r="L1910" s="65"/>
      <c r="M1910" s="58"/>
      <c r="N1910" s="65"/>
      <c r="O1910" s="58"/>
      <c r="P1910" s="65"/>
      <c r="Q1910" s="58"/>
      <c r="R1910" s="65"/>
      <c r="S1910" s="59"/>
      <c r="T1910" s="64"/>
      <c r="U1910" s="44"/>
      <c r="V1910" s="84"/>
      <c r="W1910" s="59"/>
      <c r="X1910" s="64"/>
      <c r="Y1910" s="58"/>
      <c r="Z1910" s="65"/>
      <c r="AA1910" s="58"/>
      <c r="AB1910" s="65"/>
      <c r="AC1910" s="58"/>
      <c r="AD1910" s="65"/>
      <c r="AE1910" s="58"/>
      <c r="AF1910" s="65"/>
      <c r="AG1910" s="58"/>
      <c r="AH1910" s="65"/>
      <c r="AI1910" s="59"/>
      <c r="AJ1910" s="64"/>
      <c r="AK1910" s="44"/>
      <c r="AL1910" s="84"/>
      <c r="AM1910" s="49"/>
      <c r="AN1910" s="49"/>
      <c r="AO1910" s="49"/>
      <c r="AP1910" s="49"/>
      <c r="AQ1910" s="49"/>
      <c r="AR1910" s="40"/>
      <c r="AS1910" s="51"/>
      <c r="AT1910" s="84"/>
      <c r="AU1910" s="49"/>
      <c r="AV1910" s="84"/>
      <c r="AW1910" s="52"/>
      <c r="AX1910" s="84"/>
      <c r="BA1910" s="2"/>
      <c r="BB1910" s="2"/>
      <c r="BC1910" s="101"/>
      <c r="BD1910" s="101"/>
    </row>
    <row r="1911" spans="1:56" s="53" customFormat="1" x14ac:dyDescent="0.35">
      <c r="A1911" s="84"/>
      <c r="B1911" s="30" t="str">
        <f>IF(B1837="","",B1837)</f>
        <v/>
      </c>
      <c r="C1911" s="31"/>
      <c r="D1911" s="32"/>
      <c r="E1911" s="33" t="str">
        <f t="shared" si="739"/>
        <v/>
      </c>
      <c r="F1911" s="50">
        <f>B1859</f>
        <v>9</v>
      </c>
      <c r="G1911" s="69"/>
      <c r="H1911" s="70"/>
      <c r="I1911" s="67"/>
      <c r="J1911" s="68"/>
      <c r="K1911" s="67"/>
      <c r="L1911" s="68"/>
      <c r="M1911" s="67"/>
      <c r="N1911" s="68"/>
      <c r="O1911" s="67"/>
      <c r="P1911" s="68"/>
      <c r="Q1911" s="67"/>
      <c r="R1911" s="68"/>
      <c r="S1911" s="69"/>
      <c r="T1911" s="70"/>
      <c r="U1911" s="71">
        <f t="shared" ref="U1911" si="747">SUM(G1911:T1911)</f>
        <v>0</v>
      </c>
      <c r="V1911" s="72"/>
      <c r="W1911" s="69"/>
      <c r="X1911" s="70"/>
      <c r="Y1911" s="67"/>
      <c r="Z1911" s="68"/>
      <c r="AA1911" s="67"/>
      <c r="AB1911" s="68"/>
      <c r="AC1911" s="67"/>
      <c r="AD1911" s="68"/>
      <c r="AE1911" s="67"/>
      <c r="AF1911" s="68"/>
      <c r="AG1911" s="67"/>
      <c r="AH1911" s="68"/>
      <c r="AI1911" s="69"/>
      <c r="AJ1911" s="70"/>
      <c r="AK1911" s="71">
        <v>0</v>
      </c>
      <c r="AL1911" s="72"/>
      <c r="AM1911" s="73">
        <v>0</v>
      </c>
      <c r="AN1911" s="88">
        <v>0</v>
      </c>
      <c r="AO1911" s="73">
        <v>0</v>
      </c>
      <c r="AP1911" s="73">
        <v>0</v>
      </c>
      <c r="AQ1911" s="73">
        <v>0</v>
      </c>
      <c r="AR1911" s="74">
        <v>0</v>
      </c>
      <c r="AS1911" s="75">
        <v>0</v>
      </c>
      <c r="AT1911" s="72"/>
      <c r="AU1911" s="73">
        <f>SUMIF($G1910:$T1910,"A",$G1911:$T1911)+SUMIF($W1910:$AJ1910,"A",$W1911:$AJ1911)</f>
        <v>0</v>
      </c>
      <c r="AV1911" s="72"/>
      <c r="AW1911" s="76">
        <f>IF(B1911="",0,IF($U$9="",0,$U$9))</f>
        <v>0</v>
      </c>
      <c r="AX1911" s="84"/>
      <c r="BA1911" s="2"/>
      <c r="BB1911" s="2"/>
      <c r="BC1911" s="101"/>
      <c r="BD1911" s="101"/>
    </row>
    <row r="1912" spans="1:56" s="53" customFormat="1" x14ac:dyDescent="0.35">
      <c r="A1912" s="84"/>
      <c r="B1912" s="26"/>
      <c r="C1912" s="27"/>
      <c r="D1912" s="28" t="str">
        <f>IF(D1838="","",D1838)</f>
        <v/>
      </c>
      <c r="E1912" s="29" t="str">
        <f t="shared" si="739"/>
        <v/>
      </c>
      <c r="F1912" s="50">
        <f>B1859</f>
        <v>9</v>
      </c>
      <c r="G1912" s="59"/>
      <c r="H1912" s="64"/>
      <c r="I1912" s="58"/>
      <c r="J1912" s="65"/>
      <c r="K1912" s="58"/>
      <c r="L1912" s="65"/>
      <c r="M1912" s="58"/>
      <c r="N1912" s="65"/>
      <c r="O1912" s="58"/>
      <c r="P1912" s="65"/>
      <c r="Q1912" s="58"/>
      <c r="R1912" s="65"/>
      <c r="S1912" s="59"/>
      <c r="T1912" s="64"/>
      <c r="U1912" s="44"/>
      <c r="V1912" s="84"/>
      <c r="W1912" s="59"/>
      <c r="X1912" s="64"/>
      <c r="Y1912" s="58"/>
      <c r="Z1912" s="65"/>
      <c r="AA1912" s="58"/>
      <c r="AB1912" s="65"/>
      <c r="AC1912" s="58"/>
      <c r="AD1912" s="65"/>
      <c r="AE1912" s="58"/>
      <c r="AF1912" s="65"/>
      <c r="AG1912" s="58"/>
      <c r="AH1912" s="65"/>
      <c r="AI1912" s="59"/>
      <c r="AJ1912" s="64"/>
      <c r="AK1912" s="44"/>
      <c r="AL1912" s="84"/>
      <c r="AM1912" s="49"/>
      <c r="AN1912" s="49"/>
      <c r="AO1912" s="49"/>
      <c r="AP1912" s="49"/>
      <c r="AQ1912" s="49"/>
      <c r="AR1912" s="40"/>
      <c r="AS1912" s="51"/>
      <c r="AT1912" s="84"/>
      <c r="AU1912" s="49"/>
      <c r="AV1912" s="84"/>
      <c r="AW1912" s="52"/>
      <c r="AX1912" s="84"/>
      <c r="BA1912" s="2"/>
      <c r="BB1912" s="2"/>
      <c r="BC1912" s="101"/>
      <c r="BD1912" s="101"/>
    </row>
    <row r="1913" spans="1:56" s="53" customFormat="1" ht="15" thickBot="1" x14ac:dyDescent="0.4">
      <c r="A1913" s="84"/>
      <c r="B1913" s="30" t="str">
        <f>IF(B1839="","",B1839)</f>
        <v/>
      </c>
      <c r="C1913" s="31"/>
      <c r="D1913" s="32"/>
      <c r="E1913" s="33" t="str">
        <f t="shared" si="739"/>
        <v/>
      </c>
      <c r="F1913" s="50">
        <f>B1859</f>
        <v>9</v>
      </c>
      <c r="G1913" s="69"/>
      <c r="H1913" s="70"/>
      <c r="I1913" s="67"/>
      <c r="J1913" s="68"/>
      <c r="K1913" s="67"/>
      <c r="L1913" s="68"/>
      <c r="M1913" s="67"/>
      <c r="N1913" s="68"/>
      <c r="O1913" s="67"/>
      <c r="P1913" s="68"/>
      <c r="Q1913" s="67"/>
      <c r="R1913" s="68"/>
      <c r="S1913" s="69"/>
      <c r="T1913" s="70"/>
      <c r="U1913" s="71">
        <f t="shared" ref="U1913" si="748">SUM(G1913:T1913)</f>
        <v>0</v>
      </c>
      <c r="V1913" s="72"/>
      <c r="W1913" s="69"/>
      <c r="X1913" s="70"/>
      <c r="Y1913" s="67"/>
      <c r="Z1913" s="68"/>
      <c r="AA1913" s="67"/>
      <c r="AB1913" s="68"/>
      <c r="AC1913" s="67"/>
      <c r="AD1913" s="68"/>
      <c r="AE1913" s="67"/>
      <c r="AF1913" s="68"/>
      <c r="AG1913" s="67"/>
      <c r="AH1913" s="68"/>
      <c r="AI1913" s="69"/>
      <c r="AJ1913" s="70"/>
      <c r="AK1913" s="71">
        <v>0</v>
      </c>
      <c r="AL1913" s="72"/>
      <c r="AM1913" s="73">
        <v>0</v>
      </c>
      <c r="AN1913" s="88">
        <v>0</v>
      </c>
      <c r="AO1913" s="73">
        <v>0</v>
      </c>
      <c r="AP1913" s="73">
        <v>0</v>
      </c>
      <c r="AQ1913" s="73">
        <v>0</v>
      </c>
      <c r="AR1913" s="74">
        <v>0</v>
      </c>
      <c r="AS1913" s="75">
        <v>0</v>
      </c>
      <c r="AT1913" s="72"/>
      <c r="AU1913" s="73">
        <f>SUMIF($G1912:$T1912,"A",$G1913:$T1913)+SUMIF($W1912:$AJ1912,"A",$W1913:$AJ1913)</f>
        <v>0</v>
      </c>
      <c r="AV1913" s="72"/>
      <c r="AW1913" s="76">
        <f>IF(B1913="",0,IF($U$9="",0,$U$9))</f>
        <v>0</v>
      </c>
      <c r="AX1913" s="84"/>
      <c r="BA1913" s="2"/>
      <c r="BB1913" s="2"/>
      <c r="BC1913" s="101"/>
      <c r="BD1913" s="101"/>
    </row>
    <row r="1914" spans="1:56" s="53" customFormat="1" ht="27.75" customHeight="1" thickBot="1" x14ac:dyDescent="0.4">
      <c r="A1914" s="84"/>
      <c r="B1914" s="149" t="s">
        <v>7</v>
      </c>
      <c r="C1914" s="150"/>
      <c r="D1914" s="150"/>
      <c r="E1914" s="151"/>
      <c r="F1914" s="97"/>
      <c r="G1914" s="152">
        <f>SUM(G1864:H1913)</f>
        <v>0</v>
      </c>
      <c r="H1914" s="152"/>
      <c r="I1914" s="152">
        <f>SUM(I1864:J1913)</f>
        <v>121.5</v>
      </c>
      <c r="J1914" s="152"/>
      <c r="K1914" s="152">
        <f>SUM(K1864:L1913)</f>
        <v>121</v>
      </c>
      <c r="L1914" s="152"/>
      <c r="M1914" s="152">
        <f>SUM(M1864:N1913)</f>
        <v>109</v>
      </c>
      <c r="N1914" s="152"/>
      <c r="O1914" s="152">
        <f>SUM(O1864:P1913)</f>
        <v>96.75</v>
      </c>
      <c r="P1914" s="152"/>
      <c r="Q1914" s="152">
        <f>SUM(Q1864:R1913)</f>
        <v>113</v>
      </c>
      <c r="R1914" s="152"/>
      <c r="S1914" s="152">
        <f>SUM(S1864:T1913)</f>
        <v>0</v>
      </c>
      <c r="T1914" s="153"/>
      <c r="U1914" s="77">
        <f>SUM(U1864:U1913)</f>
        <v>561.25</v>
      </c>
      <c r="V1914" s="78"/>
      <c r="W1914" s="152">
        <f>SUM(W1864:X1913)</f>
        <v>0</v>
      </c>
      <c r="X1914" s="152"/>
      <c r="Y1914" s="152">
        <f>SUM(Y1864:Z1913)</f>
        <v>104.5</v>
      </c>
      <c r="Z1914" s="152"/>
      <c r="AA1914" s="152">
        <f>SUM(AA1864:AB1913)</f>
        <v>111.5</v>
      </c>
      <c r="AB1914" s="152"/>
      <c r="AC1914" s="152">
        <f>SUM(AC1864:AD1913)</f>
        <v>113</v>
      </c>
      <c r="AD1914" s="152"/>
      <c r="AE1914" s="152">
        <f>SUM(AE1864:AF1913)</f>
        <v>111.25</v>
      </c>
      <c r="AF1914" s="152"/>
      <c r="AG1914" s="152">
        <f>SUM(AG1864:AH1913)</f>
        <v>110.75</v>
      </c>
      <c r="AH1914" s="152"/>
      <c r="AI1914" s="152">
        <f>SUM(AI1864:AJ1913)</f>
        <v>0</v>
      </c>
      <c r="AJ1914" s="152"/>
      <c r="AK1914" s="77">
        <f>SUM(AK1864:AK1913)</f>
        <v>551</v>
      </c>
      <c r="AL1914" s="78"/>
      <c r="AM1914" s="79">
        <f t="shared" ref="AM1914:AS1914" si="749">SUM(AM1864:AM1913)</f>
        <v>943.25</v>
      </c>
      <c r="AN1914" s="79">
        <f t="shared" si="749"/>
        <v>9</v>
      </c>
      <c r="AO1914" s="79">
        <f t="shared" si="749"/>
        <v>8</v>
      </c>
      <c r="AP1914" s="79">
        <f t="shared" si="749"/>
        <v>112</v>
      </c>
      <c r="AQ1914" s="79">
        <f t="shared" si="749"/>
        <v>40</v>
      </c>
      <c r="AR1914" s="80">
        <f t="shared" si="749"/>
        <v>0</v>
      </c>
      <c r="AS1914" s="81">
        <f t="shared" si="749"/>
        <v>1112.25</v>
      </c>
      <c r="AT1914" s="78"/>
      <c r="AU1914" s="82">
        <f>SUM(AU1864:AU1913)</f>
        <v>0</v>
      </c>
      <c r="AV1914" s="78"/>
      <c r="AW1914" s="83">
        <f>SUM(AW1864:AW1913)</f>
        <v>1440</v>
      </c>
      <c r="AX1914" s="84"/>
      <c r="BA1914" s="2"/>
      <c r="BB1914" s="2"/>
      <c r="BC1914" s="101"/>
      <c r="BD1914" s="101"/>
    </row>
    <row r="1915" spans="1:56" s="53" customFormat="1" ht="15" thickTop="1" x14ac:dyDescent="0.35">
      <c r="B1915" s="54"/>
      <c r="F1915" s="98"/>
      <c r="G1915" s="55"/>
      <c r="H1915" s="55"/>
      <c r="I1915" s="55"/>
      <c r="J1915" s="55"/>
      <c r="K1915" s="55"/>
      <c r="L1915" s="55"/>
      <c r="M1915" s="55"/>
      <c r="N1915" s="55"/>
      <c r="O1915" s="55"/>
      <c r="P1915" s="55"/>
      <c r="Q1915" s="55"/>
      <c r="R1915" s="55"/>
      <c r="S1915" s="55"/>
      <c r="T1915" s="55"/>
      <c r="U1915" s="56"/>
      <c r="V1915" s="55"/>
      <c r="W1915" s="55"/>
      <c r="X1915" s="55"/>
      <c r="Y1915" s="55"/>
      <c r="Z1915" s="55"/>
      <c r="AA1915" s="55"/>
      <c r="AB1915" s="55"/>
      <c r="AC1915" s="55"/>
      <c r="AD1915" s="55"/>
      <c r="AE1915" s="55"/>
      <c r="AF1915" s="55"/>
      <c r="AG1915" s="55"/>
      <c r="AH1915" s="55"/>
      <c r="AI1915" s="55"/>
      <c r="AJ1915" s="55"/>
      <c r="AK1915" s="56"/>
      <c r="AL1915" s="55"/>
      <c r="AM1915" s="55"/>
      <c r="AN1915" s="55"/>
      <c r="AO1915" s="55"/>
      <c r="AP1915" s="55"/>
      <c r="AQ1915" s="55"/>
      <c r="AR1915" s="55"/>
      <c r="AS1915" s="55"/>
      <c r="AT1915" s="55"/>
      <c r="AU1915" s="55"/>
      <c r="AV1915" s="55"/>
      <c r="AW1915" s="55"/>
      <c r="BA1915" s="2"/>
      <c r="BB1915" s="2"/>
      <c r="BC1915" s="101"/>
      <c r="BD1915" s="101"/>
    </row>
    <row r="1916" spans="1:56" s="53" customFormat="1" x14ac:dyDescent="0.35">
      <c r="B1916" s="54" t="s">
        <v>52</v>
      </c>
      <c r="D1916" s="141" t="s">
        <v>111</v>
      </c>
      <c r="E1916" s="141"/>
      <c r="F1916" s="141"/>
      <c r="G1916" s="141"/>
      <c r="H1916" s="141"/>
      <c r="I1916" s="141"/>
      <c r="J1916" s="141"/>
      <c r="K1916" s="141"/>
      <c r="L1916" s="141"/>
      <c r="M1916" s="141"/>
      <c r="N1916" s="141"/>
      <c r="O1916" s="141"/>
      <c r="P1916" s="141"/>
      <c r="Q1916" s="141"/>
      <c r="R1916" s="141"/>
      <c r="S1916" s="141"/>
      <c r="T1916" s="141"/>
      <c r="U1916" s="141"/>
      <c r="V1916" s="141"/>
      <c r="W1916" s="141"/>
      <c r="X1916" s="141"/>
      <c r="Y1916" s="141"/>
      <c r="Z1916" s="141"/>
      <c r="AA1916" s="141"/>
      <c r="AB1916" s="141"/>
      <c r="AC1916" s="141"/>
      <c r="AD1916" s="141"/>
      <c r="AE1916" s="141"/>
      <c r="AF1916" s="141"/>
      <c r="AG1916" s="141"/>
      <c r="AH1916" s="141"/>
      <c r="AI1916" s="141"/>
      <c r="AJ1916" s="141"/>
      <c r="AK1916" s="56"/>
      <c r="AL1916" s="55"/>
      <c r="AM1916" s="55"/>
      <c r="AN1916" s="55"/>
      <c r="AO1916" s="55"/>
      <c r="AP1916" s="55"/>
      <c r="AQ1916" s="55"/>
      <c r="AR1916" s="55"/>
      <c r="AS1916" s="55"/>
      <c r="AT1916" s="55"/>
      <c r="AU1916" s="55"/>
      <c r="AV1916" s="55"/>
      <c r="AW1916" s="55"/>
      <c r="BA1916" s="2"/>
      <c r="BB1916" s="2"/>
      <c r="BC1916" s="101"/>
      <c r="BD1916" s="101"/>
    </row>
    <row r="1917" spans="1:56" s="84" customFormat="1" x14ac:dyDescent="0.35">
      <c r="A1917" s="53"/>
      <c r="B1917" s="54"/>
      <c r="C1917" s="53"/>
      <c r="D1917" s="141"/>
      <c r="E1917" s="141"/>
      <c r="F1917" s="141"/>
      <c r="G1917" s="141"/>
      <c r="H1917" s="141"/>
      <c r="I1917" s="141"/>
      <c r="J1917" s="141"/>
      <c r="K1917" s="141"/>
      <c r="L1917" s="141"/>
      <c r="M1917" s="141"/>
      <c r="N1917" s="141"/>
      <c r="O1917" s="141"/>
      <c r="P1917" s="141"/>
      <c r="Q1917" s="141"/>
      <c r="R1917" s="141"/>
      <c r="S1917" s="141"/>
      <c r="T1917" s="141"/>
      <c r="U1917" s="141"/>
      <c r="V1917" s="141"/>
      <c r="W1917" s="141"/>
      <c r="X1917" s="141"/>
      <c r="Y1917" s="141"/>
      <c r="Z1917" s="141"/>
      <c r="AA1917" s="141"/>
      <c r="AB1917" s="141"/>
      <c r="AC1917" s="141"/>
      <c r="AD1917" s="141"/>
      <c r="AE1917" s="141"/>
      <c r="AF1917" s="141"/>
      <c r="AG1917" s="141"/>
      <c r="AH1917" s="141"/>
      <c r="AI1917" s="141"/>
      <c r="AJ1917" s="141"/>
      <c r="AK1917" s="56"/>
      <c r="AL1917" s="55"/>
      <c r="AM1917" s="55"/>
      <c r="AN1917" s="55"/>
      <c r="AO1917" s="55"/>
      <c r="AP1917" s="55"/>
      <c r="AQ1917" s="55"/>
      <c r="AR1917" s="55"/>
      <c r="AS1917" s="55"/>
      <c r="AT1917" s="55"/>
      <c r="AU1917" s="55"/>
      <c r="AV1917" s="55"/>
      <c r="AW1917" s="55"/>
      <c r="AX1917" s="53"/>
      <c r="BA1917" s="2"/>
      <c r="BB1917" s="2"/>
      <c r="BC1917" s="101"/>
      <c r="BD1917" s="101"/>
    </row>
    <row r="1918" spans="1:56" s="84" customFormat="1" x14ac:dyDescent="0.35">
      <c r="A1918" s="53"/>
      <c r="B1918" s="54"/>
      <c r="C1918" s="53"/>
      <c r="D1918" s="141"/>
      <c r="E1918" s="141"/>
      <c r="F1918" s="141"/>
      <c r="G1918" s="141"/>
      <c r="H1918" s="141"/>
      <c r="I1918" s="141"/>
      <c r="J1918" s="141"/>
      <c r="K1918" s="141"/>
      <c r="L1918" s="141"/>
      <c r="M1918" s="141"/>
      <c r="N1918" s="141"/>
      <c r="O1918" s="141"/>
      <c r="P1918" s="141"/>
      <c r="Q1918" s="141"/>
      <c r="R1918" s="141"/>
      <c r="S1918" s="141"/>
      <c r="T1918" s="141"/>
      <c r="U1918" s="141"/>
      <c r="V1918" s="141"/>
      <c r="W1918" s="141"/>
      <c r="X1918" s="141"/>
      <c r="Y1918" s="141"/>
      <c r="Z1918" s="141"/>
      <c r="AA1918" s="141"/>
      <c r="AB1918" s="141"/>
      <c r="AC1918" s="141"/>
      <c r="AD1918" s="141"/>
      <c r="AE1918" s="141"/>
      <c r="AF1918" s="141"/>
      <c r="AG1918" s="141"/>
      <c r="AH1918" s="141"/>
      <c r="AI1918" s="141"/>
      <c r="AJ1918" s="141"/>
      <c r="AK1918" s="56"/>
      <c r="AL1918" s="55"/>
      <c r="AM1918" s="55"/>
      <c r="AN1918" s="55"/>
      <c r="AO1918" s="55"/>
      <c r="AP1918" s="55"/>
      <c r="AQ1918" s="55"/>
      <c r="AR1918" s="55"/>
      <c r="AS1918" s="55"/>
      <c r="AT1918" s="55"/>
      <c r="AU1918" s="55"/>
      <c r="AV1918" s="55"/>
      <c r="AW1918" s="55"/>
      <c r="AX1918" s="53"/>
      <c r="BA1918" s="2"/>
      <c r="BB1918" s="2"/>
      <c r="BC1918" s="101"/>
      <c r="BD1918" s="101"/>
    </row>
    <row r="1919" spans="1:56" s="84" customFormat="1" ht="15" customHeight="1" x14ac:dyDescent="0.35">
      <c r="A1919" s="53"/>
      <c r="B1919" s="54"/>
      <c r="C1919" s="53"/>
      <c r="D1919" s="53"/>
      <c r="E1919" s="53"/>
      <c r="F1919" s="98"/>
      <c r="G1919" s="55"/>
      <c r="H1919" s="55"/>
      <c r="I1919" s="55"/>
      <c r="J1919" s="55"/>
      <c r="K1919" s="55"/>
      <c r="L1919" s="55"/>
      <c r="M1919" s="55"/>
      <c r="N1919" s="55"/>
      <c r="O1919" s="55"/>
      <c r="P1919" s="55"/>
      <c r="Q1919" s="55"/>
      <c r="R1919" s="55"/>
      <c r="S1919" s="55"/>
      <c r="T1919" s="55"/>
      <c r="U1919" s="56"/>
      <c r="V1919" s="55"/>
      <c r="W1919" s="55"/>
      <c r="X1919" s="55"/>
      <c r="Y1919" s="55"/>
      <c r="Z1919" s="55"/>
      <c r="AA1919" s="55"/>
      <c r="AB1919" s="55"/>
      <c r="AC1919" s="55"/>
      <c r="AD1919" s="55"/>
      <c r="AE1919" s="55"/>
      <c r="AF1919" s="55"/>
      <c r="AG1919" s="55"/>
      <c r="AH1919" s="55"/>
      <c r="AI1919" s="55"/>
      <c r="AJ1919" s="55"/>
      <c r="AK1919" s="56"/>
      <c r="AL1919" s="55"/>
      <c r="AM1919" s="55"/>
      <c r="AN1919" s="55"/>
      <c r="AO1919" s="55"/>
      <c r="AP1919" s="55"/>
      <c r="AQ1919" s="55"/>
      <c r="AR1919" s="55"/>
      <c r="AS1919" s="55"/>
      <c r="AT1919" s="55"/>
      <c r="AU1919" s="55"/>
      <c r="AV1919" s="55"/>
      <c r="AW1919" s="55"/>
      <c r="AX1919" s="53"/>
      <c r="BA1919" s="2"/>
      <c r="BB1919" s="2"/>
      <c r="BC1919" s="101"/>
      <c r="BD1919" s="101"/>
    </row>
    <row r="1920" spans="1:56" s="84" customFormat="1" ht="15" customHeight="1" x14ac:dyDescent="0.35">
      <c r="A1920" s="53"/>
      <c r="B1920" s="54" t="s">
        <v>53</v>
      </c>
      <c r="C1920" s="53"/>
      <c r="D1920" s="31"/>
      <c r="E1920" s="34"/>
      <c r="F1920" s="99"/>
      <c r="G1920" s="34"/>
      <c r="H1920" s="34"/>
      <c r="I1920" s="34"/>
      <c r="J1920" s="34"/>
      <c r="K1920" s="53"/>
      <c r="L1920" s="55" t="s">
        <v>8</v>
      </c>
      <c r="M1920" s="53"/>
      <c r="N1920" s="142">
        <f ca="1">NOW()</f>
        <v>44720.650928935182</v>
      </c>
      <c r="O1920" s="142"/>
      <c r="P1920" s="142"/>
      <c r="Q1920" s="53"/>
      <c r="R1920" s="53"/>
      <c r="S1920" s="53"/>
      <c r="T1920" s="53"/>
      <c r="U1920" s="53"/>
      <c r="V1920" s="55"/>
      <c r="W1920" s="55"/>
      <c r="X1920" s="55"/>
      <c r="Y1920" s="55"/>
      <c r="Z1920" s="55"/>
      <c r="AA1920" s="55"/>
      <c r="AB1920" s="55"/>
      <c r="AC1920" s="55"/>
      <c r="AD1920" s="55"/>
      <c r="AE1920" s="55"/>
      <c r="AF1920" s="55"/>
      <c r="AG1920" s="55"/>
      <c r="AH1920" s="55"/>
      <c r="AI1920" s="55"/>
      <c r="AJ1920" s="55"/>
      <c r="AK1920" s="56"/>
      <c r="AL1920" s="55"/>
      <c r="AM1920" s="55"/>
      <c r="AN1920" s="55"/>
      <c r="AO1920" s="55"/>
      <c r="AP1920" s="55"/>
      <c r="AQ1920" s="55"/>
      <c r="AR1920" s="55"/>
      <c r="AS1920" s="55"/>
      <c r="AT1920" s="55"/>
      <c r="AU1920" s="55"/>
      <c r="AV1920" s="55"/>
      <c r="AW1920" s="55"/>
      <c r="AX1920" s="53"/>
      <c r="BA1920" s="2"/>
      <c r="BB1920" s="2"/>
      <c r="BC1920" s="101"/>
      <c r="BD1920" s="101"/>
    </row>
    <row r="1921" spans="1:56" s="84" customFormat="1" x14ac:dyDescent="0.35">
      <c r="A1921" s="53"/>
      <c r="B1921" s="54"/>
      <c r="C1921" s="53"/>
      <c r="D1921" s="53"/>
      <c r="E1921" s="53"/>
      <c r="F1921" s="98"/>
      <c r="G1921" s="55"/>
      <c r="H1921" s="55"/>
      <c r="I1921" s="55"/>
      <c r="J1921" s="55"/>
      <c r="K1921" s="53"/>
      <c r="L1921" s="55"/>
      <c r="M1921" s="53"/>
      <c r="N1921" s="55"/>
      <c r="O1921" s="56"/>
      <c r="P1921" s="53"/>
      <c r="Q1921" s="53"/>
      <c r="R1921" s="53"/>
      <c r="S1921" s="53"/>
      <c r="T1921" s="53"/>
      <c r="U1921" s="53"/>
      <c r="V1921" s="55"/>
      <c r="W1921" s="55"/>
      <c r="X1921" s="55"/>
      <c r="Y1921" s="55"/>
      <c r="Z1921" s="55"/>
      <c r="AA1921" s="55"/>
      <c r="AB1921" s="55"/>
      <c r="AC1921" s="55"/>
      <c r="AD1921" s="55"/>
      <c r="AE1921" s="55"/>
      <c r="AF1921" s="55"/>
      <c r="AG1921" s="55"/>
      <c r="AH1921" s="55"/>
      <c r="AI1921" s="55"/>
      <c r="AJ1921" s="55"/>
      <c r="AK1921" s="56"/>
      <c r="AL1921" s="55"/>
      <c r="AM1921" s="55"/>
      <c r="AN1921" s="55"/>
      <c r="AO1921" s="55"/>
      <c r="AP1921" s="55"/>
      <c r="AQ1921" s="55"/>
      <c r="AR1921" s="55"/>
      <c r="AS1921" s="55"/>
      <c r="AT1921" s="55"/>
      <c r="AU1921" s="55"/>
      <c r="AV1921" s="55"/>
      <c r="AW1921" s="55"/>
      <c r="AX1921" s="53"/>
      <c r="BA1921" s="2"/>
      <c r="BB1921" s="2"/>
      <c r="BC1921" s="101"/>
      <c r="BD1921" s="101"/>
    </row>
    <row r="1922" spans="1:56" s="84" customFormat="1" x14ac:dyDescent="0.35">
      <c r="A1922" s="53"/>
      <c r="B1922" s="54" t="s">
        <v>54</v>
      </c>
      <c r="C1922" s="53"/>
      <c r="D1922" s="31"/>
      <c r="E1922" s="34"/>
      <c r="F1922" s="99"/>
      <c r="G1922" s="34"/>
      <c r="H1922" s="34"/>
      <c r="I1922" s="34"/>
      <c r="J1922" s="34"/>
      <c r="K1922" s="53"/>
      <c r="L1922" s="55" t="s">
        <v>8</v>
      </c>
      <c r="M1922" s="53"/>
      <c r="N1922" s="142">
        <f ca="1">NOW()</f>
        <v>44720.650928935182</v>
      </c>
      <c r="O1922" s="142"/>
      <c r="P1922" s="142"/>
      <c r="Q1922" s="53"/>
      <c r="R1922" s="53"/>
      <c r="S1922" s="53"/>
      <c r="T1922" s="53"/>
      <c r="U1922" s="53"/>
      <c r="V1922" s="55"/>
      <c r="W1922" s="55"/>
      <c r="X1922" s="55"/>
      <c r="Y1922" s="55"/>
      <c r="Z1922" s="55"/>
      <c r="AA1922" s="55"/>
      <c r="AB1922" s="55"/>
      <c r="AC1922" s="55"/>
      <c r="AD1922" s="55"/>
      <c r="AE1922" s="55"/>
      <c r="AF1922" s="55"/>
      <c r="AG1922" s="55"/>
      <c r="AH1922" s="55"/>
      <c r="AI1922" s="55"/>
      <c r="AJ1922" s="55"/>
      <c r="AK1922" s="56"/>
      <c r="AL1922" s="55"/>
      <c r="AM1922" s="55"/>
      <c r="AN1922" s="55"/>
      <c r="AO1922" s="55"/>
      <c r="AP1922" s="55"/>
      <c r="AQ1922" s="55"/>
      <c r="AR1922" s="55"/>
      <c r="AS1922" s="55"/>
      <c r="AT1922" s="55"/>
      <c r="AU1922" s="55"/>
      <c r="AV1922" s="55"/>
      <c r="AW1922" s="55"/>
      <c r="AX1922" s="53"/>
      <c r="BA1922" s="2"/>
      <c r="BB1922" s="2"/>
      <c r="BC1922" s="101"/>
      <c r="BD1922" s="101"/>
    </row>
    <row r="1923" spans="1:56" s="84" customFormat="1" x14ac:dyDescent="0.35">
      <c r="A1923" s="53"/>
      <c r="B1923" s="54"/>
      <c r="C1923" s="53"/>
      <c r="D1923" s="53"/>
      <c r="E1923" s="53"/>
      <c r="F1923" s="98"/>
      <c r="G1923" s="55"/>
      <c r="H1923" s="55"/>
      <c r="I1923" s="55"/>
      <c r="J1923" s="55"/>
      <c r="K1923" s="55"/>
      <c r="L1923" s="55"/>
      <c r="M1923" s="55"/>
      <c r="N1923" s="55"/>
      <c r="O1923" s="55"/>
      <c r="P1923" s="55"/>
      <c r="Q1923" s="55"/>
      <c r="R1923" s="55"/>
      <c r="S1923" s="55"/>
      <c r="T1923" s="55"/>
      <c r="U1923" s="56"/>
      <c r="V1923" s="55"/>
      <c r="W1923" s="55"/>
      <c r="X1923" s="55"/>
      <c r="Y1923" s="55"/>
      <c r="Z1923" s="55"/>
      <c r="AA1923" s="55"/>
      <c r="AB1923" s="55"/>
      <c r="AC1923" s="55"/>
      <c r="AD1923" s="55"/>
      <c r="AE1923" s="55"/>
      <c r="AF1923" s="55"/>
      <c r="AG1923" s="55"/>
      <c r="AH1923" s="55"/>
      <c r="AI1923" s="55"/>
      <c r="AJ1923" s="55"/>
      <c r="AK1923" s="56"/>
      <c r="AL1923" s="55"/>
      <c r="AM1923" s="55"/>
      <c r="AN1923" s="55"/>
      <c r="AO1923" s="55"/>
      <c r="AP1923" s="55"/>
      <c r="AQ1923" s="55"/>
      <c r="AR1923" s="55"/>
      <c r="AS1923" s="55"/>
      <c r="AT1923" s="55"/>
      <c r="AU1923" s="55"/>
      <c r="AV1923" s="55"/>
      <c r="AW1923" s="55"/>
      <c r="AX1923" s="53"/>
      <c r="BA1923" s="2"/>
      <c r="BB1923" s="2"/>
      <c r="BC1923" s="101"/>
      <c r="BD1923" s="101"/>
    </row>
    <row r="1924" spans="1:56" s="84" customFormat="1" x14ac:dyDescent="0.35">
      <c r="A1924" s="53"/>
      <c r="B1924" s="54" t="s">
        <v>9</v>
      </c>
      <c r="C1924" s="53"/>
      <c r="D1924" s="53"/>
      <c r="E1924" s="53"/>
      <c r="F1924" s="98"/>
      <c r="G1924" s="55"/>
      <c r="H1924" s="55"/>
      <c r="I1924" s="55"/>
      <c r="J1924" s="55"/>
      <c r="K1924" s="55"/>
      <c r="L1924" s="55"/>
      <c r="M1924" s="55"/>
      <c r="N1924" s="55"/>
      <c r="O1924" s="55"/>
      <c r="P1924" s="55"/>
      <c r="Q1924" s="55"/>
      <c r="R1924" s="55"/>
      <c r="S1924" s="55"/>
      <c r="T1924" s="55"/>
      <c r="U1924" s="56"/>
      <c r="V1924" s="55"/>
      <c r="W1924" s="55"/>
      <c r="X1924" s="55"/>
      <c r="Y1924" s="55"/>
      <c r="Z1924" s="55"/>
      <c r="AA1924" s="55"/>
      <c r="AB1924" s="55"/>
      <c r="AC1924" s="55"/>
      <c r="AD1924" s="55"/>
      <c r="AE1924" s="55"/>
      <c r="AF1924" s="55"/>
      <c r="AG1924" s="55"/>
      <c r="AH1924" s="55"/>
      <c r="AI1924" s="55"/>
      <c r="AJ1924" s="55"/>
      <c r="AK1924" s="56"/>
      <c r="AL1924" s="55"/>
      <c r="AM1924" s="55"/>
      <c r="AN1924" s="55"/>
      <c r="AO1924" s="55"/>
      <c r="AP1924" s="55"/>
      <c r="AQ1924" s="55"/>
      <c r="AR1924" s="55"/>
      <c r="AS1924" s="55"/>
      <c r="AT1924" s="55"/>
      <c r="AU1924" s="55"/>
      <c r="AV1924" s="55"/>
      <c r="AW1924" s="55"/>
      <c r="AX1924" s="53"/>
      <c r="BA1924" s="2"/>
      <c r="BB1924" s="2"/>
      <c r="BC1924" s="101"/>
      <c r="BD1924" s="101"/>
    </row>
    <row r="1925" spans="1:56" x14ac:dyDescent="0.35">
      <c r="BA1925" s="2"/>
      <c r="BB1925" s="2"/>
      <c r="BC1925" s="101"/>
      <c r="BD1925" s="101"/>
    </row>
    <row r="1926" spans="1:56" x14ac:dyDescent="0.35">
      <c r="BA1926" s="2"/>
      <c r="BB1926" s="2"/>
      <c r="BC1926" s="101"/>
      <c r="BD1926" s="101"/>
    </row>
    <row r="1927" spans="1:56" x14ac:dyDescent="0.35">
      <c r="BA1927" s="2"/>
      <c r="BB1927" s="2"/>
      <c r="BC1927" s="101"/>
      <c r="BD1927" s="101"/>
    </row>
    <row r="1928" spans="1:56" x14ac:dyDescent="0.35">
      <c r="BA1928" s="2"/>
      <c r="BB1928" s="2"/>
      <c r="BC1928" s="101"/>
      <c r="BD1928" s="101"/>
    </row>
    <row r="1929" spans="1:56" x14ac:dyDescent="0.35">
      <c r="BA1929" s="2"/>
      <c r="BB1929" s="2"/>
      <c r="BC1929" s="101"/>
      <c r="BD1929" s="101"/>
    </row>
    <row r="1930" spans="1:56" x14ac:dyDescent="0.35">
      <c r="BA1930" s="2"/>
      <c r="BB1930" s="2"/>
      <c r="BC1930" s="101"/>
      <c r="BD1930" s="101"/>
    </row>
    <row r="1931" spans="1:56" x14ac:dyDescent="0.35">
      <c r="BA1931" s="2"/>
      <c r="BB1931" s="2"/>
      <c r="BC1931" s="101"/>
      <c r="BD1931" s="101"/>
    </row>
    <row r="1932" spans="1:56" x14ac:dyDescent="0.35">
      <c r="BA1932" s="2"/>
      <c r="BB1932" s="2"/>
      <c r="BC1932" s="101"/>
      <c r="BD1932" s="101"/>
    </row>
    <row r="1933" spans="1:56" x14ac:dyDescent="0.35">
      <c r="BA1933" s="2"/>
      <c r="BB1933" s="2"/>
      <c r="BC1933" s="101"/>
      <c r="BD1933" s="101"/>
    </row>
    <row r="1934" spans="1:56" x14ac:dyDescent="0.35">
      <c r="BA1934" s="2"/>
      <c r="BB1934" s="2"/>
      <c r="BC1934" s="101"/>
      <c r="BD1934" s="101"/>
    </row>
    <row r="1935" spans="1:56" x14ac:dyDescent="0.35">
      <c r="BA1935" s="2"/>
      <c r="BB1935" s="2"/>
      <c r="BC1935" s="101"/>
      <c r="BD1935" s="101"/>
    </row>
    <row r="1936" spans="1:56" x14ac:dyDescent="0.35">
      <c r="BA1936" s="2"/>
      <c r="BB1936" s="2"/>
      <c r="BC1936" s="101"/>
      <c r="BD1936" s="101"/>
    </row>
    <row r="1937" spans="53:56" x14ac:dyDescent="0.35">
      <c r="BA1937" s="2"/>
      <c r="BB1937" s="2"/>
      <c r="BC1937" s="101"/>
      <c r="BD1937" s="101"/>
    </row>
    <row r="1938" spans="53:56" x14ac:dyDescent="0.35">
      <c r="BA1938" s="2"/>
      <c r="BB1938" s="2"/>
      <c r="BC1938" s="101"/>
      <c r="BD1938" s="101"/>
    </row>
    <row r="1939" spans="53:56" x14ac:dyDescent="0.35">
      <c r="BA1939" s="2"/>
      <c r="BB1939" s="2"/>
      <c r="BC1939" s="101"/>
      <c r="BD1939" s="101"/>
    </row>
    <row r="1940" spans="53:56" x14ac:dyDescent="0.35">
      <c r="BA1940" s="2"/>
      <c r="BB1940" s="2"/>
      <c r="BC1940" s="101"/>
      <c r="BD1940" s="101"/>
    </row>
    <row r="1941" spans="53:56" x14ac:dyDescent="0.35">
      <c r="BA1941" s="2"/>
      <c r="BB1941" s="2"/>
      <c r="BC1941" s="101"/>
      <c r="BD1941" s="101"/>
    </row>
    <row r="1942" spans="53:56" x14ac:dyDescent="0.35">
      <c r="BA1942" s="2"/>
      <c r="BB1942" s="2"/>
      <c r="BC1942" s="101"/>
      <c r="BD1942" s="101"/>
    </row>
    <row r="1943" spans="53:56" x14ac:dyDescent="0.35">
      <c r="BA1943" s="2"/>
      <c r="BB1943" s="2"/>
      <c r="BC1943" s="101"/>
      <c r="BD1943" s="101"/>
    </row>
    <row r="1944" spans="53:56" x14ac:dyDescent="0.35">
      <c r="BA1944" s="2"/>
      <c r="BB1944" s="2"/>
      <c r="BC1944" s="101"/>
      <c r="BD1944" s="101"/>
    </row>
    <row r="1945" spans="53:56" x14ac:dyDescent="0.35">
      <c r="BA1945" s="2"/>
      <c r="BB1945" s="2"/>
      <c r="BC1945" s="101"/>
      <c r="BD1945" s="101"/>
    </row>
    <row r="1946" spans="53:56" x14ac:dyDescent="0.35">
      <c r="BA1946" s="2"/>
      <c r="BB1946" s="2"/>
      <c r="BC1946" s="101"/>
      <c r="BD1946" s="101"/>
    </row>
    <row r="1947" spans="53:56" x14ac:dyDescent="0.35">
      <c r="BA1947" s="2"/>
      <c r="BB1947" s="2"/>
      <c r="BC1947" s="101"/>
      <c r="BD1947" s="101"/>
    </row>
    <row r="1948" spans="53:56" x14ac:dyDescent="0.35">
      <c r="BA1948" s="2"/>
      <c r="BB1948" s="2"/>
      <c r="BC1948" s="101"/>
      <c r="BD1948" s="101"/>
    </row>
    <row r="1949" spans="53:56" x14ac:dyDescent="0.35">
      <c r="BA1949" s="2"/>
      <c r="BB1949" s="2"/>
      <c r="BC1949" s="101"/>
      <c r="BD1949" s="101"/>
    </row>
    <row r="1950" spans="53:56" x14ac:dyDescent="0.35">
      <c r="BA1950" s="2"/>
      <c r="BB1950" s="2"/>
      <c r="BC1950" s="101"/>
      <c r="BD1950" s="101"/>
    </row>
    <row r="1951" spans="53:56" x14ac:dyDescent="0.35">
      <c r="BA1951" s="2"/>
      <c r="BB1951" s="2"/>
      <c r="BC1951" s="101"/>
      <c r="BD1951" s="101"/>
    </row>
    <row r="1952" spans="53:56" x14ac:dyDescent="0.35">
      <c r="BA1952" s="2"/>
      <c r="BB1952" s="2"/>
      <c r="BC1952" s="101"/>
      <c r="BD1952" s="101"/>
    </row>
    <row r="1953" spans="53:56" x14ac:dyDescent="0.35">
      <c r="BA1953" s="2"/>
      <c r="BB1953" s="2"/>
      <c r="BC1953" s="101"/>
      <c r="BD1953" s="101"/>
    </row>
    <row r="1954" spans="53:56" x14ac:dyDescent="0.35">
      <c r="BA1954" s="2"/>
      <c r="BB1954" s="2"/>
      <c r="BC1954" s="101"/>
      <c r="BD1954" s="101"/>
    </row>
    <row r="1955" spans="53:56" x14ac:dyDescent="0.35">
      <c r="BA1955" s="2"/>
      <c r="BB1955" s="2"/>
      <c r="BC1955" s="101"/>
      <c r="BD1955" s="101"/>
    </row>
    <row r="1956" spans="53:56" x14ac:dyDescent="0.35">
      <c r="BA1956" s="2"/>
      <c r="BB1956" s="2"/>
      <c r="BC1956" s="101"/>
      <c r="BD1956" s="101"/>
    </row>
    <row r="1957" spans="53:56" x14ac:dyDescent="0.35">
      <c r="BA1957" s="2"/>
      <c r="BB1957" s="2"/>
      <c r="BC1957" s="101"/>
      <c r="BD1957" s="101"/>
    </row>
    <row r="1958" spans="53:56" x14ac:dyDescent="0.35">
      <c r="BA1958" s="2"/>
      <c r="BB1958" s="2"/>
      <c r="BC1958" s="101"/>
      <c r="BD1958" s="101"/>
    </row>
    <row r="1959" spans="53:56" x14ac:dyDescent="0.35">
      <c r="BA1959" s="2"/>
      <c r="BB1959" s="2"/>
      <c r="BC1959" s="101"/>
      <c r="BD1959" s="101"/>
    </row>
    <row r="1960" spans="53:56" x14ac:dyDescent="0.35">
      <c r="BA1960" s="2"/>
      <c r="BB1960" s="2"/>
      <c r="BC1960" s="101"/>
      <c r="BD1960" s="101"/>
    </row>
    <row r="1961" spans="53:56" x14ac:dyDescent="0.35">
      <c r="BA1961" s="2"/>
      <c r="BB1961" s="2"/>
      <c r="BC1961" s="101"/>
      <c r="BD1961" s="101"/>
    </row>
    <row r="1962" spans="53:56" x14ac:dyDescent="0.35">
      <c r="BA1962" s="2"/>
      <c r="BB1962" s="2"/>
      <c r="BC1962" s="101"/>
      <c r="BD1962" s="101"/>
    </row>
    <row r="1963" spans="53:56" x14ac:dyDescent="0.35">
      <c r="BA1963" s="2"/>
      <c r="BB1963" s="2"/>
      <c r="BC1963" s="101"/>
      <c r="BD1963" s="101"/>
    </row>
    <row r="1964" spans="53:56" x14ac:dyDescent="0.35">
      <c r="BA1964" s="2"/>
      <c r="BB1964" s="2"/>
      <c r="BC1964" s="101"/>
      <c r="BD1964" s="101"/>
    </row>
    <row r="1965" spans="53:56" x14ac:dyDescent="0.35">
      <c r="BA1965" s="2"/>
      <c r="BB1965" s="2"/>
      <c r="BC1965" s="101"/>
      <c r="BD1965" s="101"/>
    </row>
    <row r="1966" spans="53:56" x14ac:dyDescent="0.35">
      <c r="BA1966" s="2"/>
      <c r="BB1966" s="2"/>
      <c r="BC1966" s="101"/>
      <c r="BD1966" s="101"/>
    </row>
    <row r="1967" spans="53:56" x14ac:dyDescent="0.35">
      <c r="BA1967" s="2"/>
      <c r="BB1967" s="2"/>
      <c r="BC1967" s="101"/>
      <c r="BD1967" s="101"/>
    </row>
    <row r="1968" spans="53:56" x14ac:dyDescent="0.35">
      <c r="BA1968" s="2"/>
      <c r="BB1968" s="2"/>
      <c r="BC1968" s="101"/>
      <c r="BD1968" s="101"/>
    </row>
    <row r="1969" spans="53:56" x14ac:dyDescent="0.35">
      <c r="BA1969" s="2"/>
      <c r="BB1969" s="2"/>
      <c r="BC1969" s="101"/>
      <c r="BD1969" s="101"/>
    </row>
    <row r="1970" spans="53:56" x14ac:dyDescent="0.35">
      <c r="BA1970" s="2"/>
      <c r="BB1970" s="2"/>
      <c r="BC1970" s="101"/>
      <c r="BD1970" s="101"/>
    </row>
    <row r="1971" spans="53:56" x14ac:dyDescent="0.35">
      <c r="BA1971" s="2"/>
      <c r="BB1971" s="2"/>
      <c r="BC1971" s="101"/>
      <c r="BD1971" s="101"/>
    </row>
    <row r="1972" spans="53:56" x14ac:dyDescent="0.35">
      <c r="BA1972" s="2"/>
      <c r="BB1972" s="2"/>
      <c r="BC1972" s="101"/>
      <c r="BD1972" s="101"/>
    </row>
    <row r="1973" spans="53:56" x14ac:dyDescent="0.35">
      <c r="BA1973" s="2"/>
      <c r="BB1973" s="2"/>
      <c r="BC1973" s="101"/>
      <c r="BD1973" s="101"/>
    </row>
    <row r="1974" spans="53:56" x14ac:dyDescent="0.35">
      <c r="BA1974" s="2"/>
      <c r="BB1974" s="2"/>
      <c r="BC1974" s="101"/>
      <c r="BD1974" s="101"/>
    </row>
    <row r="1975" spans="53:56" x14ac:dyDescent="0.35">
      <c r="BA1975" s="2"/>
      <c r="BB1975" s="2"/>
      <c r="BC1975" s="101"/>
      <c r="BD1975" s="101"/>
    </row>
    <row r="1976" spans="53:56" x14ac:dyDescent="0.35">
      <c r="BA1976" s="2"/>
      <c r="BB1976" s="2"/>
      <c r="BC1976" s="101"/>
      <c r="BD1976" s="101"/>
    </row>
    <row r="1977" spans="53:56" x14ac:dyDescent="0.35">
      <c r="BA1977" s="2"/>
      <c r="BB1977" s="2"/>
      <c r="BC1977" s="101"/>
      <c r="BD1977" s="101"/>
    </row>
    <row r="1978" spans="53:56" x14ac:dyDescent="0.35">
      <c r="BA1978" s="2"/>
      <c r="BB1978" s="2"/>
      <c r="BC1978" s="101"/>
      <c r="BD1978" s="101"/>
    </row>
    <row r="1979" spans="53:56" x14ac:dyDescent="0.35">
      <c r="BA1979" s="2"/>
      <c r="BB1979" s="2"/>
      <c r="BC1979" s="101"/>
      <c r="BD1979" s="101"/>
    </row>
    <row r="1980" spans="53:56" x14ac:dyDescent="0.35">
      <c r="BA1980" s="2"/>
      <c r="BB1980" s="2"/>
      <c r="BC1980" s="101"/>
      <c r="BD1980" s="101"/>
    </row>
    <row r="1981" spans="53:56" x14ac:dyDescent="0.35">
      <c r="BA1981" s="2"/>
      <c r="BB1981" s="2"/>
      <c r="BC1981" s="101"/>
      <c r="BD1981" s="101"/>
    </row>
    <row r="1982" spans="53:56" x14ac:dyDescent="0.35">
      <c r="BA1982" s="2"/>
      <c r="BB1982" s="2"/>
      <c r="BC1982" s="101"/>
      <c r="BD1982" s="101"/>
    </row>
    <row r="1983" spans="53:56" x14ac:dyDescent="0.35">
      <c r="BA1983" s="2"/>
      <c r="BB1983" s="2"/>
      <c r="BC1983" s="101"/>
      <c r="BD1983" s="101"/>
    </row>
    <row r="1984" spans="53:56" x14ac:dyDescent="0.35">
      <c r="BA1984" s="2"/>
      <c r="BB1984" s="2"/>
      <c r="BC1984" s="101"/>
      <c r="BD1984" s="101"/>
    </row>
    <row r="1985" spans="53:56" x14ac:dyDescent="0.35">
      <c r="BA1985" s="2"/>
      <c r="BB1985" s="2"/>
      <c r="BC1985" s="101"/>
      <c r="BD1985" s="101"/>
    </row>
    <row r="1986" spans="53:56" x14ac:dyDescent="0.35">
      <c r="BA1986" s="2"/>
      <c r="BB1986" s="2"/>
      <c r="BC1986" s="101"/>
      <c r="BD1986" s="101"/>
    </row>
    <row r="1987" spans="53:56" x14ac:dyDescent="0.35">
      <c r="BA1987" s="2"/>
      <c r="BB1987" s="2"/>
      <c r="BC1987" s="101"/>
      <c r="BD1987" s="101"/>
    </row>
    <row r="1988" spans="53:56" x14ac:dyDescent="0.35">
      <c r="BA1988" s="2"/>
      <c r="BB1988" s="2"/>
      <c r="BC1988" s="101"/>
      <c r="BD1988" s="101"/>
    </row>
    <row r="1989" spans="53:56" x14ac:dyDescent="0.35">
      <c r="BA1989" s="2"/>
      <c r="BB1989" s="2"/>
      <c r="BC1989" s="101"/>
      <c r="BD1989" s="101"/>
    </row>
    <row r="1990" spans="53:56" x14ac:dyDescent="0.35">
      <c r="BA1990" s="2"/>
      <c r="BB1990" s="2"/>
      <c r="BC1990" s="101"/>
      <c r="BD1990" s="101"/>
    </row>
    <row r="1991" spans="53:56" x14ac:dyDescent="0.35">
      <c r="BA1991" s="2"/>
      <c r="BB1991" s="2"/>
      <c r="BC1991" s="101"/>
      <c r="BD1991" s="101"/>
    </row>
    <row r="1992" spans="53:56" x14ac:dyDescent="0.35">
      <c r="BA1992" s="2"/>
      <c r="BB1992" s="2"/>
      <c r="BC1992" s="101"/>
      <c r="BD1992" s="101"/>
    </row>
    <row r="1993" spans="53:56" x14ac:dyDescent="0.35">
      <c r="BA1993" s="2"/>
      <c r="BB1993" s="2"/>
      <c r="BC1993" s="101"/>
      <c r="BD1993" s="101"/>
    </row>
    <row r="1994" spans="53:56" x14ac:dyDescent="0.35">
      <c r="BA1994" s="2"/>
      <c r="BB1994" s="2"/>
      <c r="BC1994" s="101"/>
      <c r="BD1994" s="101"/>
    </row>
    <row r="1995" spans="53:56" x14ac:dyDescent="0.35">
      <c r="BA1995" s="2"/>
      <c r="BB1995" s="2"/>
      <c r="BC1995" s="101"/>
      <c r="BD1995" s="101"/>
    </row>
    <row r="1996" spans="53:56" x14ac:dyDescent="0.35">
      <c r="BA1996" s="2"/>
      <c r="BB1996" s="2"/>
      <c r="BC1996" s="101"/>
      <c r="BD1996" s="101"/>
    </row>
    <row r="1997" spans="53:56" x14ac:dyDescent="0.35">
      <c r="BA1997" s="2"/>
      <c r="BB1997" s="2"/>
      <c r="BC1997" s="101"/>
      <c r="BD1997" s="101"/>
    </row>
    <row r="1998" spans="53:56" x14ac:dyDescent="0.35">
      <c r="BA1998" s="2"/>
      <c r="BB1998" s="2"/>
      <c r="BC1998" s="101"/>
      <c r="BD1998" s="101"/>
    </row>
    <row r="1999" spans="53:56" x14ac:dyDescent="0.35">
      <c r="BA1999" s="2"/>
      <c r="BB1999" s="2"/>
      <c r="BC1999" s="101"/>
      <c r="BD1999" s="101"/>
    </row>
    <row r="2000" spans="53:56" x14ac:dyDescent="0.35">
      <c r="BA2000" s="2"/>
      <c r="BB2000" s="2"/>
      <c r="BC2000" s="101"/>
      <c r="BD2000" s="101"/>
    </row>
    <row r="2001" spans="53:56" x14ac:dyDescent="0.35">
      <c r="BA2001" s="2"/>
      <c r="BB2001" s="2"/>
      <c r="BC2001" s="101"/>
      <c r="BD2001" s="101"/>
    </row>
    <row r="2002" spans="53:56" x14ac:dyDescent="0.35">
      <c r="BA2002" s="2"/>
      <c r="BB2002" s="2"/>
      <c r="BC2002" s="101"/>
      <c r="BD2002" s="101"/>
    </row>
    <row r="2003" spans="53:56" x14ac:dyDescent="0.35">
      <c r="BA2003" s="2"/>
      <c r="BB2003" s="2"/>
      <c r="BC2003" s="101"/>
      <c r="BD2003" s="101"/>
    </row>
    <row r="2004" spans="53:56" x14ac:dyDescent="0.35">
      <c r="BA2004" s="2"/>
      <c r="BB2004" s="2"/>
      <c r="BC2004" s="101"/>
      <c r="BD2004" s="101"/>
    </row>
    <row r="2005" spans="53:56" x14ac:dyDescent="0.35">
      <c r="BA2005" s="2"/>
      <c r="BB2005" s="2"/>
      <c r="BC2005" s="101"/>
      <c r="BD2005" s="101"/>
    </row>
    <row r="2006" spans="53:56" x14ac:dyDescent="0.35">
      <c r="BA2006" s="2"/>
      <c r="BB2006" s="2"/>
      <c r="BC2006" s="101"/>
      <c r="BD2006" s="101"/>
    </row>
    <row r="2007" spans="53:56" x14ac:dyDescent="0.35">
      <c r="BA2007" s="2"/>
      <c r="BB2007" s="2"/>
      <c r="BC2007" s="101"/>
      <c r="BD2007" s="101"/>
    </row>
    <row r="2008" spans="53:56" x14ac:dyDescent="0.35">
      <c r="BA2008" s="2"/>
      <c r="BB2008" s="2"/>
      <c r="BC2008" s="101"/>
      <c r="BD2008" s="101"/>
    </row>
    <row r="2009" spans="53:56" x14ac:dyDescent="0.35">
      <c r="BA2009" s="2"/>
      <c r="BB2009" s="2"/>
      <c r="BC2009" s="101"/>
      <c r="BD2009" s="101"/>
    </row>
    <row r="2010" spans="53:56" x14ac:dyDescent="0.35">
      <c r="BA2010" s="2"/>
      <c r="BB2010" s="2"/>
      <c r="BC2010" s="101"/>
      <c r="BD2010" s="101"/>
    </row>
    <row r="2011" spans="53:56" x14ac:dyDescent="0.35">
      <c r="BA2011" s="2"/>
      <c r="BB2011" s="2"/>
      <c r="BC2011" s="101"/>
      <c r="BD2011" s="101"/>
    </row>
    <row r="2012" spans="53:56" x14ac:dyDescent="0.35">
      <c r="BA2012" s="2"/>
      <c r="BB2012" s="2"/>
      <c r="BC2012" s="101"/>
      <c r="BD2012" s="101"/>
    </row>
    <row r="2013" spans="53:56" x14ac:dyDescent="0.35">
      <c r="BA2013" s="2"/>
      <c r="BB2013" s="2"/>
      <c r="BC2013" s="101"/>
      <c r="BD2013" s="101"/>
    </row>
    <row r="2014" spans="53:56" x14ac:dyDescent="0.35">
      <c r="BA2014" s="2"/>
      <c r="BB2014" s="2"/>
      <c r="BC2014" s="101"/>
      <c r="BD2014" s="101"/>
    </row>
    <row r="2015" spans="53:56" x14ac:dyDescent="0.35">
      <c r="BA2015" s="2"/>
      <c r="BB2015" s="2"/>
      <c r="BC2015" s="101"/>
      <c r="BD2015" s="101"/>
    </row>
    <row r="2016" spans="53:56" x14ac:dyDescent="0.35">
      <c r="BA2016" s="2"/>
      <c r="BB2016" s="2"/>
      <c r="BC2016" s="101"/>
      <c r="BD2016" s="101"/>
    </row>
    <row r="2017" spans="53:56" x14ac:dyDescent="0.35">
      <c r="BA2017" s="2"/>
      <c r="BB2017" s="2"/>
      <c r="BC2017" s="101"/>
      <c r="BD2017" s="101"/>
    </row>
    <row r="2018" spans="53:56" x14ac:dyDescent="0.35">
      <c r="BA2018" s="2"/>
      <c r="BB2018" s="2"/>
      <c r="BC2018" s="101"/>
      <c r="BD2018" s="101"/>
    </row>
    <row r="2019" spans="53:56" x14ac:dyDescent="0.35">
      <c r="BA2019" s="2"/>
      <c r="BB2019" s="2"/>
      <c r="BC2019" s="101"/>
      <c r="BD2019" s="101"/>
    </row>
    <row r="2020" spans="53:56" x14ac:dyDescent="0.35">
      <c r="BA2020" s="2"/>
      <c r="BB2020" s="2"/>
      <c r="BC2020" s="101"/>
      <c r="BD2020" s="101"/>
    </row>
    <row r="2021" spans="53:56" x14ac:dyDescent="0.35">
      <c r="BA2021" s="2"/>
      <c r="BB2021" s="2"/>
      <c r="BC2021" s="101"/>
      <c r="BD2021" s="101"/>
    </row>
    <row r="2022" spans="53:56" x14ac:dyDescent="0.35">
      <c r="BA2022" s="2"/>
      <c r="BB2022" s="2"/>
      <c r="BC2022" s="101"/>
      <c r="BD2022" s="101"/>
    </row>
    <row r="2023" spans="53:56" x14ac:dyDescent="0.35">
      <c r="BA2023" s="2"/>
      <c r="BB2023" s="2"/>
      <c r="BC2023" s="101"/>
      <c r="BD2023" s="101"/>
    </row>
    <row r="2024" spans="53:56" x14ac:dyDescent="0.35">
      <c r="BA2024" s="2"/>
      <c r="BB2024" s="2"/>
      <c r="BC2024" s="101"/>
      <c r="BD2024" s="101"/>
    </row>
    <row r="2025" spans="53:56" x14ac:dyDescent="0.35">
      <c r="BA2025" s="2"/>
      <c r="BB2025" s="2"/>
      <c r="BC2025" s="101"/>
      <c r="BD2025" s="101"/>
    </row>
    <row r="2026" spans="53:56" x14ac:dyDescent="0.35">
      <c r="BA2026" s="2"/>
      <c r="BB2026" s="2"/>
      <c r="BC2026" s="101"/>
      <c r="BD2026" s="101"/>
    </row>
    <row r="2027" spans="53:56" x14ac:dyDescent="0.35">
      <c r="BA2027" s="2"/>
      <c r="BB2027" s="2"/>
      <c r="BC2027" s="101"/>
      <c r="BD2027" s="101"/>
    </row>
    <row r="2028" spans="53:56" x14ac:dyDescent="0.35">
      <c r="BA2028" s="2"/>
      <c r="BB2028" s="2"/>
      <c r="BC2028" s="101"/>
      <c r="BD2028" s="101"/>
    </row>
    <row r="2029" spans="53:56" x14ac:dyDescent="0.35">
      <c r="BA2029" s="2"/>
      <c r="BB2029" s="2"/>
      <c r="BC2029" s="101"/>
      <c r="BD2029" s="101"/>
    </row>
    <row r="2030" spans="53:56" x14ac:dyDescent="0.35">
      <c r="BA2030" s="2"/>
      <c r="BB2030" s="2"/>
      <c r="BC2030" s="101"/>
      <c r="BD2030" s="101"/>
    </row>
    <row r="2031" spans="53:56" x14ac:dyDescent="0.35">
      <c r="BA2031" s="2"/>
      <c r="BB2031" s="2"/>
      <c r="BC2031" s="101"/>
      <c r="BD2031" s="101"/>
    </row>
    <row r="2032" spans="53:56" x14ac:dyDescent="0.35">
      <c r="BA2032" s="2"/>
      <c r="BB2032" s="2"/>
      <c r="BC2032" s="101"/>
      <c r="BD2032" s="101"/>
    </row>
    <row r="2033" spans="53:56" x14ac:dyDescent="0.35">
      <c r="BA2033" s="2"/>
      <c r="BB2033" s="2"/>
      <c r="BC2033" s="101"/>
      <c r="BD2033" s="101"/>
    </row>
    <row r="2034" spans="53:56" x14ac:dyDescent="0.35">
      <c r="BA2034" s="2"/>
      <c r="BB2034" s="2"/>
      <c r="BC2034" s="101"/>
      <c r="BD2034" s="101"/>
    </row>
    <row r="2035" spans="53:56" x14ac:dyDescent="0.35">
      <c r="BA2035" s="2"/>
      <c r="BB2035" s="2"/>
      <c r="BC2035" s="101"/>
      <c r="BD2035" s="101"/>
    </row>
    <row r="2036" spans="53:56" x14ac:dyDescent="0.35">
      <c r="BA2036" s="2"/>
      <c r="BB2036" s="2"/>
      <c r="BC2036" s="101"/>
      <c r="BD2036" s="101"/>
    </row>
    <row r="2037" spans="53:56" x14ac:dyDescent="0.35">
      <c r="BA2037" s="2"/>
      <c r="BB2037" s="2"/>
      <c r="BC2037" s="101"/>
      <c r="BD2037" s="101"/>
    </row>
    <row r="2038" spans="53:56" x14ac:dyDescent="0.35">
      <c r="BA2038" s="2"/>
      <c r="BB2038" s="2"/>
      <c r="BC2038" s="101"/>
      <c r="BD2038" s="101"/>
    </row>
    <row r="2039" spans="53:56" x14ac:dyDescent="0.35">
      <c r="BA2039" s="2"/>
      <c r="BB2039" s="2"/>
      <c r="BC2039" s="101"/>
      <c r="BD2039" s="101"/>
    </row>
    <row r="2040" spans="53:56" x14ac:dyDescent="0.35">
      <c r="BA2040" s="2"/>
      <c r="BB2040" s="2"/>
      <c r="BC2040" s="101"/>
      <c r="BD2040" s="101"/>
    </row>
    <row r="2041" spans="53:56" x14ac:dyDescent="0.35">
      <c r="BA2041" s="2"/>
      <c r="BB2041" s="2"/>
      <c r="BC2041" s="101"/>
      <c r="BD2041" s="101"/>
    </row>
    <row r="2042" spans="53:56" x14ac:dyDescent="0.35">
      <c r="BA2042" s="2"/>
      <c r="BB2042" s="2"/>
      <c r="BC2042" s="101"/>
      <c r="BD2042" s="101"/>
    </row>
    <row r="2043" spans="53:56" x14ac:dyDescent="0.35">
      <c r="BA2043" s="2"/>
      <c r="BB2043" s="2"/>
      <c r="BC2043" s="101"/>
      <c r="BD2043" s="101"/>
    </row>
    <row r="2044" spans="53:56" x14ac:dyDescent="0.35">
      <c r="BA2044" s="2"/>
      <c r="BB2044" s="2"/>
      <c r="BC2044" s="101"/>
      <c r="BD2044" s="101"/>
    </row>
    <row r="2045" spans="53:56" x14ac:dyDescent="0.35">
      <c r="BA2045" s="2"/>
      <c r="BB2045" s="2"/>
      <c r="BC2045" s="101"/>
      <c r="BD2045" s="101"/>
    </row>
    <row r="2046" spans="53:56" x14ac:dyDescent="0.35">
      <c r="BA2046" s="2"/>
      <c r="BB2046" s="2"/>
      <c r="BC2046" s="101"/>
      <c r="BD2046" s="101"/>
    </row>
    <row r="2047" spans="53:56" x14ac:dyDescent="0.35">
      <c r="BA2047" s="2"/>
      <c r="BB2047" s="2"/>
      <c r="BC2047" s="101"/>
      <c r="BD2047" s="101"/>
    </row>
    <row r="2048" spans="53:56" x14ac:dyDescent="0.35">
      <c r="BA2048" s="2"/>
      <c r="BB2048" s="2"/>
      <c r="BC2048" s="101"/>
      <c r="BD2048" s="101"/>
    </row>
    <row r="2049" spans="53:56" x14ac:dyDescent="0.35">
      <c r="BA2049" s="2"/>
      <c r="BB2049" s="2"/>
      <c r="BC2049" s="101"/>
      <c r="BD2049" s="101"/>
    </row>
    <row r="2050" spans="53:56" x14ac:dyDescent="0.35">
      <c r="BA2050" s="2"/>
      <c r="BB2050" s="2"/>
      <c r="BC2050" s="101"/>
      <c r="BD2050" s="101"/>
    </row>
    <row r="2051" spans="53:56" x14ac:dyDescent="0.35">
      <c r="BA2051" s="2"/>
      <c r="BB2051" s="2"/>
      <c r="BC2051" s="101"/>
      <c r="BD2051" s="101"/>
    </row>
    <row r="2052" spans="53:56" x14ac:dyDescent="0.35">
      <c r="BA2052" s="2"/>
      <c r="BB2052" s="2"/>
      <c r="BC2052" s="101"/>
      <c r="BD2052" s="101"/>
    </row>
    <row r="2053" spans="53:56" x14ac:dyDescent="0.35">
      <c r="BA2053" s="2"/>
      <c r="BB2053" s="2"/>
      <c r="BC2053" s="101"/>
      <c r="BD2053" s="101"/>
    </row>
    <row r="2054" spans="53:56" x14ac:dyDescent="0.35">
      <c r="BA2054" s="2"/>
      <c r="BB2054" s="2"/>
      <c r="BC2054" s="101"/>
      <c r="BD2054" s="101"/>
    </row>
    <row r="2055" spans="53:56" x14ac:dyDescent="0.35">
      <c r="BA2055" s="2"/>
      <c r="BB2055" s="2"/>
      <c r="BC2055" s="101"/>
      <c r="BD2055" s="101"/>
    </row>
    <row r="2056" spans="53:56" x14ac:dyDescent="0.35">
      <c r="BA2056" s="2"/>
      <c r="BB2056" s="2"/>
      <c r="BC2056" s="101"/>
      <c r="BD2056" s="101"/>
    </row>
    <row r="2057" spans="53:56" x14ac:dyDescent="0.35">
      <c r="BA2057" s="2"/>
      <c r="BB2057" s="2"/>
      <c r="BC2057" s="101"/>
      <c r="BD2057" s="101"/>
    </row>
    <row r="2058" spans="53:56" x14ac:dyDescent="0.35">
      <c r="BA2058" s="2"/>
      <c r="BB2058" s="2"/>
      <c r="BC2058" s="101"/>
      <c r="BD2058" s="101"/>
    </row>
    <row r="2059" spans="53:56" x14ac:dyDescent="0.35">
      <c r="BA2059" s="2"/>
      <c r="BB2059" s="2"/>
      <c r="BC2059" s="101"/>
      <c r="BD2059" s="101"/>
    </row>
    <row r="2060" spans="53:56" x14ac:dyDescent="0.35">
      <c r="BA2060" s="2"/>
      <c r="BB2060" s="2"/>
      <c r="BC2060" s="101"/>
      <c r="BD2060" s="101"/>
    </row>
    <row r="2061" spans="53:56" x14ac:dyDescent="0.35">
      <c r="BA2061" s="2"/>
      <c r="BB2061" s="2"/>
      <c r="BC2061" s="101"/>
      <c r="BD2061" s="101"/>
    </row>
    <row r="2062" spans="53:56" x14ac:dyDescent="0.35">
      <c r="BA2062" s="2"/>
      <c r="BB2062" s="2"/>
      <c r="BC2062" s="101"/>
      <c r="BD2062" s="101"/>
    </row>
    <row r="2063" spans="53:56" x14ac:dyDescent="0.35">
      <c r="BA2063" s="2"/>
      <c r="BB2063" s="2"/>
      <c r="BC2063" s="101"/>
      <c r="BD2063" s="101"/>
    </row>
    <row r="2064" spans="53:56" x14ac:dyDescent="0.35">
      <c r="BA2064" s="2"/>
      <c r="BB2064" s="2"/>
      <c r="BC2064" s="101"/>
      <c r="BD2064" s="101"/>
    </row>
    <row r="2065" spans="53:56" x14ac:dyDescent="0.35">
      <c r="BA2065" s="2"/>
      <c r="BB2065" s="2"/>
      <c r="BC2065" s="101"/>
      <c r="BD2065" s="101"/>
    </row>
    <row r="2066" spans="53:56" x14ac:dyDescent="0.35">
      <c r="BA2066" s="2"/>
      <c r="BB2066" s="2"/>
      <c r="BC2066" s="101"/>
      <c r="BD2066" s="101"/>
    </row>
    <row r="2067" spans="53:56" x14ac:dyDescent="0.35">
      <c r="BA2067" s="2"/>
      <c r="BB2067" s="2"/>
      <c r="BC2067" s="101"/>
      <c r="BD2067" s="101"/>
    </row>
    <row r="2068" spans="53:56" x14ac:dyDescent="0.35">
      <c r="BA2068" s="2"/>
      <c r="BB2068" s="2"/>
      <c r="BC2068" s="101"/>
      <c r="BD2068" s="101"/>
    </row>
    <row r="2069" spans="53:56" x14ac:dyDescent="0.35">
      <c r="BA2069" s="2"/>
      <c r="BB2069" s="2"/>
      <c r="BC2069" s="101"/>
      <c r="BD2069" s="101"/>
    </row>
    <row r="2070" spans="53:56" x14ac:dyDescent="0.35">
      <c r="BA2070" s="2"/>
      <c r="BB2070" s="2"/>
      <c r="BC2070" s="101"/>
      <c r="BD2070" s="101"/>
    </row>
    <row r="2071" spans="53:56" x14ac:dyDescent="0.35">
      <c r="BA2071" s="2"/>
      <c r="BB2071" s="2"/>
      <c r="BC2071" s="101"/>
      <c r="BD2071" s="101"/>
    </row>
    <row r="2072" spans="53:56" x14ac:dyDescent="0.35">
      <c r="BA2072" s="2"/>
      <c r="BB2072" s="2"/>
      <c r="BC2072" s="101"/>
      <c r="BD2072" s="101"/>
    </row>
    <row r="2073" spans="53:56" x14ac:dyDescent="0.35">
      <c r="BA2073" s="2"/>
      <c r="BB2073" s="2"/>
      <c r="BC2073" s="101"/>
      <c r="BD2073" s="101"/>
    </row>
    <row r="2074" spans="53:56" x14ac:dyDescent="0.35">
      <c r="BA2074" s="2"/>
      <c r="BB2074" s="2"/>
      <c r="BC2074" s="101"/>
      <c r="BD2074" s="101"/>
    </row>
    <row r="2075" spans="53:56" x14ac:dyDescent="0.35">
      <c r="BA2075" s="2"/>
      <c r="BB2075" s="2"/>
      <c r="BC2075" s="101"/>
      <c r="BD2075" s="101"/>
    </row>
    <row r="2076" spans="53:56" x14ac:dyDescent="0.35">
      <c r="BA2076" s="2"/>
      <c r="BB2076" s="2"/>
      <c r="BC2076" s="101"/>
      <c r="BD2076" s="101"/>
    </row>
    <row r="2077" spans="53:56" x14ac:dyDescent="0.35">
      <c r="BA2077" s="2"/>
      <c r="BB2077" s="2"/>
      <c r="BC2077" s="101"/>
      <c r="BD2077" s="101"/>
    </row>
    <row r="2078" spans="53:56" x14ac:dyDescent="0.35">
      <c r="BA2078" s="2"/>
      <c r="BB2078" s="2"/>
      <c r="BC2078" s="101"/>
      <c r="BD2078" s="101"/>
    </row>
    <row r="2079" spans="53:56" x14ac:dyDescent="0.35">
      <c r="BA2079" s="2"/>
      <c r="BB2079" s="2"/>
      <c r="BC2079" s="101"/>
      <c r="BD2079" s="101"/>
    </row>
    <row r="2080" spans="53:56" x14ac:dyDescent="0.35">
      <c r="BA2080" s="2"/>
      <c r="BB2080" s="2"/>
      <c r="BC2080" s="101"/>
      <c r="BD2080" s="101"/>
    </row>
    <row r="2081" spans="53:56" x14ac:dyDescent="0.35">
      <c r="BA2081" s="2"/>
      <c r="BB2081" s="2"/>
      <c r="BC2081" s="101"/>
      <c r="BD2081" s="101"/>
    </row>
    <row r="2082" spans="53:56" x14ac:dyDescent="0.35">
      <c r="BA2082" s="2"/>
      <c r="BB2082" s="2"/>
      <c r="BC2082" s="101"/>
      <c r="BD2082" s="101"/>
    </row>
    <row r="2083" spans="53:56" x14ac:dyDescent="0.35">
      <c r="BA2083" s="2"/>
      <c r="BB2083" s="2"/>
      <c r="BC2083" s="101"/>
      <c r="BD2083" s="101"/>
    </row>
    <row r="2084" spans="53:56" x14ac:dyDescent="0.35">
      <c r="BA2084" s="2"/>
      <c r="BB2084" s="2"/>
      <c r="BC2084" s="101"/>
      <c r="BD2084" s="101"/>
    </row>
    <row r="2085" spans="53:56" x14ac:dyDescent="0.35">
      <c r="BA2085" s="2"/>
      <c r="BB2085" s="2"/>
      <c r="BC2085" s="101"/>
      <c r="BD2085" s="101"/>
    </row>
    <row r="2086" spans="53:56" x14ac:dyDescent="0.35">
      <c r="BA2086" s="2"/>
      <c r="BB2086" s="2"/>
      <c r="BC2086" s="101"/>
      <c r="BD2086" s="101"/>
    </row>
    <row r="2087" spans="53:56" x14ac:dyDescent="0.35">
      <c r="BA2087" s="2"/>
      <c r="BB2087" s="2"/>
      <c r="BC2087" s="101"/>
      <c r="BD2087" s="101"/>
    </row>
    <row r="2088" spans="53:56" x14ac:dyDescent="0.35">
      <c r="BA2088" s="2"/>
      <c r="BB2088" s="2"/>
      <c r="BC2088" s="101"/>
      <c r="BD2088" s="101"/>
    </row>
    <row r="2089" spans="53:56" x14ac:dyDescent="0.35">
      <c r="BA2089" s="2"/>
      <c r="BB2089" s="2"/>
      <c r="BC2089" s="101"/>
      <c r="BD2089" s="101"/>
    </row>
    <row r="2090" spans="53:56" x14ac:dyDescent="0.35">
      <c r="BA2090" s="2"/>
      <c r="BB2090" s="2"/>
      <c r="BC2090" s="101"/>
      <c r="BD2090" s="101"/>
    </row>
    <row r="2091" spans="53:56" x14ac:dyDescent="0.35">
      <c r="BA2091" s="2"/>
      <c r="BB2091" s="2"/>
      <c r="BC2091" s="101"/>
      <c r="BD2091" s="101"/>
    </row>
    <row r="2092" spans="53:56" x14ac:dyDescent="0.35">
      <c r="BA2092" s="2"/>
      <c r="BB2092" s="2"/>
      <c r="BC2092" s="101"/>
      <c r="BD2092" s="101"/>
    </row>
    <row r="2093" spans="53:56" x14ac:dyDescent="0.35">
      <c r="BA2093" s="2"/>
      <c r="BB2093" s="2"/>
      <c r="BC2093" s="101"/>
      <c r="BD2093" s="101"/>
    </row>
    <row r="2094" spans="53:56" x14ac:dyDescent="0.35">
      <c r="BA2094" s="2"/>
      <c r="BB2094" s="2"/>
      <c r="BC2094" s="101"/>
      <c r="BD2094" s="101"/>
    </row>
    <row r="2095" spans="53:56" x14ac:dyDescent="0.35">
      <c r="BA2095" s="2"/>
      <c r="BB2095" s="2"/>
      <c r="BC2095" s="101"/>
      <c r="BD2095" s="101"/>
    </row>
    <row r="2096" spans="53:56" x14ac:dyDescent="0.35">
      <c r="BA2096" s="2"/>
      <c r="BB2096" s="2"/>
      <c r="BC2096" s="101"/>
      <c r="BD2096" s="101"/>
    </row>
    <row r="2097" spans="53:56" x14ac:dyDescent="0.35">
      <c r="BA2097" s="2"/>
      <c r="BB2097" s="2"/>
      <c r="BC2097" s="101"/>
      <c r="BD2097" s="101"/>
    </row>
    <row r="2098" spans="53:56" x14ac:dyDescent="0.35">
      <c r="BA2098" s="2"/>
      <c r="BB2098" s="2"/>
      <c r="BC2098" s="101"/>
      <c r="BD2098" s="101"/>
    </row>
    <row r="2099" spans="53:56" x14ac:dyDescent="0.35">
      <c r="BA2099" s="2"/>
      <c r="BB2099" s="2"/>
      <c r="BC2099" s="101"/>
      <c r="BD2099" s="101"/>
    </row>
    <row r="2100" spans="53:56" x14ac:dyDescent="0.35">
      <c r="BA2100" s="2"/>
      <c r="BB2100" s="2"/>
      <c r="BC2100" s="101"/>
      <c r="BD2100" s="101"/>
    </row>
    <row r="2101" spans="53:56" x14ac:dyDescent="0.35">
      <c r="BA2101" s="2"/>
      <c r="BB2101" s="2"/>
      <c r="BC2101" s="101"/>
      <c r="BD2101" s="101"/>
    </row>
    <row r="2102" spans="53:56" x14ac:dyDescent="0.35">
      <c r="BA2102" s="2"/>
      <c r="BB2102" s="2"/>
      <c r="BC2102" s="101"/>
      <c r="BD2102" s="101"/>
    </row>
    <row r="2103" spans="53:56" x14ac:dyDescent="0.35">
      <c r="BA2103" s="2"/>
      <c r="BB2103" s="2"/>
      <c r="BC2103" s="101"/>
      <c r="BD2103" s="101"/>
    </row>
    <row r="2104" spans="53:56" x14ac:dyDescent="0.35">
      <c r="BA2104" s="2"/>
      <c r="BB2104" s="2"/>
      <c r="BC2104" s="101"/>
      <c r="BD2104" s="101"/>
    </row>
    <row r="2105" spans="53:56" x14ac:dyDescent="0.35">
      <c r="BA2105" s="2"/>
      <c r="BB2105" s="2"/>
      <c r="BC2105" s="101"/>
      <c r="BD2105" s="101"/>
    </row>
    <row r="2106" spans="53:56" x14ac:dyDescent="0.35">
      <c r="BA2106" s="2"/>
      <c r="BB2106" s="2"/>
      <c r="BC2106" s="101"/>
      <c r="BD2106" s="101"/>
    </row>
    <row r="2107" spans="53:56" x14ac:dyDescent="0.35">
      <c r="BA2107" s="2"/>
      <c r="BB2107" s="2"/>
      <c r="BC2107" s="101"/>
      <c r="BD2107" s="101"/>
    </row>
    <row r="2108" spans="53:56" x14ac:dyDescent="0.35">
      <c r="BA2108" s="2"/>
      <c r="BB2108" s="2"/>
      <c r="BC2108" s="101"/>
      <c r="BD2108" s="101"/>
    </row>
    <row r="2109" spans="53:56" x14ac:dyDescent="0.35">
      <c r="BA2109" s="2"/>
      <c r="BB2109" s="2"/>
      <c r="BC2109" s="101"/>
      <c r="BD2109" s="101"/>
    </row>
    <row r="2110" spans="53:56" x14ac:dyDescent="0.35">
      <c r="BA2110" s="2"/>
      <c r="BB2110" s="2"/>
      <c r="BC2110" s="101"/>
      <c r="BD2110" s="101"/>
    </row>
    <row r="2111" spans="53:56" x14ac:dyDescent="0.35">
      <c r="BA2111" s="2"/>
      <c r="BB2111" s="2"/>
      <c r="BC2111" s="101"/>
      <c r="BD2111" s="101"/>
    </row>
    <row r="2112" spans="53:56" x14ac:dyDescent="0.35">
      <c r="BA2112" s="2"/>
      <c r="BB2112" s="2"/>
      <c r="BC2112" s="101"/>
      <c r="BD2112" s="101"/>
    </row>
    <row r="2113" spans="53:56" x14ac:dyDescent="0.35">
      <c r="BA2113" s="2"/>
      <c r="BB2113" s="2"/>
      <c r="BC2113" s="101"/>
      <c r="BD2113" s="101"/>
    </row>
    <row r="2114" spans="53:56" x14ac:dyDescent="0.35">
      <c r="BA2114" s="2"/>
      <c r="BB2114" s="2"/>
      <c r="BC2114" s="101"/>
      <c r="BD2114" s="101"/>
    </row>
    <row r="2115" spans="53:56" x14ac:dyDescent="0.35">
      <c r="BA2115" s="2"/>
      <c r="BB2115" s="2"/>
      <c r="BC2115" s="101"/>
      <c r="BD2115" s="101"/>
    </row>
    <row r="2116" spans="53:56" x14ac:dyDescent="0.35">
      <c r="BA2116" s="2"/>
      <c r="BB2116" s="2"/>
      <c r="BC2116" s="101"/>
      <c r="BD2116" s="101"/>
    </row>
    <row r="2117" spans="53:56" x14ac:dyDescent="0.35">
      <c r="BA2117" s="2"/>
      <c r="BB2117" s="2"/>
      <c r="BC2117" s="101"/>
      <c r="BD2117" s="101"/>
    </row>
    <row r="2118" spans="53:56" x14ac:dyDescent="0.35">
      <c r="BA2118" s="2"/>
      <c r="BB2118" s="2"/>
      <c r="BC2118" s="101"/>
      <c r="BD2118" s="101"/>
    </row>
    <row r="2119" spans="53:56" x14ac:dyDescent="0.35">
      <c r="BA2119" s="2"/>
      <c r="BB2119" s="2"/>
      <c r="BC2119" s="101"/>
      <c r="BD2119" s="101"/>
    </row>
    <row r="2120" spans="53:56" x14ac:dyDescent="0.35">
      <c r="BA2120" s="2"/>
      <c r="BB2120" s="2"/>
      <c r="BC2120" s="101"/>
      <c r="BD2120" s="101"/>
    </row>
    <row r="2121" spans="53:56" x14ac:dyDescent="0.35">
      <c r="BA2121" s="2"/>
      <c r="BB2121" s="2"/>
      <c r="BC2121" s="101"/>
      <c r="BD2121" s="101"/>
    </row>
    <row r="2122" spans="53:56" x14ac:dyDescent="0.35">
      <c r="BA2122" s="2"/>
      <c r="BB2122" s="2"/>
      <c r="BC2122" s="101"/>
      <c r="BD2122" s="101"/>
    </row>
    <row r="2123" spans="53:56" x14ac:dyDescent="0.35">
      <c r="BA2123" s="2"/>
      <c r="BB2123" s="2"/>
      <c r="BC2123" s="101"/>
      <c r="BD2123" s="101"/>
    </row>
    <row r="2124" spans="53:56" x14ac:dyDescent="0.35">
      <c r="BA2124" s="2"/>
      <c r="BB2124" s="2"/>
      <c r="BC2124" s="101"/>
      <c r="BD2124" s="101"/>
    </row>
    <row r="2125" spans="53:56" x14ac:dyDescent="0.35">
      <c r="BA2125" s="2"/>
      <c r="BB2125" s="2"/>
      <c r="BC2125" s="101"/>
      <c r="BD2125" s="101"/>
    </row>
    <row r="2126" spans="53:56" x14ac:dyDescent="0.35">
      <c r="BA2126" s="2"/>
      <c r="BB2126" s="2"/>
      <c r="BC2126" s="101"/>
      <c r="BD2126" s="101"/>
    </row>
    <row r="2127" spans="53:56" x14ac:dyDescent="0.35">
      <c r="BA2127" s="2"/>
      <c r="BB2127" s="2"/>
      <c r="BC2127" s="101"/>
      <c r="BD2127" s="101"/>
    </row>
    <row r="2128" spans="53:56" x14ac:dyDescent="0.35">
      <c r="BA2128" s="2"/>
      <c r="BB2128" s="2"/>
      <c r="BC2128" s="101"/>
      <c r="BD2128" s="101"/>
    </row>
    <row r="2129" spans="53:56" x14ac:dyDescent="0.35">
      <c r="BA2129" s="2"/>
      <c r="BB2129" s="2"/>
      <c r="BC2129" s="101"/>
      <c r="BD2129" s="101"/>
    </row>
    <row r="2130" spans="53:56" x14ac:dyDescent="0.35">
      <c r="BA2130" s="2"/>
      <c r="BB2130" s="2"/>
      <c r="BC2130" s="101"/>
      <c r="BD2130" s="101"/>
    </row>
    <row r="2131" spans="53:56" x14ac:dyDescent="0.35">
      <c r="BA2131" s="2"/>
      <c r="BB2131" s="2"/>
      <c r="BC2131" s="101"/>
      <c r="BD2131" s="101"/>
    </row>
    <row r="2132" spans="53:56" x14ac:dyDescent="0.35">
      <c r="BA2132" s="2"/>
      <c r="BB2132" s="2"/>
      <c r="BC2132" s="101"/>
      <c r="BD2132" s="101"/>
    </row>
    <row r="2133" spans="53:56" x14ac:dyDescent="0.35">
      <c r="BA2133" s="2"/>
      <c r="BB2133" s="2"/>
      <c r="BC2133" s="101"/>
      <c r="BD2133" s="101"/>
    </row>
    <row r="2134" spans="53:56" x14ac:dyDescent="0.35">
      <c r="BA2134" s="2"/>
      <c r="BB2134" s="2"/>
      <c r="BC2134" s="101"/>
      <c r="BD2134" s="101"/>
    </row>
    <row r="2135" spans="53:56" x14ac:dyDescent="0.35">
      <c r="BA2135" s="2"/>
      <c r="BB2135" s="2"/>
      <c r="BC2135" s="101"/>
      <c r="BD2135" s="101"/>
    </row>
    <row r="2136" spans="53:56" x14ac:dyDescent="0.35">
      <c r="BA2136" s="2"/>
      <c r="BB2136" s="2"/>
      <c r="BC2136" s="101"/>
      <c r="BD2136" s="101"/>
    </row>
    <row r="2137" spans="53:56" x14ac:dyDescent="0.35">
      <c r="BA2137" s="2"/>
      <c r="BB2137" s="2"/>
      <c r="BC2137" s="101"/>
      <c r="BD2137" s="101"/>
    </row>
    <row r="2138" spans="53:56" x14ac:dyDescent="0.35">
      <c r="BA2138" s="2"/>
      <c r="BB2138" s="2"/>
      <c r="BC2138" s="101"/>
      <c r="BD2138" s="101"/>
    </row>
    <row r="2139" spans="53:56" x14ac:dyDescent="0.35">
      <c r="BA2139" s="2"/>
      <c r="BB2139" s="2"/>
      <c r="BC2139" s="101"/>
      <c r="BD2139" s="101"/>
    </row>
    <row r="2140" spans="53:56" x14ac:dyDescent="0.35">
      <c r="BA2140" s="2"/>
      <c r="BB2140" s="2"/>
      <c r="BC2140" s="101"/>
      <c r="BD2140" s="101"/>
    </row>
    <row r="2141" spans="53:56" x14ac:dyDescent="0.35">
      <c r="BA2141" s="2"/>
      <c r="BB2141" s="2"/>
      <c r="BC2141" s="101"/>
      <c r="BD2141" s="101"/>
    </row>
    <row r="2142" spans="53:56" x14ac:dyDescent="0.35">
      <c r="BA2142" s="2"/>
      <c r="BB2142" s="2"/>
      <c r="BC2142" s="101"/>
      <c r="BD2142" s="101"/>
    </row>
    <row r="2143" spans="53:56" x14ac:dyDescent="0.35">
      <c r="BA2143" s="2"/>
      <c r="BB2143" s="2"/>
      <c r="BC2143" s="101"/>
      <c r="BD2143" s="101"/>
    </row>
    <row r="2144" spans="53:56" x14ac:dyDescent="0.35">
      <c r="BA2144" s="2"/>
      <c r="BB2144" s="2"/>
      <c r="BC2144" s="101"/>
      <c r="BD2144" s="101"/>
    </row>
  </sheetData>
  <sheetProtection selectLockedCells="1"/>
  <sortState xmlns:xlrd2="http://schemas.microsoft.com/office/spreadsheetml/2017/richdata2" ref="BA1:BD3828">
    <sortCondition ref="BA1:BA3828"/>
    <sortCondition ref="BB1:BB3828"/>
  </sortState>
  <mergeCells count="1693">
    <mergeCell ref="D1028:AJ1028"/>
    <mergeCell ref="B1100:E1100"/>
    <mergeCell ref="N736:P736"/>
    <mergeCell ref="N738:P738"/>
    <mergeCell ref="G743:U743"/>
    <mergeCell ref="B747:B748"/>
    <mergeCell ref="G747:I748"/>
    <mergeCell ref="K747:M748"/>
    <mergeCell ref="G749:I749"/>
    <mergeCell ref="K749:M749"/>
    <mergeCell ref="P749:T749"/>
    <mergeCell ref="D806:AJ806"/>
    <mergeCell ref="D807:AJ807"/>
    <mergeCell ref="D808:AJ808"/>
    <mergeCell ref="N810:P810"/>
    <mergeCell ref="N812:P812"/>
    <mergeCell ref="G817:U817"/>
    <mergeCell ref="B821:B822"/>
    <mergeCell ref="G821:I822"/>
    <mergeCell ref="K821:M822"/>
    <mergeCell ref="G823:I823"/>
    <mergeCell ref="K823:M823"/>
    <mergeCell ref="P823:T823"/>
    <mergeCell ref="D880:AJ880"/>
    <mergeCell ref="D881:AJ881"/>
    <mergeCell ref="D882:AJ882"/>
    <mergeCell ref="N884:P884"/>
    <mergeCell ref="N886:P886"/>
    <mergeCell ref="G891:U891"/>
    <mergeCell ref="B895:B896"/>
    <mergeCell ref="G895:I896"/>
    <mergeCell ref="K895:M896"/>
    <mergeCell ref="D362:AJ362"/>
    <mergeCell ref="D510:AJ510"/>
    <mergeCell ref="D511:AJ511"/>
    <mergeCell ref="D512:AJ512"/>
    <mergeCell ref="N514:P514"/>
    <mergeCell ref="N516:P516"/>
    <mergeCell ref="G521:U521"/>
    <mergeCell ref="AU529:AU530"/>
    <mergeCell ref="AW529:AW530"/>
    <mergeCell ref="O530:P530"/>
    <mergeCell ref="Q530:R530"/>
    <mergeCell ref="S530:T530"/>
    <mergeCell ref="W530:X530"/>
    <mergeCell ref="Y530:Z530"/>
    <mergeCell ref="AA530:AB530"/>
    <mergeCell ref="AC530:AD530"/>
    <mergeCell ref="D584:AJ584"/>
    <mergeCell ref="D363:AJ363"/>
    <mergeCell ref="D364:AJ364"/>
    <mergeCell ref="N366:P366"/>
    <mergeCell ref="N368:P368"/>
    <mergeCell ref="G373:U373"/>
    <mergeCell ref="AU381:AU382"/>
    <mergeCell ref="AW381:AW382"/>
    <mergeCell ref="O382:P382"/>
    <mergeCell ref="Q382:R382"/>
    <mergeCell ref="S382:T382"/>
    <mergeCell ref="W382:X382"/>
    <mergeCell ref="Y382:Z382"/>
    <mergeCell ref="AA382:AB382"/>
    <mergeCell ref="AC382:AD382"/>
    <mergeCell ref="AE382:AF382"/>
    <mergeCell ref="B138:E138"/>
    <mergeCell ref="G138:H138"/>
    <mergeCell ref="I138:J138"/>
    <mergeCell ref="K138:L138"/>
    <mergeCell ref="M138:N138"/>
    <mergeCell ref="O138:P138"/>
    <mergeCell ref="Q138:R138"/>
    <mergeCell ref="S138:T138"/>
    <mergeCell ref="W138:X138"/>
    <mergeCell ref="Y138:Z138"/>
    <mergeCell ref="AA138:AB138"/>
    <mergeCell ref="AC138:AD138"/>
    <mergeCell ref="AE138:AF138"/>
    <mergeCell ref="AG138:AH138"/>
    <mergeCell ref="AI138:AJ138"/>
    <mergeCell ref="B81:B82"/>
    <mergeCell ref="D216:AJ216"/>
    <mergeCell ref="D215:AJ215"/>
    <mergeCell ref="Y85:Z85"/>
    <mergeCell ref="AA85:AB85"/>
    <mergeCell ref="AC85:AD85"/>
    <mergeCell ref="AE85:AF85"/>
    <mergeCell ref="AG85:AH85"/>
    <mergeCell ref="N144:P144"/>
    <mergeCell ref="D214:AJ214"/>
    <mergeCell ref="B212:E212"/>
    <mergeCell ref="B7:B8"/>
    <mergeCell ref="D67:AJ67"/>
    <mergeCell ref="D68:AJ68"/>
    <mergeCell ref="B64:E64"/>
    <mergeCell ref="Q64:R64"/>
    <mergeCell ref="S64:T64"/>
    <mergeCell ref="AN11:AN12"/>
    <mergeCell ref="AN85:AN86"/>
    <mergeCell ref="N146:P146"/>
    <mergeCell ref="AU85:AU86"/>
    <mergeCell ref="AW85:AW86"/>
    <mergeCell ref="G86:H86"/>
    <mergeCell ref="I86:J86"/>
    <mergeCell ref="K86:L86"/>
    <mergeCell ref="M86:N86"/>
    <mergeCell ref="O86:P86"/>
    <mergeCell ref="Q86:R86"/>
    <mergeCell ref="S86:T86"/>
    <mergeCell ref="W86:X86"/>
    <mergeCell ref="Y86:Z86"/>
    <mergeCell ref="AA86:AB86"/>
    <mergeCell ref="AC86:AD86"/>
    <mergeCell ref="AE86:AF86"/>
    <mergeCell ref="AG86:AH86"/>
    <mergeCell ref="AO85:AO86"/>
    <mergeCell ref="AP85:AP86"/>
    <mergeCell ref="AQ85:AQ86"/>
    <mergeCell ref="AR85:AR86"/>
    <mergeCell ref="AI86:AJ86"/>
    <mergeCell ref="D140:AJ140"/>
    <mergeCell ref="D141:AJ141"/>
    <mergeCell ref="D142:AJ142"/>
    <mergeCell ref="AW11:AW12"/>
    <mergeCell ref="AU11:AU12"/>
    <mergeCell ref="N70:P70"/>
    <mergeCell ref="N72:P72"/>
    <mergeCell ref="D66:AJ66"/>
    <mergeCell ref="G1:AK2"/>
    <mergeCell ref="AE12:AF12"/>
    <mergeCell ref="AI11:AJ11"/>
    <mergeCell ref="AI12:AJ12"/>
    <mergeCell ref="AG11:AH11"/>
    <mergeCell ref="AG12:AH12"/>
    <mergeCell ref="AE11:AF11"/>
    <mergeCell ref="G3:U3"/>
    <mergeCell ref="Q11:R11"/>
    <mergeCell ref="Q12:R12"/>
    <mergeCell ref="M12:N12"/>
    <mergeCell ref="G7:I8"/>
    <mergeCell ref="K7:M8"/>
    <mergeCell ref="M64:N64"/>
    <mergeCell ref="G9:I9"/>
    <mergeCell ref="K9:M9"/>
    <mergeCell ref="K11:L11"/>
    <mergeCell ref="O12:P12"/>
    <mergeCell ref="AC11:AD11"/>
    <mergeCell ref="AC12:AD12"/>
    <mergeCell ref="S12:T12"/>
    <mergeCell ref="AA11:AB11"/>
    <mergeCell ref="AA12:AB12"/>
    <mergeCell ref="K12:L12"/>
    <mergeCell ref="I11:J11"/>
    <mergeCell ref="I12:J12"/>
    <mergeCell ref="M11:N11"/>
    <mergeCell ref="I64:J64"/>
    <mergeCell ref="K64:L64"/>
    <mergeCell ref="O64:P64"/>
    <mergeCell ref="AM10:AS10"/>
    <mergeCell ref="W11:X11"/>
    <mergeCell ref="W12:X12"/>
    <mergeCell ref="AS11:AS12"/>
    <mergeCell ref="AR11:AR12"/>
    <mergeCell ref="AQ11:AQ12"/>
    <mergeCell ref="Y11:Z11"/>
    <mergeCell ref="Y12:Z12"/>
    <mergeCell ref="AP11:AP12"/>
    <mergeCell ref="AO11:AO12"/>
    <mergeCell ref="AM11:AM12"/>
    <mergeCell ref="AI160:AJ160"/>
    <mergeCell ref="AG159:AH159"/>
    <mergeCell ref="AI159:AJ159"/>
    <mergeCell ref="AM159:AM160"/>
    <mergeCell ref="AN159:AN160"/>
    <mergeCell ref="AO159:AO160"/>
    <mergeCell ref="AP159:AP160"/>
    <mergeCell ref="AQ159:AQ160"/>
    <mergeCell ref="AR159:AR160"/>
    <mergeCell ref="AS159:AS160"/>
    <mergeCell ref="AA160:AB160"/>
    <mergeCell ref="AC160:AD160"/>
    <mergeCell ref="AE160:AF160"/>
    <mergeCell ref="AG160:AH160"/>
    <mergeCell ref="P9:T9"/>
    <mergeCell ref="S11:T11"/>
    <mergeCell ref="G11:H11"/>
    <mergeCell ref="AI85:AJ85"/>
    <mergeCell ref="AM85:AM86"/>
    <mergeCell ref="G75:AK76"/>
    <mergeCell ref="G77:U77"/>
    <mergeCell ref="G81:I82"/>
    <mergeCell ref="K81:M82"/>
    <mergeCell ref="G83:I83"/>
    <mergeCell ref="K83:M83"/>
    <mergeCell ref="P83:T83"/>
    <mergeCell ref="AS85:AS86"/>
    <mergeCell ref="W64:X64"/>
    <mergeCell ref="AI64:AJ64"/>
    <mergeCell ref="Y64:Z64"/>
    <mergeCell ref="AA64:AB64"/>
    <mergeCell ref="AC64:AD64"/>
    <mergeCell ref="AE64:AF64"/>
    <mergeCell ref="AG64:AH64"/>
    <mergeCell ref="O11:P11"/>
    <mergeCell ref="AM84:AS84"/>
    <mergeCell ref="G85:H85"/>
    <mergeCell ref="I85:J85"/>
    <mergeCell ref="K85:L85"/>
    <mergeCell ref="M85:N85"/>
    <mergeCell ref="O85:P85"/>
    <mergeCell ref="Q85:R85"/>
    <mergeCell ref="S85:T85"/>
    <mergeCell ref="W85:X85"/>
    <mergeCell ref="G12:H12"/>
    <mergeCell ref="G64:H64"/>
    <mergeCell ref="AU159:AU160"/>
    <mergeCell ref="AW159:AW160"/>
    <mergeCell ref="G212:H212"/>
    <mergeCell ref="I212:J212"/>
    <mergeCell ref="K212:L212"/>
    <mergeCell ref="M212:N212"/>
    <mergeCell ref="O212:P212"/>
    <mergeCell ref="Q212:R212"/>
    <mergeCell ref="S212:T212"/>
    <mergeCell ref="W212:X212"/>
    <mergeCell ref="Y212:Z212"/>
    <mergeCell ref="AA212:AB212"/>
    <mergeCell ref="AC212:AD212"/>
    <mergeCell ref="AE212:AF212"/>
    <mergeCell ref="AG212:AH212"/>
    <mergeCell ref="AI212:AJ212"/>
    <mergeCell ref="G160:H160"/>
    <mergeCell ref="I160:J160"/>
    <mergeCell ref="K160:L160"/>
    <mergeCell ref="M160:N160"/>
    <mergeCell ref="O160:P160"/>
    <mergeCell ref="Q160:R160"/>
    <mergeCell ref="S160:T160"/>
    <mergeCell ref="W160:X160"/>
    <mergeCell ref="Y160:Z160"/>
    <mergeCell ref="N292:P292"/>
    <mergeCell ref="AU233:AU234"/>
    <mergeCell ref="AW233:AW234"/>
    <mergeCell ref="G234:H234"/>
    <mergeCell ref="I234:J234"/>
    <mergeCell ref="K234:L234"/>
    <mergeCell ref="M234:N234"/>
    <mergeCell ref="O234:P234"/>
    <mergeCell ref="Q234:R234"/>
    <mergeCell ref="S234:T234"/>
    <mergeCell ref="W234:X234"/>
    <mergeCell ref="Y234:Z234"/>
    <mergeCell ref="AA234:AB234"/>
    <mergeCell ref="AC234:AD234"/>
    <mergeCell ref="AE234:AF234"/>
    <mergeCell ref="AG234:AH234"/>
    <mergeCell ref="AI234:AJ234"/>
    <mergeCell ref="D290:AJ290"/>
    <mergeCell ref="AM233:AM234"/>
    <mergeCell ref="AN233:AN234"/>
    <mergeCell ref="AO233:AO234"/>
    <mergeCell ref="AP233:AP234"/>
    <mergeCell ref="AQ233:AQ234"/>
    <mergeCell ref="AR233:AR234"/>
    <mergeCell ref="AS233:AS234"/>
    <mergeCell ref="B286:E286"/>
    <mergeCell ref="G286:H286"/>
    <mergeCell ref="I286:J286"/>
    <mergeCell ref="K286:L286"/>
    <mergeCell ref="M286:N286"/>
    <mergeCell ref="O286:P286"/>
    <mergeCell ref="Q286:R286"/>
    <mergeCell ref="K231:M231"/>
    <mergeCell ref="P231:T231"/>
    <mergeCell ref="AM232:AS232"/>
    <mergeCell ref="G233:H233"/>
    <mergeCell ref="I233:J233"/>
    <mergeCell ref="K233:L233"/>
    <mergeCell ref="M233:N233"/>
    <mergeCell ref="O233:P233"/>
    <mergeCell ref="B155:B156"/>
    <mergeCell ref="G155:I156"/>
    <mergeCell ref="K155:M156"/>
    <mergeCell ref="G157:I157"/>
    <mergeCell ref="K157:M157"/>
    <mergeCell ref="P157:T157"/>
    <mergeCell ref="AM158:AS158"/>
    <mergeCell ref="G159:H159"/>
    <mergeCell ref="I159:J159"/>
    <mergeCell ref="K159:L159"/>
    <mergeCell ref="M159:N159"/>
    <mergeCell ref="O159:P159"/>
    <mergeCell ref="Q159:R159"/>
    <mergeCell ref="S159:T159"/>
    <mergeCell ref="W159:X159"/>
    <mergeCell ref="Y159:Z159"/>
    <mergeCell ref="AA159:AB159"/>
    <mergeCell ref="AC159:AD159"/>
    <mergeCell ref="AE159:AF159"/>
    <mergeCell ref="N218:P218"/>
    <mergeCell ref="N220:P220"/>
    <mergeCell ref="G225:U225"/>
    <mergeCell ref="B229:B230"/>
    <mergeCell ref="G229:I230"/>
    <mergeCell ref="S286:T286"/>
    <mergeCell ref="W286:X286"/>
    <mergeCell ref="Y286:Z286"/>
    <mergeCell ref="AA286:AB286"/>
    <mergeCell ref="AC286:AD286"/>
    <mergeCell ref="AE286:AF286"/>
    <mergeCell ref="AG286:AH286"/>
    <mergeCell ref="AI286:AJ286"/>
    <mergeCell ref="D289:AJ289"/>
    <mergeCell ref="Q233:R233"/>
    <mergeCell ref="S233:T233"/>
    <mergeCell ref="W233:X233"/>
    <mergeCell ref="Y233:Z233"/>
    <mergeCell ref="AA233:AB233"/>
    <mergeCell ref="AC233:AD233"/>
    <mergeCell ref="AE233:AF233"/>
    <mergeCell ref="AG233:AH233"/>
    <mergeCell ref="AI233:AJ233"/>
    <mergeCell ref="D288:AJ288"/>
    <mergeCell ref="K229:M230"/>
    <mergeCell ref="G231:I231"/>
    <mergeCell ref="N294:P294"/>
    <mergeCell ref="G299:U299"/>
    <mergeCell ref="B303:B304"/>
    <mergeCell ref="G303:I304"/>
    <mergeCell ref="K303:M304"/>
    <mergeCell ref="G305:I305"/>
    <mergeCell ref="K305:M305"/>
    <mergeCell ref="P305:T305"/>
    <mergeCell ref="AM306:AS306"/>
    <mergeCell ref="G307:H307"/>
    <mergeCell ref="I307:J307"/>
    <mergeCell ref="K307:L307"/>
    <mergeCell ref="M307:N307"/>
    <mergeCell ref="O307:P307"/>
    <mergeCell ref="Q307:R307"/>
    <mergeCell ref="S307:T307"/>
    <mergeCell ref="W307:X307"/>
    <mergeCell ref="Y307:Z307"/>
    <mergeCell ref="AA307:AB307"/>
    <mergeCell ref="AC307:AD307"/>
    <mergeCell ref="AE307:AF307"/>
    <mergeCell ref="AG307:AH307"/>
    <mergeCell ref="AI307:AJ307"/>
    <mergeCell ref="AM307:AM308"/>
    <mergeCell ref="AN307:AN308"/>
    <mergeCell ref="AO307:AO308"/>
    <mergeCell ref="AP307:AP308"/>
    <mergeCell ref="AQ307:AQ308"/>
    <mergeCell ref="AR307:AR308"/>
    <mergeCell ref="AS307:AS308"/>
    <mergeCell ref="AU307:AU308"/>
    <mergeCell ref="AW307:AW308"/>
    <mergeCell ref="G308:H308"/>
    <mergeCell ref="I308:J308"/>
    <mergeCell ref="K308:L308"/>
    <mergeCell ref="M308:N308"/>
    <mergeCell ref="O308:P308"/>
    <mergeCell ref="Q308:R308"/>
    <mergeCell ref="S308:T308"/>
    <mergeCell ref="W308:X308"/>
    <mergeCell ref="Y308:Z308"/>
    <mergeCell ref="AA308:AB308"/>
    <mergeCell ref="AC308:AD308"/>
    <mergeCell ref="AE308:AF308"/>
    <mergeCell ref="AG308:AH308"/>
    <mergeCell ref="AI308:AJ308"/>
    <mergeCell ref="B360:E360"/>
    <mergeCell ref="G360:H360"/>
    <mergeCell ref="I360:J360"/>
    <mergeCell ref="K360:L360"/>
    <mergeCell ref="M360:N360"/>
    <mergeCell ref="O360:P360"/>
    <mergeCell ref="Q360:R360"/>
    <mergeCell ref="S360:T360"/>
    <mergeCell ref="W360:X360"/>
    <mergeCell ref="Y360:Z360"/>
    <mergeCell ref="AA360:AB360"/>
    <mergeCell ref="AC360:AD360"/>
    <mergeCell ref="AE360:AF360"/>
    <mergeCell ref="AG360:AH360"/>
    <mergeCell ref="AI360:AJ360"/>
    <mergeCell ref="B377:B378"/>
    <mergeCell ref="G377:I378"/>
    <mergeCell ref="K377:M378"/>
    <mergeCell ref="G379:I379"/>
    <mergeCell ref="K379:M379"/>
    <mergeCell ref="P379:T379"/>
    <mergeCell ref="AM380:AS380"/>
    <mergeCell ref="G381:H381"/>
    <mergeCell ref="I381:J381"/>
    <mergeCell ref="K381:L381"/>
    <mergeCell ref="M381:N381"/>
    <mergeCell ref="O381:P381"/>
    <mergeCell ref="Q381:R381"/>
    <mergeCell ref="S381:T381"/>
    <mergeCell ref="W381:X381"/>
    <mergeCell ref="Y381:Z381"/>
    <mergeCell ref="AA381:AB381"/>
    <mergeCell ref="AC381:AD381"/>
    <mergeCell ref="AE381:AF381"/>
    <mergeCell ref="AG381:AH381"/>
    <mergeCell ref="AI381:AJ381"/>
    <mergeCell ref="AM381:AM382"/>
    <mergeCell ref="AN381:AN382"/>
    <mergeCell ref="AO381:AO382"/>
    <mergeCell ref="AP381:AP382"/>
    <mergeCell ref="AQ381:AQ382"/>
    <mergeCell ref="AR381:AR382"/>
    <mergeCell ref="AS381:AS382"/>
    <mergeCell ref="G382:H382"/>
    <mergeCell ref="I382:J382"/>
    <mergeCell ref="K382:L382"/>
    <mergeCell ref="M382:N382"/>
    <mergeCell ref="AG382:AH382"/>
    <mergeCell ref="AI382:AJ382"/>
    <mergeCell ref="B434:E434"/>
    <mergeCell ref="G434:H434"/>
    <mergeCell ref="I434:J434"/>
    <mergeCell ref="K434:L434"/>
    <mergeCell ref="M434:N434"/>
    <mergeCell ref="O434:P434"/>
    <mergeCell ref="Q434:R434"/>
    <mergeCell ref="S434:T434"/>
    <mergeCell ref="W434:X434"/>
    <mergeCell ref="Y434:Z434"/>
    <mergeCell ref="AA434:AB434"/>
    <mergeCell ref="AC434:AD434"/>
    <mergeCell ref="AE434:AF434"/>
    <mergeCell ref="AG434:AH434"/>
    <mergeCell ref="AI434:AJ434"/>
    <mergeCell ref="D436:AJ436"/>
    <mergeCell ref="D437:AJ437"/>
    <mergeCell ref="D438:AJ438"/>
    <mergeCell ref="N440:P440"/>
    <mergeCell ref="N442:P442"/>
    <mergeCell ref="G447:U447"/>
    <mergeCell ref="B451:B452"/>
    <mergeCell ref="G451:I452"/>
    <mergeCell ref="K451:M452"/>
    <mergeCell ref="G453:I453"/>
    <mergeCell ref="K453:M453"/>
    <mergeCell ref="P453:T453"/>
    <mergeCell ref="AM454:AS454"/>
    <mergeCell ref="G455:H455"/>
    <mergeCell ref="I455:J455"/>
    <mergeCell ref="K455:L455"/>
    <mergeCell ref="M455:N455"/>
    <mergeCell ref="O455:P455"/>
    <mergeCell ref="Q455:R455"/>
    <mergeCell ref="S455:T455"/>
    <mergeCell ref="W455:X455"/>
    <mergeCell ref="Y455:Z455"/>
    <mergeCell ref="AA455:AB455"/>
    <mergeCell ref="AC455:AD455"/>
    <mergeCell ref="AE455:AF455"/>
    <mergeCell ref="AG455:AH455"/>
    <mergeCell ref="AI455:AJ455"/>
    <mergeCell ref="AM455:AM456"/>
    <mergeCell ref="AN455:AN456"/>
    <mergeCell ref="AO455:AO456"/>
    <mergeCell ref="AP455:AP456"/>
    <mergeCell ref="AQ455:AQ456"/>
    <mergeCell ref="AR455:AR456"/>
    <mergeCell ref="AS455:AS456"/>
    <mergeCell ref="AU455:AU456"/>
    <mergeCell ref="AW455:AW456"/>
    <mergeCell ref="G456:H456"/>
    <mergeCell ref="I456:J456"/>
    <mergeCell ref="K456:L456"/>
    <mergeCell ref="M456:N456"/>
    <mergeCell ref="O456:P456"/>
    <mergeCell ref="Q456:R456"/>
    <mergeCell ref="S456:T456"/>
    <mergeCell ref="W456:X456"/>
    <mergeCell ref="Y456:Z456"/>
    <mergeCell ref="AA456:AB456"/>
    <mergeCell ref="AC456:AD456"/>
    <mergeCell ref="AE456:AF456"/>
    <mergeCell ref="AG456:AH456"/>
    <mergeCell ref="AI456:AJ456"/>
    <mergeCell ref="B508:E508"/>
    <mergeCell ref="G508:H508"/>
    <mergeCell ref="I508:J508"/>
    <mergeCell ref="K508:L508"/>
    <mergeCell ref="M508:N508"/>
    <mergeCell ref="O508:P508"/>
    <mergeCell ref="Q508:R508"/>
    <mergeCell ref="S508:T508"/>
    <mergeCell ref="W508:X508"/>
    <mergeCell ref="Y508:Z508"/>
    <mergeCell ref="AA508:AB508"/>
    <mergeCell ref="AC508:AD508"/>
    <mergeCell ref="AE508:AF508"/>
    <mergeCell ref="AG508:AH508"/>
    <mergeCell ref="AI508:AJ508"/>
    <mergeCell ref="B525:B526"/>
    <mergeCell ref="G525:I526"/>
    <mergeCell ref="K525:M526"/>
    <mergeCell ref="G527:I527"/>
    <mergeCell ref="K527:M527"/>
    <mergeCell ref="P527:T527"/>
    <mergeCell ref="AM528:AS528"/>
    <mergeCell ref="G529:H529"/>
    <mergeCell ref="I529:J529"/>
    <mergeCell ref="K529:L529"/>
    <mergeCell ref="M529:N529"/>
    <mergeCell ref="O529:P529"/>
    <mergeCell ref="Q529:R529"/>
    <mergeCell ref="S529:T529"/>
    <mergeCell ref="W529:X529"/>
    <mergeCell ref="Y529:Z529"/>
    <mergeCell ref="AA529:AB529"/>
    <mergeCell ref="AC529:AD529"/>
    <mergeCell ref="AE529:AF529"/>
    <mergeCell ref="AG529:AH529"/>
    <mergeCell ref="AI529:AJ529"/>
    <mergeCell ref="AM529:AM530"/>
    <mergeCell ref="AN529:AN530"/>
    <mergeCell ref="AO529:AO530"/>
    <mergeCell ref="AP529:AP530"/>
    <mergeCell ref="AQ529:AQ530"/>
    <mergeCell ref="AR529:AR530"/>
    <mergeCell ref="AS529:AS530"/>
    <mergeCell ref="G530:H530"/>
    <mergeCell ref="I530:J530"/>
    <mergeCell ref="K530:L530"/>
    <mergeCell ref="M530:N530"/>
    <mergeCell ref="AE530:AF530"/>
    <mergeCell ref="AG530:AH530"/>
    <mergeCell ref="AI530:AJ530"/>
    <mergeCell ref="B582:E582"/>
    <mergeCell ref="G582:H582"/>
    <mergeCell ref="I582:J582"/>
    <mergeCell ref="K582:L582"/>
    <mergeCell ref="M582:N582"/>
    <mergeCell ref="O582:P582"/>
    <mergeCell ref="Q582:R582"/>
    <mergeCell ref="S582:T582"/>
    <mergeCell ref="W582:X582"/>
    <mergeCell ref="Y582:Z582"/>
    <mergeCell ref="AA582:AB582"/>
    <mergeCell ref="AC582:AD582"/>
    <mergeCell ref="AE582:AF582"/>
    <mergeCell ref="AG582:AH582"/>
    <mergeCell ref="AI582:AJ582"/>
    <mergeCell ref="D585:AJ585"/>
    <mergeCell ref="D586:AJ586"/>
    <mergeCell ref="N588:P588"/>
    <mergeCell ref="N590:P590"/>
    <mergeCell ref="G595:U595"/>
    <mergeCell ref="B599:B600"/>
    <mergeCell ref="G599:I600"/>
    <mergeCell ref="K599:M600"/>
    <mergeCell ref="G601:I601"/>
    <mergeCell ref="K601:M601"/>
    <mergeCell ref="P601:T601"/>
    <mergeCell ref="AM602:AS602"/>
    <mergeCell ref="G603:H603"/>
    <mergeCell ref="I603:J603"/>
    <mergeCell ref="K603:L603"/>
    <mergeCell ref="M603:N603"/>
    <mergeCell ref="O603:P603"/>
    <mergeCell ref="Q603:R603"/>
    <mergeCell ref="S603:T603"/>
    <mergeCell ref="W603:X603"/>
    <mergeCell ref="Y603:Z603"/>
    <mergeCell ref="AA603:AB603"/>
    <mergeCell ref="AC603:AD603"/>
    <mergeCell ref="AE603:AF603"/>
    <mergeCell ref="AG603:AH603"/>
    <mergeCell ref="AI603:AJ603"/>
    <mergeCell ref="AM603:AM604"/>
    <mergeCell ref="AN603:AN604"/>
    <mergeCell ref="AO603:AO604"/>
    <mergeCell ref="AP603:AP604"/>
    <mergeCell ref="AQ603:AQ604"/>
    <mergeCell ref="AR603:AR604"/>
    <mergeCell ref="AS603:AS604"/>
    <mergeCell ref="AU603:AU604"/>
    <mergeCell ref="AW603:AW604"/>
    <mergeCell ref="G604:H604"/>
    <mergeCell ref="I604:J604"/>
    <mergeCell ref="K604:L604"/>
    <mergeCell ref="M604:N604"/>
    <mergeCell ref="O604:P604"/>
    <mergeCell ref="Q604:R604"/>
    <mergeCell ref="S604:T604"/>
    <mergeCell ref="W604:X604"/>
    <mergeCell ref="Y604:Z604"/>
    <mergeCell ref="AA604:AB604"/>
    <mergeCell ref="AC604:AD604"/>
    <mergeCell ref="AE604:AF604"/>
    <mergeCell ref="AG604:AH604"/>
    <mergeCell ref="AI604:AJ604"/>
    <mergeCell ref="B656:E656"/>
    <mergeCell ref="G656:H656"/>
    <mergeCell ref="I656:J656"/>
    <mergeCell ref="K656:L656"/>
    <mergeCell ref="M656:N656"/>
    <mergeCell ref="O656:P656"/>
    <mergeCell ref="Q656:R656"/>
    <mergeCell ref="S656:T656"/>
    <mergeCell ref="W656:X656"/>
    <mergeCell ref="Y656:Z656"/>
    <mergeCell ref="AA656:AB656"/>
    <mergeCell ref="AC656:AD656"/>
    <mergeCell ref="AE656:AF656"/>
    <mergeCell ref="AG656:AH656"/>
    <mergeCell ref="AI656:AJ656"/>
    <mergeCell ref="D658:AJ658"/>
    <mergeCell ref="D659:AJ659"/>
    <mergeCell ref="D660:AJ660"/>
    <mergeCell ref="N662:P662"/>
    <mergeCell ref="N664:P664"/>
    <mergeCell ref="G669:U669"/>
    <mergeCell ref="B673:B674"/>
    <mergeCell ref="G673:I674"/>
    <mergeCell ref="K673:M674"/>
    <mergeCell ref="G675:I675"/>
    <mergeCell ref="K675:M675"/>
    <mergeCell ref="P675:T675"/>
    <mergeCell ref="AM676:AS676"/>
    <mergeCell ref="G677:H677"/>
    <mergeCell ref="I677:J677"/>
    <mergeCell ref="K677:L677"/>
    <mergeCell ref="M677:N677"/>
    <mergeCell ref="O677:P677"/>
    <mergeCell ref="Q677:R677"/>
    <mergeCell ref="S677:T677"/>
    <mergeCell ref="W677:X677"/>
    <mergeCell ref="Y677:Z677"/>
    <mergeCell ref="AA677:AB677"/>
    <mergeCell ref="AC677:AD677"/>
    <mergeCell ref="AE677:AF677"/>
    <mergeCell ref="AG677:AH677"/>
    <mergeCell ref="AI677:AJ677"/>
    <mergeCell ref="AM677:AM678"/>
    <mergeCell ref="AN677:AN678"/>
    <mergeCell ref="AO677:AO678"/>
    <mergeCell ref="AP677:AP678"/>
    <mergeCell ref="AQ677:AQ678"/>
    <mergeCell ref="AR677:AR678"/>
    <mergeCell ref="AS677:AS678"/>
    <mergeCell ref="AU677:AU678"/>
    <mergeCell ref="AW677:AW678"/>
    <mergeCell ref="G678:H678"/>
    <mergeCell ref="I678:J678"/>
    <mergeCell ref="K678:L678"/>
    <mergeCell ref="M678:N678"/>
    <mergeCell ref="O678:P678"/>
    <mergeCell ref="Q678:R678"/>
    <mergeCell ref="S678:T678"/>
    <mergeCell ref="W678:X678"/>
    <mergeCell ref="Y678:Z678"/>
    <mergeCell ref="AA678:AB678"/>
    <mergeCell ref="AC678:AD678"/>
    <mergeCell ref="AE678:AF678"/>
    <mergeCell ref="AG678:AH678"/>
    <mergeCell ref="AI678:AJ678"/>
    <mergeCell ref="B730:E730"/>
    <mergeCell ref="G730:H730"/>
    <mergeCell ref="I730:J730"/>
    <mergeCell ref="K730:L730"/>
    <mergeCell ref="M730:N730"/>
    <mergeCell ref="O730:P730"/>
    <mergeCell ref="Q730:R730"/>
    <mergeCell ref="S730:T730"/>
    <mergeCell ref="W730:X730"/>
    <mergeCell ref="Y730:Z730"/>
    <mergeCell ref="AA730:AB730"/>
    <mergeCell ref="AC730:AD730"/>
    <mergeCell ref="AE730:AF730"/>
    <mergeCell ref="AG730:AH730"/>
    <mergeCell ref="AI730:AJ730"/>
    <mergeCell ref="D733:AJ733"/>
    <mergeCell ref="D734:AJ734"/>
    <mergeCell ref="D732:AJ732"/>
    <mergeCell ref="AM750:AS750"/>
    <mergeCell ref="G751:H751"/>
    <mergeCell ref="I751:J751"/>
    <mergeCell ref="K751:L751"/>
    <mergeCell ref="M751:N751"/>
    <mergeCell ref="O751:P751"/>
    <mergeCell ref="Q751:R751"/>
    <mergeCell ref="S751:T751"/>
    <mergeCell ref="W751:X751"/>
    <mergeCell ref="Y751:Z751"/>
    <mergeCell ref="AA751:AB751"/>
    <mergeCell ref="AC751:AD751"/>
    <mergeCell ref="AE751:AF751"/>
    <mergeCell ref="AG751:AH751"/>
    <mergeCell ref="AI751:AJ751"/>
    <mergeCell ref="AM751:AM752"/>
    <mergeCell ref="AN751:AN752"/>
    <mergeCell ref="AO751:AO752"/>
    <mergeCell ref="AP751:AP752"/>
    <mergeCell ref="AQ751:AQ752"/>
    <mergeCell ref="AR751:AR752"/>
    <mergeCell ref="AS751:AS752"/>
    <mergeCell ref="AU751:AU752"/>
    <mergeCell ref="AW751:AW752"/>
    <mergeCell ref="G752:H752"/>
    <mergeCell ref="I752:J752"/>
    <mergeCell ref="K752:L752"/>
    <mergeCell ref="M752:N752"/>
    <mergeCell ref="O752:P752"/>
    <mergeCell ref="Q752:R752"/>
    <mergeCell ref="S752:T752"/>
    <mergeCell ref="W752:X752"/>
    <mergeCell ref="Y752:Z752"/>
    <mergeCell ref="AA752:AB752"/>
    <mergeCell ref="AC752:AD752"/>
    <mergeCell ref="AE752:AF752"/>
    <mergeCell ref="AG752:AH752"/>
    <mergeCell ref="AI752:AJ752"/>
    <mergeCell ref="B804:E804"/>
    <mergeCell ref="G804:H804"/>
    <mergeCell ref="I804:J804"/>
    <mergeCell ref="K804:L804"/>
    <mergeCell ref="M804:N804"/>
    <mergeCell ref="O804:P804"/>
    <mergeCell ref="Q804:R804"/>
    <mergeCell ref="S804:T804"/>
    <mergeCell ref="W804:X804"/>
    <mergeCell ref="Y804:Z804"/>
    <mergeCell ref="AA804:AB804"/>
    <mergeCell ref="AC804:AD804"/>
    <mergeCell ref="AE804:AF804"/>
    <mergeCell ref="AG804:AH804"/>
    <mergeCell ref="AI804:AJ804"/>
    <mergeCell ref="AM824:AS824"/>
    <mergeCell ref="G825:H825"/>
    <mergeCell ref="I825:J825"/>
    <mergeCell ref="K825:L825"/>
    <mergeCell ref="M825:N825"/>
    <mergeCell ref="O825:P825"/>
    <mergeCell ref="Q825:R825"/>
    <mergeCell ref="S825:T825"/>
    <mergeCell ref="W825:X825"/>
    <mergeCell ref="Y825:Z825"/>
    <mergeCell ref="AA825:AB825"/>
    <mergeCell ref="AC825:AD825"/>
    <mergeCell ref="AE825:AF825"/>
    <mergeCell ref="AG825:AH825"/>
    <mergeCell ref="AI825:AJ825"/>
    <mergeCell ref="AM825:AM826"/>
    <mergeCell ref="AN825:AN826"/>
    <mergeCell ref="AO825:AO826"/>
    <mergeCell ref="AP825:AP826"/>
    <mergeCell ref="AQ825:AQ826"/>
    <mergeCell ref="AR825:AR826"/>
    <mergeCell ref="AS825:AS826"/>
    <mergeCell ref="AU825:AU826"/>
    <mergeCell ref="AW825:AW826"/>
    <mergeCell ref="G826:H826"/>
    <mergeCell ref="I826:J826"/>
    <mergeCell ref="K826:L826"/>
    <mergeCell ref="M826:N826"/>
    <mergeCell ref="O826:P826"/>
    <mergeCell ref="Q826:R826"/>
    <mergeCell ref="S826:T826"/>
    <mergeCell ref="W826:X826"/>
    <mergeCell ref="Y826:Z826"/>
    <mergeCell ref="AA826:AB826"/>
    <mergeCell ref="AC826:AD826"/>
    <mergeCell ref="AE826:AF826"/>
    <mergeCell ref="AG826:AH826"/>
    <mergeCell ref="AI826:AJ826"/>
    <mergeCell ref="B878:E878"/>
    <mergeCell ref="G878:H878"/>
    <mergeCell ref="I878:J878"/>
    <mergeCell ref="K878:L878"/>
    <mergeCell ref="M878:N878"/>
    <mergeCell ref="O878:P878"/>
    <mergeCell ref="Q878:R878"/>
    <mergeCell ref="S878:T878"/>
    <mergeCell ref="W878:X878"/>
    <mergeCell ref="Y878:Z878"/>
    <mergeCell ref="AA878:AB878"/>
    <mergeCell ref="AC878:AD878"/>
    <mergeCell ref="AE878:AF878"/>
    <mergeCell ref="AG878:AH878"/>
    <mergeCell ref="AI878:AJ878"/>
    <mergeCell ref="G897:I897"/>
    <mergeCell ref="K897:M897"/>
    <mergeCell ref="P897:T897"/>
    <mergeCell ref="AM898:AS898"/>
    <mergeCell ref="G899:H899"/>
    <mergeCell ref="I899:J899"/>
    <mergeCell ref="K899:L899"/>
    <mergeCell ref="M899:N899"/>
    <mergeCell ref="O899:P899"/>
    <mergeCell ref="Q899:R899"/>
    <mergeCell ref="S899:T899"/>
    <mergeCell ref="W899:X899"/>
    <mergeCell ref="Y899:Z899"/>
    <mergeCell ref="AA899:AB899"/>
    <mergeCell ref="AC899:AD899"/>
    <mergeCell ref="AE899:AF899"/>
    <mergeCell ref="AG899:AH899"/>
    <mergeCell ref="AI899:AJ899"/>
    <mergeCell ref="AM899:AM900"/>
    <mergeCell ref="AN899:AN900"/>
    <mergeCell ref="AO899:AO900"/>
    <mergeCell ref="AP899:AP900"/>
    <mergeCell ref="AQ899:AQ900"/>
    <mergeCell ref="AR899:AR900"/>
    <mergeCell ref="AS899:AS900"/>
    <mergeCell ref="AU899:AU900"/>
    <mergeCell ref="AW899:AW900"/>
    <mergeCell ref="G900:H900"/>
    <mergeCell ref="I900:J900"/>
    <mergeCell ref="K900:L900"/>
    <mergeCell ref="M900:N900"/>
    <mergeCell ref="O900:P900"/>
    <mergeCell ref="Q900:R900"/>
    <mergeCell ref="S900:T900"/>
    <mergeCell ref="W900:X900"/>
    <mergeCell ref="Y900:Z900"/>
    <mergeCell ref="AA900:AB900"/>
    <mergeCell ref="AC900:AD900"/>
    <mergeCell ref="AE900:AF900"/>
    <mergeCell ref="AG900:AH900"/>
    <mergeCell ref="AI900:AJ900"/>
    <mergeCell ref="B952:E952"/>
    <mergeCell ref="G952:H952"/>
    <mergeCell ref="I952:J952"/>
    <mergeCell ref="K952:L952"/>
    <mergeCell ref="M952:N952"/>
    <mergeCell ref="O952:P952"/>
    <mergeCell ref="Q952:R952"/>
    <mergeCell ref="S952:T952"/>
    <mergeCell ref="W952:X952"/>
    <mergeCell ref="Y952:Z952"/>
    <mergeCell ref="AA952:AB952"/>
    <mergeCell ref="AC952:AD952"/>
    <mergeCell ref="AE952:AF952"/>
    <mergeCell ref="AG952:AH952"/>
    <mergeCell ref="AI952:AJ952"/>
    <mergeCell ref="D954:AJ954"/>
    <mergeCell ref="D955:AJ955"/>
    <mergeCell ref="D956:AJ956"/>
    <mergeCell ref="N958:P958"/>
    <mergeCell ref="N960:P960"/>
    <mergeCell ref="G965:U965"/>
    <mergeCell ref="B969:B970"/>
    <mergeCell ref="G969:I970"/>
    <mergeCell ref="K969:M970"/>
    <mergeCell ref="G971:I971"/>
    <mergeCell ref="K971:M971"/>
    <mergeCell ref="P971:T971"/>
    <mergeCell ref="AM972:AS972"/>
    <mergeCell ref="G973:H973"/>
    <mergeCell ref="I973:J973"/>
    <mergeCell ref="K973:L973"/>
    <mergeCell ref="M973:N973"/>
    <mergeCell ref="O973:P973"/>
    <mergeCell ref="Q973:R973"/>
    <mergeCell ref="S973:T973"/>
    <mergeCell ref="W973:X973"/>
    <mergeCell ref="Y973:Z973"/>
    <mergeCell ref="AA973:AB973"/>
    <mergeCell ref="AC973:AD973"/>
    <mergeCell ref="AE973:AF973"/>
    <mergeCell ref="AG973:AH973"/>
    <mergeCell ref="AI973:AJ973"/>
    <mergeCell ref="AM973:AM974"/>
    <mergeCell ref="AN973:AN974"/>
    <mergeCell ref="AO973:AO974"/>
    <mergeCell ref="AP973:AP974"/>
    <mergeCell ref="AQ973:AQ974"/>
    <mergeCell ref="AR973:AR974"/>
    <mergeCell ref="AS973:AS974"/>
    <mergeCell ref="AU973:AU974"/>
    <mergeCell ref="AW973:AW974"/>
    <mergeCell ref="B1026:E1026"/>
    <mergeCell ref="G1026:H1026"/>
    <mergeCell ref="I1026:J1026"/>
    <mergeCell ref="K1026:L1026"/>
    <mergeCell ref="M1026:N1026"/>
    <mergeCell ref="O1026:P1026"/>
    <mergeCell ref="Q1026:R1026"/>
    <mergeCell ref="S1026:T1026"/>
    <mergeCell ref="W1026:X1026"/>
    <mergeCell ref="Y1026:Z1026"/>
    <mergeCell ref="AA1026:AB1026"/>
    <mergeCell ref="AC1026:AD1026"/>
    <mergeCell ref="AE1026:AF1026"/>
    <mergeCell ref="AG1026:AH1026"/>
    <mergeCell ref="AI1026:AJ1026"/>
    <mergeCell ref="G974:H974"/>
    <mergeCell ref="I974:J974"/>
    <mergeCell ref="K974:L974"/>
    <mergeCell ref="M974:N974"/>
    <mergeCell ref="O974:P974"/>
    <mergeCell ref="Q974:R974"/>
    <mergeCell ref="S974:T974"/>
    <mergeCell ref="W974:X974"/>
    <mergeCell ref="Y974:Z974"/>
    <mergeCell ref="AA974:AB974"/>
    <mergeCell ref="AC974:AD974"/>
    <mergeCell ref="AE974:AF974"/>
    <mergeCell ref="AG974:AH974"/>
    <mergeCell ref="AI974:AJ974"/>
    <mergeCell ref="D1029:AJ1029"/>
    <mergeCell ref="D1030:AJ1030"/>
    <mergeCell ref="N1032:P1032"/>
    <mergeCell ref="N1034:P1034"/>
    <mergeCell ref="G1039:U1039"/>
    <mergeCell ref="B1043:B1044"/>
    <mergeCell ref="G1043:I1044"/>
    <mergeCell ref="K1043:M1044"/>
    <mergeCell ref="G1045:I1045"/>
    <mergeCell ref="K1045:M1045"/>
    <mergeCell ref="P1045:T1045"/>
    <mergeCell ref="AM1046:AS1046"/>
    <mergeCell ref="G1047:H1047"/>
    <mergeCell ref="I1047:J1047"/>
    <mergeCell ref="K1047:L1047"/>
    <mergeCell ref="M1047:N1047"/>
    <mergeCell ref="O1047:P1047"/>
    <mergeCell ref="Q1047:R1047"/>
    <mergeCell ref="S1047:T1047"/>
    <mergeCell ref="W1047:X1047"/>
    <mergeCell ref="Y1047:Z1047"/>
    <mergeCell ref="AA1047:AB1047"/>
    <mergeCell ref="AC1047:AD1047"/>
    <mergeCell ref="AE1047:AF1047"/>
    <mergeCell ref="AG1047:AH1047"/>
    <mergeCell ref="AI1047:AJ1047"/>
    <mergeCell ref="AM1047:AM1048"/>
    <mergeCell ref="AN1047:AN1048"/>
    <mergeCell ref="AO1047:AO1048"/>
    <mergeCell ref="AP1047:AP1048"/>
    <mergeCell ref="AQ1047:AQ1048"/>
    <mergeCell ref="AR1047:AR1048"/>
    <mergeCell ref="AS1047:AS1048"/>
    <mergeCell ref="AU1047:AU1048"/>
    <mergeCell ref="AW1047:AW1048"/>
    <mergeCell ref="G1048:H1048"/>
    <mergeCell ref="I1048:J1048"/>
    <mergeCell ref="K1048:L1048"/>
    <mergeCell ref="M1048:N1048"/>
    <mergeCell ref="O1048:P1048"/>
    <mergeCell ref="Q1048:R1048"/>
    <mergeCell ref="S1048:T1048"/>
    <mergeCell ref="W1048:X1048"/>
    <mergeCell ref="Y1048:Z1048"/>
    <mergeCell ref="AA1048:AB1048"/>
    <mergeCell ref="AC1048:AD1048"/>
    <mergeCell ref="AE1048:AF1048"/>
    <mergeCell ref="AG1048:AH1048"/>
    <mergeCell ref="AI1048:AJ1048"/>
    <mergeCell ref="G1100:H1100"/>
    <mergeCell ref="I1100:J1100"/>
    <mergeCell ref="K1100:L1100"/>
    <mergeCell ref="M1100:N1100"/>
    <mergeCell ref="O1100:P1100"/>
    <mergeCell ref="Q1100:R1100"/>
    <mergeCell ref="S1100:T1100"/>
    <mergeCell ref="W1100:X1100"/>
    <mergeCell ref="Y1100:Z1100"/>
    <mergeCell ref="AA1100:AB1100"/>
    <mergeCell ref="AC1100:AD1100"/>
    <mergeCell ref="AE1100:AF1100"/>
    <mergeCell ref="AG1100:AH1100"/>
    <mergeCell ref="AI1100:AJ1100"/>
    <mergeCell ref="D1102:AJ1102"/>
    <mergeCell ref="D1103:AJ1103"/>
    <mergeCell ref="D1104:AJ1104"/>
    <mergeCell ref="N1106:P1106"/>
    <mergeCell ref="N1108:P1108"/>
    <mergeCell ref="G1113:U1113"/>
    <mergeCell ref="B1117:B1118"/>
    <mergeCell ref="G1117:I1118"/>
    <mergeCell ref="K1117:M1118"/>
    <mergeCell ref="G1119:I1119"/>
    <mergeCell ref="K1119:M1119"/>
    <mergeCell ref="P1119:T1119"/>
    <mergeCell ref="AM1120:AS1120"/>
    <mergeCell ref="G1121:H1121"/>
    <mergeCell ref="I1121:J1121"/>
    <mergeCell ref="K1121:L1121"/>
    <mergeCell ref="M1121:N1121"/>
    <mergeCell ref="O1121:P1121"/>
    <mergeCell ref="Q1121:R1121"/>
    <mergeCell ref="S1121:T1121"/>
    <mergeCell ref="W1121:X1121"/>
    <mergeCell ref="Y1121:Z1121"/>
    <mergeCell ref="AA1121:AB1121"/>
    <mergeCell ref="AC1121:AD1121"/>
    <mergeCell ref="AE1121:AF1121"/>
    <mergeCell ref="AG1121:AH1121"/>
    <mergeCell ref="AI1121:AJ1121"/>
    <mergeCell ref="AM1121:AM1122"/>
    <mergeCell ref="AN1121:AN1122"/>
    <mergeCell ref="AO1121:AO1122"/>
    <mergeCell ref="AP1121:AP1122"/>
    <mergeCell ref="AQ1121:AQ1122"/>
    <mergeCell ref="AR1121:AR1122"/>
    <mergeCell ref="AS1121:AS1122"/>
    <mergeCell ref="AU1121:AU1122"/>
    <mergeCell ref="AW1121:AW1122"/>
    <mergeCell ref="G1122:H1122"/>
    <mergeCell ref="I1122:J1122"/>
    <mergeCell ref="K1122:L1122"/>
    <mergeCell ref="M1122:N1122"/>
    <mergeCell ref="O1122:P1122"/>
    <mergeCell ref="Q1122:R1122"/>
    <mergeCell ref="S1122:T1122"/>
    <mergeCell ref="W1122:X1122"/>
    <mergeCell ref="Y1122:Z1122"/>
    <mergeCell ref="AA1122:AB1122"/>
    <mergeCell ref="AC1122:AD1122"/>
    <mergeCell ref="AE1122:AF1122"/>
    <mergeCell ref="AG1122:AH1122"/>
    <mergeCell ref="AI1122:AJ1122"/>
    <mergeCell ref="B1174:E1174"/>
    <mergeCell ref="G1174:H1174"/>
    <mergeCell ref="I1174:J1174"/>
    <mergeCell ref="K1174:L1174"/>
    <mergeCell ref="M1174:N1174"/>
    <mergeCell ref="O1174:P1174"/>
    <mergeCell ref="Q1174:R1174"/>
    <mergeCell ref="S1174:T1174"/>
    <mergeCell ref="W1174:X1174"/>
    <mergeCell ref="Y1174:Z1174"/>
    <mergeCell ref="AA1174:AB1174"/>
    <mergeCell ref="AC1174:AD1174"/>
    <mergeCell ref="AE1174:AF1174"/>
    <mergeCell ref="AG1174:AH1174"/>
    <mergeCell ref="AI1174:AJ1174"/>
    <mergeCell ref="D1176:AJ1176"/>
    <mergeCell ref="D1177:AJ1177"/>
    <mergeCell ref="D1178:AJ1178"/>
    <mergeCell ref="N1180:P1180"/>
    <mergeCell ref="N1182:P1182"/>
    <mergeCell ref="G1187:U1187"/>
    <mergeCell ref="B1191:B1192"/>
    <mergeCell ref="G1191:I1192"/>
    <mergeCell ref="K1191:M1192"/>
    <mergeCell ref="G1193:I1193"/>
    <mergeCell ref="K1193:M1193"/>
    <mergeCell ref="P1193:T1193"/>
    <mergeCell ref="AM1194:AS1194"/>
    <mergeCell ref="G1195:H1195"/>
    <mergeCell ref="I1195:J1195"/>
    <mergeCell ref="K1195:L1195"/>
    <mergeCell ref="M1195:N1195"/>
    <mergeCell ref="O1195:P1195"/>
    <mergeCell ref="Q1195:R1195"/>
    <mergeCell ref="S1195:T1195"/>
    <mergeCell ref="W1195:X1195"/>
    <mergeCell ref="Y1195:Z1195"/>
    <mergeCell ref="AA1195:AB1195"/>
    <mergeCell ref="AC1195:AD1195"/>
    <mergeCell ref="AE1195:AF1195"/>
    <mergeCell ref="AG1195:AH1195"/>
    <mergeCell ref="AI1195:AJ1195"/>
    <mergeCell ref="AM1195:AM1196"/>
    <mergeCell ref="AN1195:AN1196"/>
    <mergeCell ref="AO1195:AO1196"/>
    <mergeCell ref="AP1195:AP1196"/>
    <mergeCell ref="AQ1195:AQ1196"/>
    <mergeCell ref="AR1195:AR1196"/>
    <mergeCell ref="AS1195:AS1196"/>
    <mergeCell ref="AU1195:AU1196"/>
    <mergeCell ref="AW1195:AW1196"/>
    <mergeCell ref="G1196:H1196"/>
    <mergeCell ref="I1196:J1196"/>
    <mergeCell ref="K1196:L1196"/>
    <mergeCell ref="M1196:N1196"/>
    <mergeCell ref="O1196:P1196"/>
    <mergeCell ref="Q1196:R1196"/>
    <mergeCell ref="S1196:T1196"/>
    <mergeCell ref="W1196:X1196"/>
    <mergeCell ref="Y1196:Z1196"/>
    <mergeCell ref="AA1196:AB1196"/>
    <mergeCell ref="AC1196:AD1196"/>
    <mergeCell ref="AE1196:AF1196"/>
    <mergeCell ref="AG1196:AH1196"/>
    <mergeCell ref="AI1196:AJ1196"/>
    <mergeCell ref="B1248:E1248"/>
    <mergeCell ref="G1248:H1248"/>
    <mergeCell ref="I1248:J1248"/>
    <mergeCell ref="K1248:L1248"/>
    <mergeCell ref="M1248:N1248"/>
    <mergeCell ref="O1248:P1248"/>
    <mergeCell ref="Q1248:R1248"/>
    <mergeCell ref="S1248:T1248"/>
    <mergeCell ref="W1248:X1248"/>
    <mergeCell ref="Y1248:Z1248"/>
    <mergeCell ref="AA1248:AB1248"/>
    <mergeCell ref="AC1248:AD1248"/>
    <mergeCell ref="AE1248:AF1248"/>
    <mergeCell ref="AG1248:AH1248"/>
    <mergeCell ref="AI1248:AJ1248"/>
    <mergeCell ref="D1250:AJ1250"/>
    <mergeCell ref="D1251:AJ1251"/>
    <mergeCell ref="D1252:AJ1252"/>
    <mergeCell ref="N1254:P1254"/>
    <mergeCell ref="N1256:P1256"/>
    <mergeCell ref="G1261:U1261"/>
    <mergeCell ref="B1265:B1266"/>
    <mergeCell ref="G1265:I1266"/>
    <mergeCell ref="K1265:M1266"/>
    <mergeCell ref="G1267:I1267"/>
    <mergeCell ref="K1267:M1267"/>
    <mergeCell ref="P1267:T1267"/>
    <mergeCell ref="AM1268:AS1268"/>
    <mergeCell ref="G1269:H1269"/>
    <mergeCell ref="I1269:J1269"/>
    <mergeCell ref="K1269:L1269"/>
    <mergeCell ref="M1269:N1269"/>
    <mergeCell ref="O1269:P1269"/>
    <mergeCell ref="Q1269:R1269"/>
    <mergeCell ref="S1269:T1269"/>
    <mergeCell ref="W1269:X1269"/>
    <mergeCell ref="Y1269:Z1269"/>
    <mergeCell ref="AA1269:AB1269"/>
    <mergeCell ref="AC1269:AD1269"/>
    <mergeCell ref="AE1269:AF1269"/>
    <mergeCell ref="AG1269:AH1269"/>
    <mergeCell ref="AI1269:AJ1269"/>
    <mergeCell ref="AM1269:AM1270"/>
    <mergeCell ref="AN1269:AN1270"/>
    <mergeCell ref="AO1269:AO1270"/>
    <mergeCell ref="AP1269:AP1270"/>
    <mergeCell ref="AQ1269:AQ1270"/>
    <mergeCell ref="AR1269:AR1270"/>
    <mergeCell ref="AS1269:AS1270"/>
    <mergeCell ref="AU1269:AU1270"/>
    <mergeCell ref="AW1269:AW1270"/>
    <mergeCell ref="G1270:H1270"/>
    <mergeCell ref="I1270:J1270"/>
    <mergeCell ref="K1270:L1270"/>
    <mergeCell ref="M1270:N1270"/>
    <mergeCell ref="O1270:P1270"/>
    <mergeCell ref="Q1270:R1270"/>
    <mergeCell ref="S1270:T1270"/>
    <mergeCell ref="W1270:X1270"/>
    <mergeCell ref="Y1270:Z1270"/>
    <mergeCell ref="AA1270:AB1270"/>
    <mergeCell ref="AC1270:AD1270"/>
    <mergeCell ref="AE1270:AF1270"/>
    <mergeCell ref="AG1270:AH1270"/>
    <mergeCell ref="AI1270:AJ1270"/>
    <mergeCell ref="B1322:E1322"/>
    <mergeCell ref="G1322:H1322"/>
    <mergeCell ref="I1322:J1322"/>
    <mergeCell ref="K1322:L1322"/>
    <mergeCell ref="M1322:N1322"/>
    <mergeCell ref="O1322:P1322"/>
    <mergeCell ref="Q1322:R1322"/>
    <mergeCell ref="S1322:T1322"/>
    <mergeCell ref="W1322:X1322"/>
    <mergeCell ref="Y1322:Z1322"/>
    <mergeCell ref="AA1322:AB1322"/>
    <mergeCell ref="AC1322:AD1322"/>
    <mergeCell ref="AE1322:AF1322"/>
    <mergeCell ref="AG1322:AH1322"/>
    <mergeCell ref="AI1322:AJ1322"/>
    <mergeCell ref="D1324:AJ1324"/>
    <mergeCell ref="D1325:AJ1325"/>
    <mergeCell ref="D1326:AJ1326"/>
    <mergeCell ref="N1328:P1328"/>
    <mergeCell ref="N1330:P1330"/>
    <mergeCell ref="G1335:U1335"/>
    <mergeCell ref="B1339:B1340"/>
    <mergeCell ref="G1339:I1340"/>
    <mergeCell ref="K1339:M1340"/>
    <mergeCell ref="G1341:I1341"/>
    <mergeCell ref="K1341:M1341"/>
    <mergeCell ref="P1341:T1341"/>
    <mergeCell ref="AM1342:AS1342"/>
    <mergeCell ref="G1343:H1343"/>
    <mergeCell ref="I1343:J1343"/>
    <mergeCell ref="K1343:L1343"/>
    <mergeCell ref="M1343:N1343"/>
    <mergeCell ref="O1343:P1343"/>
    <mergeCell ref="Q1343:R1343"/>
    <mergeCell ref="S1343:T1343"/>
    <mergeCell ref="W1343:X1343"/>
    <mergeCell ref="Y1343:Z1343"/>
    <mergeCell ref="AA1343:AB1343"/>
    <mergeCell ref="AC1343:AD1343"/>
    <mergeCell ref="AE1343:AF1343"/>
    <mergeCell ref="AG1343:AH1343"/>
    <mergeCell ref="AI1343:AJ1343"/>
    <mergeCell ref="AM1343:AM1344"/>
    <mergeCell ref="AN1343:AN1344"/>
    <mergeCell ref="AO1343:AO1344"/>
    <mergeCell ref="AP1343:AP1344"/>
    <mergeCell ref="AQ1343:AQ1344"/>
    <mergeCell ref="AR1343:AR1344"/>
    <mergeCell ref="AS1343:AS1344"/>
    <mergeCell ref="AU1343:AU1344"/>
    <mergeCell ref="AW1343:AW1344"/>
    <mergeCell ref="G1344:H1344"/>
    <mergeCell ref="I1344:J1344"/>
    <mergeCell ref="K1344:L1344"/>
    <mergeCell ref="M1344:N1344"/>
    <mergeCell ref="O1344:P1344"/>
    <mergeCell ref="Q1344:R1344"/>
    <mergeCell ref="S1344:T1344"/>
    <mergeCell ref="W1344:X1344"/>
    <mergeCell ref="Y1344:Z1344"/>
    <mergeCell ref="AA1344:AB1344"/>
    <mergeCell ref="AC1344:AD1344"/>
    <mergeCell ref="AE1344:AF1344"/>
    <mergeCell ref="AG1344:AH1344"/>
    <mergeCell ref="AI1344:AJ1344"/>
    <mergeCell ref="B1396:E1396"/>
    <mergeCell ref="G1396:H1396"/>
    <mergeCell ref="I1396:J1396"/>
    <mergeCell ref="K1396:L1396"/>
    <mergeCell ref="M1396:N1396"/>
    <mergeCell ref="O1396:P1396"/>
    <mergeCell ref="Q1396:R1396"/>
    <mergeCell ref="S1396:T1396"/>
    <mergeCell ref="W1396:X1396"/>
    <mergeCell ref="Y1396:Z1396"/>
    <mergeCell ref="AA1396:AB1396"/>
    <mergeCell ref="AC1396:AD1396"/>
    <mergeCell ref="AE1396:AF1396"/>
    <mergeCell ref="AG1396:AH1396"/>
    <mergeCell ref="AI1396:AJ1396"/>
    <mergeCell ref="D1398:AJ1398"/>
    <mergeCell ref="D1399:AJ1399"/>
    <mergeCell ref="D1400:AJ1400"/>
    <mergeCell ref="N1402:P1402"/>
    <mergeCell ref="N1404:P1404"/>
    <mergeCell ref="G1409:U1409"/>
    <mergeCell ref="B1413:B1414"/>
    <mergeCell ref="G1413:I1414"/>
    <mergeCell ref="K1413:M1414"/>
    <mergeCell ref="G1415:I1415"/>
    <mergeCell ref="K1415:M1415"/>
    <mergeCell ref="P1415:T1415"/>
    <mergeCell ref="AM1416:AS1416"/>
    <mergeCell ref="G1417:H1417"/>
    <mergeCell ref="I1417:J1417"/>
    <mergeCell ref="K1417:L1417"/>
    <mergeCell ref="M1417:N1417"/>
    <mergeCell ref="O1417:P1417"/>
    <mergeCell ref="Q1417:R1417"/>
    <mergeCell ref="S1417:T1417"/>
    <mergeCell ref="W1417:X1417"/>
    <mergeCell ref="Y1417:Z1417"/>
    <mergeCell ref="AA1417:AB1417"/>
    <mergeCell ref="AC1417:AD1417"/>
    <mergeCell ref="AE1417:AF1417"/>
    <mergeCell ref="AG1417:AH1417"/>
    <mergeCell ref="AI1417:AJ1417"/>
    <mergeCell ref="AM1417:AM1418"/>
    <mergeCell ref="AN1417:AN1418"/>
    <mergeCell ref="AO1417:AO1418"/>
    <mergeCell ref="AP1417:AP1418"/>
    <mergeCell ref="AQ1417:AQ1418"/>
    <mergeCell ref="AR1417:AR1418"/>
    <mergeCell ref="AS1417:AS1418"/>
    <mergeCell ref="AU1417:AU1418"/>
    <mergeCell ref="AW1417:AW1418"/>
    <mergeCell ref="G1418:H1418"/>
    <mergeCell ref="I1418:J1418"/>
    <mergeCell ref="K1418:L1418"/>
    <mergeCell ref="M1418:N1418"/>
    <mergeCell ref="O1418:P1418"/>
    <mergeCell ref="Q1418:R1418"/>
    <mergeCell ref="S1418:T1418"/>
    <mergeCell ref="W1418:X1418"/>
    <mergeCell ref="Y1418:Z1418"/>
    <mergeCell ref="AA1418:AB1418"/>
    <mergeCell ref="AC1418:AD1418"/>
    <mergeCell ref="AE1418:AF1418"/>
    <mergeCell ref="AG1418:AH1418"/>
    <mergeCell ref="AI1418:AJ1418"/>
    <mergeCell ref="B1470:E1470"/>
    <mergeCell ref="G1470:H1470"/>
    <mergeCell ref="I1470:J1470"/>
    <mergeCell ref="K1470:L1470"/>
    <mergeCell ref="M1470:N1470"/>
    <mergeCell ref="O1470:P1470"/>
    <mergeCell ref="Q1470:R1470"/>
    <mergeCell ref="S1470:T1470"/>
    <mergeCell ref="W1470:X1470"/>
    <mergeCell ref="Y1470:Z1470"/>
    <mergeCell ref="AA1470:AB1470"/>
    <mergeCell ref="AC1470:AD1470"/>
    <mergeCell ref="AE1470:AF1470"/>
    <mergeCell ref="AG1470:AH1470"/>
    <mergeCell ref="AI1470:AJ1470"/>
    <mergeCell ref="D1472:AJ1472"/>
    <mergeCell ref="D1473:AJ1473"/>
    <mergeCell ref="D1474:AJ1474"/>
    <mergeCell ref="N1476:P1476"/>
    <mergeCell ref="N1478:P1478"/>
    <mergeCell ref="G1483:U1483"/>
    <mergeCell ref="B1487:B1488"/>
    <mergeCell ref="G1487:I1488"/>
    <mergeCell ref="K1487:M1488"/>
    <mergeCell ref="G1489:I1489"/>
    <mergeCell ref="K1489:M1489"/>
    <mergeCell ref="P1489:T1489"/>
    <mergeCell ref="AM1490:AS1490"/>
    <mergeCell ref="G1491:H1491"/>
    <mergeCell ref="I1491:J1491"/>
    <mergeCell ref="K1491:L1491"/>
    <mergeCell ref="M1491:N1491"/>
    <mergeCell ref="O1491:P1491"/>
    <mergeCell ref="Q1491:R1491"/>
    <mergeCell ref="S1491:T1491"/>
    <mergeCell ref="W1491:X1491"/>
    <mergeCell ref="Y1491:Z1491"/>
    <mergeCell ref="AA1491:AB1491"/>
    <mergeCell ref="AC1491:AD1491"/>
    <mergeCell ref="AE1491:AF1491"/>
    <mergeCell ref="AG1491:AH1491"/>
    <mergeCell ref="AI1491:AJ1491"/>
    <mergeCell ref="AM1491:AM1492"/>
    <mergeCell ref="AN1491:AN1492"/>
    <mergeCell ref="AO1491:AO1492"/>
    <mergeCell ref="AP1491:AP1492"/>
    <mergeCell ref="AQ1491:AQ1492"/>
    <mergeCell ref="AR1491:AR1492"/>
    <mergeCell ref="AS1491:AS1492"/>
    <mergeCell ref="AU1491:AU1492"/>
    <mergeCell ref="AW1491:AW1492"/>
    <mergeCell ref="G1492:H1492"/>
    <mergeCell ref="I1492:J1492"/>
    <mergeCell ref="K1492:L1492"/>
    <mergeCell ref="M1492:N1492"/>
    <mergeCell ref="O1492:P1492"/>
    <mergeCell ref="Q1492:R1492"/>
    <mergeCell ref="S1492:T1492"/>
    <mergeCell ref="W1492:X1492"/>
    <mergeCell ref="Y1492:Z1492"/>
    <mergeCell ref="AA1492:AB1492"/>
    <mergeCell ref="AC1492:AD1492"/>
    <mergeCell ref="AE1492:AF1492"/>
    <mergeCell ref="AG1492:AH1492"/>
    <mergeCell ref="AI1492:AJ1492"/>
    <mergeCell ref="B1544:E1544"/>
    <mergeCell ref="G1544:H1544"/>
    <mergeCell ref="I1544:J1544"/>
    <mergeCell ref="K1544:L1544"/>
    <mergeCell ref="M1544:N1544"/>
    <mergeCell ref="O1544:P1544"/>
    <mergeCell ref="Q1544:R1544"/>
    <mergeCell ref="S1544:T1544"/>
    <mergeCell ref="W1544:X1544"/>
    <mergeCell ref="Y1544:Z1544"/>
    <mergeCell ref="AA1544:AB1544"/>
    <mergeCell ref="AC1544:AD1544"/>
    <mergeCell ref="AE1544:AF1544"/>
    <mergeCell ref="AG1544:AH1544"/>
    <mergeCell ref="AI1544:AJ1544"/>
    <mergeCell ref="D1546:AJ1546"/>
    <mergeCell ref="D1547:AJ1547"/>
    <mergeCell ref="D1548:AJ1548"/>
    <mergeCell ref="N1550:P1550"/>
    <mergeCell ref="N1552:P1552"/>
    <mergeCell ref="G1557:U1557"/>
    <mergeCell ref="B1561:B1562"/>
    <mergeCell ref="G1561:I1562"/>
    <mergeCell ref="K1561:M1562"/>
    <mergeCell ref="G1563:I1563"/>
    <mergeCell ref="K1563:M1563"/>
    <mergeCell ref="P1563:T1563"/>
    <mergeCell ref="AM1564:AS1564"/>
    <mergeCell ref="G1565:H1565"/>
    <mergeCell ref="I1565:J1565"/>
    <mergeCell ref="K1565:L1565"/>
    <mergeCell ref="M1565:N1565"/>
    <mergeCell ref="O1565:P1565"/>
    <mergeCell ref="Q1565:R1565"/>
    <mergeCell ref="S1565:T1565"/>
    <mergeCell ref="W1565:X1565"/>
    <mergeCell ref="Y1565:Z1565"/>
    <mergeCell ref="AA1565:AB1565"/>
    <mergeCell ref="AC1565:AD1565"/>
    <mergeCell ref="AE1565:AF1565"/>
    <mergeCell ref="AG1565:AH1565"/>
    <mergeCell ref="AI1565:AJ1565"/>
    <mergeCell ref="AM1565:AM1566"/>
    <mergeCell ref="AN1565:AN1566"/>
    <mergeCell ref="AO1565:AO1566"/>
    <mergeCell ref="AP1565:AP1566"/>
    <mergeCell ref="AQ1565:AQ1566"/>
    <mergeCell ref="AR1565:AR1566"/>
    <mergeCell ref="AS1565:AS1566"/>
    <mergeCell ref="AU1565:AU1566"/>
    <mergeCell ref="AW1565:AW1566"/>
    <mergeCell ref="G1566:H1566"/>
    <mergeCell ref="I1566:J1566"/>
    <mergeCell ref="K1566:L1566"/>
    <mergeCell ref="M1566:N1566"/>
    <mergeCell ref="O1566:P1566"/>
    <mergeCell ref="Q1566:R1566"/>
    <mergeCell ref="S1566:T1566"/>
    <mergeCell ref="W1566:X1566"/>
    <mergeCell ref="Y1566:Z1566"/>
    <mergeCell ref="AA1566:AB1566"/>
    <mergeCell ref="AC1566:AD1566"/>
    <mergeCell ref="AE1566:AF1566"/>
    <mergeCell ref="AG1566:AH1566"/>
    <mergeCell ref="AI1566:AJ1566"/>
    <mergeCell ref="B1618:E1618"/>
    <mergeCell ref="G1618:H1618"/>
    <mergeCell ref="I1618:J1618"/>
    <mergeCell ref="K1618:L1618"/>
    <mergeCell ref="M1618:N1618"/>
    <mergeCell ref="O1618:P1618"/>
    <mergeCell ref="Q1618:R1618"/>
    <mergeCell ref="S1618:T1618"/>
    <mergeCell ref="W1618:X1618"/>
    <mergeCell ref="Y1618:Z1618"/>
    <mergeCell ref="AA1618:AB1618"/>
    <mergeCell ref="AC1618:AD1618"/>
    <mergeCell ref="AE1618:AF1618"/>
    <mergeCell ref="AG1618:AH1618"/>
    <mergeCell ref="AI1618:AJ1618"/>
    <mergeCell ref="D1620:AJ1620"/>
    <mergeCell ref="D1621:AJ1621"/>
    <mergeCell ref="D1622:AJ1622"/>
    <mergeCell ref="N1624:P1624"/>
    <mergeCell ref="N1626:P1626"/>
    <mergeCell ref="G1631:U1631"/>
    <mergeCell ref="B1635:B1636"/>
    <mergeCell ref="G1635:I1636"/>
    <mergeCell ref="K1635:M1636"/>
    <mergeCell ref="G1637:I1637"/>
    <mergeCell ref="K1637:M1637"/>
    <mergeCell ref="P1637:T1637"/>
    <mergeCell ref="AM1638:AS1638"/>
    <mergeCell ref="G1639:H1639"/>
    <mergeCell ref="I1639:J1639"/>
    <mergeCell ref="K1639:L1639"/>
    <mergeCell ref="M1639:N1639"/>
    <mergeCell ref="O1639:P1639"/>
    <mergeCell ref="Q1639:R1639"/>
    <mergeCell ref="S1639:T1639"/>
    <mergeCell ref="W1639:X1639"/>
    <mergeCell ref="Y1639:Z1639"/>
    <mergeCell ref="AA1639:AB1639"/>
    <mergeCell ref="AC1639:AD1639"/>
    <mergeCell ref="AE1639:AF1639"/>
    <mergeCell ref="AG1639:AH1639"/>
    <mergeCell ref="AI1639:AJ1639"/>
    <mergeCell ref="AM1639:AM1640"/>
    <mergeCell ref="AN1639:AN1640"/>
    <mergeCell ref="AO1639:AO1640"/>
    <mergeCell ref="AP1639:AP1640"/>
    <mergeCell ref="AQ1639:AQ1640"/>
    <mergeCell ref="AR1639:AR1640"/>
    <mergeCell ref="AS1639:AS1640"/>
    <mergeCell ref="AU1639:AU1640"/>
    <mergeCell ref="AW1639:AW1640"/>
    <mergeCell ref="G1640:H1640"/>
    <mergeCell ref="I1640:J1640"/>
    <mergeCell ref="K1640:L1640"/>
    <mergeCell ref="M1640:N1640"/>
    <mergeCell ref="O1640:P1640"/>
    <mergeCell ref="Q1640:R1640"/>
    <mergeCell ref="S1640:T1640"/>
    <mergeCell ref="W1640:X1640"/>
    <mergeCell ref="Y1640:Z1640"/>
    <mergeCell ref="AA1640:AB1640"/>
    <mergeCell ref="AC1640:AD1640"/>
    <mergeCell ref="AE1640:AF1640"/>
    <mergeCell ref="AG1640:AH1640"/>
    <mergeCell ref="AI1640:AJ1640"/>
    <mergeCell ref="B1692:E1692"/>
    <mergeCell ref="G1692:H1692"/>
    <mergeCell ref="I1692:J1692"/>
    <mergeCell ref="K1692:L1692"/>
    <mergeCell ref="M1692:N1692"/>
    <mergeCell ref="O1692:P1692"/>
    <mergeCell ref="Q1692:R1692"/>
    <mergeCell ref="S1692:T1692"/>
    <mergeCell ref="W1692:X1692"/>
    <mergeCell ref="Y1692:Z1692"/>
    <mergeCell ref="AA1692:AB1692"/>
    <mergeCell ref="AC1692:AD1692"/>
    <mergeCell ref="AE1692:AF1692"/>
    <mergeCell ref="AG1692:AH1692"/>
    <mergeCell ref="AI1692:AJ1692"/>
    <mergeCell ref="D1694:AJ1694"/>
    <mergeCell ref="D1695:AJ1695"/>
    <mergeCell ref="D1696:AJ1696"/>
    <mergeCell ref="N1698:P1698"/>
    <mergeCell ref="N1700:P1700"/>
    <mergeCell ref="G1705:U1705"/>
    <mergeCell ref="B1709:B1710"/>
    <mergeCell ref="G1709:I1710"/>
    <mergeCell ref="K1709:M1710"/>
    <mergeCell ref="G1711:I1711"/>
    <mergeCell ref="K1711:M1711"/>
    <mergeCell ref="P1711:T1711"/>
    <mergeCell ref="AM1712:AS1712"/>
    <mergeCell ref="G1713:H1713"/>
    <mergeCell ref="I1713:J1713"/>
    <mergeCell ref="K1713:L1713"/>
    <mergeCell ref="M1713:N1713"/>
    <mergeCell ref="O1713:P1713"/>
    <mergeCell ref="Q1713:R1713"/>
    <mergeCell ref="S1713:T1713"/>
    <mergeCell ref="W1713:X1713"/>
    <mergeCell ref="Y1713:Z1713"/>
    <mergeCell ref="AA1713:AB1713"/>
    <mergeCell ref="AC1713:AD1713"/>
    <mergeCell ref="AE1713:AF1713"/>
    <mergeCell ref="AG1713:AH1713"/>
    <mergeCell ref="AI1713:AJ1713"/>
    <mergeCell ref="AM1713:AM1714"/>
    <mergeCell ref="AN1713:AN1714"/>
    <mergeCell ref="AO1713:AO1714"/>
    <mergeCell ref="AP1713:AP1714"/>
    <mergeCell ref="AQ1713:AQ1714"/>
    <mergeCell ref="AR1713:AR1714"/>
    <mergeCell ref="AS1713:AS1714"/>
    <mergeCell ref="AU1713:AU1714"/>
    <mergeCell ref="AW1713:AW1714"/>
    <mergeCell ref="G1714:H1714"/>
    <mergeCell ref="I1714:J1714"/>
    <mergeCell ref="K1714:L1714"/>
    <mergeCell ref="M1714:N1714"/>
    <mergeCell ref="O1714:P1714"/>
    <mergeCell ref="Q1714:R1714"/>
    <mergeCell ref="S1714:T1714"/>
    <mergeCell ref="W1714:X1714"/>
    <mergeCell ref="Y1714:Z1714"/>
    <mergeCell ref="AA1714:AB1714"/>
    <mergeCell ref="AC1714:AD1714"/>
    <mergeCell ref="AE1714:AF1714"/>
    <mergeCell ref="AG1714:AH1714"/>
    <mergeCell ref="AI1714:AJ1714"/>
    <mergeCell ref="B1766:E1766"/>
    <mergeCell ref="G1766:H1766"/>
    <mergeCell ref="I1766:J1766"/>
    <mergeCell ref="K1766:L1766"/>
    <mergeCell ref="M1766:N1766"/>
    <mergeCell ref="O1766:P1766"/>
    <mergeCell ref="Q1766:R1766"/>
    <mergeCell ref="S1766:T1766"/>
    <mergeCell ref="W1766:X1766"/>
    <mergeCell ref="Y1766:Z1766"/>
    <mergeCell ref="AA1766:AB1766"/>
    <mergeCell ref="AC1766:AD1766"/>
    <mergeCell ref="AE1766:AF1766"/>
    <mergeCell ref="AG1766:AH1766"/>
    <mergeCell ref="AI1766:AJ1766"/>
    <mergeCell ref="D1768:AJ1768"/>
    <mergeCell ref="D1769:AJ1769"/>
    <mergeCell ref="D1770:AJ1770"/>
    <mergeCell ref="N1772:P1772"/>
    <mergeCell ref="N1774:P1774"/>
    <mergeCell ref="G1779:U1779"/>
    <mergeCell ref="B1783:B1784"/>
    <mergeCell ref="G1783:I1784"/>
    <mergeCell ref="K1783:M1784"/>
    <mergeCell ref="G1785:I1785"/>
    <mergeCell ref="K1785:M1785"/>
    <mergeCell ref="P1785:T1785"/>
    <mergeCell ref="AM1786:AS1786"/>
    <mergeCell ref="G1787:H1787"/>
    <mergeCell ref="I1787:J1787"/>
    <mergeCell ref="K1787:L1787"/>
    <mergeCell ref="M1787:N1787"/>
    <mergeCell ref="O1787:P1787"/>
    <mergeCell ref="Q1787:R1787"/>
    <mergeCell ref="S1787:T1787"/>
    <mergeCell ref="W1787:X1787"/>
    <mergeCell ref="Y1787:Z1787"/>
    <mergeCell ref="AA1787:AB1787"/>
    <mergeCell ref="AC1787:AD1787"/>
    <mergeCell ref="AE1787:AF1787"/>
    <mergeCell ref="AG1787:AH1787"/>
    <mergeCell ref="AI1787:AJ1787"/>
    <mergeCell ref="AM1787:AM1788"/>
    <mergeCell ref="AN1787:AN1788"/>
    <mergeCell ref="AO1787:AO1788"/>
    <mergeCell ref="AP1787:AP1788"/>
    <mergeCell ref="AQ1787:AQ1788"/>
    <mergeCell ref="AR1787:AR1788"/>
    <mergeCell ref="AS1787:AS1788"/>
    <mergeCell ref="AU1787:AU1788"/>
    <mergeCell ref="AW1787:AW1788"/>
    <mergeCell ref="G1788:H1788"/>
    <mergeCell ref="I1788:J1788"/>
    <mergeCell ref="K1788:L1788"/>
    <mergeCell ref="M1788:N1788"/>
    <mergeCell ref="O1788:P1788"/>
    <mergeCell ref="Q1788:R1788"/>
    <mergeCell ref="S1788:T1788"/>
    <mergeCell ref="W1788:X1788"/>
    <mergeCell ref="Y1788:Z1788"/>
    <mergeCell ref="AA1788:AB1788"/>
    <mergeCell ref="AC1788:AD1788"/>
    <mergeCell ref="AE1788:AF1788"/>
    <mergeCell ref="AG1788:AH1788"/>
    <mergeCell ref="AI1788:AJ1788"/>
    <mergeCell ref="AN1861:AN1862"/>
    <mergeCell ref="AO1861:AO1862"/>
    <mergeCell ref="AP1861:AP1862"/>
    <mergeCell ref="AQ1861:AQ1862"/>
    <mergeCell ref="AR1861:AR1862"/>
    <mergeCell ref="AS1861:AS1862"/>
    <mergeCell ref="B1840:E1840"/>
    <mergeCell ref="G1840:H1840"/>
    <mergeCell ref="I1840:J1840"/>
    <mergeCell ref="K1840:L1840"/>
    <mergeCell ref="M1840:N1840"/>
    <mergeCell ref="O1840:P1840"/>
    <mergeCell ref="Q1840:R1840"/>
    <mergeCell ref="S1840:T1840"/>
    <mergeCell ref="W1840:X1840"/>
    <mergeCell ref="Y1840:Z1840"/>
    <mergeCell ref="AA1840:AB1840"/>
    <mergeCell ref="AC1840:AD1840"/>
    <mergeCell ref="AE1840:AF1840"/>
    <mergeCell ref="AG1840:AH1840"/>
    <mergeCell ref="AI1840:AJ1840"/>
    <mergeCell ref="D1842:AJ1842"/>
    <mergeCell ref="D1843:AJ1843"/>
    <mergeCell ref="Y1914:Z1914"/>
    <mergeCell ref="AA1914:AB1914"/>
    <mergeCell ref="AC1914:AD1914"/>
    <mergeCell ref="AE1914:AF1914"/>
    <mergeCell ref="AG1914:AH1914"/>
    <mergeCell ref="AI1914:AJ1914"/>
    <mergeCell ref="D1844:AJ1844"/>
    <mergeCell ref="N1846:P1846"/>
    <mergeCell ref="N1848:P1848"/>
    <mergeCell ref="G1853:U1853"/>
    <mergeCell ref="B1857:B1858"/>
    <mergeCell ref="G1857:I1858"/>
    <mergeCell ref="K1857:M1858"/>
    <mergeCell ref="G1859:I1859"/>
    <mergeCell ref="K1859:M1859"/>
    <mergeCell ref="P1859:T1859"/>
    <mergeCell ref="AM1860:AS1860"/>
    <mergeCell ref="G1861:H1861"/>
    <mergeCell ref="I1861:J1861"/>
    <mergeCell ref="K1861:L1861"/>
    <mergeCell ref="M1861:N1861"/>
    <mergeCell ref="O1861:P1861"/>
    <mergeCell ref="Q1861:R1861"/>
    <mergeCell ref="S1861:T1861"/>
    <mergeCell ref="W1861:X1861"/>
    <mergeCell ref="Y1861:Z1861"/>
    <mergeCell ref="AA1861:AB1861"/>
    <mergeCell ref="AC1861:AD1861"/>
    <mergeCell ref="AE1861:AF1861"/>
    <mergeCell ref="AG1861:AH1861"/>
    <mergeCell ref="AI1861:AJ1861"/>
    <mergeCell ref="AM1861:AM1862"/>
    <mergeCell ref="D1916:AJ1916"/>
    <mergeCell ref="D1917:AJ1917"/>
    <mergeCell ref="D1918:AJ1918"/>
    <mergeCell ref="N1920:P1920"/>
    <mergeCell ref="N1922:P1922"/>
    <mergeCell ref="G150:AK151"/>
    <mergeCell ref="G298:U298"/>
    <mergeCell ref="AU1861:AU1862"/>
    <mergeCell ref="AW1861:AW1862"/>
    <mergeCell ref="G1862:H1862"/>
    <mergeCell ref="I1862:J1862"/>
    <mergeCell ref="K1862:L1862"/>
    <mergeCell ref="M1862:N1862"/>
    <mergeCell ref="O1862:P1862"/>
    <mergeCell ref="Q1862:R1862"/>
    <mergeCell ref="S1862:T1862"/>
    <mergeCell ref="W1862:X1862"/>
    <mergeCell ref="Y1862:Z1862"/>
    <mergeCell ref="AA1862:AB1862"/>
    <mergeCell ref="AC1862:AD1862"/>
    <mergeCell ref="AE1862:AF1862"/>
    <mergeCell ref="AG1862:AH1862"/>
    <mergeCell ref="AI1862:AJ1862"/>
    <mergeCell ref="B1914:E1914"/>
    <mergeCell ref="G1914:H1914"/>
    <mergeCell ref="I1914:J1914"/>
    <mergeCell ref="K1914:L1914"/>
    <mergeCell ref="M1914:N1914"/>
    <mergeCell ref="O1914:P1914"/>
    <mergeCell ref="Q1914:R1914"/>
    <mergeCell ref="S1914:T1914"/>
    <mergeCell ref="W1914:X1914"/>
  </mergeCells>
  <dataValidations count="1">
    <dataValidation type="list" showInputMessage="1" showErrorMessage="1" sqref="G62:T62 G58:T58 G60:T60 W58:AJ58 W60:AJ60 I20:T20 G1764:T1764 W62:AJ62 G1760:T1760 G1762:T1762 W1760:AJ1760 W1762:AJ1762 I1722:T1722 W1764:AJ1764 G1690:T1690 G136:T136 W1758:AJ1758 G1750:T1750 G134:T134 W132:AJ132 W134:AJ134 W136:AJ136 W56:AJ56 G1838:T1838 G1834:T1834 G1836:T1836 W1834:AJ1834 G200:T200 W1836:AJ1836 I1796:T1796 G1738:T1738 G1744:T1744 G1746:T1746 G1748:T1748 G358:T358 G354:T354 G356:T356 W354:AJ354 W356:AJ356 I316:T316 W358:AJ358 W1838:AJ1838 G1732:T1732 G264:T264 G266:T266 G268:T268 G432:T432 G428:T428 G430:T430 G580:T580 G506:T506 G502:T502 G504:T504 W502:AJ502 W504:AJ504 I464:T464 W506:AJ506 W352:AJ352 I390:T390 G576:T576 G578:T578 W576:AJ576 W578:AJ578 I538:T538 W580:AJ580 W500:AJ500 G566:T566 G654:T654 G650:T650 G652:T652 W650:AJ650 W652:AJ652 I612:T612 W654:AJ654 G492:T492 W574:AJ574 G728:T728 G724:T724 G726:T726 W724:AJ724 W726:AJ726 G344:T344 I686:T686 W728:AJ728 G640:T640 W648:AJ648 G274:T274 G284:T284 G280:T280 G282:T282 W280:AJ280 W282:AJ282 W722:AJ722 I242:T242 G802:T802 G798:T798 G800:T800 W798:AJ798 W800:AJ800 I760:T760 W802:AJ802 G714:T714 W284:AJ284 G950:T950 G946:T946 G948:T948 W946:AJ946 W948:AJ948 I908:T908 W950:AJ950 W796:AJ796 G788:T788 G876:T876 G872:T872 G874:T874 W872:AJ872 W874:AJ874 I834:T834 W944:AJ944 G1024:T1024 G1020:T1020 G1022:T1022 W1020:AJ1020 W1022:AJ1022 G936:T936 G252:T252 I982:T982 W1024:AJ1024 W876:AJ876 G1098:T1098 G1094:T1094 G1096:T1096 W870:AJ870 W1094:AJ1094 W1096:AJ1096 I1056:T1056 W1098:AJ1098 W1018:AJ1018 G1172:T1172 G1168:T1168 G1170:T1170 W1168:AJ1168 W1170:AJ1170 I1130:T1130 W1172:AJ1172 W1092:AJ1092 G1084:T1084 G1246:T1246 G1242:T1242 G1244:T1244 W1242:AJ1242 W1244:AJ1244 G1010:T1010 I1204:T1204 W1246:AJ1246 W1166:AJ1166 G1320:T1320 G1316:T1316 G1318:T1318 W1316:AJ1316 W1318:AJ1318 I1278:T1278 W1320:AJ1320 W1240:AJ1240 G1394:T1394 G1390:T1390 G1392:T1392 W1390:AJ1390 W1392:AJ1392 G1232:T1232 I1352:T1352 W1394:AJ1394 W1314:AJ1314 G1158:T1158 G1468:T1468 G1464:T1464 G1466:T1466 W1464:AJ1464 W1466:AJ1466 G1306:T1306 I1426:T1426 W1468:AJ1468 W1388:AJ1388 G1542:T1542 G1538:T1538 G1540:T1540 W1538:AJ1538 W1540:AJ1540 G1380:T1380 I1500:T1500 W1542:AJ1542 W1462:AJ1462 G1616:T1616 G1612:T1612 G1614:T1614 W1612:AJ1612 W1614:AJ1614 I1574:T1574 W1616:AJ1616 W1536:AJ1536 G1528:T1528 G1686:T1686 G1688:T1688 G1454:T1454 W1686:AJ1686 W1688:AJ1688 I1648:T1648 W1690:AJ1690 W1610:AJ1610 G1602:T1602 W1684:AJ1684 G1676:T1676 G1754:T1754 W1832:AJ1832 G1742:T1742 G210:T210 G206:T206 G208:T208 W206:AJ206 W208:AJ208 I168:T168 W210:AJ210 G88:T88 W130:AJ130 G1734:T1734 W190:AJ190 G132:T132 I94:T94 G48:T48 G32:T32 G36:T36 G42:T42 G46:T46 G26:T26 G44:T44 G40:T40 G30:T30 G14:T14 G38:T38 G16:T16 G24:T24 G34:T34 G52:T52 G18:T18 G22:T22 G54:T54 G50:T50 G28:T28 G56:T56 G110:T110 G116:T116 G118:T118 G120:T120 G104:T104 G126:T126 G114:T114 G106:T106 G112:T112 G90:T90 G98:T98 G100:T100 G108:T108 G92:T92 G96:T96 G128:T128 G124:T124 G102:T102 G130:T130 G122:T122 G188:T188 G180:T180 G186:T186 G164:T164 G172:T172 G174:T174 G182:T182 G166:T166 G170:T170 G162:T162 G202:T202 G198:T198 G176:T176 G204:T204 G196:T196 G184:T184 G190:T190 G192:T192 G194:T194 G178:T178 W14:AJ14 W22:AJ22 W32:AJ32 W52:AJ52 W48:AJ48 W26:AJ26 W36:AJ36 W24:AJ24 W16:AJ16 W38:AJ38 W18:AJ18 W50:AJ50 W20:AJ20 W54:AJ54 W40:AJ40 W34:AJ34 W28:AJ28 W30:AJ30 W46:AJ46 W42:AJ42 W44:AJ44 W96:AJ96 W106:AJ106 W126:AJ126 W122:AJ122 W100:AJ100 W110:AJ110 W98:AJ98 W90:AJ90 W112:AJ112 W92:AJ92 W124:AJ124 W94:AJ94 W128:AJ128 W114:AJ114 W108:AJ108 W102:AJ102 W104:AJ104 W120:AJ120 W116:AJ116 W118:AJ118 W88:AJ88 W192:AJ192 W162:AJ162 W204:AJ204 W170:AJ170 W180:AJ180 W200:AJ200 W196:AJ196 W174:AJ174 W184:AJ184 W172:AJ172 W164:AJ164 W186:AJ186 W166:AJ166 W198:AJ198 W168:AJ168 W202:AJ202 W188:AJ188 W182:AJ182 W176:AJ176 W178:AJ178 W194:AJ194 G1824:T1824 G1812:T1812 G1818:T1818 G1820:T1820 G1822:T1822 G1806:T1806 G1828:T1828 G1816:T1816 G1808:T1808 G1814:T1814 G1792:T1792 G1800:T1800 G1802:T1802 G1810:T1810 G1794:T1794 G1798:T1798 G1790:T1790 G1830:T1830 G1826:T1826 G1804:T1804 G1832:T1832 W1798:AJ1798 W1808:AJ1808 W1828:AJ1828 W1824:AJ1824 W1802:AJ1802 W1812:AJ1812 W1800:AJ1800 W1792:AJ1792 W1814:AJ1814 W1794:AJ1794 W1826:AJ1826 W1796:AJ1796 W1830:AJ1830 W1816:AJ1816 W1810:AJ1810 W1804:AJ1804 W1806:AJ1806 W1822:AJ1822 W1818:AJ1818 W1820:AJ1820 W1790:AJ1790 G332:T332 G338:T338 G340:T340 G342:T342 G326:T326 G348:T348 G336:T336 G328:T328 G334:T334 G312:T312 G320:T320 G322:T322 G330:T330 G314:T314 G318:T318 G310:T310 G350:T350 G346:T346 G324:T324 G352:T352 W318:AJ318 W328:AJ328 W348:AJ348 W344:AJ344 W322:AJ322 W332:AJ332 W320:AJ320 W312:AJ312 W334:AJ334 W314:AJ314 W346:AJ346 W316:AJ316 W350:AJ350 W336:AJ336 W330:AJ330 W324:AJ324 W326:AJ326 W342:AJ342 W338:AJ338 W340:AJ340 W310:AJ310 W266:AJ266 W236:AJ236 W278:AJ278 W244:AJ244 W254:AJ254 W274:AJ274 W270:AJ270 W248:AJ248 W258:AJ258 W246:AJ246 W238:AJ238 W260:AJ260 W240:AJ240 W272:AJ272 W242:AJ242 W276:AJ276 W262:AJ262 W256:AJ256 W250:AJ250 W252:AJ252 W268:AJ268 G418:T418 G406:T406 G412:T412 G414:T414 G416:T416 G400:T400 G422:T422 G410:T410 G402:T402 G408:T408 G386:T386 G394:T394 G396:T396 G404:T404 G388:T388 G392:T392 G384:T384 G424:T424 G420:T420 G398:T398 G426:T426 G480:T480 G486:T486 G488:T488 G490:T490 G474:T474 G496:T496 G484:T484 G476:T476 G482:T482 G460:T460 G468:T468 G470:T470 G478:T478 G462:T462 G466:T466 G458:T458 G498:T498 G494:T494 G472:T472 G500:T500 W466:AJ466 W476:AJ476 W496:AJ496 W492:AJ492 W470:AJ470 W480:AJ480 W468:AJ468 W460:AJ460 W482:AJ482 W462:AJ462 W494:AJ494 W464:AJ464 W498:AJ498 W484:AJ484 W478:AJ478 W472:AJ472 W474:AJ474 W490:AJ490 W486:AJ486 W488:AJ488 W458:AJ458 G554:T554 G560:T560 G562:T562 G564:T564 G548:T548 G570:T570 G558:T558 G550:T550 G556:T556 G534:T534 G542:T542 G544:T544 G552:T552 G536:T536 G540:T540 G532:T532 G572:T572 G568:T568 G546:T546 G574:T574 W540:AJ540 W550:AJ550 W570:AJ570 W566:AJ566 W544:AJ544 W554:AJ554 W542:AJ542 W534:AJ534 W556:AJ556 W536:AJ536 W568:AJ568 W538:AJ538 W572:AJ572 W558:AJ558 W552:AJ552 W546:AJ546 W548:AJ548 W564:AJ564 W560:AJ560 W562:AJ562 W532:AJ532 G628:T628 G634:T634 G636:T636 G638:T638 G622:T622 G644:T644 G632:T632 G624:T624 G630:T630 G608:T608 G616:T616 G618:T618 G626:T626 G610:T610 G614:T614 G606:T606 G646:T646 G642:T642 G620:T620 G648:T648 W614:AJ614 W624:AJ624 W644:AJ644 W640:AJ640 W618:AJ618 W628:AJ628 W616:AJ616 W608:AJ608 W630:AJ630 W610:AJ610 W642:AJ642 W612:AJ612 W646:AJ646 W632:AJ632 W626:AJ626 W620:AJ620 W622:AJ622 W638:AJ638 W634:AJ634 W636:AJ636 W606:AJ606 G702:T702 G708:T708 G710:T710 G712:T712 G696:T696 G718:T718 G706:T706 G698:T698 G704:T704 G682:T682 G690:T690 G692:T692 G700:T700 G684:T684 G688:T688 G680:T680 G720:T720 G716:T716 G694:T694 G722:T722 W688:AJ688 W698:AJ698 W718:AJ718 W714:AJ714 W692:AJ692 W702:AJ702 W690:AJ690 W682:AJ682 W704:AJ704 W684:AJ684 W716:AJ716 W686:AJ686 W720:AJ720 W706:AJ706 W700:AJ700 W694:AJ694 W696:AJ696 W712:AJ712 W708:AJ708 W710:AJ710 W680:AJ680 W264:AJ264 G262:T262 G254:T254 G260:T260 G238:T238 G246:T246 G248:T248 G256:T256 G240:T240 G244:T244 G236:T236 G276:T276 G272:T272 G250:T250 G278:T278 G270:T270 G258:T258 W428:AJ428 W430:AJ430 W432:AJ432 W426:AJ426 W392:AJ392 W402:AJ402 W422:AJ422 W418:AJ418 W396:AJ396 W406:AJ406 W394:AJ394 W386:AJ386 W408:AJ408 W388:AJ388 W420:AJ420 W390:AJ390 W424:AJ424 W410:AJ410 W404:AJ404 W398:AJ398 W400:AJ400 W416:AJ416 W412:AJ412 W414:AJ414 W384:AJ384 G776:T776 G782:T782 G784:T784 G786:T786 G770:T770 G792:T792 G780:T780 G772:T772 G778:T778 G756:T756 G764:T764 G766:T766 G774:T774 G758:T758 G762:T762 G754:T754 G794:T794 G790:T790 G768:T768 G796:T796 W762:AJ762 W772:AJ772 W792:AJ792 W788:AJ788 W766:AJ766 W776:AJ776 W764:AJ764 W756:AJ756 W778:AJ778 W758:AJ758 W790:AJ790 W760:AJ760 W794:AJ794 W780:AJ780 W774:AJ774 W768:AJ768 W770:AJ770 W786:AJ786 W782:AJ782 W784:AJ784 W754:AJ754 G924:T924 G930:T930 G932:T932 G934:T934 G918:T918 G940:T940 G928:T928 G920:T920 G926:T926 G904:T904 G912:T912 G914:T914 G922:T922 G906:T906 G910:T910 G902:T902 G942:T942 G938:T938 G916:T916 G944:T944 W910:AJ910 W920:AJ920 W940:AJ940 W936:AJ936 W914:AJ914 W924:AJ924 W912:AJ912 W904:AJ904 W926:AJ926 W906:AJ906 W938:AJ938 W908:AJ908 W942:AJ942 W928:AJ928 W922:AJ922 W916:AJ916 W918:AJ918 W934:AJ934 W930:AJ930 W932:AJ932 W902:AJ902 G862:T862 G850:T850 G856:T856 G858:T858 G860:T860 G844:T844 G866:T866 G854:T854 G846:T846 G852:T852 G830:T830 G838:T838 G840:T840 G848:T848 G832:T832 G836:T836 G828:T828 G868:T868 G864:T864 G842:T842 G870:T870 W836:AJ836 W846:AJ846 W866:AJ866 W862:AJ862 W840:AJ840 W850:AJ850 W838:AJ838 W830:AJ830 W852:AJ852 W832:AJ832 W864:AJ864 W834:AJ834 W868:AJ868 W854:AJ854 W848:AJ848 W842:AJ842 W844:AJ844 W860:AJ860 W856:AJ856 W858:AJ858 W828:AJ828 G998:T998 G1004:T1004 G1006:T1006 G1008:T1008 G992:T992 G1014:T1014 G1002:T1002 G994:T994 G1000:T1000 G978:T978 G986:T986 G988:T988 G996:T996 G980:T980 G984:T984 G976:T976 G1016:T1016 G1012:T1012 G990:T990 G1018:T1018 W984:AJ984 W994:AJ994 W1014:AJ1014 W1010:AJ1010 W988:AJ988 W998:AJ998 W986:AJ986 W978:AJ978 W1000:AJ1000 W980:AJ980 W1012:AJ1012 W982:AJ982 W1016:AJ1016 W1002:AJ1002 W996:AJ996 W990:AJ990 W992:AJ992 W1008:AJ1008 W1004:AJ1004 W1006:AJ1006 W976:AJ976 G1072:T1072 G1078:T1078 G1080:T1080 G1082:T1082 G1066:T1066 G1088:T1088 G1076:T1076 G1068:T1068 G1074:T1074 G1052:T1052 G1060:T1060 G1062:T1062 G1070:T1070 G1054:T1054 G1058:T1058 G1050:T1050 G1090:T1090 G1086:T1086 G1064:T1064 G1092:T1092 W1058:AJ1058 W1068:AJ1068 W1088:AJ1088 W1084:AJ1084 W1062:AJ1062 W1072:AJ1072 W1060:AJ1060 W1052:AJ1052 W1074:AJ1074 W1054:AJ1054 W1086:AJ1086 W1056:AJ1056 W1090:AJ1090 W1076:AJ1076 W1070:AJ1070 W1064:AJ1064 W1066:AJ1066 W1082:AJ1082 W1078:AJ1078 W1080:AJ1080 W1050:AJ1050 G1146:T1146 G1152:T1152 G1154:T1154 G1156:T1156 G1140:T1140 G1162:T1162 G1150:T1150 G1142:T1142 G1148:T1148 G1126:T1126 G1134:T1134 G1136:T1136 G1144:T1144 G1128:T1128 G1132:T1132 G1124:T1124 G1164:T1164 G1160:T1160 G1138:T1138 G1166:T1166 W1132:AJ1132 W1142:AJ1142 W1162:AJ1162 W1158:AJ1158 W1136:AJ1136 W1146:AJ1146 W1134:AJ1134 W1126:AJ1126 W1148:AJ1148 W1128:AJ1128 W1160:AJ1160 W1130:AJ1130 W1164:AJ1164 W1150:AJ1150 W1144:AJ1144 W1138:AJ1138 W1140:AJ1140 W1156:AJ1156 W1152:AJ1152 W1154:AJ1154 W1124:AJ1124 G1220:T1220 G1226:T1226 G1228:T1228 G1230:T1230 G1214:T1214 G1236:T1236 G1224:T1224 G1216:T1216 G1222:T1222 G1200:T1200 G1208:T1208 G1210:T1210 G1218:T1218 G1202:T1202 G1206:T1206 G1198:T1198 G1238:T1238 G1234:T1234 G1212:T1212 G1240:T1240 W1206:AJ1206 W1216:AJ1216 W1236:AJ1236 W1232:AJ1232 W1210:AJ1210 W1220:AJ1220 W1208:AJ1208 W1200:AJ1200 W1222:AJ1222 W1202:AJ1202 W1234:AJ1234 W1204:AJ1204 W1238:AJ1238 W1224:AJ1224 W1218:AJ1218 W1212:AJ1212 W1214:AJ1214 W1230:AJ1230 W1226:AJ1226 W1228:AJ1228 W1198:AJ1198 G1294:T1294 G1300:T1300 G1302:T1302 G1304:T1304 G1288:T1288 G1310:T1310 G1298:T1298 G1290:T1290 G1296:T1296 G1274:T1274 G1282:T1282 G1284:T1284 G1292:T1292 G1276:T1276 G1280:T1280 G1272:T1272 G1312:T1312 G1308:T1308 G1286:T1286 G1314:T1314 W1280:AJ1280 W1290:AJ1290 W1310:AJ1310 W1306:AJ1306 W1284:AJ1284 W1294:AJ1294 W1282:AJ1282 W1274:AJ1274 W1296:AJ1296 W1276:AJ1276 W1308:AJ1308 W1278:AJ1278 W1312:AJ1312 W1298:AJ1298 W1292:AJ1292 W1286:AJ1286 W1288:AJ1288 W1304:AJ1304 W1300:AJ1300 W1302:AJ1302 W1272:AJ1272 G1368:T1368 G1374:T1374 G1376:T1376 G1378:T1378 G1362:T1362 G1384:T1384 G1372:T1372 G1364:T1364 G1370:T1370 G1348:T1348 G1356:T1356 G1358:T1358 G1366:T1366 G1350:T1350 G1354:T1354 G1346:T1346 G1386:T1386 G1382:T1382 G1360:T1360 G1388:T1388 W1354:AJ1354 W1364:AJ1364 W1384:AJ1384 W1380:AJ1380 W1358:AJ1358 W1368:AJ1368 W1356:AJ1356 W1348:AJ1348 W1370:AJ1370 W1350:AJ1350 W1382:AJ1382 W1352:AJ1352 W1386:AJ1386 W1372:AJ1372 W1366:AJ1366 W1360:AJ1360 W1362:AJ1362 W1378:AJ1378 W1374:AJ1374 W1376:AJ1376 W1346:AJ1346 G1442:T1442 G1448:T1448 G1450:T1450 G1452:T1452 G1436:T1436 G1458:T1458 G1446:T1446 G1438:T1438 G1444:T1444 G1422:T1422 G1430:T1430 G1432:T1432 G1440:T1440 G1424:T1424 G1428:T1428 G1420:T1420 G1460:T1460 G1456:T1456 G1434:T1434 G1462:T1462 W1428:AJ1428 W1438:AJ1438 W1458:AJ1458 W1454:AJ1454 W1432:AJ1432 W1442:AJ1442 W1430:AJ1430 W1422:AJ1422 W1444:AJ1444 W1424:AJ1424 W1456:AJ1456 W1426:AJ1426 W1460:AJ1460 W1446:AJ1446 W1440:AJ1440 W1434:AJ1434 W1436:AJ1436 W1452:AJ1452 W1448:AJ1448 W1450:AJ1450 W1420:AJ1420 G1516:T1516 G1522:T1522 G1524:T1524 G1526:T1526 G1510:T1510 G1532:T1532 G1520:T1520 G1512:T1512 G1518:T1518 G1496:T1496 G1504:T1504 G1506:T1506 G1514:T1514 G1498:T1498 G1502:T1502 G1494:T1494 G1534:T1534 G1530:T1530 G1508:T1508 G1536:T1536 W1502:AJ1502 W1512:AJ1512 W1532:AJ1532 W1528:AJ1528 W1506:AJ1506 W1516:AJ1516 W1504:AJ1504 W1496:AJ1496 W1518:AJ1518 W1498:AJ1498 W1530:AJ1530 W1500:AJ1500 W1534:AJ1534 W1520:AJ1520 W1514:AJ1514 W1508:AJ1508 W1510:AJ1510 W1526:AJ1526 W1522:AJ1522 W1524:AJ1524 W1494:AJ1494 G1590:T1590 G1596:T1596 G1598:T1598 G1600:T1600 G1584:T1584 G1606:T1606 G1594:T1594 G1586:T1586 G1592:T1592 G1570:T1570 G1578:T1578 G1580:T1580 G1588:T1588 G1572:T1572 G1576:T1576 G1568:T1568 G1608:T1608 G1604:T1604 G1582:T1582 G1610:T1610 W1576:AJ1576 W1586:AJ1586 W1606:AJ1606 W1602:AJ1602 W1580:AJ1580 W1590:AJ1590 W1578:AJ1578 W1570:AJ1570 W1592:AJ1592 W1572:AJ1572 W1604:AJ1604 W1574:AJ1574 W1608:AJ1608 W1594:AJ1594 W1588:AJ1588 W1582:AJ1582 W1584:AJ1584 W1600:AJ1600 W1596:AJ1596 W1598:AJ1598 W1568:AJ1568 G1664:T1664 G1670:T1670 G1672:T1672 G1674:T1674 G1658:T1658 G1680:T1680 G1668:T1668 G1660:T1660 G1666:T1666 G1644:T1644 G1652:T1652 G1654:T1654 G1662:T1662 G1646:T1646 G1650:T1650 G1642:T1642 G1682:T1682 G1678:T1678 G1656:T1656 G1684:T1684 W1650:AJ1650 W1660:AJ1660 W1680:AJ1680 W1676:AJ1676 W1654:AJ1654 W1664:AJ1664 W1652:AJ1652 W1644:AJ1644 W1666:AJ1666 W1646:AJ1646 W1678:AJ1678 W1648:AJ1648 W1682:AJ1682 W1668:AJ1668 W1662:AJ1662 W1656:AJ1656 W1658:AJ1658 W1674:AJ1674 W1670:AJ1670 W1672:AJ1672 W1642:AJ1642 G1740:T1740 G1718:T1718 G1726:T1726 G1728:T1728 G1736:T1736 G1720:T1720 G1724:T1724 G1716:T1716 G1756:T1756 G1752:T1752 G1730:T1730 G1758:T1758 W1724:AJ1724 W1734:AJ1734 W1754:AJ1754 W1750:AJ1750 W1728:AJ1728 W1738:AJ1738 W1726:AJ1726 W1718:AJ1718 W1740:AJ1740 W1720:AJ1720 W1752:AJ1752 W1722:AJ1722 W1756:AJ1756 W1742:AJ1742 W1736:AJ1736 W1730:AJ1730 W1732:AJ1732 W1748:AJ1748 W1744:AJ1744 W1746:AJ1746 W1716:AJ1716 G1912:T1912 G1908:T1908 G1910:T1910 W1908:AJ1908 W1910:AJ1910 I1870:T1870 W1912:AJ1912 W1906:AJ1906 G1898:T1898 G1886:T1886 G1892:T1892 G1894:T1894 G1896:T1896 G1880:T1880 G1902:T1902 G1890:T1890 G1882:T1882 G1888:T1888 G1866:T1866 G1874:T1874 G1876:T1876 G1884:T1884 G1868:T1868 G1872:T1872 G1864:T1864 G1904:T1904 G1900:T1900 G1878:T1878 G1906:T1906 W1872:AJ1872 W1882:AJ1882 W1902:AJ1902 W1898:AJ1898 W1876:AJ1876 W1886:AJ1886 W1874:AJ1874 W1866:AJ1866 W1888:AJ1888 W1868:AJ1868 W1900:AJ1900 W1870:AJ1870 W1904:AJ1904 W1890:AJ1890 W1884:AJ1884 W1878:AJ1878 W1880:AJ1880 W1896:AJ1896 W1892:AJ1892 W1894:AJ1894 W1864:AJ1864" xr:uid="{00000000-0002-0000-0000-000000000000}">
      <formula1>$W$2:$W$7</formula1>
    </dataValidation>
  </dataValidations>
  <printOptions horizontalCentered="1"/>
  <pageMargins left="0.25" right="0.25" top="0.75" bottom="0.75" header="0.3" footer="0.3"/>
  <pageSetup scale="43" fitToHeight="0" orientation="landscape" r:id="rId1"/>
  <rowBreaks count="1" manualBreakCount="1">
    <brk id="74" min="1" max="47"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M123"/>
  <sheetViews>
    <sheetView tabSelected="1" topLeftCell="A41" zoomScaleNormal="100" workbookViewId="0">
      <selection activeCell="M55" sqref="M55"/>
    </sheetView>
  </sheetViews>
  <sheetFormatPr baseColWidth="10" defaultColWidth="9.1796875" defaultRowHeight="15" customHeight="1" x14ac:dyDescent="0.35"/>
  <cols>
    <col min="1" max="1" width="1.7265625" style="3" customWidth="1"/>
    <col min="2" max="2" width="10.7265625" style="3" customWidth="1"/>
    <col min="3" max="3" width="5.7265625" style="3" customWidth="1"/>
    <col min="4" max="4" width="9.7265625" style="3" customWidth="1"/>
    <col min="5" max="5" width="10.26953125" style="3" customWidth="1"/>
    <col min="6" max="6" width="2.1796875" style="3" customWidth="1"/>
    <col min="7" max="7" width="3.7265625" style="3" customWidth="1"/>
    <col min="8" max="8" width="10.7265625" style="3" customWidth="1"/>
    <col min="9" max="9" width="3.7265625" style="3" customWidth="1"/>
    <col min="10" max="36" width="5.7265625" style="3" customWidth="1"/>
    <col min="37" max="37" width="3.7265625" style="3" customWidth="1"/>
    <col min="38" max="38" width="9.1796875" style="3"/>
    <col min="39" max="16384" width="9.1796875" style="2"/>
  </cols>
  <sheetData>
    <row r="1" spans="1:39" ht="15" customHeight="1" x14ac:dyDescent="0.65">
      <c r="F1" s="8"/>
      <c r="G1" s="143" t="s">
        <v>10</v>
      </c>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row>
    <row r="2" spans="1:39" ht="15" customHeight="1" x14ac:dyDescent="0.65">
      <c r="F2" s="8"/>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row>
    <row r="3" spans="1:39" ht="15" customHeight="1" x14ac:dyDescent="0.35">
      <c r="F3" s="9"/>
      <c r="G3" s="179"/>
      <c r="H3" s="179"/>
      <c r="I3" s="179"/>
      <c r="J3" s="179"/>
      <c r="K3" s="179"/>
      <c r="L3" s="179"/>
      <c r="M3" s="179"/>
      <c r="N3" s="179"/>
      <c r="O3" s="179"/>
      <c r="P3" s="179"/>
      <c r="Q3" s="179"/>
      <c r="R3" s="179"/>
      <c r="S3" s="179"/>
      <c r="T3" s="179"/>
      <c r="U3" s="179"/>
    </row>
    <row r="4" spans="1:39" ht="15" customHeight="1" x14ac:dyDescent="0.35">
      <c r="G4" s="2" t="s">
        <v>40</v>
      </c>
      <c r="I4" s="60" t="s">
        <v>41</v>
      </c>
      <c r="J4" s="61"/>
      <c r="K4" s="1"/>
      <c r="L4" s="1"/>
      <c r="M4" s="1"/>
      <c r="N4" s="1"/>
      <c r="O4" s="1"/>
      <c r="P4" s="1"/>
      <c r="Q4" s="1"/>
      <c r="R4" s="1"/>
      <c r="S4" s="1"/>
      <c r="T4" s="1"/>
      <c r="U4" s="1"/>
    </row>
    <row r="5" spans="1:39" ht="15" customHeight="1" x14ac:dyDescent="0.35">
      <c r="G5" s="181"/>
      <c r="H5" s="181"/>
    </row>
    <row r="6" spans="1:39" ht="15" customHeight="1" x14ac:dyDescent="0.35">
      <c r="G6" s="10"/>
      <c r="H6" s="10"/>
    </row>
    <row r="7" spans="1:39" ht="15" customHeight="1" x14ac:dyDescent="0.35">
      <c r="A7" s="4"/>
      <c r="B7" s="4"/>
      <c r="C7" s="4"/>
      <c r="D7" s="4"/>
      <c r="E7" s="4"/>
      <c r="F7" s="4"/>
      <c r="G7" s="5"/>
      <c r="H7" s="10"/>
      <c r="I7" s="4"/>
      <c r="J7" s="4">
        <v>10</v>
      </c>
      <c r="K7" s="4">
        <f>J7+1</f>
        <v>11</v>
      </c>
      <c r="L7" s="4">
        <f t="shared" ref="L7:AJ7" si="0">K7+1</f>
        <v>12</v>
      </c>
      <c r="M7" s="4">
        <f t="shared" si="0"/>
        <v>13</v>
      </c>
      <c r="N7" s="4">
        <f t="shared" si="0"/>
        <v>14</v>
      </c>
      <c r="O7" s="4">
        <f t="shared" si="0"/>
        <v>15</v>
      </c>
      <c r="P7" s="4">
        <f t="shared" si="0"/>
        <v>16</v>
      </c>
      <c r="Q7" s="4">
        <f t="shared" si="0"/>
        <v>17</v>
      </c>
      <c r="R7" s="4">
        <f t="shared" si="0"/>
        <v>18</v>
      </c>
      <c r="S7" s="4">
        <f t="shared" si="0"/>
        <v>19</v>
      </c>
      <c r="T7" s="4">
        <f t="shared" si="0"/>
        <v>20</v>
      </c>
      <c r="U7" s="4">
        <f t="shared" si="0"/>
        <v>21</v>
      </c>
      <c r="V7" s="4">
        <f t="shared" si="0"/>
        <v>22</v>
      </c>
      <c r="W7" s="4">
        <f t="shared" si="0"/>
        <v>23</v>
      </c>
      <c r="X7" s="4">
        <f t="shared" si="0"/>
        <v>24</v>
      </c>
      <c r="Y7" s="4">
        <f t="shared" si="0"/>
        <v>25</v>
      </c>
      <c r="Z7" s="4">
        <f t="shared" si="0"/>
        <v>26</v>
      </c>
      <c r="AA7" s="4">
        <f t="shared" si="0"/>
        <v>27</v>
      </c>
      <c r="AB7" s="4">
        <v>1</v>
      </c>
      <c r="AC7" s="4">
        <f t="shared" si="0"/>
        <v>2</v>
      </c>
      <c r="AD7" s="4">
        <f t="shared" si="0"/>
        <v>3</v>
      </c>
      <c r="AE7" s="4">
        <f t="shared" si="0"/>
        <v>4</v>
      </c>
      <c r="AF7" s="4">
        <f t="shared" si="0"/>
        <v>5</v>
      </c>
      <c r="AG7" s="4">
        <f t="shared" si="0"/>
        <v>6</v>
      </c>
      <c r="AH7" s="4">
        <f t="shared" si="0"/>
        <v>7</v>
      </c>
      <c r="AI7" s="4">
        <f t="shared" si="0"/>
        <v>8</v>
      </c>
      <c r="AJ7" s="4">
        <f t="shared" si="0"/>
        <v>9</v>
      </c>
      <c r="AK7" s="4"/>
      <c r="AL7" s="4"/>
    </row>
    <row r="8" spans="1:39" ht="15" customHeight="1" x14ac:dyDescent="0.35">
      <c r="A8" s="4"/>
      <c r="B8" s="184" t="s">
        <v>44</v>
      </c>
      <c r="C8" s="185"/>
      <c r="D8" s="185"/>
      <c r="E8" s="185"/>
      <c r="F8" s="186"/>
      <c r="G8" s="5"/>
      <c r="H8" s="13" t="s">
        <v>42</v>
      </c>
      <c r="I8" s="4"/>
      <c r="J8" s="177" t="str">
        <f>"PP"&amp;TEXT(J7,"00")&amp;" "&amp;TEXT(SUMIFS(TIMESHEETS!$BD:$BD,TIMESHEETS!$BA:$BA,TIMESHEETS!$D$9,TIMESHEETS!$BB:$BB,J7),"MMM")</f>
        <v>PP10 mai</v>
      </c>
      <c r="K8" s="177" t="str">
        <f>"PP"&amp;TEXT(K7,"00")&amp;" "&amp;TEXT(SUMIFS(TIMESHEETS!$BD:$BD,TIMESHEETS!$BA:$BA,TIMESHEETS!$D$9,TIMESHEETS!$BB:$BB,K7),"MMM")</f>
        <v>PP11 mai</v>
      </c>
      <c r="L8" s="177" t="str">
        <f>"PP"&amp;TEXT(L7,"00")&amp;" "&amp;TEXT(SUMIFS(TIMESHEETS!$BD:$BD,TIMESHEETS!$BA:$BA,TIMESHEETS!$D$9,TIMESHEETS!$BB:$BB,L7),"MMM")</f>
        <v>PP12 juin</v>
      </c>
      <c r="M8" s="177" t="str">
        <f>"PP"&amp;TEXT(M7,"00")&amp;" "&amp;TEXT(SUMIFS(TIMESHEETS!$BD:$BD,TIMESHEETS!$BA:$BA,TIMESHEETS!$D$9,TIMESHEETS!$BB:$BB,M7),"MMM")</f>
        <v>PP13 juin</v>
      </c>
      <c r="N8" s="177" t="str">
        <f>"PP"&amp;TEXT(N7,"00")&amp;" "&amp;TEXT(SUMIFS(TIMESHEETS!$BD:$BD,TIMESHEETS!$BA:$BA,TIMESHEETS!$D$9,TIMESHEETS!$BB:$BB,N7),"MMM")</f>
        <v>PP14 juil</v>
      </c>
      <c r="O8" s="177" t="str">
        <f>"PP"&amp;TEXT(O7,"00")&amp;" "&amp;TEXT(SUMIFS(TIMESHEETS!$BD:$BD,TIMESHEETS!$BA:$BA,TIMESHEETS!$D$9,TIMESHEETS!$BB:$BB,O7),"MMM")</f>
        <v>PP15 juil</v>
      </c>
      <c r="P8" s="177" t="str">
        <f>"PP"&amp;TEXT(P7,"00")&amp;" "&amp;TEXT(SUMIFS(TIMESHEETS!$BD:$BD,TIMESHEETS!$BA:$BA,TIMESHEETS!$D$9,TIMESHEETS!$BB:$BB,P7),"MMM")</f>
        <v>PP16 juil</v>
      </c>
      <c r="Q8" s="177" t="str">
        <f>"PP"&amp;TEXT(Q7,"00")&amp;" "&amp;TEXT(SUMIFS(TIMESHEETS!$BD:$BD,TIMESHEETS!$BA:$BA,TIMESHEETS!$D$9,TIMESHEETS!$BB:$BB,Q7),"MMM")</f>
        <v>PP17 août</v>
      </c>
      <c r="R8" s="177" t="str">
        <f>"PP"&amp;TEXT(R7,"00")&amp;" "&amp;TEXT(SUMIFS(TIMESHEETS!$BD:$BD,TIMESHEETS!$BA:$BA,TIMESHEETS!$D$9,TIMESHEETS!$BB:$BB,R7),"MMM")</f>
        <v>PP18 août</v>
      </c>
      <c r="S8" s="177" t="str">
        <f>"PP"&amp;TEXT(S7,"00")&amp;" "&amp;TEXT(SUMIFS(TIMESHEETS!$BD:$BD,TIMESHEETS!$BA:$BA,TIMESHEETS!$D$9,TIMESHEETS!$BB:$BB,S7),"MMM")</f>
        <v>PP19 sept</v>
      </c>
      <c r="T8" s="177" t="str">
        <f>"PP"&amp;TEXT(T7,"00")&amp;" "&amp;TEXT(SUMIFS(TIMESHEETS!$BD:$BD,TIMESHEETS!$BA:$BA,TIMESHEETS!$D$9,TIMESHEETS!$BB:$BB,T7),"MMM")</f>
        <v>PP20 sept</v>
      </c>
      <c r="U8" s="177" t="str">
        <f>"PP"&amp;TEXT(U7,"00")&amp;" "&amp;TEXT(SUMIFS(TIMESHEETS!$BD:$BD,TIMESHEETS!$BA:$BA,TIMESHEETS!$D$9,TIMESHEETS!$BB:$BB,U7),"MMM")</f>
        <v>PP21 oct</v>
      </c>
      <c r="V8" s="177" t="str">
        <f>"PP"&amp;TEXT(V7,"00")&amp;" "&amp;TEXT(SUMIFS(TIMESHEETS!$BD:$BD,TIMESHEETS!$BA:$BA,TIMESHEETS!$D$9,TIMESHEETS!$BB:$BB,V7),"MMM")</f>
        <v>PP22 oct</v>
      </c>
      <c r="W8" s="177" t="str">
        <f>"PP"&amp;TEXT(W7,"00")&amp;" "&amp;TEXT(SUMIFS(TIMESHEETS!$BD:$BD,TIMESHEETS!$BA:$BA,TIMESHEETS!$D$9,TIMESHEETS!$BB:$BB,W7),"MMM")</f>
        <v>PP23 nov</v>
      </c>
      <c r="X8" s="177" t="str">
        <f>"PP"&amp;TEXT(X7,"00")&amp;" "&amp;TEXT(SUMIFS(TIMESHEETS!$BD:$BD,TIMESHEETS!$BA:$BA,TIMESHEETS!$D$9,TIMESHEETS!$BB:$BB,X7),"MMM")</f>
        <v>PP24 nov</v>
      </c>
      <c r="Y8" s="177" t="str">
        <f>"PP"&amp;TEXT(Y7,"00")&amp;" "&amp;TEXT(SUMIFS(TIMESHEETS!$BD:$BD,TIMESHEETS!$BA:$BA,TIMESHEETS!$D$9,TIMESHEETS!$BB:$BB,Y7),"MMM")</f>
        <v>PP25 déc</v>
      </c>
      <c r="Z8" s="177" t="str">
        <f>"PP"&amp;TEXT(Z7,"00")&amp;" "&amp;TEXT(SUMIFS(TIMESHEETS!$BD:$BD,TIMESHEETS!$BA:$BA,TIMESHEETS!$D$9,TIMESHEETS!$BB:$BB,Z7),"MMM")</f>
        <v>PP26 déc</v>
      </c>
      <c r="AA8" s="177" t="str">
        <f>"PP"&amp;TEXT(AA7,"00")&amp;" "&amp;TEXT(SUMIFS(TIMESHEETS!$BD:$BD,TIMESHEETS!$BA:$BA,TIMESHEETS!$D$9,TIMESHEETS!$BB:$BB,AA7),"MMM")</f>
        <v>PP27 janv</v>
      </c>
      <c r="AB8" s="177" t="str">
        <f>"PP"&amp;TEXT(AB7,"00")&amp;" "&amp;TEXT(SUMIFS(TIMESHEETS!$BD:$BD,TIMESHEETS!$BA:$BA,TIMESHEETS!$D$9,TIMESHEETS!$BB:$BB,AB7),"MMM")</f>
        <v>PP01 janv</v>
      </c>
      <c r="AC8" s="177" t="str">
        <f>"PP"&amp;TEXT(AC7,"00")&amp;" "&amp;TEXT(SUMIFS(TIMESHEETS!$BD:$BD,TIMESHEETS!$BA:$BA,TIMESHEETS!$D$9,TIMESHEETS!$BB:$BB,AC7),"MMM")</f>
        <v>PP02 janv</v>
      </c>
      <c r="AD8" s="177" t="str">
        <f>"PP"&amp;TEXT(AD7,"00")&amp;" "&amp;TEXT(SUMIFS(TIMESHEETS!$BD:$BD,TIMESHEETS!$BA:$BA,TIMESHEETS!$D$9,TIMESHEETS!$BB:$BB,AD7),"MMM")</f>
        <v>PP03 janv</v>
      </c>
      <c r="AE8" s="177" t="str">
        <f>"PP"&amp;TEXT(AE7,"00")&amp;" "&amp;TEXT(SUMIFS(TIMESHEETS!$BD:$BD,TIMESHEETS!$BA:$BA,TIMESHEETS!$D$9,TIMESHEETS!$BB:$BB,AE7),"MMM")</f>
        <v>PP04 févr</v>
      </c>
      <c r="AF8" s="177" t="str">
        <f>"PP"&amp;TEXT(AF7,"00")&amp;" "&amp;TEXT(SUMIFS(TIMESHEETS!$BD:$BD,TIMESHEETS!$BA:$BA,TIMESHEETS!$D$9,TIMESHEETS!$BB:$BB,AF7),"MMM")</f>
        <v>PP05 févr</v>
      </c>
      <c r="AG8" s="177" t="str">
        <f>"PP"&amp;TEXT(AG7,"00")&amp;" "&amp;TEXT(SUMIFS(TIMESHEETS!$BD:$BD,TIMESHEETS!$BA:$BA,TIMESHEETS!$D$9,TIMESHEETS!$BB:$BB,AG7),"MMM")</f>
        <v>PP06 mars</v>
      </c>
      <c r="AH8" s="177" t="str">
        <f>"PP"&amp;TEXT(AH7,"00")&amp;" "&amp;TEXT(SUMIFS(TIMESHEETS!$BD:$BD,TIMESHEETS!$BA:$BA,TIMESHEETS!$D$9,TIMESHEETS!$BB:$BB,AH7),"MMM")</f>
        <v>PP07 mars</v>
      </c>
      <c r="AI8" s="177" t="str">
        <f>"PP"&amp;TEXT(AI7,"00")&amp;" "&amp;TEXT(SUMIFS(TIMESHEETS!$BD:$BD,TIMESHEETS!$BA:$BA,TIMESHEETS!$D$9,TIMESHEETS!$BB:$BB,AI7),"MMM")</f>
        <v>PP08 avr</v>
      </c>
      <c r="AJ8" s="177" t="str">
        <f>"PP"&amp;TEXT(AJ7,"00")&amp;IF(SUMIFS(TIMESHEETS!$BD:$BD,TIMESHEETS!$BA:$BA,TIMESHEETS!$D$9,TIMESHEETS!$BB:$BB,AJ7)=0,""," "&amp;TEXT(SUMIFS(TIMESHEETS!$BD:$BD,TIMESHEETS!$BA:$BA,TIMESHEETS!$D$9,TIMESHEETS!$BB:$BB,AJ7),"MMM"))</f>
        <v>PP09 avr</v>
      </c>
      <c r="AK8" s="180"/>
      <c r="AL8" s="187" t="s">
        <v>7</v>
      </c>
      <c r="AM8" s="182" t="s">
        <v>92</v>
      </c>
    </row>
    <row r="9" spans="1:39" ht="15" customHeight="1" x14ac:dyDescent="0.35">
      <c r="A9" s="4"/>
      <c r="B9" s="14" t="s">
        <v>33</v>
      </c>
      <c r="C9" s="15"/>
      <c r="D9" s="16"/>
      <c r="E9" s="14" t="s">
        <v>45</v>
      </c>
      <c r="F9" s="16"/>
      <c r="G9" s="5"/>
      <c r="H9" s="7" t="s">
        <v>43</v>
      </c>
      <c r="I9" s="4"/>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80"/>
      <c r="AL9" s="188"/>
      <c r="AM9" s="183"/>
    </row>
    <row r="10" spans="1:39" ht="15" customHeight="1" x14ac:dyDescent="0.35">
      <c r="A10" s="4"/>
      <c r="B10" s="176"/>
      <c r="C10" s="176"/>
      <c r="D10" s="176"/>
      <c r="E10" s="11"/>
      <c r="F10" s="4"/>
      <c r="G10" s="5"/>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row>
    <row r="11" spans="1:39" ht="15" customHeight="1" x14ac:dyDescent="0.35">
      <c r="A11" s="4"/>
      <c r="B11" s="89">
        <v>44333</v>
      </c>
      <c r="C11" s="18"/>
      <c r="D11" s="18"/>
      <c r="E11" s="18"/>
      <c r="F11" s="19"/>
      <c r="G11" s="5"/>
      <c r="H11" s="12">
        <v>16</v>
      </c>
      <c r="I11" s="4"/>
      <c r="J11" s="13">
        <f>SUMIFS(TIMESHEETS!$AQ:$AQ,TIMESHEETS!$F:$F,J$7,TIMESHEETS!$B:$B,$B12)</f>
        <v>0</v>
      </c>
      <c r="K11" s="13">
        <f>SUMIFS(TIMESHEETS!$AQ:$AQ,TIMESHEETS!$F:$F,K$7,TIMESHEETS!$B:$B,$B12)</f>
        <v>0</v>
      </c>
      <c r="L11" s="13">
        <f>SUMIFS(TIMESHEETS!$AQ:$AQ,TIMESHEETS!$F:$F,L$7,TIMESHEETS!$B:$B,$B12)</f>
        <v>0</v>
      </c>
      <c r="M11" s="13">
        <f>SUMIFS(TIMESHEETS!$AQ:$AQ,TIMESHEETS!$F:$F,M$7,TIMESHEETS!$B:$B,$B12)</f>
        <v>0</v>
      </c>
      <c r="N11" s="13">
        <f>SUMIFS(TIMESHEETS!$AQ:$AQ,TIMESHEETS!$F:$F,N$7,TIMESHEETS!$B:$B,$B12)</f>
        <v>0</v>
      </c>
      <c r="O11" s="13">
        <f>SUMIFS(TIMESHEETS!$AQ:$AQ,TIMESHEETS!$F:$F,O$7,TIMESHEETS!$B:$B,$B12)</f>
        <v>0</v>
      </c>
      <c r="P11" s="13">
        <f>SUMIFS(TIMESHEETS!$AQ:$AQ,TIMESHEETS!$F:$F,P$7,TIMESHEETS!$B:$B,$B12)</f>
        <v>0</v>
      </c>
      <c r="Q11" s="13">
        <f>SUMIFS(TIMESHEETS!$AQ:$AQ,TIMESHEETS!$F:$F,Q$7,TIMESHEETS!$B:$B,$B12)</f>
        <v>0</v>
      </c>
      <c r="R11" s="13">
        <f>SUMIFS(TIMESHEETS!$AQ:$AQ,TIMESHEETS!$F:$F,R$7,TIMESHEETS!$B:$B,$B12)</f>
        <v>0</v>
      </c>
      <c r="S11" s="13">
        <f>SUMIFS(TIMESHEETS!$AQ:$AQ,TIMESHEETS!$F:$F,S$7,TIMESHEETS!$B:$B,$B12)</f>
        <v>0</v>
      </c>
      <c r="T11" s="13">
        <f>SUMIFS(TIMESHEETS!$AQ:$AQ,TIMESHEETS!$F:$F,T$7,TIMESHEETS!$B:$B,$B12)</f>
        <v>0</v>
      </c>
      <c r="U11" s="13">
        <f>SUMIFS(TIMESHEETS!$AQ:$AQ,TIMESHEETS!$F:$F,U$7,TIMESHEETS!$B:$B,$B12)</f>
        <v>0</v>
      </c>
      <c r="V11" s="13">
        <f>SUMIFS(TIMESHEETS!$AQ:$AQ,TIMESHEETS!$F:$F,V$7,TIMESHEETS!$B:$B,$B12)</f>
        <v>0</v>
      </c>
      <c r="W11" s="13">
        <f>SUMIFS(TIMESHEETS!$AQ:$AQ,TIMESHEETS!$F:$F,W$7,TIMESHEETS!$B:$B,$B12)</f>
        <v>0</v>
      </c>
      <c r="X11" s="13">
        <f>SUMIFS(TIMESHEETS!$AQ:$AQ,TIMESHEETS!$F:$F,X$7,TIMESHEETS!$B:$B,$B12)</f>
        <v>0</v>
      </c>
      <c r="Y11" s="13">
        <f>SUMIFS(TIMESHEETS!$AQ:$AQ,TIMESHEETS!$F:$F,Y$7,TIMESHEETS!$B:$B,$B12)</f>
        <v>0</v>
      </c>
      <c r="Z11" s="13">
        <f>SUMIFS(TIMESHEETS!$AQ:$AQ,TIMESHEETS!$F:$F,Z$7,TIMESHEETS!$B:$B,$B12)</f>
        <v>0</v>
      </c>
      <c r="AA11" s="13">
        <f>SUMIFS(TIMESHEETS!$AQ:$AQ,TIMESHEETS!$F:$F,AA$7,TIMESHEETS!$B:$B,$B12)</f>
        <v>0</v>
      </c>
      <c r="AB11" s="13">
        <f>SUMIFS(TIMESHEETS!$AQ:$AQ,TIMESHEETS!$F:$F,AB$7,TIMESHEETS!$B:$B,$B12)</f>
        <v>16</v>
      </c>
      <c r="AC11" s="13">
        <f>SUMIFS(TIMESHEETS!$AQ:$AQ,TIMESHEETS!$F:$F,AC$7,TIMESHEETS!$B:$B,$B12)</f>
        <v>0</v>
      </c>
      <c r="AD11" s="13">
        <f>SUMIFS(TIMESHEETS!$AQ:$AQ,TIMESHEETS!$F:$F,AD$7,TIMESHEETS!$B:$B,$B12)</f>
        <v>0</v>
      </c>
      <c r="AE11" s="13">
        <f>SUMIFS(TIMESHEETS!$AQ:$AQ,TIMESHEETS!$F:$F,AE$7,TIMESHEETS!$B:$B,$B12)</f>
        <v>0</v>
      </c>
      <c r="AF11" s="13">
        <v>0</v>
      </c>
      <c r="AG11" s="13">
        <f>SUMIFS(TIMESHEETS!$AQ:$AQ,TIMESHEETS!$F:$F,AG$7,TIMESHEETS!$B:$B,$B12)</f>
        <v>0</v>
      </c>
      <c r="AH11" s="13">
        <f>SUMIFS(TIMESHEETS!$AQ:$AQ,TIMESHEETS!$F:$F,AH$7,TIMESHEETS!$B:$B,$B12)</f>
        <v>0</v>
      </c>
      <c r="AI11" s="13">
        <f>SUMIFS(TIMESHEETS!$AQ:$AQ,TIMESHEETS!$F:$F,AI$7,TIMESHEETS!$B:$B,$B12)</f>
        <v>0</v>
      </c>
      <c r="AJ11" s="13">
        <f>SUMIFS(TIMESHEETS!$AQ:$AQ,TIMESHEETS!$F:$F,AJ$7,TIMESHEETS!$B:$B,$B12)</f>
        <v>0</v>
      </c>
      <c r="AK11" s="4"/>
      <c r="AL11" s="132">
        <f>H11-SUM(J11:AJ11)</f>
        <v>0</v>
      </c>
      <c r="AM11" s="139">
        <f>AL11/8</f>
        <v>0</v>
      </c>
    </row>
    <row r="12" spans="1:39" ht="15" customHeight="1" x14ac:dyDescent="0.35">
      <c r="A12" s="4"/>
      <c r="B12" s="30" t="s">
        <v>76</v>
      </c>
      <c r="C12" s="21"/>
      <c r="D12" s="21"/>
      <c r="E12" s="21"/>
      <c r="F12" s="22"/>
      <c r="G12" s="5"/>
      <c r="H12" s="6">
        <v>16</v>
      </c>
      <c r="I12" s="4"/>
      <c r="J12" s="7">
        <f>SUMIFS(TIMESHEETS!$AO:$AO,TIMESHEETS!$F:$F,J$7,TIMESHEETS!$B:$B,$B12)</f>
        <v>0</v>
      </c>
      <c r="K12" s="7">
        <f>SUMIFS(TIMESHEETS!$AO:$AO,TIMESHEETS!$F:$F,K$7,TIMESHEETS!$B:$B,$B12)</f>
        <v>0</v>
      </c>
      <c r="L12" s="7">
        <f>SUMIFS(TIMESHEETS!$AO:$AO,TIMESHEETS!$F:$F,L$7,TIMESHEETS!$B:$B,$B12)</f>
        <v>0</v>
      </c>
      <c r="M12" s="7">
        <f>SUMIFS(TIMESHEETS!$AO:$AO,TIMESHEETS!$F:$F,M$7,TIMESHEETS!$B:$B,$B12)</f>
        <v>0</v>
      </c>
      <c r="N12" s="7">
        <f>SUMIFS(TIMESHEETS!$AO:$AO,TIMESHEETS!$F:$F,N$7,TIMESHEETS!$B:$B,$B12)</f>
        <v>0</v>
      </c>
      <c r="O12" s="7">
        <f>SUMIFS(TIMESHEETS!$AO:$AO,TIMESHEETS!$F:$F,O$7,TIMESHEETS!$B:$B,$B12)</f>
        <v>0</v>
      </c>
      <c r="P12" s="7">
        <f>SUMIFS(TIMESHEETS!$AO:$AO,TIMESHEETS!$F:$F,P$7,TIMESHEETS!$B:$B,$B12)</f>
        <v>0</v>
      </c>
      <c r="Q12" s="7">
        <f>SUMIFS(TIMESHEETS!$AO:$AO,TIMESHEETS!$F:$F,Q$7,TIMESHEETS!$B:$B,$B12)</f>
        <v>0</v>
      </c>
      <c r="R12" s="7">
        <f>SUMIFS(TIMESHEETS!$AO:$AO,TIMESHEETS!$F:$F,R$7,TIMESHEETS!$B:$B,$B12)</f>
        <v>0</v>
      </c>
      <c r="S12" s="7">
        <f>SUMIFS(TIMESHEETS!$AO:$AO,TIMESHEETS!$F:$F,S$7,TIMESHEETS!$B:$B,$B12)</f>
        <v>8</v>
      </c>
      <c r="T12" s="7">
        <f>SUMIFS(TIMESHEETS!$AO:$AO,TIMESHEETS!$F:$F,T$7,TIMESHEETS!$B:$B,$B12)</f>
        <v>0</v>
      </c>
      <c r="U12" s="7">
        <f>SUMIFS(TIMESHEETS!$AO:$AO,TIMESHEETS!$F:$F,U$7,TIMESHEETS!$B:$B,$B12)</f>
        <v>0</v>
      </c>
      <c r="V12" s="7">
        <f>SUMIFS(TIMESHEETS!$AO:$AO,TIMESHEETS!$F:$F,V$7,TIMESHEETS!$B:$B,$B12)</f>
        <v>0</v>
      </c>
      <c r="W12" s="7">
        <f>SUMIFS(TIMESHEETS!$AO:$AO,TIMESHEETS!$F:$F,W$7,TIMESHEETS!$B:$B,$B12)</f>
        <v>0</v>
      </c>
      <c r="X12" s="7">
        <f>SUMIFS(TIMESHEETS!$AO:$AO,TIMESHEETS!$F:$F,X$7,TIMESHEETS!$B:$B,$B12)</f>
        <v>0</v>
      </c>
      <c r="Y12" s="7">
        <f>SUMIFS(TIMESHEETS!$AO:$AO,TIMESHEETS!$F:$F,Y$7,TIMESHEETS!$B:$B,$B12)</f>
        <v>0</v>
      </c>
      <c r="Z12" s="7">
        <f>SUMIFS(TIMESHEETS!$AO:$AO,TIMESHEETS!$F:$F,Z$7,TIMESHEETS!$B:$B,$B12)</f>
        <v>0</v>
      </c>
      <c r="AA12" s="7">
        <f>SUMIFS(TIMESHEETS!$AO:$AO,TIMESHEETS!$F:$F,AA$7,TIMESHEETS!$B:$B,$B12)</f>
        <v>0</v>
      </c>
      <c r="AB12" s="7">
        <f>SUMIFS(TIMESHEETS!$AO:$AO,TIMESHEETS!$F:$F,AB$7,TIMESHEETS!$B:$B,$B12)</f>
        <v>0</v>
      </c>
      <c r="AC12" s="7">
        <f>SUMIFS(TIMESHEETS!$AO:$AO,TIMESHEETS!$F:$F,AC$7,TIMESHEETS!$B:$B,$B12)</f>
        <v>0</v>
      </c>
      <c r="AD12" s="7">
        <f>SUMIFS(TIMESHEETS!$AO:$AO,TIMESHEETS!$F:$F,AD$7,TIMESHEETS!$B:$B,$B12)</f>
        <v>8</v>
      </c>
      <c r="AE12" s="7">
        <f>SUMIFS(TIMESHEETS!$AO:$AO,TIMESHEETS!$F:$F,AE$7,TIMESHEETS!$B:$B,$B12)</f>
        <v>0</v>
      </c>
      <c r="AF12" s="7">
        <f>SUMIFS(TIMESHEETS!$AO:$AO,TIMESHEETS!$F:$F,AF$7,TIMESHEETS!$B:$B,$B12)</f>
        <v>0</v>
      </c>
      <c r="AG12" s="7">
        <f>SUMIFS(TIMESHEETS!$AO:$AO,TIMESHEETS!$F:$F,AG$7,TIMESHEETS!$B:$B,$B12)</f>
        <v>0</v>
      </c>
      <c r="AH12" s="7">
        <f>SUMIFS(TIMESHEETS!$AO:$AO,TIMESHEETS!$F:$F,AH$7,TIMESHEETS!$B:$B,$B12)</f>
        <v>0</v>
      </c>
      <c r="AI12" s="7">
        <f>SUMIFS(TIMESHEETS!$AO:$AO,TIMESHEETS!$F:$F,AI$7,TIMESHEETS!$B:$B,$B12)</f>
        <v>0</v>
      </c>
      <c r="AJ12" s="7">
        <f>SUMIFS(TIMESHEETS!$AO:$AO,TIMESHEETS!$F:$F,AJ$7,TIMESHEETS!$B:$B,$B12)</f>
        <v>8</v>
      </c>
      <c r="AK12" s="4"/>
      <c r="AL12" s="7">
        <f>H12-SUM(J12:AJ12)</f>
        <v>-8</v>
      </c>
    </row>
    <row r="13" spans="1:39" ht="15" customHeight="1" x14ac:dyDescent="0.35">
      <c r="A13" s="4"/>
      <c r="B13" s="23"/>
      <c r="C13" s="23"/>
      <c r="D13" s="23"/>
      <c r="E13" s="23"/>
      <c r="F13" s="23"/>
      <c r="G13" s="5"/>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pans="1:39" ht="15" customHeight="1" x14ac:dyDescent="0.35">
      <c r="A14" s="4"/>
      <c r="B14" s="89">
        <v>38159</v>
      </c>
      <c r="C14" s="18"/>
      <c r="D14" s="18"/>
      <c r="E14" s="18"/>
      <c r="F14" s="19"/>
      <c r="G14" s="5"/>
      <c r="H14" s="12">
        <v>160</v>
      </c>
      <c r="I14" s="4"/>
      <c r="J14" s="13">
        <f>SUMIFS(TIMESHEETS!$AQ:$AQ,TIMESHEETS!$F:$F,J$7,TIMESHEETS!$B:$B,$B15)</f>
        <v>0</v>
      </c>
      <c r="K14" s="13">
        <f>SUMIFS(TIMESHEETS!$AQ:$AQ,TIMESHEETS!$F:$F,K$7,TIMESHEETS!$B:$B,$B15)</f>
        <v>0</v>
      </c>
      <c r="L14" s="13">
        <f>SUMIFS(TIMESHEETS!$AQ:$AQ,TIMESHEETS!$F:$F,L$7,TIMESHEETS!$B:$B,$B15)</f>
        <v>0</v>
      </c>
      <c r="M14" s="13">
        <f>SUMIFS(TIMESHEETS!$AQ:$AQ,TIMESHEETS!$F:$F,M$7,TIMESHEETS!$B:$B,$B15)</f>
        <v>0</v>
      </c>
      <c r="N14" s="13">
        <f>SUMIFS(TIMESHEETS!$AQ:$AQ,TIMESHEETS!$F:$F,N$7,TIMESHEETS!$B:$B,$B15)</f>
        <v>0</v>
      </c>
      <c r="O14" s="13">
        <f>SUMIFS(TIMESHEETS!$AQ:$AQ,TIMESHEETS!$F:$F,O$7,TIMESHEETS!$B:$B,$B15)</f>
        <v>0</v>
      </c>
      <c r="P14" s="13">
        <f>SUMIFS(TIMESHEETS!$AQ:$AQ,TIMESHEETS!$F:$F,P$7,TIMESHEETS!$B:$B,$B15)</f>
        <v>0</v>
      </c>
      <c r="Q14" s="13">
        <f>SUMIFS(TIMESHEETS!$AQ:$AQ,TIMESHEETS!$F:$F,Q$7,TIMESHEETS!$B:$B,$B15)</f>
        <v>0</v>
      </c>
      <c r="R14" s="13">
        <f>SUMIFS(TIMESHEETS!$AQ:$AQ,TIMESHEETS!$F:$F,R$7,TIMESHEETS!$B:$B,$B15)</f>
        <v>0</v>
      </c>
      <c r="S14" s="13">
        <f>SUMIFS(TIMESHEETS!$AQ:$AQ,TIMESHEETS!$F:$F,S$7,TIMESHEETS!$B:$B,$B15)</f>
        <v>0</v>
      </c>
      <c r="T14" s="13">
        <f>SUMIFS(TIMESHEETS!$AQ:$AQ,TIMESHEETS!$F:$F,T$7,TIMESHEETS!$B:$B,$B15)</f>
        <v>0</v>
      </c>
      <c r="U14" s="13">
        <f>SUMIFS(TIMESHEETS!$AQ:$AQ,TIMESHEETS!$F:$F,U$7,TIMESHEETS!$B:$B,$B15)</f>
        <v>8</v>
      </c>
      <c r="V14" s="13">
        <f>SUMIFS(TIMESHEETS!$AQ:$AQ,TIMESHEETS!$F:$F,V$7,TIMESHEETS!$B:$B,$B15)</f>
        <v>0</v>
      </c>
      <c r="W14" s="13">
        <f>SUMIFS(TIMESHEETS!$AQ:$AQ,TIMESHEETS!$F:$F,W$7,TIMESHEETS!$B:$B,$B15)</f>
        <v>8</v>
      </c>
      <c r="X14" s="13">
        <f>SUMIFS(TIMESHEETS!$AQ:$AQ,TIMESHEETS!$F:$F,X$7,TIMESHEETS!$B:$B,$B15)</f>
        <v>8</v>
      </c>
      <c r="Y14" s="13">
        <f>SUMIFS(TIMESHEETS!$AQ:$AQ,TIMESHEETS!$F:$F,Y$7,TIMESHEETS!$B:$B,$B15)</f>
        <v>0</v>
      </c>
      <c r="Z14" s="13">
        <f>SUMIFS(TIMESHEETS!$AQ:$AQ,TIMESHEETS!$F:$F,Z$7,TIMESHEETS!$B:$B,$B15)</f>
        <v>0</v>
      </c>
      <c r="AA14" s="13">
        <f>SUMIFS(TIMESHEETS!$AQ:$AQ,TIMESHEETS!$F:$F,AA$7,TIMESHEETS!$B:$B,$B15)</f>
        <v>0</v>
      </c>
      <c r="AB14" s="13">
        <f>SUMIFS(TIMESHEETS!$AQ:$AQ,TIMESHEETS!$F:$F,AB$7,TIMESHEETS!$B:$B,$B15)</f>
        <v>16</v>
      </c>
      <c r="AC14" s="13">
        <f>SUMIFS(TIMESHEETS!$AQ:$AQ,TIMESHEETS!$F:$F,AC$7,TIMESHEETS!$B:$B,$B15)</f>
        <v>48</v>
      </c>
      <c r="AD14" s="13">
        <f>SUMIFS(TIMESHEETS!$AQ:$AQ,TIMESHEETS!$F:$F,AD$7,TIMESHEETS!$B:$B,$B15)</f>
        <v>0</v>
      </c>
      <c r="AE14" s="13">
        <f>SUMIFS(TIMESHEETS!$AQ:$AQ,TIMESHEETS!$F:$F,AE$7,TIMESHEETS!$B:$B,$B15)</f>
        <v>0</v>
      </c>
      <c r="AF14" s="13">
        <f>SUMIFS(TIMESHEETS!$AQ:$AQ,TIMESHEETS!$F:$F,AF$7,TIMESHEETS!$B:$B,$B15)</f>
        <v>8</v>
      </c>
      <c r="AG14" s="13">
        <f>SUMIFS(TIMESHEETS!$AQ:$AQ,TIMESHEETS!$F:$F,AG$7,TIMESHEETS!$B:$B,$B15)</f>
        <v>40</v>
      </c>
      <c r="AH14" s="13">
        <f>SUMIFS(TIMESHEETS!$AQ:$AQ,TIMESHEETS!$F:$F,AH$7,TIMESHEETS!$B:$B,$B15)</f>
        <v>8</v>
      </c>
      <c r="AI14" s="13">
        <f>SUMIFS(TIMESHEETS!$AQ:$AQ,TIMESHEETS!$F:$F,AI$7,TIMESHEETS!$B:$B,$B15)</f>
        <v>8</v>
      </c>
      <c r="AJ14" s="13">
        <f>SUMIFS(TIMESHEETS!$AQ:$AQ,TIMESHEETS!$F:$F,AJ$7,TIMESHEETS!$B:$B,$B15)</f>
        <v>0</v>
      </c>
      <c r="AK14" s="4"/>
      <c r="AL14" s="13">
        <f>H14-SUM(J14:AJ14)</f>
        <v>8</v>
      </c>
      <c r="AM14" s="137">
        <f>AL14/8</f>
        <v>1</v>
      </c>
    </row>
    <row r="15" spans="1:39" ht="15" customHeight="1" x14ac:dyDescent="0.35">
      <c r="A15" s="4"/>
      <c r="B15" s="30" t="s">
        <v>48</v>
      </c>
      <c r="C15" s="21"/>
      <c r="D15" s="21"/>
      <c r="E15" s="21"/>
      <c r="F15" s="22"/>
      <c r="G15" s="5"/>
      <c r="H15" s="6">
        <v>16</v>
      </c>
      <c r="I15" s="4"/>
      <c r="J15" s="7">
        <f>SUMIFS(TIMESHEETS!$AO:$AO,TIMESHEETS!$F:$F,J$7,TIMESHEETS!$B:$B,$B15)</f>
        <v>0</v>
      </c>
      <c r="K15" s="7">
        <f>SUMIFS(TIMESHEETS!$AO:$AO,TIMESHEETS!$F:$F,K$7,TIMESHEETS!$B:$B,$B15)</f>
        <v>0</v>
      </c>
      <c r="L15" s="7">
        <f>SUMIFS(TIMESHEETS!$AO:$AO,TIMESHEETS!$F:$F,L$7,TIMESHEETS!$B:$B,$B15)</f>
        <v>0</v>
      </c>
      <c r="M15" s="7">
        <f>SUMIFS(TIMESHEETS!$AO:$AO,TIMESHEETS!$F:$F,M$7,TIMESHEETS!$B:$B,$B15)</f>
        <v>0</v>
      </c>
      <c r="N15" s="7">
        <f>SUMIFS(TIMESHEETS!$AO:$AO,TIMESHEETS!$F:$F,N$7,TIMESHEETS!$B:$B,$B15)</f>
        <v>0</v>
      </c>
      <c r="O15" s="7">
        <f>SUMIFS(TIMESHEETS!$AO:$AO,TIMESHEETS!$F:$F,O$7,TIMESHEETS!$B:$B,$B15)</f>
        <v>0</v>
      </c>
      <c r="P15" s="7">
        <f>SUMIFS(TIMESHEETS!$AO:$AO,TIMESHEETS!$F:$F,P$7,TIMESHEETS!$B:$B,$B15)</f>
        <v>0</v>
      </c>
      <c r="Q15" s="7">
        <f>SUMIFS(TIMESHEETS!$AO:$AO,TIMESHEETS!$F:$F,Q$7,TIMESHEETS!$B:$B,$B15)</f>
        <v>0</v>
      </c>
      <c r="R15" s="7">
        <f>SUMIFS(TIMESHEETS!$AO:$AO,TIMESHEETS!$F:$F,R$7,TIMESHEETS!$B:$B,$B15)</f>
        <v>0</v>
      </c>
      <c r="S15" s="7">
        <f>SUMIFS(TIMESHEETS!$AO:$AO,TIMESHEETS!$F:$F,S$7,TIMESHEETS!$B:$B,$B15)</f>
        <v>0</v>
      </c>
      <c r="T15" s="7">
        <f>SUMIFS(TIMESHEETS!$AO:$AO,TIMESHEETS!$F:$F,T$7,TIMESHEETS!$B:$B,$B15)</f>
        <v>0</v>
      </c>
      <c r="U15" s="7">
        <f>SUMIFS(TIMESHEETS!$AO:$AO,TIMESHEETS!$F:$F,U$7,TIMESHEETS!$B:$B,$B15)</f>
        <v>0</v>
      </c>
      <c r="V15" s="7">
        <f>SUMIFS(TIMESHEETS!$AO:$AO,TIMESHEETS!$F:$F,V$7,TIMESHEETS!$B:$B,$B15)</f>
        <v>0</v>
      </c>
      <c r="W15" s="7">
        <f>SUMIFS(TIMESHEETS!$AO:$AO,TIMESHEETS!$F:$F,W$7,TIMESHEETS!$B:$B,$B15)</f>
        <v>0</v>
      </c>
      <c r="X15" s="7">
        <f>SUMIFS(TIMESHEETS!$AO:$AO,TIMESHEETS!$F:$F,X$7,TIMESHEETS!$B:$B,$B15)</f>
        <v>8</v>
      </c>
      <c r="Y15" s="7">
        <f>SUMIFS(TIMESHEETS!$AO:$AO,TIMESHEETS!$F:$F,Y$7,TIMESHEETS!$B:$B,$B15)</f>
        <v>0</v>
      </c>
      <c r="Z15" s="7">
        <f>SUMIFS(TIMESHEETS!$AO:$AO,TIMESHEETS!$F:$F,Z$7,TIMESHEETS!$B:$B,$B15)</f>
        <v>0</v>
      </c>
      <c r="AA15" s="7">
        <f>SUMIFS(TIMESHEETS!$AO:$AO,TIMESHEETS!$F:$F,AA$7,TIMESHEETS!$B:$B,$B15)</f>
        <v>0</v>
      </c>
      <c r="AB15" s="7">
        <f>SUMIFS(TIMESHEETS!$AO:$AO,TIMESHEETS!$F:$F,AB$7,TIMESHEETS!$B:$B,$B15)</f>
        <v>0</v>
      </c>
      <c r="AC15" s="7">
        <f>SUMIFS(TIMESHEETS!$AO:$AO,TIMESHEETS!$F:$F,AC$7,TIMESHEETS!$B:$B,$B15)</f>
        <v>0</v>
      </c>
      <c r="AD15" s="7">
        <f>SUMIFS(TIMESHEETS!$AO:$AO,TIMESHEETS!$F:$F,AD$7,TIMESHEETS!$B:$B,$B15)</f>
        <v>0</v>
      </c>
      <c r="AE15" s="7">
        <f>SUMIFS(TIMESHEETS!$AO:$AO,TIMESHEETS!$F:$F,AE$7,TIMESHEETS!$B:$B,$B15)</f>
        <v>8</v>
      </c>
      <c r="AF15" s="7">
        <f>SUMIFS(TIMESHEETS!$AO:$AO,TIMESHEETS!$F:$F,AF$7,TIMESHEETS!$B:$B,$B15)</f>
        <v>0</v>
      </c>
      <c r="AG15" s="7">
        <f>SUMIFS(TIMESHEETS!$AO:$AO,TIMESHEETS!$F:$F,AG$7,TIMESHEETS!$B:$B,$B15)</f>
        <v>0</v>
      </c>
      <c r="AH15" s="7">
        <f>SUMIFS(TIMESHEETS!$AO:$AO,TIMESHEETS!$F:$F,AH$7,TIMESHEETS!$B:$B,$B15)</f>
        <v>0</v>
      </c>
      <c r="AI15" s="7">
        <f>SUMIFS(TIMESHEETS!$AO:$AO,TIMESHEETS!$F:$F,AI$7,TIMESHEETS!$B:$B,$B15)</f>
        <v>0</v>
      </c>
      <c r="AJ15" s="7">
        <f>SUMIFS(TIMESHEETS!$AO:$AO,TIMESHEETS!$F:$F,AJ$7,TIMESHEETS!$B:$B,$B15)</f>
        <v>0</v>
      </c>
      <c r="AK15" s="4"/>
      <c r="AL15" s="7">
        <f>H15-SUM(J15:AJ15)</f>
        <v>0</v>
      </c>
    </row>
    <row r="16" spans="1:39" ht="15" customHeight="1" x14ac:dyDescent="0.35">
      <c r="A16" s="4"/>
      <c r="B16" s="23"/>
      <c r="C16" s="23"/>
      <c r="D16" s="23"/>
      <c r="E16" s="23"/>
      <c r="F16" s="23"/>
      <c r="G16" s="5"/>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9" ht="15" customHeight="1" x14ac:dyDescent="0.35">
      <c r="A17" s="4"/>
      <c r="B17" s="89">
        <v>42408</v>
      </c>
      <c r="C17" s="18"/>
      <c r="D17" s="18"/>
      <c r="E17" s="18"/>
      <c r="F17" s="19"/>
      <c r="G17" s="5"/>
      <c r="H17" s="12">
        <v>128</v>
      </c>
      <c r="I17" s="4"/>
      <c r="J17" s="13">
        <f>SUMIFS(TIMESHEETS!$AQ:$AQ,TIMESHEETS!$F:$F,J$7,TIMESHEETS!$B:$B,$B18)</f>
        <v>8</v>
      </c>
      <c r="K17" s="13">
        <f>SUMIFS(TIMESHEETS!$AQ:$AQ,TIMESHEETS!$F:$F,K$7,TIMESHEETS!$B:$B,$B18)</f>
        <v>0</v>
      </c>
      <c r="L17" s="13">
        <f>SUMIFS(TIMESHEETS!$AQ:$AQ,TIMESHEETS!$F:$F,L$7,TIMESHEETS!$B:$B,$B18)</f>
        <v>8</v>
      </c>
      <c r="M17" s="13">
        <f>SUMIFS(TIMESHEETS!$AQ:$AQ,TIMESHEETS!$F:$F,M$7,TIMESHEETS!$B:$B,$B18)</f>
        <v>0</v>
      </c>
      <c r="N17" s="13">
        <f>SUMIFS(TIMESHEETS!$AQ:$AQ,TIMESHEETS!$F:$F,N$7,TIMESHEETS!$B:$B,$B18)</f>
        <v>0</v>
      </c>
      <c r="O17" s="13">
        <f>SUMIFS(TIMESHEETS!$AQ:$AQ,TIMESHEETS!$F:$F,O$7,TIMESHEETS!$B:$B,$B18)</f>
        <v>0</v>
      </c>
      <c r="P17" s="13">
        <f>SUMIFS(TIMESHEETS!$AQ:$AQ,TIMESHEETS!$F:$F,P$7,TIMESHEETS!$B:$B,$B18)</f>
        <v>80</v>
      </c>
      <c r="Q17" s="13">
        <f>SUMIFS(TIMESHEETS!$AQ:$AQ,TIMESHEETS!$F:$F,Q$7,TIMESHEETS!$B:$B,$B18)</f>
        <v>0</v>
      </c>
      <c r="R17" s="13">
        <f>SUMIFS(TIMESHEETS!$AQ:$AQ,TIMESHEETS!$F:$F,R$7,TIMESHEETS!$B:$B,$B18)</f>
        <v>0</v>
      </c>
      <c r="S17" s="13">
        <f>SUMIFS(TIMESHEETS!$AQ:$AQ,TIMESHEETS!$F:$F,S$7,TIMESHEETS!$B:$B,$B18)</f>
        <v>0</v>
      </c>
      <c r="T17" s="13">
        <f>SUMIFS(TIMESHEETS!$AQ:$AQ,TIMESHEETS!$F:$F,T$7,TIMESHEETS!$B:$B,$B18)</f>
        <v>0</v>
      </c>
      <c r="U17" s="13">
        <f>SUMIFS(TIMESHEETS!$AQ:$AQ,TIMESHEETS!$F:$F,U$7,TIMESHEETS!$B:$B,$B18)</f>
        <v>0</v>
      </c>
      <c r="V17" s="13">
        <f>SUMIFS(TIMESHEETS!$AQ:$AQ,TIMESHEETS!$F:$F,V$7,TIMESHEETS!$B:$B,$B18)</f>
        <v>0</v>
      </c>
      <c r="W17" s="13">
        <f>SUMIFS(TIMESHEETS!$AQ:$AQ,TIMESHEETS!$F:$F,W$7,TIMESHEETS!$B:$B,$B18)</f>
        <v>0</v>
      </c>
      <c r="X17" s="13">
        <f>SUMIFS(TIMESHEETS!$AQ:$AQ,TIMESHEETS!$F:$F,X$7,TIMESHEETS!$B:$B,$B18)</f>
        <v>0</v>
      </c>
      <c r="Y17" s="13">
        <f>SUMIFS(TIMESHEETS!$AQ:$AQ,TIMESHEETS!$F:$F,Y$7,TIMESHEETS!$B:$B,$B18)</f>
        <v>0</v>
      </c>
      <c r="Z17" s="13">
        <f>SUMIFS(TIMESHEETS!$AQ:$AQ,TIMESHEETS!$F:$F,Z$7,TIMESHEETS!$B:$B,$B18)</f>
        <v>0</v>
      </c>
      <c r="AA17" s="13">
        <f>SUMIFS(TIMESHEETS!$AQ:$AQ,TIMESHEETS!$F:$F,AA$7,TIMESHEETS!$B:$B,$B18)</f>
        <v>0</v>
      </c>
      <c r="AB17" s="13">
        <f>SUMIFS(TIMESHEETS!$AQ:$AQ,TIMESHEETS!$F:$F,AB$7,TIMESHEETS!$B:$B,$B18)</f>
        <v>32</v>
      </c>
      <c r="AC17" s="13">
        <f>SUMIFS(TIMESHEETS!$AQ:$AQ,TIMESHEETS!$F:$F,AC$7,TIMESHEETS!$B:$B,$B18)</f>
        <v>0</v>
      </c>
      <c r="AD17" s="13">
        <f>SUMIFS(TIMESHEETS!$AQ:$AQ,TIMESHEETS!$F:$F,AD$7,TIMESHEETS!$B:$B,$B18)</f>
        <v>0</v>
      </c>
      <c r="AE17" s="13">
        <f>SUMIFS(TIMESHEETS!$AQ:$AQ,TIMESHEETS!$F:$F,AE$7,TIMESHEETS!$B:$B,$B18)</f>
        <v>0</v>
      </c>
      <c r="AF17" s="13">
        <f>SUMIFS(TIMESHEETS!$AQ:$AQ,TIMESHEETS!$F:$F,AF$7,TIMESHEETS!$B:$B,$B18)</f>
        <v>0</v>
      </c>
      <c r="AG17" s="13">
        <f>SUMIFS(TIMESHEETS!$AQ:$AQ,TIMESHEETS!$F:$F,AG$7,TIMESHEETS!$B:$B,$B18)</f>
        <v>0</v>
      </c>
      <c r="AH17" s="13">
        <f>SUMIFS(TIMESHEETS!$AQ:$AQ,TIMESHEETS!$F:$F,AH$7,TIMESHEETS!$B:$B,$B18)</f>
        <v>0</v>
      </c>
      <c r="AI17" s="13">
        <f>SUMIFS(TIMESHEETS!$AQ:$AQ,TIMESHEETS!$F:$F,AI$7,TIMESHEETS!$B:$B,$B18)</f>
        <v>0</v>
      </c>
      <c r="AJ17" s="13">
        <f>SUMIFS(TIMESHEETS!$AQ:$AQ,TIMESHEETS!$F:$F,AJ$7,TIMESHEETS!$B:$B,$B18)</f>
        <v>0</v>
      </c>
      <c r="AK17" s="4"/>
      <c r="AL17" s="13">
        <f>H17-SUM(J17:AJ17)</f>
        <v>0</v>
      </c>
      <c r="AM17" s="139">
        <f>AL17/8</f>
        <v>0</v>
      </c>
    </row>
    <row r="18" spans="1:39" ht="15" customHeight="1" x14ac:dyDescent="0.35">
      <c r="A18" s="4"/>
      <c r="B18" s="30" t="s">
        <v>59</v>
      </c>
      <c r="C18" s="21"/>
      <c r="D18" s="21"/>
      <c r="E18" s="21"/>
      <c r="F18" s="22"/>
      <c r="G18" s="5"/>
      <c r="H18" s="6">
        <v>16</v>
      </c>
      <c r="I18" s="4"/>
      <c r="J18" s="7">
        <f>SUMIFS(TIMESHEETS!$AO:$AO,TIMESHEETS!$F:$F,J$7,TIMESHEETS!$B:$B,$B18)</f>
        <v>0</v>
      </c>
      <c r="K18" s="7">
        <f>SUMIFS(TIMESHEETS!$AO:$AO,TIMESHEETS!$F:$F,K$7,TIMESHEETS!$B:$B,$B18)</f>
        <v>0</v>
      </c>
      <c r="L18" s="7">
        <f>SUMIFS(TIMESHEETS!$AO:$AO,TIMESHEETS!$F:$F,L$7,TIMESHEETS!$B:$B,$B18)</f>
        <v>0</v>
      </c>
      <c r="M18" s="7">
        <f>SUMIFS(TIMESHEETS!$AO:$AO,TIMESHEETS!$F:$F,M$7,TIMESHEETS!$B:$B,$B18)</f>
        <v>0</v>
      </c>
      <c r="N18" s="7">
        <f>SUMIFS(TIMESHEETS!$AO:$AO,TIMESHEETS!$F:$F,N$7,TIMESHEETS!$B:$B,$B18)</f>
        <v>0</v>
      </c>
      <c r="O18" s="7">
        <f>SUMIFS(TIMESHEETS!$AO:$AO,TIMESHEETS!$F:$F,O$7,TIMESHEETS!$B:$B,$B18)</f>
        <v>0</v>
      </c>
      <c r="P18" s="7">
        <f>SUMIFS(TIMESHEETS!$AO:$AO,TIMESHEETS!$F:$F,P$7,TIMESHEETS!$B:$B,$B18)</f>
        <v>0</v>
      </c>
      <c r="Q18" s="7">
        <f>SUMIFS(TIMESHEETS!$AO:$AO,TIMESHEETS!$F:$F,Q$7,TIMESHEETS!$B:$B,$B18)</f>
        <v>8</v>
      </c>
      <c r="R18" s="7">
        <f>SUMIFS(TIMESHEETS!$AO:$AO,TIMESHEETS!$F:$F,R$7,TIMESHEETS!$B:$B,$B18)</f>
        <v>0</v>
      </c>
      <c r="S18" s="7">
        <f>SUMIFS(TIMESHEETS!$AO:$AO,TIMESHEETS!$F:$F,S$7,TIMESHEETS!$B:$B,$B18)</f>
        <v>0</v>
      </c>
      <c r="T18" s="7">
        <f>SUMIFS(TIMESHEETS!$AO:$AO,TIMESHEETS!$F:$F,T$7,TIMESHEETS!$B:$B,$B18)</f>
        <v>0</v>
      </c>
      <c r="U18" s="7">
        <f>SUMIFS(TIMESHEETS!$AO:$AO,TIMESHEETS!$F:$F,U$7,TIMESHEETS!$B:$B,$B18)</f>
        <v>0</v>
      </c>
      <c r="V18" s="7">
        <f>SUMIFS(TIMESHEETS!$AO:$AO,TIMESHEETS!$F:$F,V$7,TIMESHEETS!$B:$B,$B18)</f>
        <v>8</v>
      </c>
      <c r="W18" s="7">
        <f>SUMIFS(TIMESHEETS!$AO:$AO,TIMESHEETS!$F:$F,W$7,TIMESHEETS!$B:$B,$B18)</f>
        <v>0</v>
      </c>
      <c r="X18" s="7">
        <f>SUMIFS(TIMESHEETS!$AO:$AO,TIMESHEETS!$F:$F,X$7,TIMESHEETS!$B:$B,$B18)</f>
        <v>0</v>
      </c>
      <c r="Y18" s="7">
        <f>SUMIFS(TIMESHEETS!$AO:$AO,TIMESHEETS!$F:$F,Y$7,TIMESHEETS!$B:$B,$B18)</f>
        <v>0</v>
      </c>
      <c r="Z18" s="7">
        <f>SUMIFS(TIMESHEETS!$AO:$AO,TIMESHEETS!$F:$F,Z$7,TIMESHEETS!$B:$B,$B18)</f>
        <v>0</v>
      </c>
      <c r="AA18" s="7">
        <f>SUMIFS(TIMESHEETS!$AO:$AO,TIMESHEETS!$F:$F,AA$7,TIMESHEETS!$B:$B,$B18)</f>
        <v>0</v>
      </c>
      <c r="AB18" s="7">
        <f>SUMIFS(TIMESHEETS!$AO:$AO,TIMESHEETS!$F:$F,AB$7,TIMESHEETS!$B:$B,$B18)</f>
        <v>0</v>
      </c>
      <c r="AC18" s="7">
        <f>SUMIFS(TIMESHEETS!$AO:$AO,TIMESHEETS!$F:$F,AC$7,TIMESHEETS!$B:$B,$B18)</f>
        <v>0</v>
      </c>
      <c r="AD18" s="7">
        <f>SUMIFS(TIMESHEETS!$AO:$AO,TIMESHEETS!$F:$F,AD$7,TIMESHEETS!$B:$B,$B18)</f>
        <v>0</v>
      </c>
      <c r="AE18" s="7">
        <f>SUMIFS(TIMESHEETS!$AO:$AO,TIMESHEETS!$F:$F,AE$7,TIMESHEETS!$B:$B,$B18)</f>
        <v>0</v>
      </c>
      <c r="AF18" s="7">
        <f>SUMIFS(TIMESHEETS!$AO:$AO,TIMESHEETS!$F:$F,AF$7,TIMESHEETS!$B:$B,$B18)</f>
        <v>0</v>
      </c>
      <c r="AG18" s="7">
        <f>SUMIFS(TIMESHEETS!$AO:$AO,TIMESHEETS!$F:$F,AG$7,TIMESHEETS!$B:$B,$B18)</f>
        <v>0</v>
      </c>
      <c r="AH18" s="7">
        <f>SUMIFS(TIMESHEETS!$AO:$AO,TIMESHEETS!$F:$F,AH$7,TIMESHEETS!$B:$B,$B18)</f>
        <v>0</v>
      </c>
      <c r="AI18" s="7">
        <f>SUMIFS(TIMESHEETS!$AO:$AO,TIMESHEETS!$F:$F,AI$7,TIMESHEETS!$B:$B,$B18)</f>
        <v>0</v>
      </c>
      <c r="AJ18" s="7">
        <f>SUMIFS(TIMESHEETS!$AO:$AO,TIMESHEETS!$F:$F,AJ$7,TIMESHEETS!$B:$B,$B18)</f>
        <v>0</v>
      </c>
      <c r="AK18" s="4"/>
      <c r="AL18" s="7">
        <f>H18-SUM(J18:AJ18)</f>
        <v>0</v>
      </c>
    </row>
    <row r="19" spans="1:39" ht="15" customHeight="1" x14ac:dyDescent="0.35">
      <c r="A19" s="4"/>
      <c r="B19" s="23"/>
      <c r="C19" s="23"/>
      <c r="D19" s="23"/>
      <c r="E19" s="23"/>
      <c r="F19" s="23"/>
      <c r="G19" s="5"/>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row>
    <row r="20" spans="1:39" ht="15" customHeight="1" x14ac:dyDescent="0.35">
      <c r="A20" s="4"/>
      <c r="B20" s="89"/>
      <c r="C20" s="18"/>
      <c r="D20" s="18"/>
      <c r="E20" s="18"/>
      <c r="F20" s="19"/>
      <c r="G20" s="5"/>
      <c r="H20" s="12">
        <v>0</v>
      </c>
      <c r="I20" s="4"/>
      <c r="J20" s="13">
        <f>SUMIFS(TIMESHEETS!$AQ:$AQ,TIMESHEETS!$F:$F,J$7,TIMESHEETS!$B:$B,$B21)</f>
        <v>0</v>
      </c>
      <c r="K20" s="13">
        <f>SUMIFS(TIMESHEETS!$AQ:$AQ,TIMESHEETS!$F:$F,K$7,TIMESHEETS!$B:$B,$B21)</f>
        <v>0</v>
      </c>
      <c r="L20" s="13">
        <f>SUMIFS(TIMESHEETS!$AQ:$AQ,TIMESHEETS!$F:$F,L$7,TIMESHEETS!$B:$B,$B21)</f>
        <v>0</v>
      </c>
      <c r="M20" s="13">
        <f>SUMIFS(TIMESHEETS!$AQ:$AQ,TIMESHEETS!$F:$F,M$7,TIMESHEETS!$B:$B,$B21)</f>
        <v>0</v>
      </c>
      <c r="N20" s="13">
        <f>SUMIFS(TIMESHEETS!$AQ:$AQ,TIMESHEETS!$F:$F,N$7,TIMESHEETS!$B:$B,$B21)</f>
        <v>0</v>
      </c>
      <c r="O20" s="13">
        <f>SUMIFS(TIMESHEETS!$AQ:$AQ,TIMESHEETS!$F:$F,O$7,TIMESHEETS!$B:$B,$B21)</f>
        <v>0</v>
      </c>
      <c r="P20" s="13">
        <f>SUMIFS(TIMESHEETS!$AQ:$AQ,TIMESHEETS!$F:$F,P$7,TIMESHEETS!$B:$B,$B21)</f>
        <v>0</v>
      </c>
      <c r="Q20" s="13">
        <f>SUMIFS(TIMESHEETS!$AQ:$AQ,TIMESHEETS!$F:$F,Q$7,TIMESHEETS!$B:$B,$B21)</f>
        <v>0</v>
      </c>
      <c r="R20" s="13">
        <f>SUMIFS(TIMESHEETS!$AQ:$AQ,TIMESHEETS!$F:$F,R$7,TIMESHEETS!$B:$B,$B21)</f>
        <v>0</v>
      </c>
      <c r="S20" s="13">
        <f>SUMIFS(TIMESHEETS!$AQ:$AQ,TIMESHEETS!$F:$F,S$7,TIMESHEETS!$B:$B,$B21)</f>
        <v>0</v>
      </c>
      <c r="T20" s="13">
        <f>SUMIFS(TIMESHEETS!$AQ:$AQ,TIMESHEETS!$F:$F,T$7,TIMESHEETS!$B:$B,$B21)</f>
        <v>0</v>
      </c>
      <c r="U20" s="13">
        <f>SUMIFS(TIMESHEETS!$AQ:$AQ,TIMESHEETS!$F:$F,U$7,TIMESHEETS!$B:$B,$B21)</f>
        <v>0</v>
      </c>
      <c r="V20" s="13">
        <f>SUMIFS(TIMESHEETS!$AQ:$AQ,TIMESHEETS!$F:$F,V$7,TIMESHEETS!$B:$B,$B21)</f>
        <v>0</v>
      </c>
      <c r="W20" s="13">
        <f>SUMIFS(TIMESHEETS!$AQ:$AQ,TIMESHEETS!$F:$F,W$7,TIMESHEETS!$B:$B,$B21)</f>
        <v>0</v>
      </c>
      <c r="X20" s="13">
        <f>SUMIFS(TIMESHEETS!$AQ:$AQ,TIMESHEETS!$F:$F,X$7,TIMESHEETS!$B:$B,$B21)</f>
        <v>0</v>
      </c>
      <c r="Y20" s="13">
        <f>SUMIFS(TIMESHEETS!$AQ:$AQ,TIMESHEETS!$F:$F,Y$7,TIMESHEETS!$B:$B,$B21)</f>
        <v>0</v>
      </c>
      <c r="Z20" s="13">
        <f>SUMIFS(TIMESHEETS!$AQ:$AQ,TIMESHEETS!$F:$F,Z$7,TIMESHEETS!$B:$B,$B21)</f>
        <v>0</v>
      </c>
      <c r="AA20" s="13">
        <f>SUMIFS(TIMESHEETS!$AQ:$AQ,TIMESHEETS!$F:$F,AA$7,TIMESHEETS!$B:$B,$B21)</f>
        <v>0</v>
      </c>
      <c r="AB20" s="13">
        <f>SUMIFS(TIMESHEETS!$AQ:$AQ,TIMESHEETS!$F:$F,AB$7,TIMESHEETS!$B:$B,$B21)</f>
        <v>0</v>
      </c>
      <c r="AC20" s="13">
        <f>SUMIFS(TIMESHEETS!$AQ:$AQ,TIMESHEETS!$F:$F,AC$7,TIMESHEETS!$B:$B,$B21)</f>
        <v>0</v>
      </c>
      <c r="AD20" s="13">
        <f>SUMIFS(TIMESHEETS!$AQ:$AQ,TIMESHEETS!$F:$F,AD$7,TIMESHEETS!$B:$B,$B21)</f>
        <v>0</v>
      </c>
      <c r="AE20" s="13">
        <f>SUMIFS(TIMESHEETS!$AQ:$AQ,TIMESHEETS!$F:$F,AE$7,TIMESHEETS!$B:$B,$B21)</f>
        <v>0</v>
      </c>
      <c r="AF20" s="13">
        <f>SUMIFS(TIMESHEETS!$AQ:$AQ,TIMESHEETS!$F:$F,AF$7,TIMESHEETS!$B:$B,$B21)</f>
        <v>0</v>
      </c>
      <c r="AG20" s="13">
        <f>SUMIFS(TIMESHEETS!$AQ:$AQ,TIMESHEETS!$F:$F,AG$7,TIMESHEETS!$B:$B,$B21)</f>
        <v>0</v>
      </c>
      <c r="AH20" s="13">
        <f>SUMIFS(TIMESHEETS!$AQ:$AQ,TIMESHEETS!$F:$F,AH$7,TIMESHEETS!$B:$B,$B21)</f>
        <v>0</v>
      </c>
      <c r="AI20" s="13">
        <f>SUMIFS(TIMESHEETS!$AQ:$AQ,TIMESHEETS!$F:$F,AI$7,TIMESHEETS!$B:$B,$B21)</f>
        <v>0</v>
      </c>
      <c r="AJ20" s="13">
        <f>SUMIFS(TIMESHEETS!$AQ:$AQ,TIMESHEETS!$F:$F,AJ$7,TIMESHEETS!$B:$B,$B21)</f>
        <v>0</v>
      </c>
      <c r="AK20" s="4"/>
      <c r="AL20" s="13">
        <f>H20-SUM(J20:AJ20)</f>
        <v>0</v>
      </c>
      <c r="AM20" s="139">
        <f>AL20/8</f>
        <v>0</v>
      </c>
    </row>
    <row r="21" spans="1:39" ht="15" customHeight="1" x14ac:dyDescent="0.35">
      <c r="A21" s="4"/>
      <c r="B21" s="30"/>
      <c r="C21" s="21"/>
      <c r="D21" s="21"/>
      <c r="E21" s="21"/>
      <c r="F21" s="22"/>
      <c r="G21" s="5"/>
      <c r="H21" s="6">
        <v>0</v>
      </c>
      <c r="I21" s="4"/>
      <c r="J21" s="7">
        <f>SUMIFS(TIMESHEETS!$AO:$AO,TIMESHEETS!$F:$F,J$7,TIMESHEETS!$B:$B,$B21)</f>
        <v>0</v>
      </c>
      <c r="K21" s="7">
        <f>SUMIFS(TIMESHEETS!$AO:$AO,TIMESHEETS!$F:$F,K$7,TIMESHEETS!$B:$B,$B21)</f>
        <v>0</v>
      </c>
      <c r="L21" s="7">
        <f>SUMIFS(TIMESHEETS!$AO:$AO,TIMESHEETS!$F:$F,L$7,TIMESHEETS!$B:$B,$B21)</f>
        <v>0</v>
      </c>
      <c r="M21" s="7">
        <f>SUMIFS(TIMESHEETS!$AO:$AO,TIMESHEETS!$F:$F,M$7,TIMESHEETS!$B:$B,$B21)</f>
        <v>0</v>
      </c>
      <c r="N21" s="7">
        <f>SUMIFS(TIMESHEETS!$AO:$AO,TIMESHEETS!$F:$F,N$7,TIMESHEETS!$B:$B,$B21)</f>
        <v>0</v>
      </c>
      <c r="O21" s="7">
        <f>SUMIFS(TIMESHEETS!$AO:$AO,TIMESHEETS!$F:$F,O$7,TIMESHEETS!$B:$B,$B21)</f>
        <v>0</v>
      </c>
      <c r="P21" s="7">
        <f>SUMIFS(TIMESHEETS!$AO:$AO,TIMESHEETS!$F:$F,P$7,TIMESHEETS!$B:$B,$B21)</f>
        <v>0</v>
      </c>
      <c r="Q21" s="7">
        <f>SUMIFS(TIMESHEETS!$AO:$AO,TIMESHEETS!$F:$F,Q$7,TIMESHEETS!$B:$B,$B21)</f>
        <v>0</v>
      </c>
      <c r="R21" s="7">
        <f>SUMIFS(TIMESHEETS!$AO:$AO,TIMESHEETS!$F:$F,R$7,TIMESHEETS!$B:$B,$B21)</f>
        <v>0</v>
      </c>
      <c r="S21" s="7">
        <f>SUMIFS(TIMESHEETS!$AO:$AO,TIMESHEETS!$F:$F,S$7,TIMESHEETS!$B:$B,$B21)</f>
        <v>0</v>
      </c>
      <c r="T21" s="7">
        <f>SUMIFS(TIMESHEETS!$AO:$AO,TIMESHEETS!$F:$F,T$7,TIMESHEETS!$B:$B,$B21)</f>
        <v>0</v>
      </c>
      <c r="U21" s="7">
        <f>SUMIFS(TIMESHEETS!$AO:$AO,TIMESHEETS!$F:$F,U$7,TIMESHEETS!$B:$B,$B21)</f>
        <v>0</v>
      </c>
      <c r="V21" s="7">
        <f>SUMIFS(TIMESHEETS!$AO:$AO,TIMESHEETS!$F:$F,V$7,TIMESHEETS!$B:$B,$B21)</f>
        <v>0</v>
      </c>
      <c r="W21" s="7">
        <f>SUMIFS(TIMESHEETS!$AO:$AO,TIMESHEETS!$F:$F,W$7,TIMESHEETS!$B:$B,$B21)</f>
        <v>0</v>
      </c>
      <c r="X21" s="7">
        <f>SUMIFS(TIMESHEETS!$AO:$AO,TIMESHEETS!$F:$F,X$7,TIMESHEETS!$B:$B,$B21)</f>
        <v>0</v>
      </c>
      <c r="Y21" s="7">
        <f>SUMIFS(TIMESHEETS!$AO:$AO,TIMESHEETS!$F:$F,Y$7,TIMESHEETS!$B:$B,$B21)</f>
        <v>0</v>
      </c>
      <c r="Z21" s="7">
        <f>SUMIFS(TIMESHEETS!$AO:$AO,TIMESHEETS!$F:$F,Z$7,TIMESHEETS!$B:$B,$B21)</f>
        <v>0</v>
      </c>
      <c r="AA21" s="7">
        <f>SUMIFS(TIMESHEETS!$AO:$AO,TIMESHEETS!$F:$F,AA$7,TIMESHEETS!$B:$B,$B21)</f>
        <v>0</v>
      </c>
      <c r="AB21" s="7">
        <f>SUMIFS(TIMESHEETS!$AO:$AO,TIMESHEETS!$F:$F,AB$7,TIMESHEETS!$B:$B,$B21)</f>
        <v>0</v>
      </c>
      <c r="AC21" s="7">
        <f>SUMIFS(TIMESHEETS!$AO:$AO,TIMESHEETS!$F:$F,AC$7,TIMESHEETS!$B:$B,$B21)</f>
        <v>0</v>
      </c>
      <c r="AD21" s="7">
        <f>SUMIFS(TIMESHEETS!$AO:$AO,TIMESHEETS!$F:$F,AD$7,TIMESHEETS!$B:$B,$B21)</f>
        <v>0</v>
      </c>
      <c r="AE21" s="7">
        <f>SUMIFS(TIMESHEETS!$AO:$AO,TIMESHEETS!$F:$F,AE$7,TIMESHEETS!$B:$B,$B21)</f>
        <v>0</v>
      </c>
      <c r="AF21" s="7">
        <f>SUMIFS(TIMESHEETS!$AO:$AO,TIMESHEETS!$F:$F,AF$7,TIMESHEETS!$B:$B,$B21)</f>
        <v>0</v>
      </c>
      <c r="AG21" s="7">
        <f>SUMIFS(TIMESHEETS!$AO:$AO,TIMESHEETS!$F:$F,AG$7,TIMESHEETS!$B:$B,$B21)</f>
        <v>0</v>
      </c>
      <c r="AH21" s="7">
        <f>SUMIFS(TIMESHEETS!$AO:$AO,TIMESHEETS!$F:$F,AH$7,TIMESHEETS!$B:$B,$B21)</f>
        <v>0</v>
      </c>
      <c r="AI21" s="7">
        <f>SUMIFS(TIMESHEETS!$AO:$AO,TIMESHEETS!$F:$F,AI$7,TIMESHEETS!$B:$B,$B21)</f>
        <v>0</v>
      </c>
      <c r="AJ21" s="7">
        <f>SUMIFS(TIMESHEETS!$AO:$AO,TIMESHEETS!$F:$F,AJ$7,TIMESHEETS!$B:$B,$B21)</f>
        <v>0</v>
      </c>
      <c r="AK21" s="4"/>
      <c r="AL21" s="7">
        <f>H21-SUM(J21:AJ21)</f>
        <v>0</v>
      </c>
    </row>
    <row r="22" spans="1:39" ht="15" customHeight="1" x14ac:dyDescent="0.35">
      <c r="A22" s="4"/>
      <c r="B22" s="23"/>
      <c r="C22" s="23"/>
      <c r="D22" s="23"/>
      <c r="E22" s="23"/>
      <c r="F22" s="23"/>
      <c r="G22" s="5"/>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spans="1:39" ht="15" customHeight="1" x14ac:dyDescent="0.35">
      <c r="A23" s="4"/>
      <c r="B23" s="89">
        <v>36416</v>
      </c>
      <c r="C23" s="18"/>
      <c r="D23" s="18"/>
      <c r="E23" s="18"/>
      <c r="F23" s="19"/>
      <c r="G23" s="5"/>
      <c r="H23" s="12">
        <v>200</v>
      </c>
      <c r="I23" s="4"/>
      <c r="J23" s="13">
        <f>SUMIFS(TIMESHEETS!$AQ:$AQ,TIMESHEETS!$F:$F,J$7,TIMESHEETS!$B:$B,$B24)</f>
        <v>0</v>
      </c>
      <c r="K23" s="13">
        <f>SUMIFS(TIMESHEETS!$AQ:$AQ,TIMESHEETS!$F:$F,K$7,TIMESHEETS!$B:$B,$B24)</f>
        <v>0</v>
      </c>
      <c r="L23" s="13">
        <f>SUMIFS(TIMESHEETS!$AQ:$AQ,TIMESHEETS!$F:$F,L$7,TIMESHEETS!$B:$B,$B24)</f>
        <v>0</v>
      </c>
      <c r="M23" s="13">
        <f>SUMIFS(TIMESHEETS!$AQ:$AQ,TIMESHEETS!$F:$F,M$7,TIMESHEETS!$B:$B,$B24)</f>
        <v>0</v>
      </c>
      <c r="N23" s="13">
        <f>SUMIFS(TIMESHEETS!$AQ:$AQ,TIMESHEETS!$F:$F,N$7,TIMESHEETS!$B:$B,$B24)</f>
        <v>0</v>
      </c>
      <c r="O23" s="13">
        <f>SUMIFS(TIMESHEETS!$AQ:$AQ,TIMESHEETS!$F:$F,O$7,TIMESHEETS!$B:$B,$B24)</f>
        <v>0</v>
      </c>
      <c r="P23" s="13">
        <f>SUMIFS(TIMESHEETS!$AQ:$AQ,TIMESHEETS!$F:$F,P$7,TIMESHEETS!$B:$B,$B24)</f>
        <v>80</v>
      </c>
      <c r="Q23" s="13">
        <f>SUMIFS(TIMESHEETS!$AQ:$AQ,TIMESHEETS!$F:$F,Q$7,TIMESHEETS!$B:$B,$B24)</f>
        <v>0</v>
      </c>
      <c r="R23" s="13">
        <f>SUMIFS(TIMESHEETS!$AQ:$AQ,TIMESHEETS!$F:$F,R$7,TIMESHEETS!$B:$B,$B24)</f>
        <v>0</v>
      </c>
      <c r="S23" s="13">
        <f>SUMIFS(TIMESHEETS!$AQ:$AQ,TIMESHEETS!$F:$F,S$7,TIMESHEETS!$B:$B,$B24)</f>
        <v>0</v>
      </c>
      <c r="T23" s="13">
        <f>SUMIFS(TIMESHEETS!$AQ:$AQ,TIMESHEETS!$F:$F,T$7,TIMESHEETS!$B:$B,$B24)</f>
        <v>0</v>
      </c>
      <c r="U23" s="13">
        <f>SUMIFS(TIMESHEETS!$AQ:$AQ,TIMESHEETS!$F:$F,U$7,TIMESHEETS!$B:$B,$B24)</f>
        <v>0</v>
      </c>
      <c r="V23" s="13">
        <f>SUMIFS(TIMESHEETS!$AQ:$AQ,TIMESHEETS!$F:$F,V$7,TIMESHEETS!$B:$B,$B24)</f>
        <v>0</v>
      </c>
      <c r="W23" s="13">
        <f>SUMIFS(TIMESHEETS!$AQ:$AQ,TIMESHEETS!$F:$F,W$7,TIMESHEETS!$B:$B,$B24)</f>
        <v>0</v>
      </c>
      <c r="X23" s="13">
        <f>SUMIFS(TIMESHEETS!$AQ:$AQ,TIMESHEETS!$F:$F,X$7,TIMESHEETS!$B:$B,$B24)</f>
        <v>0</v>
      </c>
      <c r="Y23" s="13">
        <f>SUMIFS(TIMESHEETS!$AQ:$AQ,TIMESHEETS!$F:$F,Y$7,TIMESHEETS!$B:$B,$B24)</f>
        <v>0</v>
      </c>
      <c r="Z23" s="13">
        <f>SUMIFS(TIMESHEETS!$AQ:$AQ,TIMESHEETS!$F:$F,Z$7,TIMESHEETS!$B:$B,$B24)</f>
        <v>0</v>
      </c>
      <c r="AA23" s="13">
        <f>SUMIFS(TIMESHEETS!$AQ:$AQ,TIMESHEETS!$F:$F,AA$7,TIMESHEETS!$B:$B,$B24)</f>
        <v>0</v>
      </c>
      <c r="AB23" s="13">
        <f>SUMIFS(TIMESHEETS!$AQ:$AQ,TIMESHEETS!$F:$F,AB$7,TIMESHEETS!$B:$B,$B24)</f>
        <v>40</v>
      </c>
      <c r="AC23" s="13">
        <f>SUMIFS(TIMESHEETS!$AQ:$AQ,TIMESHEETS!$F:$F,AC$7,TIMESHEETS!$B:$B,$B24)</f>
        <v>24</v>
      </c>
      <c r="AD23" s="13">
        <f>SUMIFS(TIMESHEETS!$AQ:$AQ,TIMESHEETS!$F:$F,AD$7,TIMESHEETS!$B:$B,$B24)</f>
        <v>0</v>
      </c>
      <c r="AE23" s="13">
        <f>SUMIFS(TIMESHEETS!$AQ:$AQ,TIMESHEETS!$F:$F,AE$7,TIMESHEETS!$B:$B,$B24)</f>
        <v>0</v>
      </c>
      <c r="AF23" s="13">
        <f>SUMIFS(TIMESHEETS!$AQ:$AQ,TIMESHEETS!$F:$F,AF$7,TIMESHEETS!$B:$B,$B24)</f>
        <v>0</v>
      </c>
      <c r="AG23" s="13">
        <f>SUMIFS(TIMESHEETS!$AQ:$AQ,TIMESHEETS!$F:$F,AG$7,TIMESHEETS!$B:$B,$B24)</f>
        <v>0</v>
      </c>
      <c r="AH23" s="13">
        <f>SUMIFS(TIMESHEETS!$AQ:$AQ,TIMESHEETS!$F:$F,AH$7,TIMESHEETS!$B:$B,$B24)</f>
        <v>0</v>
      </c>
      <c r="AI23" s="13">
        <f>SUMIFS(TIMESHEETS!$AQ:$AQ,TIMESHEETS!$F:$F,AI$7,TIMESHEETS!$B:$B,$B24)</f>
        <v>0</v>
      </c>
      <c r="AJ23" s="13">
        <f>SUMIFS(TIMESHEETS!$AQ:$AQ,TIMESHEETS!$F:$F,AJ$7,TIMESHEETS!$B:$B,$B24)</f>
        <v>0</v>
      </c>
      <c r="AK23" s="4"/>
      <c r="AL23" s="13">
        <f>H23-SUM(J23:AJ23)</f>
        <v>56</v>
      </c>
      <c r="AM23" s="137">
        <f>AL23/8</f>
        <v>7</v>
      </c>
    </row>
    <row r="24" spans="1:39" ht="15" customHeight="1" x14ac:dyDescent="0.35">
      <c r="A24" s="4"/>
      <c r="B24" s="30" t="s">
        <v>60</v>
      </c>
      <c r="C24" s="21"/>
      <c r="D24" s="21"/>
      <c r="E24" s="21"/>
      <c r="F24" s="22"/>
      <c r="G24" s="5"/>
      <c r="H24" s="6">
        <v>16</v>
      </c>
      <c r="I24" s="4"/>
      <c r="J24" s="7">
        <f>SUMIFS(TIMESHEETS!$AO:$AO,TIMESHEETS!$F:$F,J$7,TIMESHEETS!$B:$B,$B24)</f>
        <v>0</v>
      </c>
      <c r="K24" s="7">
        <f>SUMIFS(TIMESHEETS!$AO:$AO,TIMESHEETS!$F:$F,K$7,TIMESHEETS!$B:$B,$B24)</f>
        <v>0</v>
      </c>
      <c r="L24" s="7">
        <f>SUMIFS(TIMESHEETS!$AO:$AO,TIMESHEETS!$F:$F,L$7,TIMESHEETS!$B:$B,$B24)</f>
        <v>0</v>
      </c>
      <c r="M24" s="7">
        <f>SUMIFS(TIMESHEETS!$AO:$AO,TIMESHEETS!$F:$F,M$7,TIMESHEETS!$B:$B,$B24)</f>
        <v>0</v>
      </c>
      <c r="N24" s="7">
        <f>SUMIFS(TIMESHEETS!$AO:$AO,TIMESHEETS!$F:$F,N$7,TIMESHEETS!$B:$B,$B24)</f>
        <v>0</v>
      </c>
      <c r="O24" s="7">
        <f>SUMIFS(TIMESHEETS!$AO:$AO,TIMESHEETS!$F:$F,O$7,TIMESHEETS!$B:$B,$B24)</f>
        <v>0</v>
      </c>
      <c r="P24" s="7">
        <f>SUMIFS(TIMESHEETS!$AO:$AO,TIMESHEETS!$F:$F,P$7,TIMESHEETS!$B:$B,$B24)</f>
        <v>0</v>
      </c>
      <c r="Q24" s="7">
        <f>SUMIFS(TIMESHEETS!$AO:$AO,TIMESHEETS!$F:$F,Q$7,TIMESHEETS!$B:$B,$B24)</f>
        <v>0</v>
      </c>
      <c r="R24" s="7">
        <f>SUMIFS(TIMESHEETS!$AO:$AO,TIMESHEETS!$F:$F,R$7,TIMESHEETS!$B:$B,$B24)</f>
        <v>0</v>
      </c>
      <c r="S24" s="7">
        <f>SUMIFS(TIMESHEETS!$AO:$AO,TIMESHEETS!$F:$F,S$7,TIMESHEETS!$B:$B,$B24)</f>
        <v>0</v>
      </c>
      <c r="T24" s="7">
        <f>SUMIFS(TIMESHEETS!$AO:$AO,TIMESHEETS!$F:$F,T$7,TIMESHEETS!$B:$B,$B24)</f>
        <v>0</v>
      </c>
      <c r="U24" s="7">
        <f>SUMIFS(TIMESHEETS!$AO:$AO,TIMESHEETS!$F:$F,U$7,TIMESHEETS!$B:$B,$B24)</f>
        <v>0</v>
      </c>
      <c r="V24" s="7">
        <f>SUMIFS(TIMESHEETS!$AO:$AO,TIMESHEETS!$F:$F,V$7,TIMESHEETS!$B:$B,$B24)</f>
        <v>0</v>
      </c>
      <c r="W24" s="7">
        <f>SUMIFS(TIMESHEETS!$AO:$AO,TIMESHEETS!$F:$F,W$7,TIMESHEETS!$B:$B,$B24)</f>
        <v>0</v>
      </c>
      <c r="X24" s="7">
        <f>SUMIFS(TIMESHEETS!$AO:$AO,TIMESHEETS!$F:$F,X$7,TIMESHEETS!$B:$B,$B24)</f>
        <v>0</v>
      </c>
      <c r="Y24" s="7">
        <f>SUMIFS(TIMESHEETS!$AO:$AO,TIMESHEETS!$F:$F,Y$7,TIMESHEETS!$B:$B,$B24)</f>
        <v>0</v>
      </c>
      <c r="Z24" s="7">
        <f>SUMIFS(TIMESHEETS!$AO:$AO,TIMESHEETS!$F:$F,Z$7,TIMESHEETS!$B:$B,$B24)</f>
        <v>0</v>
      </c>
      <c r="AA24" s="7">
        <f>SUMIFS(TIMESHEETS!$AO:$AO,TIMESHEETS!$F:$F,AA$7,TIMESHEETS!$B:$B,$B24)</f>
        <v>0</v>
      </c>
      <c r="AB24" s="7">
        <f>SUMIFS(TIMESHEETS!$AO:$AO,TIMESHEETS!$F:$F,AB$7,TIMESHEETS!$B:$B,$B24)</f>
        <v>0</v>
      </c>
      <c r="AC24" s="7">
        <f>SUMIFS(TIMESHEETS!$AO:$AO,TIMESHEETS!$F:$F,AC$7,TIMESHEETS!$B:$B,$B24)</f>
        <v>0</v>
      </c>
      <c r="AD24" s="7">
        <f>SUMIFS(TIMESHEETS!$AO:$AO,TIMESHEETS!$F:$F,AD$7,TIMESHEETS!$B:$B,$B24)</f>
        <v>0</v>
      </c>
      <c r="AE24" s="7">
        <f>SUMIFS(TIMESHEETS!$AO:$AO,TIMESHEETS!$F:$F,AE$7,TIMESHEETS!$B:$B,$B24)</f>
        <v>0</v>
      </c>
      <c r="AF24" s="7">
        <f>SUMIFS(TIMESHEETS!$AO:$AO,TIMESHEETS!$F:$F,AF$7,TIMESHEETS!$B:$B,$B24)</f>
        <v>0</v>
      </c>
      <c r="AG24" s="7">
        <f>SUMIFS(TIMESHEETS!$AO:$AO,TIMESHEETS!$F:$F,AG$7,TIMESHEETS!$B:$B,$B24)</f>
        <v>0</v>
      </c>
      <c r="AH24" s="7">
        <f>SUMIFS(TIMESHEETS!$AO:$AO,TIMESHEETS!$F:$F,AH$7,TIMESHEETS!$B:$B,$B24)</f>
        <v>0</v>
      </c>
      <c r="AI24" s="7">
        <f>SUMIFS(TIMESHEETS!$AO:$AO,TIMESHEETS!$F:$F,AI$7,TIMESHEETS!$B:$B,$B24)</f>
        <v>0</v>
      </c>
      <c r="AJ24" s="7">
        <f>SUMIFS(TIMESHEETS!$AO:$AO,TIMESHEETS!$F:$F,AJ$7,TIMESHEETS!$B:$B,$B24)</f>
        <v>0</v>
      </c>
      <c r="AK24" s="4"/>
      <c r="AL24" s="7">
        <f>H24-SUM(J24:AJ24)</f>
        <v>16</v>
      </c>
    </row>
    <row r="25" spans="1:39" ht="15" customHeight="1" x14ac:dyDescent="0.35">
      <c r="A25" s="4"/>
      <c r="B25" s="23"/>
      <c r="C25" s="23"/>
      <c r="D25" s="23"/>
      <c r="E25" s="23"/>
      <c r="F25" s="23"/>
      <c r="G25" s="5"/>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pans="1:39" ht="15" customHeight="1" x14ac:dyDescent="0.35">
      <c r="A26" s="4"/>
      <c r="B26" s="89">
        <v>43318</v>
      </c>
      <c r="C26" s="18"/>
      <c r="D26" s="18"/>
      <c r="E26" s="18"/>
      <c r="F26" s="19"/>
      <c r="G26" s="5"/>
      <c r="H26" s="12">
        <v>120</v>
      </c>
      <c r="I26" s="4"/>
      <c r="J26" s="13">
        <f>SUMIFS(TIMESHEETS!$AQ:$AQ,TIMESHEETS!$F:$F,J$7,TIMESHEETS!$B:$B,$B27)</f>
        <v>0</v>
      </c>
      <c r="K26" s="13">
        <f>SUMIFS(TIMESHEETS!$AQ:$AQ,TIMESHEETS!$F:$F,K$7,TIMESHEETS!$B:$B,$B27)</f>
        <v>0</v>
      </c>
      <c r="L26" s="13">
        <f>SUMIFS(TIMESHEETS!$AQ:$AQ,TIMESHEETS!$F:$F,L$7,TIMESHEETS!$B:$B,$B27)</f>
        <v>0</v>
      </c>
      <c r="M26" s="13">
        <f>SUMIFS(TIMESHEETS!$AQ:$AQ,TIMESHEETS!$F:$F,M$7,TIMESHEETS!$B:$B,$B27)</f>
        <v>0</v>
      </c>
      <c r="N26" s="13">
        <f>SUMIFS(TIMESHEETS!$AQ:$AQ,TIMESHEETS!$F:$F,N$7,TIMESHEETS!$B:$B,$B27)</f>
        <v>0</v>
      </c>
      <c r="O26" s="13">
        <f>SUMIFS(TIMESHEETS!$AQ:$AQ,TIMESHEETS!$F:$F,O$7,TIMESHEETS!$B:$B,$B27)</f>
        <v>0</v>
      </c>
      <c r="P26" s="13">
        <f>SUMIFS(TIMESHEETS!$AQ:$AQ,TIMESHEETS!$F:$F,P$7,TIMESHEETS!$B:$B,$B27)</f>
        <v>80</v>
      </c>
      <c r="Q26" s="13">
        <f>SUMIFS(TIMESHEETS!$AQ:$AQ,TIMESHEETS!$F:$F,Q$7,TIMESHEETS!$B:$B,$B27)</f>
        <v>0</v>
      </c>
      <c r="R26" s="13">
        <f>SUMIFS(TIMESHEETS!$AQ:$AQ,TIMESHEETS!$F:$F,R$7,TIMESHEETS!$B:$B,$B27)</f>
        <v>0</v>
      </c>
      <c r="S26" s="13">
        <f>SUMIFS(TIMESHEETS!$AQ:$AQ,TIMESHEETS!$F:$F,S$7,TIMESHEETS!$B:$B,$B27)</f>
        <v>0</v>
      </c>
      <c r="T26" s="13">
        <f>SUMIFS(TIMESHEETS!$AQ:$AQ,TIMESHEETS!$F:$F,T$7,TIMESHEETS!$B:$B,$B27)</f>
        <v>0</v>
      </c>
      <c r="U26" s="13">
        <f>SUMIFS(TIMESHEETS!$AQ:$AQ,TIMESHEETS!$F:$F,U$7,TIMESHEETS!$B:$B,$B27)</f>
        <v>0</v>
      </c>
      <c r="V26" s="13">
        <f>SUMIFS(TIMESHEETS!$AQ:$AQ,TIMESHEETS!$F:$F,V$7,TIMESHEETS!$B:$B,$B27)</f>
        <v>0</v>
      </c>
      <c r="W26" s="13">
        <f>SUMIFS(TIMESHEETS!$AQ:$AQ,TIMESHEETS!$F:$F,W$7,TIMESHEETS!$B:$B,$B27)</f>
        <v>0</v>
      </c>
      <c r="X26" s="13">
        <f>SUMIFS(TIMESHEETS!$AQ:$AQ,TIMESHEETS!$F:$F,X$7,TIMESHEETS!$B:$B,$B27)</f>
        <v>0</v>
      </c>
      <c r="Y26" s="13">
        <f>SUMIFS(TIMESHEETS!$AQ:$AQ,TIMESHEETS!$F:$F,Y$7,TIMESHEETS!$B:$B,$B27)</f>
        <v>0</v>
      </c>
      <c r="Z26" s="13">
        <f>SUMIFS(TIMESHEETS!$AQ:$AQ,TIMESHEETS!$F:$F,Z$7,TIMESHEETS!$B:$B,$B27)</f>
        <v>0</v>
      </c>
      <c r="AA26" s="13">
        <f>SUMIFS(TIMESHEETS!$AQ:$AQ,TIMESHEETS!$F:$F,AA$7,TIMESHEETS!$B:$B,$B27)</f>
        <v>0</v>
      </c>
      <c r="AB26" s="13">
        <f>SUMIFS(TIMESHEETS!$AQ:$AQ,TIMESHEETS!$F:$F,AB$7,TIMESHEETS!$B:$B,$B27)</f>
        <v>16</v>
      </c>
      <c r="AC26" s="13">
        <f>SUMIFS(TIMESHEETS!$AQ:$AQ,TIMESHEETS!$F:$F,AC$7,TIMESHEETS!$B:$B,$B27)</f>
        <v>24</v>
      </c>
      <c r="AD26" s="13">
        <f>SUMIFS(TIMESHEETS!$AQ:$AQ,TIMESHEETS!$F:$F,AD$7,TIMESHEETS!$B:$B,$B27)</f>
        <v>0</v>
      </c>
      <c r="AE26" s="13">
        <f>SUMIFS(TIMESHEETS!$AQ:$AQ,TIMESHEETS!$F:$F,AE$7,TIMESHEETS!$B:$B,$B27)</f>
        <v>0</v>
      </c>
      <c r="AF26" s="13">
        <f>SUMIFS(TIMESHEETS!$AQ:$AQ,TIMESHEETS!$F:$F,AF$7,TIMESHEETS!$B:$B,$B27)</f>
        <v>0</v>
      </c>
      <c r="AG26" s="13">
        <f>SUMIFS(TIMESHEETS!$AQ:$AQ,TIMESHEETS!$F:$F,AG$7,TIMESHEETS!$B:$B,$B27)</f>
        <v>0</v>
      </c>
      <c r="AH26" s="13">
        <f>SUMIFS(TIMESHEETS!$AQ:$AQ,TIMESHEETS!$F:$F,AH$7,TIMESHEETS!$B:$B,$B27)</f>
        <v>0</v>
      </c>
      <c r="AI26" s="13">
        <f>SUMIFS(TIMESHEETS!$AQ:$AQ,TIMESHEETS!$F:$F,AI$7,TIMESHEETS!$B:$B,$B27)</f>
        <v>0</v>
      </c>
      <c r="AJ26" s="13">
        <f>SUMIFS(TIMESHEETS!$AQ:$AQ,TIMESHEETS!$F:$F,AJ$7,TIMESHEETS!$B:$B,$B27)</f>
        <v>0</v>
      </c>
      <c r="AK26" s="4"/>
      <c r="AL26" s="13">
        <f>H26-SUM(J26:AJ26)</f>
        <v>0</v>
      </c>
      <c r="AM26" s="139">
        <f>AL26/8</f>
        <v>0</v>
      </c>
    </row>
    <row r="27" spans="1:39" ht="15" customHeight="1" x14ac:dyDescent="0.35">
      <c r="A27" s="4"/>
      <c r="B27" s="30" t="s">
        <v>65</v>
      </c>
      <c r="C27" s="21"/>
      <c r="D27" s="21"/>
      <c r="E27" s="21"/>
      <c r="F27" s="22"/>
      <c r="G27" s="5"/>
      <c r="H27" s="6">
        <v>16</v>
      </c>
      <c r="I27" s="4"/>
      <c r="J27" s="7">
        <f>SUMIFS(TIMESHEETS!$AO:$AO,TIMESHEETS!$F:$F,J$7,TIMESHEETS!$B:$B,$B27)</f>
        <v>0</v>
      </c>
      <c r="K27" s="7">
        <f>SUMIFS(TIMESHEETS!$AO:$AO,TIMESHEETS!$F:$F,K$7,TIMESHEETS!$B:$B,$B27)</f>
        <v>0</v>
      </c>
      <c r="L27" s="7">
        <f>SUMIFS(TIMESHEETS!$AO:$AO,TIMESHEETS!$F:$F,L$7,TIMESHEETS!$B:$B,$B27)</f>
        <v>0</v>
      </c>
      <c r="M27" s="7">
        <f>SUMIFS(TIMESHEETS!$AO:$AO,TIMESHEETS!$F:$F,M$7,TIMESHEETS!$B:$B,$B27)</f>
        <v>0</v>
      </c>
      <c r="N27" s="7">
        <f>SUMIFS(TIMESHEETS!$AO:$AO,TIMESHEETS!$F:$F,N$7,TIMESHEETS!$B:$B,$B27)</f>
        <v>0</v>
      </c>
      <c r="O27" s="7">
        <f>SUMIFS(TIMESHEETS!$AO:$AO,TIMESHEETS!$F:$F,O$7,TIMESHEETS!$B:$B,$B27)</f>
        <v>0</v>
      </c>
      <c r="P27" s="7">
        <f>SUMIFS(TIMESHEETS!$AO:$AO,TIMESHEETS!$F:$F,P$7,TIMESHEETS!$B:$B,$B27)</f>
        <v>0</v>
      </c>
      <c r="Q27" s="7">
        <f>SUMIFS(TIMESHEETS!$AO:$AO,TIMESHEETS!$F:$F,Q$7,TIMESHEETS!$B:$B,$B27)</f>
        <v>0</v>
      </c>
      <c r="R27" s="7">
        <f>SUMIFS(TIMESHEETS!$AO:$AO,TIMESHEETS!$F:$F,R$7,TIMESHEETS!$B:$B,$B27)</f>
        <v>0</v>
      </c>
      <c r="S27" s="7">
        <f>SUMIFS(TIMESHEETS!$AO:$AO,TIMESHEETS!$F:$F,S$7,TIMESHEETS!$B:$B,$B27)</f>
        <v>0</v>
      </c>
      <c r="T27" s="7">
        <f>SUMIFS(TIMESHEETS!$AO:$AO,TIMESHEETS!$F:$F,T$7,TIMESHEETS!$B:$B,$B27)</f>
        <v>0</v>
      </c>
      <c r="U27" s="7">
        <f>SUMIFS(TIMESHEETS!$AO:$AO,TIMESHEETS!$F:$F,U$7,TIMESHEETS!$B:$B,$B27)</f>
        <v>0</v>
      </c>
      <c r="V27" s="7">
        <f>SUMIFS(TIMESHEETS!$AO:$AO,TIMESHEETS!$F:$F,V$7,TIMESHEETS!$B:$B,$B27)</f>
        <v>0</v>
      </c>
      <c r="W27" s="7">
        <f>SUMIFS(TIMESHEETS!$AO:$AO,TIMESHEETS!$F:$F,W$7,TIMESHEETS!$B:$B,$B27)</f>
        <v>0</v>
      </c>
      <c r="X27" s="7">
        <f>SUMIFS(TIMESHEETS!$AO:$AO,TIMESHEETS!$F:$F,X$7,TIMESHEETS!$B:$B,$B27)</f>
        <v>0</v>
      </c>
      <c r="Y27" s="7">
        <f>SUMIFS(TIMESHEETS!$AO:$AO,TIMESHEETS!$F:$F,Y$7,TIMESHEETS!$B:$B,$B27)</f>
        <v>0</v>
      </c>
      <c r="Z27" s="7">
        <f>SUMIFS(TIMESHEETS!$AO:$AO,TIMESHEETS!$F:$F,Z$7,TIMESHEETS!$B:$B,$B27)</f>
        <v>0</v>
      </c>
      <c r="AA27" s="7">
        <f>SUMIFS(TIMESHEETS!$AO:$AO,TIMESHEETS!$F:$F,AA$7,TIMESHEETS!$B:$B,$B27)</f>
        <v>0</v>
      </c>
      <c r="AB27" s="7">
        <f>SUMIFS(TIMESHEETS!$AO:$AO,TIMESHEETS!$F:$F,AB$7,TIMESHEETS!$B:$B,$B27)</f>
        <v>0</v>
      </c>
      <c r="AC27" s="7">
        <f>SUMIFS(TIMESHEETS!$AO:$AO,TIMESHEETS!$F:$F,AC$7,TIMESHEETS!$B:$B,$B27)</f>
        <v>0</v>
      </c>
      <c r="AD27" s="7">
        <f>SUMIFS(TIMESHEETS!$AO:$AO,TIMESHEETS!$F:$F,AD$7,TIMESHEETS!$B:$B,$B27)</f>
        <v>0</v>
      </c>
      <c r="AE27" s="7">
        <f>SUMIFS(TIMESHEETS!$AO:$AO,TIMESHEETS!$F:$F,AE$7,TIMESHEETS!$B:$B,$B27)</f>
        <v>0</v>
      </c>
      <c r="AF27" s="7">
        <f>SUMIFS(TIMESHEETS!$AO:$AO,TIMESHEETS!$F:$F,AF$7,TIMESHEETS!$B:$B,$B27)</f>
        <v>0</v>
      </c>
      <c r="AG27" s="7">
        <f>SUMIFS(TIMESHEETS!$AO:$AO,TIMESHEETS!$F:$F,AG$7,TIMESHEETS!$B:$B,$B27)</f>
        <v>0</v>
      </c>
      <c r="AH27" s="7">
        <f>SUMIFS(TIMESHEETS!$AO:$AO,TIMESHEETS!$F:$F,AH$7,TIMESHEETS!$B:$B,$B27)</f>
        <v>0</v>
      </c>
      <c r="AI27" s="7">
        <f>SUMIFS(TIMESHEETS!$AO:$AO,TIMESHEETS!$F:$F,AI$7,TIMESHEETS!$B:$B,$B27)</f>
        <v>0</v>
      </c>
      <c r="AJ27" s="7">
        <f>SUMIFS(TIMESHEETS!$AO:$AO,TIMESHEETS!$F:$F,AJ$7,TIMESHEETS!$B:$B,$B27)</f>
        <v>0</v>
      </c>
      <c r="AK27" s="4"/>
      <c r="AL27" s="7">
        <f>H27-SUM(J27:AJ27)</f>
        <v>16</v>
      </c>
    </row>
    <row r="28" spans="1:39" ht="15" customHeight="1" x14ac:dyDescent="0.35">
      <c r="A28" s="4"/>
      <c r="B28" s="23"/>
      <c r="C28" s="23"/>
      <c r="D28" s="23"/>
      <c r="E28" s="23"/>
      <c r="F28" s="23"/>
      <c r="G28" s="5"/>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row>
    <row r="29" spans="1:39" ht="15" customHeight="1" x14ac:dyDescent="0.35">
      <c r="A29" s="4"/>
      <c r="B29" s="89">
        <v>39853</v>
      </c>
      <c r="C29" s="18"/>
      <c r="D29" s="18"/>
      <c r="E29" s="18"/>
      <c r="F29" s="19"/>
      <c r="G29" s="5"/>
      <c r="H29" s="12">
        <v>160</v>
      </c>
      <c r="I29" s="4"/>
      <c r="J29" s="13">
        <f>SUMIFS(TIMESHEETS!$AQ:$AQ,TIMESHEETS!$F:$F,J$7,TIMESHEETS!$B:$B,$B30)</f>
        <v>0</v>
      </c>
      <c r="K29" s="13">
        <f>SUMIFS(TIMESHEETS!$AQ:$AQ,TIMESHEETS!$F:$F,K$7,TIMESHEETS!$B:$B,$B30)</f>
        <v>0</v>
      </c>
      <c r="L29" s="13">
        <f>SUMIFS(TIMESHEETS!$AQ:$AQ,TIMESHEETS!$F:$F,L$7,TIMESHEETS!$B:$B,$B30)</f>
        <v>0</v>
      </c>
      <c r="M29" s="13">
        <f>SUMIFS(TIMESHEETS!$AQ:$AQ,TIMESHEETS!$F:$F,M$7,TIMESHEETS!$B:$B,$B30)</f>
        <v>0</v>
      </c>
      <c r="N29" s="13">
        <f>SUMIFS(TIMESHEETS!$AQ:$AQ,TIMESHEETS!$F:$F,N$7,TIMESHEETS!$B:$B,$B30)</f>
        <v>0</v>
      </c>
      <c r="O29" s="13">
        <f>SUMIFS(TIMESHEETS!$AQ:$AQ,TIMESHEETS!$F:$F,O$7,TIMESHEETS!$B:$B,$B30)</f>
        <v>0</v>
      </c>
      <c r="P29" s="13">
        <f>SUMIFS(TIMESHEETS!$AQ:$AQ,TIMESHEETS!$F:$F,P$7,TIMESHEETS!$B:$B,$B30)</f>
        <v>80</v>
      </c>
      <c r="Q29" s="13">
        <f>SUMIFS(TIMESHEETS!$AQ:$AQ,TIMESHEETS!$F:$F,Q$7,TIMESHEETS!$B:$B,$B30)</f>
        <v>0</v>
      </c>
      <c r="R29" s="13">
        <f>SUMIFS(TIMESHEETS!$AQ:$AQ,TIMESHEETS!$F:$F,R$7,TIMESHEETS!$B:$B,$B30)</f>
        <v>8</v>
      </c>
      <c r="S29" s="13">
        <f>SUMIFS(TIMESHEETS!$AQ:$AQ,TIMESHEETS!$F:$F,S$7,TIMESHEETS!$B:$B,$B30)</f>
        <v>0</v>
      </c>
      <c r="T29" s="13">
        <f>SUMIFS(TIMESHEETS!$AQ:$AQ,TIMESHEETS!$F:$F,T$7,TIMESHEETS!$B:$B,$B30)</f>
        <v>8</v>
      </c>
      <c r="U29" s="13">
        <f>SUMIFS(TIMESHEETS!$AQ:$AQ,TIMESHEETS!$F:$F,U$7,TIMESHEETS!$B:$B,$B30)</f>
        <v>0</v>
      </c>
      <c r="V29" s="13">
        <f>SUMIFS(TIMESHEETS!$AQ:$AQ,TIMESHEETS!$F:$F,V$7,TIMESHEETS!$B:$B,$B30)</f>
        <v>0</v>
      </c>
      <c r="W29" s="13">
        <f>SUMIFS(TIMESHEETS!$AQ:$AQ,TIMESHEETS!$F:$F,W$7,TIMESHEETS!$B:$B,$B30)</f>
        <v>0</v>
      </c>
      <c r="X29" s="13">
        <f>SUMIFS(TIMESHEETS!$AQ:$AQ,TIMESHEETS!$F:$F,X$7,TIMESHEETS!$B:$B,$B30)</f>
        <v>0</v>
      </c>
      <c r="Y29" s="13">
        <f>SUMIFS(TIMESHEETS!$AQ:$AQ,TIMESHEETS!$F:$F,Y$7,TIMESHEETS!$B:$B,$B30)</f>
        <v>0</v>
      </c>
      <c r="Z29" s="13">
        <f>SUMIFS(TIMESHEETS!$AQ:$AQ,TIMESHEETS!$F:$F,Z$7,TIMESHEETS!$B:$B,$B30)</f>
        <v>0</v>
      </c>
      <c r="AA29" s="13">
        <f>SUMIFS(TIMESHEETS!$AQ:$AQ,TIMESHEETS!$F:$F,AA$7,TIMESHEETS!$B:$B,$B30)</f>
        <v>0</v>
      </c>
      <c r="AB29" s="13">
        <f>SUMIFS(TIMESHEETS!$AQ:$AQ,TIMESHEETS!$F:$F,AB$7,TIMESHEETS!$B:$B,$B30)</f>
        <v>16</v>
      </c>
      <c r="AC29" s="13">
        <f>SUMIFS(TIMESHEETS!$AQ:$AQ,TIMESHEETS!$F:$F,AC$7,TIMESHEETS!$B:$B,$B30)</f>
        <v>8</v>
      </c>
      <c r="AD29" s="13">
        <f>SUMIFS(TIMESHEETS!$AQ:$AQ,TIMESHEETS!$F:$F,AD$7,TIMESHEETS!$B:$B,$B30)</f>
        <v>0</v>
      </c>
      <c r="AE29" s="13">
        <f>SUMIFS(TIMESHEETS!$AQ:$AQ,TIMESHEETS!$F:$F,AE$7,TIMESHEETS!$B:$B,$B30)</f>
        <v>16</v>
      </c>
      <c r="AF29" s="13">
        <f>SUMIFS(TIMESHEETS!$AQ:$AQ,TIMESHEETS!$F:$F,AF$7,TIMESHEETS!$B:$B,$B30)</f>
        <v>0</v>
      </c>
      <c r="AG29" s="13">
        <f>SUMIFS(TIMESHEETS!$AQ:$AQ,TIMESHEETS!$F:$F,AG$7,TIMESHEETS!$B:$B,$B30)</f>
        <v>24</v>
      </c>
      <c r="AH29" s="13">
        <f>SUMIFS(TIMESHEETS!$AQ:$AQ,TIMESHEETS!$F:$F,AH$7,TIMESHEETS!$B:$B,$B30)</f>
        <v>0</v>
      </c>
      <c r="AI29" s="13">
        <f>SUMIFS(TIMESHEETS!$AQ:$AQ,TIMESHEETS!$F:$F,AI$7,TIMESHEETS!$B:$B,$B30)</f>
        <v>0</v>
      </c>
      <c r="AJ29" s="13">
        <f>SUMIFS(TIMESHEETS!$AQ:$AQ,TIMESHEETS!$F:$F,AJ$7,TIMESHEETS!$B:$B,$B30)</f>
        <v>0</v>
      </c>
      <c r="AK29" s="4"/>
      <c r="AL29" s="13">
        <f>H29-SUM(J29:AJ29)</f>
        <v>0</v>
      </c>
      <c r="AM29" s="139">
        <f>AL29/8</f>
        <v>0</v>
      </c>
    </row>
    <row r="30" spans="1:39" ht="15" customHeight="1" x14ac:dyDescent="0.35">
      <c r="A30" s="4"/>
      <c r="B30" s="30" t="s">
        <v>67</v>
      </c>
      <c r="C30" s="21"/>
      <c r="D30" s="21"/>
      <c r="E30" s="21"/>
      <c r="F30" s="22"/>
      <c r="G30" s="5"/>
      <c r="H30" s="6">
        <v>16</v>
      </c>
      <c r="I30" s="4"/>
      <c r="J30" s="7">
        <f>SUMIFS(TIMESHEETS!$AO:$AO,TIMESHEETS!$F:$F,J$7,TIMESHEETS!$B:$B,$B30)</f>
        <v>0</v>
      </c>
      <c r="K30" s="7">
        <f>SUMIFS(TIMESHEETS!$AO:$AO,TIMESHEETS!$F:$F,K$7,TIMESHEETS!$B:$B,$B30)</f>
        <v>8</v>
      </c>
      <c r="L30" s="7">
        <f>SUMIFS(TIMESHEETS!$AO:$AO,TIMESHEETS!$F:$F,L$7,TIMESHEETS!$B:$B,$B30)</f>
        <v>0</v>
      </c>
      <c r="M30" s="7">
        <f>SUMIFS(TIMESHEETS!$AO:$AO,TIMESHEETS!$F:$F,M$7,TIMESHEETS!$B:$B,$B30)</f>
        <v>0</v>
      </c>
      <c r="N30" s="7">
        <f>SUMIFS(TIMESHEETS!$AO:$AO,TIMESHEETS!$F:$F,N$7,TIMESHEETS!$B:$B,$B30)</f>
        <v>0</v>
      </c>
      <c r="O30" s="7">
        <f>SUMIFS(TIMESHEETS!$AO:$AO,TIMESHEETS!$F:$F,O$7,TIMESHEETS!$B:$B,$B30)</f>
        <v>0</v>
      </c>
      <c r="P30" s="7">
        <f>SUMIFS(TIMESHEETS!$AO:$AO,TIMESHEETS!$F:$F,P$7,TIMESHEETS!$B:$B,$B30)</f>
        <v>0</v>
      </c>
      <c r="Q30" s="7">
        <f>SUMIFS(TIMESHEETS!$AO:$AO,TIMESHEETS!$F:$F,Q$7,TIMESHEETS!$B:$B,$B30)</f>
        <v>0</v>
      </c>
      <c r="R30" s="7">
        <f>SUMIFS(TIMESHEETS!$AO:$AO,TIMESHEETS!$F:$F,R$7,TIMESHEETS!$B:$B,$B30)</f>
        <v>0</v>
      </c>
      <c r="S30" s="7">
        <f>SUMIFS(TIMESHEETS!$AO:$AO,TIMESHEETS!$F:$F,S$7,TIMESHEETS!$B:$B,$B30)</f>
        <v>0</v>
      </c>
      <c r="T30" s="7">
        <f>SUMIFS(TIMESHEETS!$AO:$AO,TIMESHEETS!$F:$F,T$7,TIMESHEETS!$B:$B,$B30)</f>
        <v>0</v>
      </c>
      <c r="U30" s="7">
        <f>SUMIFS(TIMESHEETS!$AO:$AO,TIMESHEETS!$F:$F,U$7,TIMESHEETS!$B:$B,$B30)</f>
        <v>0</v>
      </c>
      <c r="V30" s="7">
        <f>SUMIFS(TIMESHEETS!$AO:$AO,TIMESHEETS!$F:$F,V$7,TIMESHEETS!$B:$B,$B30)</f>
        <v>0</v>
      </c>
      <c r="W30" s="7">
        <f>SUMIFS(TIMESHEETS!$AO:$AO,TIMESHEETS!$F:$F,W$7,TIMESHEETS!$B:$B,$B30)</f>
        <v>0</v>
      </c>
      <c r="X30" s="7">
        <f>SUMIFS(TIMESHEETS!$AO:$AO,TIMESHEETS!$F:$F,X$7,TIMESHEETS!$B:$B,$B30)</f>
        <v>0</v>
      </c>
      <c r="Y30" s="7">
        <f>SUMIFS(TIMESHEETS!$AO:$AO,TIMESHEETS!$F:$F,Y$7,TIMESHEETS!$B:$B,$B30)</f>
        <v>0</v>
      </c>
      <c r="Z30" s="7">
        <f>SUMIFS(TIMESHEETS!$AO:$AO,TIMESHEETS!$F:$F,Z$7,TIMESHEETS!$B:$B,$B30)</f>
        <v>0</v>
      </c>
      <c r="AA30" s="7">
        <f>SUMIFS(TIMESHEETS!$AO:$AO,TIMESHEETS!$F:$F,AA$7,TIMESHEETS!$B:$B,$B30)</f>
        <v>0</v>
      </c>
      <c r="AB30" s="7">
        <f>SUMIFS(TIMESHEETS!$AO:$AO,TIMESHEETS!$F:$F,AB$7,TIMESHEETS!$B:$B,$B30)</f>
        <v>8</v>
      </c>
      <c r="AC30" s="7">
        <f>SUMIFS(TIMESHEETS!$AO:$AO,TIMESHEETS!$F:$F,AC$7,TIMESHEETS!$B:$B,$B30)</f>
        <v>0</v>
      </c>
      <c r="AD30" s="7">
        <f>SUMIFS(TIMESHEETS!$AO:$AO,TIMESHEETS!$F:$F,AD$7,TIMESHEETS!$B:$B,$B30)</f>
        <v>0</v>
      </c>
      <c r="AE30" s="7">
        <f>SUMIFS(TIMESHEETS!$AO:$AO,TIMESHEETS!$F:$F,AE$7,TIMESHEETS!$B:$B,$B30)</f>
        <v>0</v>
      </c>
      <c r="AF30" s="7">
        <f>SUMIFS(TIMESHEETS!$AO:$AO,TIMESHEETS!$F:$F,AF$7,TIMESHEETS!$B:$B,$B30)</f>
        <v>0</v>
      </c>
      <c r="AG30" s="7">
        <f>SUMIFS(TIMESHEETS!$AO:$AO,TIMESHEETS!$F:$F,AG$7,TIMESHEETS!$B:$B,$B30)</f>
        <v>0</v>
      </c>
      <c r="AH30" s="7">
        <f>SUMIFS(TIMESHEETS!$AO:$AO,TIMESHEETS!$F:$F,AH$7,TIMESHEETS!$B:$B,$B30)</f>
        <v>0</v>
      </c>
      <c r="AI30" s="7">
        <f>SUMIFS(TIMESHEETS!$AO:$AO,TIMESHEETS!$F:$F,AI$7,TIMESHEETS!$B:$B,$B30)</f>
        <v>0</v>
      </c>
      <c r="AJ30" s="7">
        <f>SUMIFS(TIMESHEETS!$AO:$AO,TIMESHEETS!$F:$F,AJ$7,TIMESHEETS!$B:$B,$B30)</f>
        <v>0</v>
      </c>
      <c r="AK30" s="4"/>
      <c r="AL30" s="7">
        <f>H30-SUM(J30:AJ30)</f>
        <v>0</v>
      </c>
    </row>
    <row r="31" spans="1:39" ht="15" customHeight="1" x14ac:dyDescent="0.35">
      <c r="A31" s="4"/>
      <c r="B31" s="23"/>
      <c r="C31" s="23"/>
      <c r="D31" s="23"/>
      <c r="E31" s="23"/>
      <c r="F31" s="23"/>
      <c r="G31" s="5"/>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spans="1:39" ht="15" customHeight="1" x14ac:dyDescent="0.35">
      <c r="A32" s="4"/>
      <c r="B32" s="89">
        <v>42458</v>
      </c>
      <c r="C32" s="18"/>
      <c r="D32" s="18"/>
      <c r="E32" s="18"/>
      <c r="F32" s="19"/>
      <c r="G32" s="5"/>
      <c r="H32" s="12">
        <v>120</v>
      </c>
      <c r="I32" s="4"/>
      <c r="J32" s="13">
        <f>SUMIFS(TIMESHEETS!$AQ:$AQ,TIMESHEETS!$F:$F,J$7,TIMESHEETS!$B:$B,$B33)</f>
        <v>0</v>
      </c>
      <c r="K32" s="13">
        <f>SUMIFS(TIMESHEETS!$AQ:$AQ,TIMESHEETS!$F:$F,K$7,TIMESHEETS!$B:$B,$B33)</f>
        <v>0</v>
      </c>
      <c r="L32" s="13">
        <f>SUMIFS(TIMESHEETS!$AQ:$AQ,TIMESHEETS!$F:$F,L$7,TIMESHEETS!$B:$B,$B33)</f>
        <v>0</v>
      </c>
      <c r="M32" s="13">
        <f>SUMIFS(TIMESHEETS!$AQ:$AQ,TIMESHEETS!$F:$F,M$7,TIMESHEETS!$B:$B,$B33)</f>
        <v>0</v>
      </c>
      <c r="N32" s="13">
        <f>SUMIFS(TIMESHEETS!$AQ:$AQ,TIMESHEETS!$F:$F,N$7,TIMESHEETS!$B:$B,$B33)</f>
        <v>0</v>
      </c>
      <c r="O32" s="13">
        <f>SUMIFS(TIMESHEETS!$AQ:$AQ,TIMESHEETS!$F:$F,O$7,TIMESHEETS!$B:$B,$B33)</f>
        <v>0</v>
      </c>
      <c r="P32" s="13">
        <f>SUMIFS(TIMESHEETS!$AQ:$AQ,TIMESHEETS!$F:$F,P$7,TIMESHEETS!$B:$B,$B33)</f>
        <v>80</v>
      </c>
      <c r="Q32" s="13">
        <f>SUMIFS(TIMESHEETS!$AQ:$AQ,TIMESHEETS!$F:$F,Q$7,TIMESHEETS!$B:$B,$B33)</f>
        <v>0</v>
      </c>
      <c r="R32" s="13">
        <f>SUMIFS(TIMESHEETS!$AQ:$AQ,TIMESHEETS!$F:$F,R$7,TIMESHEETS!$B:$B,$B33)</f>
        <v>0</v>
      </c>
      <c r="S32" s="13">
        <f>SUMIFS(TIMESHEETS!$AQ:$AQ,TIMESHEETS!$F:$F,S$7,TIMESHEETS!$B:$B,$B33)</f>
        <v>0</v>
      </c>
      <c r="T32" s="13">
        <f>SUMIFS(TIMESHEETS!$AQ:$AQ,TIMESHEETS!$F:$F,T$7,TIMESHEETS!$B:$B,$B33)</f>
        <v>0</v>
      </c>
      <c r="U32" s="13">
        <f>SUMIFS(TIMESHEETS!$AQ:$AQ,TIMESHEETS!$F:$F,U$7,TIMESHEETS!$B:$B,$B33)</f>
        <v>0</v>
      </c>
      <c r="V32" s="13">
        <f>SUMIFS(TIMESHEETS!$AQ:$AQ,TIMESHEETS!$F:$F,V$7,TIMESHEETS!$B:$B,$B33)</f>
        <v>0</v>
      </c>
      <c r="W32" s="13">
        <f>SUMIFS(TIMESHEETS!$AQ:$AQ,TIMESHEETS!$F:$F,W$7,TIMESHEETS!$B:$B,$B33)</f>
        <v>0</v>
      </c>
      <c r="X32" s="13">
        <f>SUMIFS(TIMESHEETS!$AQ:$AQ,TIMESHEETS!$F:$F,X$7,TIMESHEETS!$B:$B,$B33)</f>
        <v>0</v>
      </c>
      <c r="Y32" s="13">
        <f>SUMIFS(TIMESHEETS!$AQ:$AQ,TIMESHEETS!$F:$F,Y$7,TIMESHEETS!$B:$B,$B33)</f>
        <v>0</v>
      </c>
      <c r="Z32" s="13">
        <f>SUMIFS(TIMESHEETS!$AQ:$AQ,TIMESHEETS!$F:$F,Z$7,TIMESHEETS!$B:$B,$B33)</f>
        <v>0</v>
      </c>
      <c r="AA32" s="13">
        <f>SUMIFS(TIMESHEETS!$AQ:$AQ,TIMESHEETS!$F:$F,AA$7,TIMESHEETS!$B:$B,$B33)</f>
        <v>0</v>
      </c>
      <c r="AB32" s="13">
        <f>SUMIFS(TIMESHEETS!$AQ:$AQ,TIMESHEETS!$F:$F,AB$7,TIMESHEETS!$B:$B,$B33)</f>
        <v>40</v>
      </c>
      <c r="AC32" s="13">
        <f>SUMIFS(TIMESHEETS!$AQ:$AQ,TIMESHEETS!$F:$F,AC$7,TIMESHEETS!$B:$B,$B33)</f>
        <v>0</v>
      </c>
      <c r="AD32" s="13">
        <f>SUMIFS(TIMESHEETS!$AQ:$AQ,TIMESHEETS!$F:$F,AD$7,TIMESHEETS!$B:$B,$B33)</f>
        <v>0</v>
      </c>
      <c r="AE32" s="13">
        <f>SUMIFS(TIMESHEETS!$AQ:$AQ,TIMESHEETS!$F:$F,AE$7,TIMESHEETS!$B:$B,$B33)</f>
        <v>0</v>
      </c>
      <c r="AF32" s="13">
        <f>SUMIFS(TIMESHEETS!$AQ:$AQ,TIMESHEETS!$F:$F,AF$7,TIMESHEETS!$B:$B,$B33)</f>
        <v>0</v>
      </c>
      <c r="AG32" s="13">
        <f>SUMIFS(TIMESHEETS!$AQ:$AQ,TIMESHEETS!$F:$F,AG$7,TIMESHEETS!$B:$B,$B33)</f>
        <v>0</v>
      </c>
      <c r="AH32" s="13">
        <f>SUMIFS(TIMESHEETS!$AQ:$AQ,TIMESHEETS!$F:$F,AH$7,TIMESHEETS!$B:$B,$B33)</f>
        <v>0</v>
      </c>
      <c r="AI32" s="13">
        <f>SUMIFS(TIMESHEETS!$AQ:$AQ,TIMESHEETS!$F:$F,AI$7,TIMESHEETS!$B:$B,$B33)</f>
        <v>0</v>
      </c>
      <c r="AJ32" s="13">
        <f>SUMIFS(TIMESHEETS!$AQ:$AQ,TIMESHEETS!$F:$F,AJ$7,TIMESHEETS!$B:$B,$B33)</f>
        <v>0</v>
      </c>
      <c r="AK32" s="4"/>
      <c r="AL32" s="13">
        <f>H32-SUM(J32:AJ32)</f>
        <v>0</v>
      </c>
      <c r="AM32" s="139">
        <f>AL32/8</f>
        <v>0</v>
      </c>
    </row>
    <row r="33" spans="1:39" ht="15" customHeight="1" x14ac:dyDescent="0.35">
      <c r="A33" s="4"/>
      <c r="B33" s="30" t="s">
        <v>58</v>
      </c>
      <c r="C33" s="21"/>
      <c r="D33" s="21"/>
      <c r="E33" s="21"/>
      <c r="F33" s="22"/>
      <c r="G33" s="5"/>
      <c r="H33" s="6">
        <v>16</v>
      </c>
      <c r="I33" s="4"/>
      <c r="J33" s="7">
        <f>SUMIFS(TIMESHEETS!$AO:$AO,TIMESHEETS!$F:$F,J$7,TIMESHEETS!$B:$B,$B33)</f>
        <v>0</v>
      </c>
      <c r="K33" s="7">
        <f>SUMIFS(TIMESHEETS!$AO:$AO,TIMESHEETS!$F:$F,K$7,TIMESHEETS!$B:$B,$B33)</f>
        <v>0</v>
      </c>
      <c r="L33" s="7">
        <f>SUMIFS(TIMESHEETS!$AO:$AO,TIMESHEETS!$F:$F,L$7,TIMESHEETS!$B:$B,$B33)</f>
        <v>0</v>
      </c>
      <c r="M33" s="7">
        <f>SUMIFS(TIMESHEETS!$AO:$AO,TIMESHEETS!$F:$F,M$7,TIMESHEETS!$B:$B,$B33)</f>
        <v>0</v>
      </c>
      <c r="N33" s="7">
        <f>SUMIFS(TIMESHEETS!$AO:$AO,TIMESHEETS!$F:$F,N$7,TIMESHEETS!$B:$B,$B33)</f>
        <v>0</v>
      </c>
      <c r="O33" s="7">
        <f>SUMIFS(TIMESHEETS!$AO:$AO,TIMESHEETS!$F:$F,O$7,TIMESHEETS!$B:$B,$B33)</f>
        <v>8</v>
      </c>
      <c r="P33" s="7">
        <f>SUMIFS(TIMESHEETS!$AO:$AO,TIMESHEETS!$F:$F,P$7,TIMESHEETS!$B:$B,$B33)</f>
        <v>0</v>
      </c>
      <c r="Q33" s="7">
        <f>SUMIFS(TIMESHEETS!$AO:$AO,TIMESHEETS!$F:$F,Q$7,TIMESHEETS!$B:$B,$B33)</f>
        <v>8</v>
      </c>
      <c r="R33" s="7">
        <f>SUMIFS(TIMESHEETS!$AO:$AO,TIMESHEETS!$F:$F,R$7,TIMESHEETS!$B:$B,$B33)</f>
        <v>0</v>
      </c>
      <c r="S33" s="7">
        <f>SUMIFS(TIMESHEETS!$AO:$AO,TIMESHEETS!$F:$F,S$7,TIMESHEETS!$B:$B,$B33)</f>
        <v>0</v>
      </c>
      <c r="T33" s="7">
        <f>SUMIFS(TIMESHEETS!$AO:$AO,TIMESHEETS!$F:$F,T$7,TIMESHEETS!$B:$B,$B33)</f>
        <v>0</v>
      </c>
      <c r="U33" s="7">
        <f>SUMIFS(TIMESHEETS!$AO:$AO,TIMESHEETS!$F:$F,U$7,TIMESHEETS!$B:$B,$B33)</f>
        <v>0</v>
      </c>
      <c r="V33" s="7">
        <f>SUMIFS(TIMESHEETS!$AO:$AO,TIMESHEETS!$F:$F,V$7,TIMESHEETS!$B:$B,$B33)</f>
        <v>0</v>
      </c>
      <c r="W33" s="7">
        <f>SUMIFS(TIMESHEETS!$AO:$AO,TIMESHEETS!$F:$F,W$7,TIMESHEETS!$B:$B,$B33)</f>
        <v>0</v>
      </c>
      <c r="X33" s="7">
        <f>SUMIFS(TIMESHEETS!$AO:$AO,TIMESHEETS!$F:$F,X$7,TIMESHEETS!$B:$B,$B33)</f>
        <v>0</v>
      </c>
      <c r="Y33" s="7">
        <f>SUMIFS(TIMESHEETS!$AO:$AO,TIMESHEETS!$F:$F,Y$7,TIMESHEETS!$B:$B,$B33)</f>
        <v>0</v>
      </c>
      <c r="Z33" s="7">
        <f>SUMIFS(TIMESHEETS!$AO:$AO,TIMESHEETS!$F:$F,Z$7,TIMESHEETS!$B:$B,$B33)</f>
        <v>0</v>
      </c>
      <c r="AA33" s="7">
        <f>SUMIFS(TIMESHEETS!$AO:$AO,TIMESHEETS!$F:$F,AA$7,TIMESHEETS!$B:$B,$B33)</f>
        <v>0</v>
      </c>
      <c r="AB33" s="7">
        <f>SUMIFS(TIMESHEETS!$AO:$AO,TIMESHEETS!$F:$F,AB$7,TIMESHEETS!$B:$B,$B33)</f>
        <v>0</v>
      </c>
      <c r="AC33" s="7">
        <f>SUMIFS(TIMESHEETS!$AO:$AO,TIMESHEETS!$F:$F,AC$7,TIMESHEETS!$B:$B,$B33)</f>
        <v>0</v>
      </c>
      <c r="AD33" s="7">
        <f>SUMIFS(TIMESHEETS!$AO:$AO,TIMESHEETS!$F:$F,AD$7,TIMESHEETS!$B:$B,$B33)</f>
        <v>0</v>
      </c>
      <c r="AE33" s="7">
        <f>SUMIFS(TIMESHEETS!$AO:$AO,TIMESHEETS!$F:$F,AE$7,TIMESHEETS!$B:$B,$B33)</f>
        <v>0</v>
      </c>
      <c r="AF33" s="7">
        <f>SUMIFS(TIMESHEETS!$AO:$AO,TIMESHEETS!$F:$F,AF$7,TIMESHEETS!$B:$B,$B33)</f>
        <v>8</v>
      </c>
      <c r="AG33" s="7">
        <f>SUMIFS(TIMESHEETS!$AO:$AO,TIMESHEETS!$F:$F,AG$7,TIMESHEETS!$B:$B,$B33)</f>
        <v>8</v>
      </c>
      <c r="AH33" s="7">
        <f>SUMIFS(TIMESHEETS!$AO:$AO,TIMESHEETS!$F:$F,AH$7,TIMESHEETS!$B:$B,$B33)</f>
        <v>0</v>
      </c>
      <c r="AI33" s="7">
        <f>SUMIFS(TIMESHEETS!$AO:$AO,TIMESHEETS!$F:$F,AI$7,TIMESHEETS!$B:$B,$B33)</f>
        <v>0</v>
      </c>
      <c r="AJ33" s="7">
        <f>SUMIFS(TIMESHEETS!$AO:$AO,TIMESHEETS!$F:$F,AJ$7,TIMESHEETS!$B:$B,$B33)</f>
        <v>0</v>
      </c>
      <c r="AK33" s="4"/>
      <c r="AL33" s="7">
        <f>H33-SUM(J33:AJ33)</f>
        <v>-16</v>
      </c>
    </row>
    <row r="34" spans="1:39" ht="15" customHeight="1" x14ac:dyDescent="0.35">
      <c r="A34" s="4"/>
      <c r="B34" s="23"/>
      <c r="C34" s="23"/>
      <c r="D34" s="23"/>
      <c r="E34" s="23"/>
      <c r="F34" s="23"/>
      <c r="G34" s="5"/>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spans="1:39" ht="15" customHeight="1" x14ac:dyDescent="0.35">
      <c r="A35" s="4"/>
      <c r="B35" s="89">
        <v>44165</v>
      </c>
      <c r="C35" s="18"/>
      <c r="D35" s="18"/>
      <c r="E35" s="18"/>
      <c r="F35" s="19"/>
      <c r="G35" s="5"/>
      <c r="H35" s="133">
        <v>40</v>
      </c>
      <c r="I35" s="4"/>
      <c r="J35" s="13">
        <f>SUMIFS(TIMESHEETS!$AQ:$AQ,TIMESHEETS!$F:$F,J$7,TIMESHEETS!$B:$B,$B36)</f>
        <v>0</v>
      </c>
      <c r="K35" s="13">
        <f>SUMIFS(TIMESHEETS!$AQ:$AQ,TIMESHEETS!$F:$F,K$7,TIMESHEETS!$B:$B,$B36)</f>
        <v>0</v>
      </c>
      <c r="L35" s="13">
        <f>SUMIFS(TIMESHEETS!$AQ:$AQ,TIMESHEETS!$F:$F,L$7,TIMESHEETS!$B:$B,$B36)</f>
        <v>0</v>
      </c>
      <c r="M35" s="13">
        <f>SUMIFS(TIMESHEETS!$AQ:$AQ,TIMESHEETS!$F:$F,M$7,TIMESHEETS!$B:$B,$B36)</f>
        <v>0</v>
      </c>
      <c r="N35" s="13">
        <f>SUMIFS(TIMESHEETS!$AQ:$AQ,TIMESHEETS!$F:$F,N$7,TIMESHEETS!$B:$B,$B36)</f>
        <v>0</v>
      </c>
      <c r="O35" s="13">
        <f>SUMIFS(TIMESHEETS!$AQ:$AQ,TIMESHEETS!$F:$F,O$7,TIMESHEETS!$B:$B,$B36)</f>
        <v>0</v>
      </c>
      <c r="P35" s="13">
        <f>SUMIFS(TIMESHEETS!$AQ:$AQ,TIMESHEETS!$F:$F,P$7,TIMESHEETS!$B:$B,$B36)</f>
        <v>24</v>
      </c>
      <c r="Q35" s="13">
        <f>SUMIFS(TIMESHEETS!$AQ:$AQ,TIMESHEETS!$F:$F,Q$7,TIMESHEETS!$B:$B,$B36)</f>
        <v>16</v>
      </c>
      <c r="R35" s="13">
        <f>SUMIFS(TIMESHEETS!$AQ:$AQ,TIMESHEETS!$F:$F,R$7,TIMESHEETS!$B:$B,$B36)</f>
        <v>0</v>
      </c>
      <c r="S35" s="13">
        <f>SUMIFS(TIMESHEETS!$AQ:$AQ,TIMESHEETS!$F:$F,S$7,TIMESHEETS!$B:$B,$B36)</f>
        <v>0</v>
      </c>
      <c r="T35" s="13">
        <f>SUMIFS(TIMESHEETS!$AQ:$AQ,TIMESHEETS!$F:$F,T$7,TIMESHEETS!$B:$B,$B36)</f>
        <v>0</v>
      </c>
      <c r="U35" s="13">
        <f>SUMIFS(TIMESHEETS!$AQ:$AQ,TIMESHEETS!$F:$F,U$7,TIMESHEETS!$B:$B,$B36)</f>
        <v>0</v>
      </c>
      <c r="V35" s="13">
        <f>SUMIFS(TIMESHEETS!$AQ:$AQ,TIMESHEETS!$F:$F,V$7,TIMESHEETS!$B:$B,$B36)</f>
        <v>0</v>
      </c>
      <c r="W35" s="13">
        <f>SUMIFS(TIMESHEETS!$AQ:$AQ,TIMESHEETS!$F:$F,W$7,TIMESHEETS!$B:$B,$B36)</f>
        <v>0</v>
      </c>
      <c r="X35" s="13">
        <f>SUMIFS(TIMESHEETS!$AQ:$AQ,TIMESHEETS!$F:$F,X$7,TIMESHEETS!$B:$B,$B36)</f>
        <v>0</v>
      </c>
      <c r="Y35" s="13">
        <f>SUMIFS(TIMESHEETS!$AQ:$AQ,TIMESHEETS!$F:$F,Y$7,TIMESHEETS!$B:$B,$B36)</f>
        <v>0</v>
      </c>
      <c r="Z35" s="13">
        <f>SUMIFS(TIMESHEETS!$AQ:$AQ,TIMESHEETS!$F:$F,Z$7,TIMESHEETS!$B:$B,$B36)</f>
        <v>0</v>
      </c>
      <c r="AA35" s="13">
        <f>SUMIFS(TIMESHEETS!$AQ:$AQ,TIMESHEETS!$F:$F,AA$7,TIMESHEETS!$B:$B,$B36)</f>
        <v>0</v>
      </c>
      <c r="AB35" s="13">
        <f>SUMIFS(TIMESHEETS!$AQ:$AQ,TIMESHEETS!$F:$F,AB$7,TIMESHEETS!$B:$B,$B36)</f>
        <v>0</v>
      </c>
      <c r="AC35" s="13">
        <f>SUMIFS(TIMESHEETS!$AQ:$AQ,TIMESHEETS!$F:$F,AC$7,TIMESHEETS!$B:$B,$B36)</f>
        <v>0</v>
      </c>
      <c r="AD35" s="13">
        <f>SUMIFS(TIMESHEETS!$AQ:$AQ,TIMESHEETS!$F:$F,AD$7,TIMESHEETS!$B:$B,$B36)</f>
        <v>0</v>
      </c>
      <c r="AE35" s="13">
        <f>SUMIFS(TIMESHEETS!$AQ:$AQ,TIMESHEETS!$F:$F,AE$7,TIMESHEETS!$B:$B,$B36)</f>
        <v>0</v>
      </c>
      <c r="AF35" s="13">
        <f>SUMIFS(TIMESHEETS!$AQ:$AQ,TIMESHEETS!$F:$F,AF$7,TIMESHEETS!$B:$B,$B36)</f>
        <v>0</v>
      </c>
      <c r="AG35" s="13">
        <f>SUMIFS(TIMESHEETS!$AQ:$AQ,TIMESHEETS!$F:$F,AG$7,TIMESHEETS!$B:$B,$B36)</f>
        <v>0</v>
      </c>
      <c r="AH35" s="13">
        <f>SUMIFS(TIMESHEETS!$AQ:$AQ,TIMESHEETS!$F:$F,AH$7,TIMESHEETS!$B:$B,$B36)</f>
        <v>0</v>
      </c>
      <c r="AI35" s="13">
        <f>SUMIFS(TIMESHEETS!$AQ:$AQ,TIMESHEETS!$F:$F,AI$7,TIMESHEETS!$B:$B,$B36)</f>
        <v>0</v>
      </c>
      <c r="AJ35" s="13">
        <f>SUMIFS(TIMESHEETS!$AQ:$AQ,TIMESHEETS!$F:$F,AJ$7,TIMESHEETS!$B:$B,$B36)</f>
        <v>0</v>
      </c>
      <c r="AK35" s="4"/>
      <c r="AL35" s="132">
        <f>H35-SUM(J35:AJ35)</f>
        <v>0</v>
      </c>
      <c r="AM35" s="139">
        <f>AL35/8</f>
        <v>0</v>
      </c>
    </row>
    <row r="36" spans="1:39" ht="15" customHeight="1" x14ac:dyDescent="0.35">
      <c r="A36" s="4"/>
      <c r="B36" s="30" t="s">
        <v>70</v>
      </c>
      <c r="C36" s="21"/>
      <c r="D36" s="21"/>
      <c r="E36" s="21"/>
      <c r="F36" s="22"/>
      <c r="G36" s="5"/>
      <c r="H36" s="6">
        <v>16</v>
      </c>
      <c r="I36" s="4"/>
      <c r="J36" s="7">
        <f>SUMIFS(TIMESHEETS!$AO:$AO,TIMESHEETS!$F:$F,J$7,TIMESHEETS!$B:$B,$B36)</f>
        <v>0</v>
      </c>
      <c r="K36" s="7">
        <f>SUMIFS(TIMESHEETS!$AO:$AO,TIMESHEETS!$F:$F,K$7,TIMESHEETS!$B:$B,$B36)</f>
        <v>0</v>
      </c>
      <c r="L36" s="7">
        <f>SUMIFS(TIMESHEETS!$AO:$AO,TIMESHEETS!$F:$F,L$7,TIMESHEETS!$B:$B,$B36)</f>
        <v>0</v>
      </c>
      <c r="M36" s="7">
        <f>SUMIFS(TIMESHEETS!$AO:$AO,TIMESHEETS!$F:$F,M$7,TIMESHEETS!$B:$B,$B36)</f>
        <v>0</v>
      </c>
      <c r="N36" s="7">
        <f>SUMIFS(TIMESHEETS!$AO:$AO,TIMESHEETS!$F:$F,N$7,TIMESHEETS!$B:$B,$B36)</f>
        <v>0</v>
      </c>
      <c r="O36" s="7">
        <f>SUMIFS(TIMESHEETS!$AO:$AO,TIMESHEETS!$F:$F,O$7,TIMESHEETS!$B:$B,$B36)</f>
        <v>0</v>
      </c>
      <c r="P36" s="7">
        <f>SUMIFS(TIMESHEETS!$AO:$AO,TIMESHEETS!$F:$F,P$7,TIMESHEETS!$B:$B,$B36)</f>
        <v>0</v>
      </c>
      <c r="Q36" s="7">
        <f>SUMIFS(TIMESHEETS!$AO:$AO,TIMESHEETS!$F:$F,Q$7,TIMESHEETS!$B:$B,$B36)</f>
        <v>0</v>
      </c>
      <c r="R36" s="7">
        <f>SUMIFS(TIMESHEETS!$AO:$AO,TIMESHEETS!$F:$F,R$7,TIMESHEETS!$B:$B,$B36)</f>
        <v>0</v>
      </c>
      <c r="S36" s="7">
        <f>SUMIFS(TIMESHEETS!$AO:$AO,TIMESHEETS!$F:$F,S$7,TIMESHEETS!$B:$B,$B36)</f>
        <v>0</v>
      </c>
      <c r="T36" s="7">
        <f>SUMIFS(TIMESHEETS!$AO:$AO,TIMESHEETS!$F:$F,T$7,TIMESHEETS!$B:$B,$B36)</f>
        <v>0</v>
      </c>
      <c r="U36" s="7">
        <f>SUMIFS(TIMESHEETS!$AO:$AO,TIMESHEETS!$F:$F,U$7,TIMESHEETS!$B:$B,$B36)</f>
        <v>0</v>
      </c>
      <c r="V36" s="7">
        <f>SUMIFS(TIMESHEETS!$AO:$AO,TIMESHEETS!$F:$F,V$7,TIMESHEETS!$B:$B,$B36)</f>
        <v>0</v>
      </c>
      <c r="W36" s="7">
        <f>SUMIFS(TIMESHEETS!$AO:$AO,TIMESHEETS!$F:$F,W$7,TIMESHEETS!$B:$B,$B36)</f>
        <v>0</v>
      </c>
      <c r="X36" s="7">
        <f>SUMIFS(TIMESHEETS!$AO:$AO,TIMESHEETS!$F:$F,X$7,TIMESHEETS!$B:$B,$B36)</f>
        <v>0</v>
      </c>
      <c r="Y36" s="7">
        <f>SUMIFS(TIMESHEETS!$AO:$AO,TIMESHEETS!$F:$F,Y$7,TIMESHEETS!$B:$B,$B36)</f>
        <v>0</v>
      </c>
      <c r="Z36" s="7">
        <f>SUMIFS(TIMESHEETS!$AO:$AO,TIMESHEETS!$F:$F,Z$7,TIMESHEETS!$B:$B,$B36)</f>
        <v>0</v>
      </c>
      <c r="AA36" s="7">
        <f>SUMIFS(TIMESHEETS!$AO:$AO,TIMESHEETS!$F:$F,AA$7,TIMESHEETS!$B:$B,$B36)</f>
        <v>0</v>
      </c>
      <c r="AB36" s="7">
        <f>SUMIFS(TIMESHEETS!$AO:$AO,TIMESHEETS!$F:$F,AB$7,TIMESHEETS!$B:$B,$B36)</f>
        <v>16</v>
      </c>
      <c r="AC36" s="7">
        <f>SUMIFS(TIMESHEETS!$AO:$AO,TIMESHEETS!$F:$F,AC$7,TIMESHEETS!$B:$B,$B36)</f>
        <v>0</v>
      </c>
      <c r="AD36" s="7">
        <f>SUMIFS(TIMESHEETS!$AO:$AO,TIMESHEETS!$F:$F,AD$7,TIMESHEETS!$B:$B,$B36)</f>
        <v>0</v>
      </c>
      <c r="AE36" s="7">
        <f>SUMIFS(TIMESHEETS!$AO:$AO,TIMESHEETS!$F:$F,AE$7,TIMESHEETS!$B:$B,$B36)</f>
        <v>0</v>
      </c>
      <c r="AF36" s="7">
        <f>SUMIFS(TIMESHEETS!$AO:$AO,TIMESHEETS!$F:$F,AF$7,TIMESHEETS!$B:$B,$B36)</f>
        <v>0</v>
      </c>
      <c r="AG36" s="7">
        <f>SUMIFS(TIMESHEETS!$AO:$AO,TIMESHEETS!$F:$F,AG$7,TIMESHEETS!$B:$B,$B36)</f>
        <v>0</v>
      </c>
      <c r="AH36" s="7">
        <f>SUMIFS(TIMESHEETS!$AO:$AO,TIMESHEETS!$F:$F,AH$7,TIMESHEETS!$B:$B,$B36)</f>
        <v>0</v>
      </c>
      <c r="AI36" s="7">
        <f>SUMIFS(TIMESHEETS!$AO:$AO,TIMESHEETS!$F:$F,AI$7,TIMESHEETS!$B:$B,$B36)</f>
        <v>0</v>
      </c>
      <c r="AJ36" s="7">
        <f>SUMIFS(TIMESHEETS!$AO:$AO,TIMESHEETS!$F:$F,AJ$7,TIMESHEETS!$B:$B,$B36)</f>
        <v>0</v>
      </c>
      <c r="AK36" s="4"/>
      <c r="AL36" s="7">
        <f>H36-SUM(J36:AJ36)</f>
        <v>0</v>
      </c>
    </row>
    <row r="37" spans="1:39" ht="15" customHeight="1" x14ac:dyDescent="0.35">
      <c r="A37" s="4"/>
      <c r="B37" s="23"/>
      <c r="C37" s="23"/>
      <c r="D37" s="23"/>
      <c r="E37" s="23"/>
      <c r="F37" s="23"/>
      <c r="G37" s="5"/>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spans="1:39" ht="15" customHeight="1" x14ac:dyDescent="0.35">
      <c r="A38" s="4"/>
      <c r="B38" s="89">
        <v>40868</v>
      </c>
      <c r="C38" s="18"/>
      <c r="D38" s="18"/>
      <c r="E38" s="18"/>
      <c r="F38" s="19"/>
      <c r="G38" s="5"/>
      <c r="H38" s="12">
        <v>200</v>
      </c>
      <c r="I38" s="4"/>
      <c r="J38" s="13">
        <f>SUMIFS(TIMESHEETS!$AQ:$AQ,TIMESHEETS!$F:$F,J$7,TIMESHEETS!$B:$B,$B39)</f>
        <v>8</v>
      </c>
      <c r="K38" s="13">
        <f>SUMIFS(TIMESHEETS!$AQ:$AQ,TIMESHEETS!$F:$F,K$7,TIMESHEETS!$B:$B,$B39)</f>
        <v>32</v>
      </c>
      <c r="L38" s="13">
        <f>SUMIFS(TIMESHEETS!$AQ:$AQ,TIMESHEETS!$F:$F,L$7,TIMESHEETS!$B:$B,$B39)</f>
        <v>0</v>
      </c>
      <c r="M38" s="13">
        <f>SUMIFS(TIMESHEETS!$AQ:$AQ,TIMESHEETS!$F:$F,M$7,TIMESHEETS!$B:$B,$B39)</f>
        <v>0</v>
      </c>
      <c r="N38" s="13">
        <f>SUMIFS(TIMESHEETS!$AQ:$AQ,TIMESHEETS!$F:$F,N$7,TIMESHEETS!$B:$B,$B39)</f>
        <v>0</v>
      </c>
      <c r="O38" s="13">
        <f>SUMIFS(TIMESHEETS!$AQ:$AQ,TIMESHEETS!$F:$F,O$7,TIMESHEETS!$B:$B,$B39)</f>
        <v>0</v>
      </c>
      <c r="P38" s="13">
        <f>SUMIFS(TIMESHEETS!$AQ:$AQ,TIMESHEETS!$F:$F,P$7,TIMESHEETS!$B:$B,$B39)</f>
        <v>80</v>
      </c>
      <c r="Q38" s="13">
        <f>SUMIFS(TIMESHEETS!$AQ:$AQ,TIMESHEETS!$F:$F,Q$7,TIMESHEETS!$B:$B,$B39)</f>
        <v>0</v>
      </c>
      <c r="R38" s="13">
        <f>SUMIFS(TIMESHEETS!$AQ:$AQ,TIMESHEETS!$F:$F,R$7,TIMESHEETS!$B:$B,$B39)</f>
        <v>0</v>
      </c>
      <c r="S38" s="13">
        <f>SUMIFS(TIMESHEETS!$AQ:$AQ,TIMESHEETS!$F:$F,S$7,TIMESHEETS!$B:$B,$B39)</f>
        <v>8</v>
      </c>
      <c r="T38" s="13">
        <f>SUMIFS(TIMESHEETS!$AQ:$AQ,TIMESHEETS!$F:$F,T$7,TIMESHEETS!$B:$B,$B39)</f>
        <v>0</v>
      </c>
      <c r="U38" s="13">
        <f>SUMIFS(TIMESHEETS!$AQ:$AQ,TIMESHEETS!$F:$F,U$7,TIMESHEETS!$B:$B,$B39)</f>
        <v>8</v>
      </c>
      <c r="V38" s="13">
        <f>SUMIFS(TIMESHEETS!$AQ:$AQ,TIMESHEETS!$F:$F,V$7,TIMESHEETS!$B:$B,$B39)</f>
        <v>0</v>
      </c>
      <c r="W38" s="13">
        <f>SUMIFS(TIMESHEETS!$AQ:$AQ,TIMESHEETS!$F:$F,W$7,TIMESHEETS!$B:$B,$B39)</f>
        <v>0</v>
      </c>
      <c r="X38" s="13">
        <f>SUMIFS(TIMESHEETS!$AQ:$AQ,TIMESHEETS!$F:$F,X$7,TIMESHEETS!$B:$B,$B39)</f>
        <v>40</v>
      </c>
      <c r="Y38" s="13">
        <f>SUMIFS(TIMESHEETS!$AQ:$AQ,TIMESHEETS!$F:$F,Y$7,TIMESHEETS!$B:$B,$B39)</f>
        <v>0</v>
      </c>
      <c r="Z38" s="13">
        <f>SUMIFS(TIMESHEETS!$AQ:$AQ,TIMESHEETS!$F:$F,Z$7,TIMESHEETS!$B:$B,$B39)</f>
        <v>0</v>
      </c>
      <c r="AA38" s="13">
        <f>SUMIFS(TIMESHEETS!$AQ:$AQ,TIMESHEETS!$F:$F,AA$7,TIMESHEETS!$B:$B,$B39)</f>
        <v>0</v>
      </c>
      <c r="AB38" s="13">
        <f>SUMIFS(TIMESHEETS!$AQ:$AQ,TIMESHEETS!$F:$F,AB$7,TIMESHEETS!$B:$B,$B39)</f>
        <v>16</v>
      </c>
      <c r="AC38" s="13">
        <f>SUMIFS(TIMESHEETS!$AQ:$AQ,TIMESHEETS!$F:$F,AC$7,TIMESHEETS!$B:$B,$B39)</f>
        <v>8</v>
      </c>
      <c r="AD38" s="13">
        <f>SUMIFS(TIMESHEETS!$AQ:$AQ,TIMESHEETS!$F:$F,AD$7,TIMESHEETS!$B:$B,$B39)</f>
        <v>0</v>
      </c>
      <c r="AE38" s="13">
        <f>SUMIFS(TIMESHEETS!$AQ:$AQ,TIMESHEETS!$F:$F,AE$7,TIMESHEETS!$B:$B,$B39)</f>
        <v>0</v>
      </c>
      <c r="AF38" s="13">
        <f>SUMIFS(TIMESHEETS!$AQ:$AQ,TIMESHEETS!$F:$F,AF$7,TIMESHEETS!$B:$B,$B39)</f>
        <v>0</v>
      </c>
      <c r="AG38" s="13">
        <f>SUMIFS(TIMESHEETS!$AQ:$AQ,TIMESHEETS!$F:$F,AG$7,TIMESHEETS!$B:$B,$B39)</f>
        <v>0</v>
      </c>
      <c r="AH38" s="13">
        <f>SUMIFS(TIMESHEETS!$AQ:$AQ,TIMESHEETS!$F:$F,AH$7,TIMESHEETS!$B:$B,$B39)</f>
        <v>0</v>
      </c>
      <c r="AI38" s="13">
        <f>SUMIFS(TIMESHEETS!$AQ:$AQ,TIMESHEETS!$F:$F,AI$7,TIMESHEETS!$B:$B,$B39)</f>
        <v>0</v>
      </c>
      <c r="AJ38" s="13">
        <f>SUMIFS(TIMESHEETS!$AQ:$AQ,TIMESHEETS!$F:$F,AJ$7,TIMESHEETS!$B:$B,$B39)</f>
        <v>0</v>
      </c>
      <c r="AK38" s="4"/>
      <c r="AL38" s="13">
        <f>H38-SUM(J38:AJ38)</f>
        <v>0</v>
      </c>
      <c r="AM38" s="139">
        <f>AL38/8</f>
        <v>0</v>
      </c>
    </row>
    <row r="39" spans="1:39" ht="15" customHeight="1" x14ac:dyDescent="0.35">
      <c r="A39" s="4"/>
      <c r="B39" s="30" t="s">
        <v>49</v>
      </c>
      <c r="C39" s="21"/>
      <c r="D39" s="21"/>
      <c r="E39" s="21"/>
      <c r="F39" s="22"/>
      <c r="G39" s="5"/>
      <c r="H39" s="6">
        <v>16</v>
      </c>
      <c r="I39" s="4"/>
      <c r="J39" s="7">
        <f>SUMIFS(TIMESHEETS!$AO:$AO,TIMESHEETS!$F:$F,J$7,TIMESHEETS!$B:$B,$B39)</f>
        <v>0</v>
      </c>
      <c r="K39" s="7">
        <f>SUMIFS(TIMESHEETS!$AO:$AO,TIMESHEETS!$F:$F,K$7,TIMESHEETS!$B:$B,$B39)</f>
        <v>0</v>
      </c>
      <c r="L39" s="7">
        <f>SUMIFS(TIMESHEETS!$AO:$AO,TIMESHEETS!$F:$F,L$7,TIMESHEETS!$B:$B,$B39)</f>
        <v>0</v>
      </c>
      <c r="M39" s="7">
        <f>SUMIFS(TIMESHEETS!$AO:$AO,TIMESHEETS!$F:$F,M$7,TIMESHEETS!$B:$B,$B39)</f>
        <v>0</v>
      </c>
      <c r="N39" s="7">
        <f>SUMIFS(TIMESHEETS!$AO:$AO,TIMESHEETS!$F:$F,N$7,TIMESHEETS!$B:$B,$B39)</f>
        <v>0</v>
      </c>
      <c r="O39" s="7">
        <f>SUMIFS(TIMESHEETS!$AO:$AO,TIMESHEETS!$F:$F,O$7,TIMESHEETS!$B:$B,$B39)</f>
        <v>0</v>
      </c>
      <c r="P39" s="7">
        <f>SUMIFS(TIMESHEETS!$AO:$AO,TIMESHEETS!$F:$F,P$7,TIMESHEETS!$B:$B,$B39)</f>
        <v>0</v>
      </c>
      <c r="Q39" s="7">
        <f>SUMIFS(TIMESHEETS!$AO:$AO,TIMESHEETS!$F:$F,Q$7,TIMESHEETS!$B:$B,$B39)</f>
        <v>0</v>
      </c>
      <c r="R39" s="7">
        <f>SUMIFS(TIMESHEETS!$AO:$AO,TIMESHEETS!$F:$F,R$7,TIMESHEETS!$B:$B,$B39)</f>
        <v>0</v>
      </c>
      <c r="S39" s="7">
        <f>SUMIFS(TIMESHEETS!$AO:$AO,TIMESHEETS!$F:$F,S$7,TIMESHEETS!$B:$B,$B39)</f>
        <v>16</v>
      </c>
      <c r="T39" s="7">
        <f>SUMIFS(TIMESHEETS!$AO:$AO,TIMESHEETS!$F:$F,T$7,TIMESHEETS!$B:$B,$B39)</f>
        <v>0</v>
      </c>
      <c r="U39" s="7">
        <f>SUMIFS(TIMESHEETS!$AO:$AO,TIMESHEETS!$F:$F,U$7,TIMESHEETS!$B:$B,$B39)</f>
        <v>0</v>
      </c>
      <c r="V39" s="7">
        <f>SUMIFS(TIMESHEETS!$AO:$AO,TIMESHEETS!$F:$F,V$7,TIMESHEETS!$B:$B,$B39)</f>
        <v>0</v>
      </c>
      <c r="W39" s="7">
        <f>SUMIFS(TIMESHEETS!$AO:$AO,TIMESHEETS!$F:$F,W$7,TIMESHEETS!$B:$B,$B39)</f>
        <v>0</v>
      </c>
      <c r="X39" s="7">
        <f>SUMIFS(TIMESHEETS!$AO:$AO,TIMESHEETS!$F:$F,X$7,TIMESHEETS!$B:$B,$B39)</f>
        <v>0</v>
      </c>
      <c r="Y39" s="7">
        <f>SUMIFS(TIMESHEETS!$AO:$AO,TIMESHEETS!$F:$F,Y$7,TIMESHEETS!$B:$B,$B39)</f>
        <v>0</v>
      </c>
      <c r="Z39" s="7">
        <f>SUMIFS(TIMESHEETS!$AO:$AO,TIMESHEETS!$F:$F,Z$7,TIMESHEETS!$B:$B,$B39)</f>
        <v>0</v>
      </c>
      <c r="AA39" s="7">
        <f>SUMIFS(TIMESHEETS!$AO:$AO,TIMESHEETS!$F:$F,AA$7,TIMESHEETS!$B:$B,$B39)</f>
        <v>0</v>
      </c>
      <c r="AB39" s="7">
        <f>SUMIFS(TIMESHEETS!$AO:$AO,TIMESHEETS!$F:$F,AB$7,TIMESHEETS!$B:$B,$B39)</f>
        <v>0</v>
      </c>
      <c r="AC39" s="7">
        <f>SUMIFS(TIMESHEETS!$AO:$AO,TIMESHEETS!$F:$F,AC$7,TIMESHEETS!$B:$B,$B39)</f>
        <v>0</v>
      </c>
      <c r="AD39" s="7">
        <f>SUMIFS(TIMESHEETS!$AO:$AO,TIMESHEETS!$F:$F,AD$7,TIMESHEETS!$B:$B,$B39)</f>
        <v>0</v>
      </c>
      <c r="AE39" s="7">
        <f>SUMIFS(TIMESHEETS!$AO:$AO,TIMESHEETS!$F:$F,AE$7,TIMESHEETS!$B:$B,$B39)</f>
        <v>0</v>
      </c>
      <c r="AF39" s="7">
        <f>SUMIFS(TIMESHEETS!$AO:$AO,TIMESHEETS!$F:$F,AF$7,TIMESHEETS!$B:$B,$B39)</f>
        <v>0</v>
      </c>
      <c r="AG39" s="7">
        <f>SUMIFS(TIMESHEETS!$AO:$AO,TIMESHEETS!$F:$F,AG$7,TIMESHEETS!$B:$B,$B39)</f>
        <v>0</v>
      </c>
      <c r="AH39" s="7">
        <f>SUMIFS(TIMESHEETS!$AO:$AO,TIMESHEETS!$F:$F,AH$7,TIMESHEETS!$B:$B,$B39)</f>
        <v>0</v>
      </c>
      <c r="AI39" s="7">
        <f>SUMIFS(TIMESHEETS!$AO:$AO,TIMESHEETS!$F:$F,AI$7,TIMESHEETS!$B:$B,$B39)</f>
        <v>0</v>
      </c>
      <c r="AJ39" s="7">
        <f>SUMIFS(TIMESHEETS!$AO:$AO,TIMESHEETS!$F:$F,AJ$7,TIMESHEETS!$B:$B,$B39)</f>
        <v>0</v>
      </c>
      <c r="AK39" s="4"/>
      <c r="AL39" s="7">
        <f>H39-SUM(J39:AJ39)</f>
        <v>0</v>
      </c>
    </row>
    <row r="40" spans="1:39" ht="15" customHeight="1" x14ac:dyDescent="0.35">
      <c r="A40" s="4"/>
      <c r="B40" s="23"/>
      <c r="C40" s="23"/>
      <c r="D40" s="23"/>
      <c r="E40" s="23"/>
      <c r="F40" s="23"/>
      <c r="G40" s="5"/>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spans="1:39" ht="15" customHeight="1" x14ac:dyDescent="0.35">
      <c r="A41" s="4"/>
      <c r="B41" s="89">
        <v>37093</v>
      </c>
      <c r="C41" s="18"/>
      <c r="D41" s="18"/>
      <c r="E41" s="18"/>
      <c r="F41" s="19"/>
      <c r="G41" s="5"/>
      <c r="H41" s="12">
        <v>248</v>
      </c>
      <c r="I41" s="4"/>
      <c r="J41" s="13">
        <f>SUMIFS(TIMESHEETS!$AQ:$AQ,TIMESHEETS!$F:$F,J$7,TIMESHEETS!$B:$B,$B42)</f>
        <v>40</v>
      </c>
      <c r="K41" s="13">
        <f>SUMIFS(TIMESHEETS!$AQ:$AQ,TIMESHEETS!$F:$F,K$7,TIMESHEETS!$B:$B,$B42)</f>
        <v>8</v>
      </c>
      <c r="L41" s="13">
        <f>SUMIFS(TIMESHEETS!$AQ:$AQ,TIMESHEETS!$F:$F,L$7,TIMESHEETS!$B:$B,$B42)</f>
        <v>0</v>
      </c>
      <c r="M41" s="13">
        <f>SUMIFS(TIMESHEETS!$AQ:$AQ,TIMESHEETS!$F:$F,M$7,TIMESHEETS!$B:$B,$B42)</f>
        <v>0</v>
      </c>
      <c r="N41" s="13">
        <f>SUMIFS(TIMESHEETS!$AQ:$AQ,TIMESHEETS!$F:$F,N$7,TIMESHEETS!$B:$B,$B42)</f>
        <v>0</v>
      </c>
      <c r="O41" s="13">
        <f>SUMIFS(TIMESHEETS!$AQ:$AQ,TIMESHEETS!$F:$F,O$7,TIMESHEETS!$B:$B,$B42)</f>
        <v>0</v>
      </c>
      <c r="P41" s="13">
        <f>SUMIFS(TIMESHEETS!$AQ:$AQ,TIMESHEETS!$F:$F,P$7,TIMESHEETS!$B:$B,$B42)</f>
        <v>80</v>
      </c>
      <c r="Q41" s="13">
        <f>SUMIFS(TIMESHEETS!$AQ:$AQ,TIMESHEETS!$F:$F,Q$7,TIMESHEETS!$B:$B,$B42)</f>
        <v>0</v>
      </c>
      <c r="R41" s="13">
        <f>SUMIFS(TIMESHEETS!$AQ:$AQ,TIMESHEETS!$F:$F,R$7,TIMESHEETS!$B:$B,$B42)</f>
        <v>0</v>
      </c>
      <c r="S41" s="13">
        <f>SUMIFS(TIMESHEETS!$AQ:$AQ,TIMESHEETS!$F:$F,S$7,TIMESHEETS!$B:$B,$B42)</f>
        <v>0</v>
      </c>
      <c r="T41" s="13">
        <f>SUMIFS(TIMESHEETS!$AQ:$AQ,TIMESHEETS!$F:$F,T$7,TIMESHEETS!$B:$B,$B42)</f>
        <v>0</v>
      </c>
      <c r="U41" s="13">
        <f>SUMIFS(TIMESHEETS!$AQ:$AQ,TIMESHEETS!$F:$F,U$7,TIMESHEETS!$B:$B,$B42)</f>
        <v>0</v>
      </c>
      <c r="V41" s="13">
        <f>SUMIFS(TIMESHEETS!$AQ:$AQ,TIMESHEETS!$F:$F,V$7,TIMESHEETS!$B:$B,$B42)</f>
        <v>0</v>
      </c>
      <c r="W41" s="13">
        <f>SUMIFS(TIMESHEETS!$AQ:$AQ,TIMESHEETS!$F:$F,W$7,TIMESHEETS!$B:$B,$B42)</f>
        <v>0</v>
      </c>
      <c r="X41" s="13">
        <f>SUMIFS(TIMESHEETS!$AQ:$AQ,TIMESHEETS!$F:$F,X$7,TIMESHEETS!$B:$B,$B42)</f>
        <v>0</v>
      </c>
      <c r="Y41" s="13">
        <f>SUMIFS(TIMESHEETS!$AQ:$AQ,TIMESHEETS!$F:$F,Y$7,TIMESHEETS!$B:$B,$B42)</f>
        <v>8</v>
      </c>
      <c r="Z41" s="13">
        <f>SUMIFS(TIMESHEETS!$AQ:$AQ,TIMESHEETS!$F:$F,Z$7,TIMESHEETS!$B:$B,$B42)</f>
        <v>0</v>
      </c>
      <c r="AA41" s="13">
        <f>SUMIFS(TIMESHEETS!$AQ:$AQ,TIMESHEETS!$F:$F,AA$7,TIMESHEETS!$B:$B,$B42)</f>
        <v>0</v>
      </c>
      <c r="AB41" s="13">
        <f>SUMIFS(TIMESHEETS!$AQ:$AQ,TIMESHEETS!$F:$F,AB$7,TIMESHEETS!$B:$B,$B42)</f>
        <v>16</v>
      </c>
      <c r="AC41" s="13">
        <f>SUMIFS(TIMESHEETS!$AQ:$AQ,TIMESHEETS!$F:$F,AC$7,TIMESHEETS!$B:$B,$B42)</f>
        <v>24</v>
      </c>
      <c r="AD41" s="13">
        <f>SUMIFS(TIMESHEETS!$AQ:$AQ,TIMESHEETS!$F:$F,AD$7,TIMESHEETS!$B:$B,$B42)</f>
        <v>0</v>
      </c>
      <c r="AE41" s="13">
        <f>SUMIFS(TIMESHEETS!$AQ:$AQ,TIMESHEETS!$F:$F,AE$7,TIMESHEETS!$B:$B,$B42)</f>
        <v>0</v>
      </c>
      <c r="AF41" s="13">
        <f>SUMIFS(TIMESHEETS!$AQ:$AQ,TIMESHEETS!$F:$F,AF$7,TIMESHEETS!$B:$B,$B42)</f>
        <v>0</v>
      </c>
      <c r="AG41" s="13">
        <f>SUMIFS(TIMESHEETS!$AQ:$AQ,TIMESHEETS!$F:$F,AG$7,TIMESHEETS!$B:$B,$B42)</f>
        <v>0</v>
      </c>
      <c r="AH41" s="13">
        <f>SUMIFS(TIMESHEETS!$AQ:$AQ,TIMESHEETS!$F:$F,AH$7,TIMESHEETS!$B:$B,$B42)</f>
        <v>0</v>
      </c>
      <c r="AI41" s="13">
        <f>SUMIFS(TIMESHEETS!$AQ:$AQ,TIMESHEETS!$F:$F,AI$7,TIMESHEETS!$B:$B,$B42)</f>
        <v>0</v>
      </c>
      <c r="AJ41" s="13">
        <f>SUMIFS(TIMESHEETS!$AQ:$AQ,TIMESHEETS!$F:$F,AJ$7,TIMESHEETS!$B:$B,$B42)</f>
        <v>32</v>
      </c>
      <c r="AK41" s="4"/>
      <c r="AL41" s="13">
        <f>H41-SUM(J41:AJ41)</f>
        <v>40</v>
      </c>
      <c r="AM41" s="137">
        <f>AL41/8</f>
        <v>5</v>
      </c>
    </row>
    <row r="42" spans="1:39" ht="15" customHeight="1" x14ac:dyDescent="0.35">
      <c r="A42" s="4"/>
      <c r="B42" s="30" t="s">
        <v>47</v>
      </c>
      <c r="C42" s="21"/>
      <c r="D42" s="21"/>
      <c r="E42" s="21"/>
      <c r="F42" s="22"/>
      <c r="G42" s="5"/>
      <c r="H42" s="6">
        <v>16</v>
      </c>
      <c r="I42" s="4"/>
      <c r="J42" s="7">
        <f>SUMIFS(TIMESHEETS!$AO:$AO,TIMESHEETS!$F:$F,J$7,TIMESHEETS!$B:$B,$B42)</f>
        <v>0</v>
      </c>
      <c r="K42" s="7">
        <f>SUMIFS(TIMESHEETS!$AO:$AO,TIMESHEETS!$F:$F,K$7,TIMESHEETS!$B:$B,$B42)</f>
        <v>0</v>
      </c>
      <c r="L42" s="7">
        <f>SUMIFS(TIMESHEETS!$AO:$AO,TIMESHEETS!$F:$F,L$7,TIMESHEETS!$B:$B,$B42)</f>
        <v>0</v>
      </c>
      <c r="M42" s="7">
        <f>SUMIFS(TIMESHEETS!$AO:$AO,TIMESHEETS!$F:$F,M$7,TIMESHEETS!$B:$B,$B42)</f>
        <v>0</v>
      </c>
      <c r="N42" s="7">
        <f>SUMIFS(TIMESHEETS!$AO:$AO,TIMESHEETS!$F:$F,N$7,TIMESHEETS!$B:$B,$B42)</f>
        <v>0</v>
      </c>
      <c r="O42" s="7">
        <f>SUMIFS(TIMESHEETS!$AO:$AO,TIMESHEETS!$F:$F,O$7,TIMESHEETS!$B:$B,$B42)</f>
        <v>0</v>
      </c>
      <c r="P42" s="7">
        <f>SUMIFS(TIMESHEETS!$AO:$AO,TIMESHEETS!$F:$F,P$7,TIMESHEETS!$B:$B,$B42)</f>
        <v>0</v>
      </c>
      <c r="Q42" s="7">
        <f>SUMIFS(TIMESHEETS!$AO:$AO,TIMESHEETS!$F:$F,Q$7,TIMESHEETS!$B:$B,$B42)</f>
        <v>0</v>
      </c>
      <c r="R42" s="7">
        <f>SUMIFS(TIMESHEETS!$AO:$AO,TIMESHEETS!$F:$F,R$7,TIMESHEETS!$B:$B,$B42)</f>
        <v>0</v>
      </c>
      <c r="S42" s="7">
        <f>SUMIFS(TIMESHEETS!$AO:$AO,TIMESHEETS!$F:$F,S$7,TIMESHEETS!$B:$B,$B42)</f>
        <v>0</v>
      </c>
      <c r="T42" s="7">
        <f>SUMIFS(TIMESHEETS!$AO:$AO,TIMESHEETS!$F:$F,T$7,TIMESHEETS!$B:$B,$B42)</f>
        <v>0</v>
      </c>
      <c r="U42" s="7">
        <f>SUMIFS(TIMESHEETS!$AO:$AO,TIMESHEETS!$F:$F,U$7,TIMESHEETS!$B:$B,$B42)</f>
        <v>0</v>
      </c>
      <c r="V42" s="7">
        <f>SUMIFS(TIMESHEETS!$AO:$AO,TIMESHEETS!$F:$F,V$7,TIMESHEETS!$B:$B,$B42)</f>
        <v>0</v>
      </c>
      <c r="W42" s="7">
        <f>SUMIFS(TIMESHEETS!$AO:$AO,TIMESHEETS!$F:$F,W$7,TIMESHEETS!$B:$B,$B42)</f>
        <v>0</v>
      </c>
      <c r="X42" s="7">
        <f>SUMIFS(TIMESHEETS!$AO:$AO,TIMESHEETS!$F:$F,X$7,TIMESHEETS!$B:$B,$B42)</f>
        <v>0</v>
      </c>
      <c r="Y42" s="7">
        <f>SUMIFS(TIMESHEETS!$AO:$AO,TIMESHEETS!$F:$F,Y$7,TIMESHEETS!$B:$B,$B42)</f>
        <v>0</v>
      </c>
      <c r="Z42" s="7">
        <f>SUMIFS(TIMESHEETS!$AO:$AO,TIMESHEETS!$F:$F,Z$7,TIMESHEETS!$B:$B,$B42)</f>
        <v>0</v>
      </c>
      <c r="AA42" s="7">
        <f>SUMIFS(TIMESHEETS!$AO:$AO,TIMESHEETS!$F:$F,AA$7,TIMESHEETS!$B:$B,$B42)</f>
        <v>0</v>
      </c>
      <c r="AB42" s="7">
        <f>SUMIFS(TIMESHEETS!$AO:$AO,TIMESHEETS!$F:$F,AB$7,TIMESHEETS!$B:$B,$B42)</f>
        <v>0</v>
      </c>
      <c r="AC42" s="7">
        <f>SUMIFS(TIMESHEETS!$AO:$AO,TIMESHEETS!$F:$F,AC$7,TIMESHEETS!$B:$B,$B42)</f>
        <v>0</v>
      </c>
      <c r="AD42" s="7">
        <f>SUMIFS(TIMESHEETS!$AO:$AO,TIMESHEETS!$F:$F,AD$7,TIMESHEETS!$B:$B,$B42)</f>
        <v>0</v>
      </c>
      <c r="AE42" s="7">
        <f>SUMIFS(TIMESHEETS!$AO:$AO,TIMESHEETS!$F:$F,AE$7,TIMESHEETS!$B:$B,$B42)</f>
        <v>0</v>
      </c>
      <c r="AF42" s="7">
        <f>SUMIFS(TIMESHEETS!$AO:$AO,TIMESHEETS!$F:$F,AF$7,TIMESHEETS!$B:$B,$B42)</f>
        <v>0</v>
      </c>
      <c r="AG42" s="7">
        <f>SUMIFS(TIMESHEETS!$AO:$AO,TIMESHEETS!$F:$F,AG$7,TIMESHEETS!$B:$B,$B42)</f>
        <v>0</v>
      </c>
      <c r="AH42" s="7">
        <f>SUMIFS(TIMESHEETS!$AO:$AO,TIMESHEETS!$F:$F,AH$7,TIMESHEETS!$B:$B,$B42)</f>
        <v>0</v>
      </c>
      <c r="AI42" s="7">
        <f>SUMIFS(TIMESHEETS!$AO:$AO,TIMESHEETS!$F:$F,AI$7,TIMESHEETS!$B:$B,$B42)</f>
        <v>0</v>
      </c>
      <c r="AJ42" s="7">
        <f>SUMIFS(TIMESHEETS!$AO:$AO,TIMESHEETS!$F:$F,AJ$7,TIMESHEETS!$B:$B,$B42)</f>
        <v>0</v>
      </c>
      <c r="AK42" s="4"/>
      <c r="AL42" s="7">
        <f>H42-SUM(J42:AJ42)</f>
        <v>16</v>
      </c>
    </row>
    <row r="43" spans="1:39" ht="15" customHeight="1" x14ac:dyDescent="0.35">
      <c r="A43" s="4"/>
      <c r="B43" s="23"/>
      <c r="C43" s="23"/>
      <c r="D43" s="23"/>
      <c r="E43" s="23"/>
      <c r="F43" s="23"/>
      <c r="G43" s="5"/>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spans="1:39" ht="15" customHeight="1" x14ac:dyDescent="0.35">
      <c r="A44" s="4"/>
      <c r="B44" s="89">
        <v>35884</v>
      </c>
      <c r="C44" s="18"/>
      <c r="D44" s="18"/>
      <c r="E44" s="18"/>
      <c r="F44" s="19"/>
      <c r="G44" s="5"/>
      <c r="H44" s="12">
        <v>232</v>
      </c>
      <c r="I44" s="4"/>
      <c r="J44" s="13">
        <f>SUMIFS(TIMESHEETS!$AQ:$AQ,TIMESHEETS!$F:$F,J$7,TIMESHEETS!$B:$B,$B45)</f>
        <v>24</v>
      </c>
      <c r="K44" s="13">
        <f>SUMIFS(TIMESHEETS!$AQ:$AQ,TIMESHEETS!$F:$F,K$7,TIMESHEETS!$B:$B,$B45)</f>
        <v>8</v>
      </c>
      <c r="L44" s="13">
        <f>SUMIFS(TIMESHEETS!$AQ:$AQ,TIMESHEETS!$F:$F,L$7,TIMESHEETS!$B:$B,$B45)</f>
        <v>24</v>
      </c>
      <c r="M44" s="13">
        <f>SUMIFS(TIMESHEETS!$AQ:$AQ,TIMESHEETS!$F:$F,M$7,TIMESHEETS!$B:$B,$B45)</f>
        <v>0</v>
      </c>
      <c r="N44" s="13">
        <f>SUMIFS(TIMESHEETS!$AQ:$AQ,TIMESHEETS!$F:$F,N$7,TIMESHEETS!$B:$B,$B45)</f>
        <v>8</v>
      </c>
      <c r="O44" s="13">
        <f>SUMIFS(TIMESHEETS!$AQ:$AQ,TIMESHEETS!$F:$F,O$7,TIMESHEETS!$B:$B,$B45)</f>
        <v>8</v>
      </c>
      <c r="P44" s="13">
        <f>SUMIFS(TIMESHEETS!$AQ:$AQ,TIMESHEETS!$F:$F,P$7,TIMESHEETS!$B:$B,$B45)</f>
        <v>0</v>
      </c>
      <c r="Q44" s="13">
        <f>SUMIFS(TIMESHEETS!$AQ:$AQ,TIMESHEETS!$F:$F,Q$7,TIMESHEETS!$B:$B,$B45)</f>
        <v>40</v>
      </c>
      <c r="R44" s="13">
        <f>SUMIFS(TIMESHEETS!$AQ:$AQ,TIMESHEETS!$F:$F,R$7,TIMESHEETS!$B:$B,$B45)</f>
        <v>16</v>
      </c>
      <c r="S44" s="13">
        <f>SUMIFS(TIMESHEETS!$AQ:$AQ,TIMESHEETS!$F:$F,S$7,TIMESHEETS!$B:$B,$B45)</f>
        <v>16</v>
      </c>
      <c r="T44" s="13">
        <f>SUMIFS(TIMESHEETS!$AQ:$AQ,TIMESHEETS!$F:$F,T$7,TIMESHEETS!$B:$B,$B45)</f>
        <v>8</v>
      </c>
      <c r="U44" s="13">
        <f>SUMIFS(TIMESHEETS!$AQ:$AQ,TIMESHEETS!$F:$F,U$7,TIMESHEETS!$B:$B,$B45)</f>
        <v>8</v>
      </c>
      <c r="V44" s="13">
        <f>SUMIFS(TIMESHEETS!$AQ:$AQ,TIMESHEETS!$F:$F,V$7,TIMESHEETS!$B:$B,$B45)</f>
        <v>0</v>
      </c>
      <c r="W44" s="13">
        <f>SUMIFS(TIMESHEETS!$AQ:$AQ,TIMESHEETS!$F:$F,W$7,TIMESHEETS!$B:$B,$B45)</f>
        <v>8</v>
      </c>
      <c r="X44" s="13">
        <f>SUMIFS(TIMESHEETS!$AQ:$AQ,TIMESHEETS!$F:$F,X$7,TIMESHEETS!$B:$B,$B45)</f>
        <v>0</v>
      </c>
      <c r="Y44" s="13">
        <f>SUMIFS(TIMESHEETS!$AQ:$AQ,TIMESHEETS!$F:$F,Y$7,TIMESHEETS!$B:$B,$B45)</f>
        <v>8</v>
      </c>
      <c r="Z44" s="13">
        <f>SUMIFS(TIMESHEETS!$AQ:$AQ,TIMESHEETS!$F:$F,Z$7,TIMESHEETS!$B:$B,$B45)</f>
        <v>16</v>
      </c>
      <c r="AA44" s="13">
        <f>SUMIFS(TIMESHEETS!$AQ:$AQ,TIMESHEETS!$F:$F,AA$7,TIMESHEETS!$B:$B,$B45)</f>
        <v>0</v>
      </c>
      <c r="AB44" s="13">
        <f>SUMIFS(TIMESHEETS!$AQ:$AQ,TIMESHEETS!$F:$F,AB$7,TIMESHEETS!$B:$B,$B45)</f>
        <v>16</v>
      </c>
      <c r="AC44" s="13">
        <f>SUMIFS(TIMESHEETS!$AQ:$AQ,TIMESHEETS!$F:$F,AC$7,TIMESHEETS!$B:$B,$B45)</f>
        <v>0</v>
      </c>
      <c r="AD44" s="13">
        <f>SUMIFS(TIMESHEETS!$AQ:$AQ,TIMESHEETS!$F:$F,AD$7,TIMESHEETS!$B:$B,$B45)</f>
        <v>0</v>
      </c>
      <c r="AE44" s="13">
        <f>SUMIFS(TIMESHEETS!$AQ:$AQ,TIMESHEETS!$F:$F,AE$7,TIMESHEETS!$B:$B,$B45)</f>
        <v>0</v>
      </c>
      <c r="AF44" s="13">
        <f>SUMIFS(TIMESHEETS!$AQ:$AQ,TIMESHEETS!$F:$F,AF$7,TIMESHEETS!$B:$B,$B45)</f>
        <v>0</v>
      </c>
      <c r="AG44" s="13">
        <f>SUMIFS(TIMESHEETS!$AQ:$AQ,TIMESHEETS!$F:$F,AG$7,TIMESHEETS!$B:$B,$B45)</f>
        <v>8</v>
      </c>
      <c r="AH44" s="13">
        <f>SUMIFS(TIMESHEETS!$AQ:$AQ,TIMESHEETS!$F:$F,AH$7,TIMESHEETS!$B:$B,$B45)</f>
        <v>0</v>
      </c>
      <c r="AI44" s="13">
        <f>SUMIFS(TIMESHEETS!$AQ:$AQ,TIMESHEETS!$F:$F,AI$7,TIMESHEETS!$B:$B,$B45)</f>
        <v>8</v>
      </c>
      <c r="AJ44" s="13">
        <f>SUMIFS(TIMESHEETS!$AQ:$AQ,TIMESHEETS!$F:$F,AJ$7,TIMESHEETS!$B:$B,$B45)</f>
        <v>8</v>
      </c>
      <c r="AK44" s="4"/>
      <c r="AL44" s="13">
        <f>H44-SUM(J44:AJ44)</f>
        <v>0</v>
      </c>
      <c r="AM44" s="139">
        <f>AL44/8</f>
        <v>0</v>
      </c>
    </row>
    <row r="45" spans="1:39" ht="15" customHeight="1" x14ac:dyDescent="0.35">
      <c r="A45" s="4"/>
      <c r="B45" s="30" t="s">
        <v>50</v>
      </c>
      <c r="C45" s="21"/>
      <c r="D45" s="21"/>
      <c r="E45" s="21"/>
      <c r="F45" s="22"/>
      <c r="G45" s="5"/>
      <c r="H45" s="6">
        <v>16</v>
      </c>
      <c r="I45" s="4"/>
      <c r="J45" s="7">
        <f>SUMIFS(TIMESHEETS!$AO:$AO,TIMESHEETS!$F:$F,J$7,TIMESHEETS!$B:$B,$B45)</f>
        <v>0</v>
      </c>
      <c r="K45" s="7">
        <f>SUMIFS(TIMESHEETS!$AO:$AO,TIMESHEETS!$F:$F,K$7,TIMESHEETS!$B:$B,$B45)</f>
        <v>0</v>
      </c>
      <c r="L45" s="7">
        <f>SUMIFS(TIMESHEETS!$AO:$AO,TIMESHEETS!$F:$F,L$7,TIMESHEETS!$B:$B,$B45)</f>
        <v>0</v>
      </c>
      <c r="M45" s="7">
        <f>SUMIFS(TIMESHEETS!$AO:$AO,TIMESHEETS!$F:$F,M$7,TIMESHEETS!$B:$B,$B45)</f>
        <v>16</v>
      </c>
      <c r="N45" s="7">
        <f>SUMIFS(TIMESHEETS!$AO:$AO,TIMESHEETS!$F:$F,N$7,TIMESHEETS!$B:$B,$B45)</f>
        <v>0</v>
      </c>
      <c r="O45" s="7">
        <f>SUMIFS(TIMESHEETS!$AO:$AO,TIMESHEETS!$F:$F,O$7,TIMESHEETS!$B:$B,$B45)</f>
        <v>0</v>
      </c>
      <c r="P45" s="7">
        <f>SUMIFS(TIMESHEETS!$AO:$AO,TIMESHEETS!$F:$F,P$7,TIMESHEETS!$B:$B,$B45)</f>
        <v>0</v>
      </c>
      <c r="Q45" s="7">
        <f>SUMIFS(TIMESHEETS!$AO:$AO,TIMESHEETS!$F:$F,Q$7,TIMESHEETS!$B:$B,$B45)</f>
        <v>0</v>
      </c>
      <c r="R45" s="7">
        <f>SUMIFS(TIMESHEETS!$AO:$AO,TIMESHEETS!$F:$F,R$7,TIMESHEETS!$B:$B,$B45)</f>
        <v>0</v>
      </c>
      <c r="S45" s="7">
        <f>SUMIFS(TIMESHEETS!$AO:$AO,TIMESHEETS!$F:$F,S$7,TIMESHEETS!$B:$B,$B45)</f>
        <v>0</v>
      </c>
      <c r="T45" s="7">
        <f>SUMIFS(TIMESHEETS!$AO:$AO,TIMESHEETS!$F:$F,T$7,TIMESHEETS!$B:$B,$B45)</f>
        <v>0</v>
      </c>
      <c r="U45" s="7">
        <f>SUMIFS(TIMESHEETS!$AO:$AO,TIMESHEETS!$F:$F,U$7,TIMESHEETS!$B:$B,$B45)</f>
        <v>0</v>
      </c>
      <c r="V45" s="7">
        <f>SUMIFS(TIMESHEETS!$AO:$AO,TIMESHEETS!$F:$F,V$7,TIMESHEETS!$B:$B,$B45)</f>
        <v>0</v>
      </c>
      <c r="W45" s="7">
        <f>SUMIFS(TIMESHEETS!$AO:$AO,TIMESHEETS!$F:$F,W$7,TIMESHEETS!$B:$B,$B45)</f>
        <v>0</v>
      </c>
      <c r="X45" s="7">
        <f>SUMIFS(TIMESHEETS!$AO:$AO,TIMESHEETS!$F:$F,X$7,TIMESHEETS!$B:$B,$B45)</f>
        <v>0</v>
      </c>
      <c r="Y45" s="7">
        <f>SUMIFS(TIMESHEETS!$AO:$AO,TIMESHEETS!$F:$F,Y$7,TIMESHEETS!$B:$B,$B45)</f>
        <v>0</v>
      </c>
      <c r="Z45" s="7">
        <f>SUMIFS(TIMESHEETS!$AO:$AO,TIMESHEETS!$F:$F,Z$7,TIMESHEETS!$B:$B,$B45)</f>
        <v>0</v>
      </c>
      <c r="AA45" s="7">
        <f>SUMIFS(TIMESHEETS!$AO:$AO,TIMESHEETS!$F:$F,AA$7,TIMESHEETS!$B:$B,$B45)</f>
        <v>0</v>
      </c>
      <c r="AB45" s="7">
        <f>SUMIFS(TIMESHEETS!$AO:$AO,TIMESHEETS!$F:$F,AB$7,TIMESHEETS!$B:$B,$B45)</f>
        <v>0</v>
      </c>
      <c r="AC45" s="7">
        <f>SUMIFS(TIMESHEETS!$AO:$AO,TIMESHEETS!$F:$F,AC$7,TIMESHEETS!$B:$B,$B45)</f>
        <v>0</v>
      </c>
      <c r="AD45" s="7">
        <f>SUMIFS(TIMESHEETS!$AO:$AO,TIMESHEETS!$F:$F,AD$7,TIMESHEETS!$B:$B,$B45)</f>
        <v>0</v>
      </c>
      <c r="AE45" s="7">
        <f>SUMIFS(TIMESHEETS!$AO:$AO,TIMESHEETS!$F:$F,AE$7,TIMESHEETS!$B:$B,$B45)</f>
        <v>0</v>
      </c>
      <c r="AF45" s="7">
        <f>SUMIFS(TIMESHEETS!$AO:$AO,TIMESHEETS!$F:$F,AF$7,TIMESHEETS!$B:$B,$B45)</f>
        <v>0</v>
      </c>
      <c r="AG45" s="7">
        <f>SUMIFS(TIMESHEETS!$AO:$AO,TIMESHEETS!$F:$F,AG$7,TIMESHEETS!$B:$B,$B45)</f>
        <v>0</v>
      </c>
      <c r="AH45" s="7">
        <f>SUMIFS(TIMESHEETS!$AO:$AO,TIMESHEETS!$F:$F,AH$7,TIMESHEETS!$B:$B,$B45)</f>
        <v>0</v>
      </c>
      <c r="AI45" s="7">
        <f>SUMIFS(TIMESHEETS!$AO:$AO,TIMESHEETS!$F:$F,AI$7,TIMESHEETS!$B:$B,$B45)</f>
        <v>0</v>
      </c>
      <c r="AJ45" s="7">
        <f>SUMIFS(TIMESHEETS!$AO:$AO,TIMESHEETS!$F:$F,AJ$7,TIMESHEETS!$B:$B,$B45)</f>
        <v>0</v>
      </c>
      <c r="AK45" s="4"/>
      <c r="AL45" s="7">
        <f>H45-SUM(J45:AJ45)</f>
        <v>0</v>
      </c>
    </row>
    <row r="46" spans="1:39" ht="15" customHeight="1" x14ac:dyDescent="0.35">
      <c r="A46" s="4"/>
      <c r="B46" s="23"/>
      <c r="C46" s="23"/>
      <c r="D46" s="23"/>
      <c r="E46" s="23"/>
      <c r="F46" s="23"/>
      <c r="G46" s="5"/>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spans="1:39" ht="15" customHeight="1" x14ac:dyDescent="0.35">
      <c r="A47" s="4"/>
      <c r="B47" s="89"/>
      <c r="C47" s="18"/>
      <c r="D47" s="18"/>
      <c r="E47" s="18"/>
      <c r="F47" s="19"/>
      <c r="G47" s="5"/>
      <c r="H47" s="12">
        <v>0</v>
      </c>
      <c r="I47" s="4"/>
      <c r="J47" s="13">
        <f>SUMIFS(TIMESHEETS!$AQ:$AQ,TIMESHEETS!$F:$F,J$7,TIMESHEETS!$B:$B,$B48)</f>
        <v>0</v>
      </c>
      <c r="K47" s="13">
        <f>SUMIFS(TIMESHEETS!$AQ:$AQ,TIMESHEETS!$F:$F,K$7,TIMESHEETS!$B:$B,$B48)</f>
        <v>0</v>
      </c>
      <c r="L47" s="13">
        <f>SUMIFS(TIMESHEETS!$AQ:$AQ,TIMESHEETS!$F:$F,L$7,TIMESHEETS!$B:$B,$B48)</f>
        <v>0</v>
      </c>
      <c r="M47" s="13">
        <f>SUMIFS(TIMESHEETS!$AQ:$AQ,TIMESHEETS!$F:$F,M$7,TIMESHEETS!$B:$B,$B48)</f>
        <v>0</v>
      </c>
      <c r="N47" s="13">
        <f>SUMIFS(TIMESHEETS!$AQ:$AQ,TIMESHEETS!$F:$F,N$7,TIMESHEETS!$B:$B,$B48)</f>
        <v>0</v>
      </c>
      <c r="O47" s="13">
        <f>SUMIFS(TIMESHEETS!$AQ:$AQ,TIMESHEETS!$F:$F,O$7,TIMESHEETS!$B:$B,$B48)</f>
        <v>0</v>
      </c>
      <c r="P47" s="13">
        <f>SUMIFS(TIMESHEETS!$AQ:$AQ,TIMESHEETS!$F:$F,P$7,TIMESHEETS!$B:$B,$B48)</f>
        <v>0</v>
      </c>
      <c r="Q47" s="13">
        <f>SUMIFS(TIMESHEETS!$AQ:$AQ,TIMESHEETS!$F:$F,Q$7,TIMESHEETS!$B:$B,$B48)</f>
        <v>0</v>
      </c>
      <c r="R47" s="13">
        <f>SUMIFS(TIMESHEETS!$AQ:$AQ,TIMESHEETS!$F:$F,R$7,TIMESHEETS!$B:$B,$B48)</f>
        <v>0</v>
      </c>
      <c r="S47" s="13">
        <f>SUMIFS(TIMESHEETS!$AQ:$AQ,TIMESHEETS!$F:$F,S$7,TIMESHEETS!$B:$B,$B48)</f>
        <v>0</v>
      </c>
      <c r="T47" s="13">
        <f>SUMIFS(TIMESHEETS!$AQ:$AQ,TIMESHEETS!$F:$F,T$7,TIMESHEETS!$B:$B,$B48)</f>
        <v>0</v>
      </c>
      <c r="U47" s="13">
        <f>SUMIFS(TIMESHEETS!$AQ:$AQ,TIMESHEETS!$F:$F,U$7,TIMESHEETS!$B:$B,$B48)</f>
        <v>0</v>
      </c>
      <c r="V47" s="13">
        <f>SUMIFS(TIMESHEETS!$AQ:$AQ,TIMESHEETS!$F:$F,V$7,TIMESHEETS!$B:$B,$B48)</f>
        <v>0</v>
      </c>
      <c r="W47" s="13">
        <f>SUMIFS(TIMESHEETS!$AQ:$AQ,TIMESHEETS!$F:$F,W$7,TIMESHEETS!$B:$B,$B48)</f>
        <v>0</v>
      </c>
      <c r="X47" s="13">
        <f>SUMIFS(TIMESHEETS!$AQ:$AQ,TIMESHEETS!$F:$F,X$7,TIMESHEETS!$B:$B,$B48)</f>
        <v>0</v>
      </c>
      <c r="Y47" s="13">
        <f>SUMIFS(TIMESHEETS!$AQ:$AQ,TIMESHEETS!$F:$F,Y$7,TIMESHEETS!$B:$B,$B48)</f>
        <v>0</v>
      </c>
      <c r="Z47" s="13">
        <f>SUMIFS(TIMESHEETS!$AQ:$AQ,TIMESHEETS!$F:$F,Z$7,TIMESHEETS!$B:$B,$B48)</f>
        <v>0</v>
      </c>
      <c r="AA47" s="13">
        <f>SUMIFS(TIMESHEETS!$AQ:$AQ,TIMESHEETS!$F:$F,AA$7,TIMESHEETS!$B:$B,$B48)</f>
        <v>0</v>
      </c>
      <c r="AB47" s="13">
        <f>SUMIFS(TIMESHEETS!$AQ:$AQ,TIMESHEETS!$F:$F,AB$7,TIMESHEETS!$B:$B,$B48)</f>
        <v>0</v>
      </c>
      <c r="AC47" s="13">
        <f>SUMIFS(TIMESHEETS!$AQ:$AQ,TIMESHEETS!$F:$F,AC$7,TIMESHEETS!$B:$B,$B48)</f>
        <v>0</v>
      </c>
      <c r="AD47" s="13">
        <f>SUMIFS(TIMESHEETS!$AQ:$AQ,TIMESHEETS!$F:$F,AD$7,TIMESHEETS!$B:$B,$B48)</f>
        <v>0</v>
      </c>
      <c r="AE47" s="13">
        <f>SUMIFS(TIMESHEETS!$AQ:$AQ,TIMESHEETS!$F:$F,AE$7,TIMESHEETS!$B:$B,$B48)</f>
        <v>0</v>
      </c>
      <c r="AF47" s="13">
        <f>SUMIFS(TIMESHEETS!$AQ:$AQ,TIMESHEETS!$F:$F,AF$7,TIMESHEETS!$B:$B,$B48)</f>
        <v>0</v>
      </c>
      <c r="AG47" s="13">
        <f>SUMIFS(TIMESHEETS!$AQ:$AQ,TIMESHEETS!$F:$F,AG$7,TIMESHEETS!$B:$B,$B48)</f>
        <v>0</v>
      </c>
      <c r="AH47" s="13">
        <f>SUMIFS(TIMESHEETS!$AQ:$AQ,TIMESHEETS!$F:$F,AH$7,TIMESHEETS!$B:$B,$B48)</f>
        <v>0</v>
      </c>
      <c r="AI47" s="13">
        <f>SUMIFS(TIMESHEETS!$AQ:$AQ,TIMESHEETS!$F:$F,AI$7,TIMESHEETS!$B:$B,$B48)</f>
        <v>0</v>
      </c>
      <c r="AJ47" s="13">
        <f>SUMIFS(TIMESHEETS!$AQ:$AQ,TIMESHEETS!$F:$F,AJ$7,TIMESHEETS!$B:$B,$B48)</f>
        <v>0</v>
      </c>
      <c r="AK47" s="4"/>
      <c r="AL47" s="13">
        <f>H47-SUM(J47:AJ47)</f>
        <v>0</v>
      </c>
      <c r="AM47" s="139">
        <f>AL47/8</f>
        <v>0</v>
      </c>
    </row>
    <row r="48" spans="1:39" ht="15" customHeight="1" x14ac:dyDescent="0.35">
      <c r="A48" s="4"/>
      <c r="B48" s="30"/>
      <c r="C48" s="21"/>
      <c r="D48" s="21"/>
      <c r="E48" s="21"/>
      <c r="F48" s="22"/>
      <c r="G48" s="5"/>
      <c r="H48" s="6">
        <v>0</v>
      </c>
      <c r="I48" s="4"/>
      <c r="J48" s="7">
        <f>SUMIFS(TIMESHEETS!$AO:$AO,TIMESHEETS!$F:$F,J$7,TIMESHEETS!$B:$B,$B48)</f>
        <v>0</v>
      </c>
      <c r="K48" s="7">
        <f>SUMIFS(TIMESHEETS!$AO:$AO,TIMESHEETS!$F:$F,K$7,TIMESHEETS!$B:$B,$B48)</f>
        <v>0</v>
      </c>
      <c r="L48" s="7">
        <f>SUMIFS(TIMESHEETS!$AO:$AO,TIMESHEETS!$F:$F,L$7,TIMESHEETS!$B:$B,$B48)</f>
        <v>0</v>
      </c>
      <c r="M48" s="7">
        <f>SUMIFS(TIMESHEETS!$AO:$AO,TIMESHEETS!$F:$F,M$7,TIMESHEETS!$B:$B,$B48)</f>
        <v>0</v>
      </c>
      <c r="N48" s="7">
        <f>SUMIFS(TIMESHEETS!$AO:$AO,TIMESHEETS!$F:$F,N$7,TIMESHEETS!$B:$B,$B48)</f>
        <v>0</v>
      </c>
      <c r="O48" s="7">
        <f>SUMIFS(TIMESHEETS!$AO:$AO,TIMESHEETS!$F:$F,O$7,TIMESHEETS!$B:$B,$B48)</f>
        <v>0</v>
      </c>
      <c r="P48" s="7">
        <f>SUMIFS(TIMESHEETS!$AO:$AO,TIMESHEETS!$F:$F,P$7,TIMESHEETS!$B:$B,$B48)</f>
        <v>0</v>
      </c>
      <c r="Q48" s="7">
        <f>SUMIFS(TIMESHEETS!$AO:$AO,TIMESHEETS!$F:$F,Q$7,TIMESHEETS!$B:$B,$B48)</f>
        <v>0</v>
      </c>
      <c r="R48" s="7">
        <f>SUMIFS(TIMESHEETS!$AO:$AO,TIMESHEETS!$F:$F,R$7,TIMESHEETS!$B:$B,$B48)</f>
        <v>0</v>
      </c>
      <c r="S48" s="7">
        <f>SUMIFS(TIMESHEETS!$AO:$AO,TIMESHEETS!$F:$F,S$7,TIMESHEETS!$B:$B,$B48)</f>
        <v>0</v>
      </c>
      <c r="T48" s="7">
        <f>SUMIFS(TIMESHEETS!$AO:$AO,TIMESHEETS!$F:$F,T$7,TIMESHEETS!$B:$B,$B48)</f>
        <v>0</v>
      </c>
      <c r="U48" s="7">
        <f>SUMIFS(TIMESHEETS!$AO:$AO,TIMESHEETS!$F:$F,U$7,TIMESHEETS!$B:$B,$B48)</f>
        <v>0</v>
      </c>
      <c r="V48" s="7">
        <f>SUMIFS(TIMESHEETS!$AO:$AO,TIMESHEETS!$F:$F,V$7,TIMESHEETS!$B:$B,$B48)</f>
        <v>0</v>
      </c>
      <c r="W48" s="7">
        <f>SUMIFS(TIMESHEETS!$AO:$AO,TIMESHEETS!$F:$F,W$7,TIMESHEETS!$B:$B,$B48)</f>
        <v>0</v>
      </c>
      <c r="X48" s="7">
        <f>SUMIFS(TIMESHEETS!$AO:$AO,TIMESHEETS!$F:$F,X$7,TIMESHEETS!$B:$B,$B48)</f>
        <v>0</v>
      </c>
      <c r="Y48" s="7">
        <f>SUMIFS(TIMESHEETS!$AO:$AO,TIMESHEETS!$F:$F,Y$7,TIMESHEETS!$B:$B,$B48)</f>
        <v>0</v>
      </c>
      <c r="Z48" s="7">
        <f>SUMIFS(TIMESHEETS!$AO:$AO,TIMESHEETS!$F:$F,Z$7,TIMESHEETS!$B:$B,$B48)</f>
        <v>0</v>
      </c>
      <c r="AA48" s="7">
        <f>SUMIFS(TIMESHEETS!$AO:$AO,TIMESHEETS!$F:$F,AA$7,TIMESHEETS!$B:$B,$B48)</f>
        <v>0</v>
      </c>
      <c r="AB48" s="7">
        <f>SUMIFS(TIMESHEETS!$AO:$AO,TIMESHEETS!$F:$F,AB$7,TIMESHEETS!$B:$B,$B48)</f>
        <v>0</v>
      </c>
      <c r="AC48" s="7">
        <f>SUMIFS(TIMESHEETS!$AO:$AO,TIMESHEETS!$F:$F,AC$7,TIMESHEETS!$B:$B,$B48)</f>
        <v>0</v>
      </c>
      <c r="AD48" s="7">
        <f>SUMIFS(TIMESHEETS!$AO:$AO,TIMESHEETS!$F:$F,AD$7,TIMESHEETS!$B:$B,$B48)</f>
        <v>0</v>
      </c>
      <c r="AE48" s="7">
        <f>SUMIFS(TIMESHEETS!$AO:$AO,TIMESHEETS!$F:$F,AE$7,TIMESHEETS!$B:$B,$B48)</f>
        <v>0</v>
      </c>
      <c r="AF48" s="7">
        <f>SUMIFS(TIMESHEETS!$AO:$AO,TIMESHEETS!$F:$F,AF$7,TIMESHEETS!$B:$B,$B48)</f>
        <v>0</v>
      </c>
      <c r="AG48" s="7">
        <f>SUMIFS(TIMESHEETS!$AO:$AO,TIMESHEETS!$F:$F,AG$7,TIMESHEETS!$B:$B,$B48)</f>
        <v>0</v>
      </c>
      <c r="AH48" s="7">
        <f>SUMIFS(TIMESHEETS!$AO:$AO,TIMESHEETS!$F:$F,AH$7,TIMESHEETS!$B:$B,$B48)</f>
        <v>0</v>
      </c>
      <c r="AI48" s="7">
        <f>SUMIFS(TIMESHEETS!$AO:$AO,TIMESHEETS!$F:$F,AI$7,TIMESHEETS!$B:$B,$B48)</f>
        <v>0</v>
      </c>
      <c r="AJ48" s="7">
        <f>SUMIFS(TIMESHEETS!$AO:$AO,TIMESHEETS!$F:$F,AJ$7,TIMESHEETS!$B:$B,$B48)</f>
        <v>0</v>
      </c>
      <c r="AK48" s="4"/>
      <c r="AL48" s="7">
        <f>H48-SUM(J48:AJ48)</f>
        <v>0</v>
      </c>
    </row>
    <row r="49" spans="1:39" ht="15" customHeight="1" x14ac:dyDescent="0.35">
      <c r="A49" s="4"/>
      <c r="B49" s="23"/>
      <c r="C49" s="23"/>
      <c r="D49" s="23"/>
      <c r="E49" s="23"/>
      <c r="F49" s="23"/>
      <c r="G49" s="5"/>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row>
    <row r="50" spans="1:39" ht="15" customHeight="1" x14ac:dyDescent="0.35">
      <c r="A50" s="4"/>
      <c r="B50" s="89">
        <v>41204</v>
      </c>
      <c r="C50" s="18"/>
      <c r="D50" s="18"/>
      <c r="E50" s="18"/>
      <c r="F50" s="19"/>
      <c r="G50" s="5"/>
      <c r="H50" s="12">
        <v>160</v>
      </c>
      <c r="I50" s="4"/>
      <c r="J50" s="13">
        <f>SUMIFS(TIMESHEETS!$AQ:$AQ,TIMESHEETS!$F:$F,J$7,TIMESHEETS!$B:$B,$B51)</f>
        <v>0</v>
      </c>
      <c r="K50" s="13">
        <f>SUMIFS(TIMESHEETS!$AQ:$AQ,TIMESHEETS!$F:$F,K$7,TIMESHEETS!$B:$B,$B51)</f>
        <v>0</v>
      </c>
      <c r="L50" s="13">
        <f>SUMIFS(TIMESHEETS!$AQ:$AQ,TIMESHEETS!$F:$F,L$7,TIMESHEETS!$B:$B,$B51)</f>
        <v>0</v>
      </c>
      <c r="M50" s="13">
        <f>SUMIFS(TIMESHEETS!$AQ:$AQ,TIMESHEETS!$F:$F,M$7,TIMESHEETS!$B:$B,$B51)</f>
        <v>0</v>
      </c>
      <c r="N50" s="13">
        <f>SUMIFS(TIMESHEETS!$AQ:$AQ,TIMESHEETS!$F:$F,N$7,TIMESHEETS!$B:$B,$B51)</f>
        <v>0</v>
      </c>
      <c r="O50" s="13">
        <f>SUMIFS(TIMESHEETS!$AQ:$AQ,TIMESHEETS!$F:$F,O$7,TIMESHEETS!$B:$B,$B51)</f>
        <v>0</v>
      </c>
      <c r="P50" s="13">
        <f>SUMIFS(TIMESHEETS!$AQ:$AQ,TIMESHEETS!$F:$F,P$7,TIMESHEETS!$B:$B,$B51)</f>
        <v>80</v>
      </c>
      <c r="Q50" s="13">
        <f>SUMIFS(TIMESHEETS!$AQ:$AQ,TIMESHEETS!$F:$F,Q$7,TIMESHEETS!$B:$B,$B51)</f>
        <v>0</v>
      </c>
      <c r="R50" s="13">
        <f>SUMIFS(TIMESHEETS!$AQ:$AQ,TIMESHEETS!$F:$F,R$7,TIMESHEETS!$B:$B,$B51)</f>
        <v>0</v>
      </c>
      <c r="S50" s="13">
        <f>SUMIFS(TIMESHEETS!$AQ:$AQ,TIMESHEETS!$F:$F,S$7,TIMESHEETS!$B:$B,$B51)</f>
        <v>0</v>
      </c>
      <c r="T50" s="13">
        <f>SUMIFS(TIMESHEETS!$AQ:$AQ,TIMESHEETS!$F:$F,T$7,TIMESHEETS!$B:$B,$B51)</f>
        <v>0</v>
      </c>
      <c r="U50" s="13">
        <f>SUMIFS(TIMESHEETS!$AQ:$AQ,TIMESHEETS!$F:$F,U$7,TIMESHEETS!$B:$B,$B51)</f>
        <v>0</v>
      </c>
      <c r="V50" s="13">
        <f>SUMIFS(TIMESHEETS!$AQ:$AQ,TIMESHEETS!$F:$F,V$7,TIMESHEETS!$B:$B,$B51)</f>
        <v>40</v>
      </c>
      <c r="W50" s="13">
        <f>SUMIFS(TIMESHEETS!$AQ:$AQ,TIMESHEETS!$F:$F,W$7,TIMESHEETS!$B:$B,$B51)</f>
        <v>0</v>
      </c>
      <c r="X50" s="13">
        <f>SUMIFS(TIMESHEETS!$AQ:$AQ,TIMESHEETS!$F:$F,X$7,TIMESHEETS!$B:$B,$B51)</f>
        <v>0</v>
      </c>
      <c r="Y50" s="13">
        <f>SUMIFS(TIMESHEETS!$AQ:$AQ,TIMESHEETS!$F:$F,Y$7,TIMESHEETS!$B:$B,$B51)</f>
        <v>0</v>
      </c>
      <c r="Z50" s="13">
        <f>SUMIFS(TIMESHEETS!$AQ:$AQ,TIMESHEETS!$F:$F,Z$7,TIMESHEETS!$B:$B,$B51)</f>
        <v>0</v>
      </c>
      <c r="AA50" s="13">
        <f>SUMIFS(TIMESHEETS!$AQ:$AQ,TIMESHEETS!$F:$F,AA$7,TIMESHEETS!$B:$B,$B51)</f>
        <v>0</v>
      </c>
      <c r="AB50" s="13">
        <f>SUMIFS(TIMESHEETS!$AQ:$AQ,TIMESHEETS!$F:$F,AB$7,TIMESHEETS!$B:$B,$B51)</f>
        <v>16</v>
      </c>
      <c r="AC50" s="13">
        <f>SUMIFS(TIMESHEETS!$AQ:$AQ,TIMESHEETS!$F:$F,AC$7,TIMESHEETS!$B:$B,$B51)</f>
        <v>24</v>
      </c>
      <c r="AD50" s="13">
        <f>SUMIFS(TIMESHEETS!$AQ:$AQ,TIMESHEETS!$F:$F,AD$7,TIMESHEETS!$B:$B,$B51)</f>
        <v>0</v>
      </c>
      <c r="AE50" s="13">
        <f>SUMIFS(TIMESHEETS!$AQ:$AQ,TIMESHEETS!$F:$F,AE$7,TIMESHEETS!$B:$B,$B51)</f>
        <v>0</v>
      </c>
      <c r="AF50" s="13">
        <f>SUMIFS(TIMESHEETS!$AQ:$AQ,TIMESHEETS!$F:$F,AF$7,TIMESHEETS!$B:$B,$B51)</f>
        <v>0</v>
      </c>
      <c r="AG50" s="13">
        <f>SUMIFS(TIMESHEETS!$AQ:$AQ,TIMESHEETS!$F:$F,AG$7,TIMESHEETS!$B:$B,$B51)</f>
        <v>0</v>
      </c>
      <c r="AH50" s="13">
        <f>SUMIFS(TIMESHEETS!$AQ:$AQ,TIMESHEETS!$F:$F,AH$7,TIMESHEETS!$B:$B,$B51)</f>
        <v>0</v>
      </c>
      <c r="AI50" s="13">
        <f>SUMIFS(TIMESHEETS!$AQ:$AQ,TIMESHEETS!$F:$F,AI$7,TIMESHEETS!$B:$B,$B51)</f>
        <v>0</v>
      </c>
      <c r="AJ50" s="13">
        <f>SUMIFS(TIMESHEETS!$AQ:$AQ,TIMESHEETS!$F:$F,AJ$7,TIMESHEETS!$B:$B,$B51)</f>
        <v>0</v>
      </c>
      <c r="AK50" s="4"/>
      <c r="AL50" s="13">
        <f>H50-SUM(J50:AJ50)</f>
        <v>0</v>
      </c>
      <c r="AM50" s="139">
        <f>AL50/8</f>
        <v>0</v>
      </c>
    </row>
    <row r="51" spans="1:39" ht="15" customHeight="1" x14ac:dyDescent="0.35">
      <c r="A51" s="4"/>
      <c r="B51" s="30" t="s">
        <v>46</v>
      </c>
      <c r="C51" s="21"/>
      <c r="D51" s="21"/>
      <c r="E51" s="21"/>
      <c r="F51" s="22"/>
      <c r="G51" s="5"/>
      <c r="H51" s="6">
        <v>16</v>
      </c>
      <c r="I51" s="4"/>
      <c r="J51" s="7">
        <f>SUMIFS(TIMESHEETS!$AO:$AO,TIMESHEETS!$F:$F,J$7,TIMESHEETS!$B:$B,$B51)</f>
        <v>0</v>
      </c>
      <c r="K51" s="7">
        <f>SUMIFS(TIMESHEETS!$AO:$AO,TIMESHEETS!$F:$F,K$7,TIMESHEETS!$B:$B,$B51)</f>
        <v>0</v>
      </c>
      <c r="L51" s="7">
        <f>SUMIFS(TIMESHEETS!$AO:$AO,TIMESHEETS!$F:$F,L$7,TIMESHEETS!$B:$B,$B51)</f>
        <v>0</v>
      </c>
      <c r="M51" s="7">
        <f>SUMIFS(TIMESHEETS!$AO:$AO,TIMESHEETS!$F:$F,M$7,TIMESHEETS!$B:$B,$B51)</f>
        <v>0</v>
      </c>
      <c r="N51" s="7">
        <f>SUMIFS(TIMESHEETS!$AO:$AO,TIMESHEETS!$F:$F,N$7,TIMESHEETS!$B:$B,$B51)</f>
        <v>0</v>
      </c>
      <c r="O51" s="7">
        <f>SUMIFS(TIMESHEETS!$AO:$AO,TIMESHEETS!$F:$F,O$7,TIMESHEETS!$B:$B,$B51)</f>
        <v>0</v>
      </c>
      <c r="P51" s="7">
        <f>SUMIFS(TIMESHEETS!$AO:$AO,TIMESHEETS!$F:$F,P$7,TIMESHEETS!$B:$B,$B51)</f>
        <v>0</v>
      </c>
      <c r="Q51" s="7">
        <f>SUMIFS(TIMESHEETS!$AO:$AO,TIMESHEETS!$F:$F,Q$7,TIMESHEETS!$B:$B,$B51)</f>
        <v>0</v>
      </c>
      <c r="R51" s="7">
        <f>SUMIFS(TIMESHEETS!$AO:$AO,TIMESHEETS!$F:$F,R$7,TIMESHEETS!$B:$B,$B51)</f>
        <v>0</v>
      </c>
      <c r="S51" s="7">
        <f>SUMIFS(TIMESHEETS!$AO:$AO,TIMESHEETS!$F:$F,S$7,TIMESHEETS!$B:$B,$B51)</f>
        <v>0</v>
      </c>
      <c r="T51" s="7">
        <f>SUMIFS(TIMESHEETS!$AO:$AO,TIMESHEETS!$F:$F,T$7,TIMESHEETS!$B:$B,$B51)</f>
        <v>0</v>
      </c>
      <c r="U51" s="7">
        <f>SUMIFS(TIMESHEETS!$AO:$AO,TIMESHEETS!$F:$F,U$7,TIMESHEETS!$B:$B,$B51)</f>
        <v>0</v>
      </c>
      <c r="V51" s="7">
        <f>SUMIFS(TIMESHEETS!$AO:$AO,TIMESHEETS!$F:$F,V$7,TIMESHEETS!$B:$B,$B51)</f>
        <v>0</v>
      </c>
      <c r="W51" s="7">
        <f>SUMIFS(TIMESHEETS!$AO:$AO,TIMESHEETS!$F:$F,W$7,TIMESHEETS!$B:$B,$B51)</f>
        <v>0</v>
      </c>
      <c r="X51" s="7">
        <f>SUMIFS(TIMESHEETS!$AO:$AO,TIMESHEETS!$F:$F,X$7,TIMESHEETS!$B:$B,$B51)</f>
        <v>0</v>
      </c>
      <c r="Y51" s="7">
        <f>SUMIFS(TIMESHEETS!$AO:$AO,TIMESHEETS!$F:$F,Y$7,TIMESHEETS!$B:$B,$B51)</f>
        <v>0</v>
      </c>
      <c r="Z51" s="7">
        <f>SUMIFS(TIMESHEETS!$AO:$AO,TIMESHEETS!$F:$F,Z$7,TIMESHEETS!$B:$B,$B51)</f>
        <v>0</v>
      </c>
      <c r="AA51" s="7">
        <f>SUMIFS(TIMESHEETS!$AO:$AO,TIMESHEETS!$F:$F,AA$7,TIMESHEETS!$B:$B,$B51)</f>
        <v>0</v>
      </c>
      <c r="AB51" s="7">
        <f>SUMIFS(TIMESHEETS!$AO:$AO,TIMESHEETS!$F:$F,AB$7,TIMESHEETS!$B:$B,$B51)</f>
        <v>0</v>
      </c>
      <c r="AC51" s="7">
        <f>SUMIFS(TIMESHEETS!$AO:$AO,TIMESHEETS!$F:$F,AC$7,TIMESHEETS!$B:$B,$B51)</f>
        <v>0</v>
      </c>
      <c r="AD51" s="7">
        <f>SUMIFS(TIMESHEETS!$AO:$AO,TIMESHEETS!$F:$F,AD$7,TIMESHEETS!$B:$B,$B51)</f>
        <v>0</v>
      </c>
      <c r="AE51" s="7">
        <f>SUMIFS(TIMESHEETS!$AO:$AO,TIMESHEETS!$F:$F,AE$7,TIMESHEETS!$B:$B,$B51)</f>
        <v>0</v>
      </c>
      <c r="AF51" s="7">
        <f>SUMIFS(TIMESHEETS!$AO:$AO,TIMESHEETS!$F:$F,AF$7,TIMESHEETS!$B:$B,$B51)</f>
        <v>0</v>
      </c>
      <c r="AG51" s="7">
        <f>SUMIFS(TIMESHEETS!$AO:$AO,TIMESHEETS!$F:$F,AG$7,TIMESHEETS!$B:$B,$B51)</f>
        <v>0</v>
      </c>
      <c r="AH51" s="7">
        <f>SUMIFS(TIMESHEETS!$AO:$AO,TIMESHEETS!$F:$F,AH$7,TIMESHEETS!$B:$B,$B51)</f>
        <v>0</v>
      </c>
      <c r="AI51" s="7">
        <f>SUMIFS(TIMESHEETS!$AO:$AO,TIMESHEETS!$F:$F,AI$7,TIMESHEETS!$B:$B,$B51)</f>
        <v>0</v>
      </c>
      <c r="AJ51" s="7">
        <f>SUMIFS(TIMESHEETS!$AO:$AO,TIMESHEETS!$F:$F,AJ$7,TIMESHEETS!$B:$B,$B51)</f>
        <v>0</v>
      </c>
      <c r="AK51" s="4"/>
      <c r="AL51" s="7">
        <f>H51-SUM(J51:AJ51)</f>
        <v>16</v>
      </c>
    </row>
    <row r="52" spans="1:39" ht="15" customHeight="1" x14ac:dyDescent="0.35">
      <c r="A52" s="4"/>
      <c r="B52" s="23"/>
      <c r="C52" s="23"/>
      <c r="D52" s="23"/>
      <c r="E52" s="11"/>
      <c r="F52" s="4"/>
      <c r="G52" s="5"/>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row>
    <row r="53" spans="1:39" ht="15" customHeight="1" x14ac:dyDescent="0.35">
      <c r="A53" s="4"/>
      <c r="B53" s="89">
        <v>34486</v>
      </c>
      <c r="C53" s="18"/>
      <c r="D53" s="18"/>
      <c r="E53" s="18"/>
      <c r="F53" s="19"/>
      <c r="G53" s="5"/>
      <c r="H53" s="12">
        <v>200</v>
      </c>
      <c r="I53" s="4"/>
      <c r="J53" s="13">
        <f>SUMIFS(TIMESHEETS!$AQ:$AQ,TIMESHEETS!$F:$F,J$7,TIMESHEETS!$B:$B,$B54)</f>
        <v>0</v>
      </c>
      <c r="K53" s="13">
        <f>SUMIFS(TIMESHEETS!$AQ:$AQ,TIMESHEETS!$F:$F,K$7,TIMESHEETS!$B:$B,$B54)</f>
        <v>8</v>
      </c>
      <c r="L53" s="13">
        <f>SUMIFS(TIMESHEETS!$AQ:$AQ,TIMESHEETS!$F:$F,L$7,TIMESHEETS!$B:$B,$B54)</f>
        <v>16</v>
      </c>
      <c r="M53" s="13">
        <f>SUMIFS(TIMESHEETS!$AQ:$AQ,TIMESHEETS!$F:$F,M$7,TIMESHEETS!$B:$B,$B54)</f>
        <v>16</v>
      </c>
      <c r="N53" s="13">
        <f>SUMIFS(TIMESHEETS!$AQ:$AQ,TIMESHEETS!$F:$F,N$7,TIMESHEETS!$B:$B,$B54)</f>
        <v>8</v>
      </c>
      <c r="O53" s="13">
        <f>SUMIFS(TIMESHEETS!$AQ:$AQ,TIMESHEETS!$F:$F,O$7,TIMESHEETS!$B:$B,$B54)</f>
        <v>16</v>
      </c>
      <c r="P53" s="13">
        <f>SUMIFS(TIMESHEETS!$AQ:$AQ,TIMESHEETS!$F:$F,P$7,TIMESHEETS!$B:$B,$B54)</f>
        <v>80</v>
      </c>
      <c r="Q53" s="13">
        <f>SUMIFS(TIMESHEETS!$AQ:$AQ,TIMESHEETS!$F:$F,Q$7,TIMESHEETS!$B:$B,$B54)</f>
        <v>8</v>
      </c>
      <c r="R53" s="13">
        <f>SUMIFS(TIMESHEETS!$AQ:$AQ,TIMESHEETS!$F:$F,R$7,TIMESHEETS!$B:$B,$B54)</f>
        <v>0</v>
      </c>
      <c r="S53" s="13">
        <f>SUMIFS(TIMESHEETS!$AQ:$AQ,TIMESHEETS!$F:$F,S$7,TIMESHEETS!$B:$B,$B54)</f>
        <v>8</v>
      </c>
      <c r="T53" s="13">
        <f>SUMIFS(TIMESHEETS!$AQ:$AQ,TIMESHEETS!$F:$F,T$7,TIMESHEETS!$B:$B,$B54)</f>
        <v>0</v>
      </c>
      <c r="U53" s="13">
        <f>SUMIFS(TIMESHEETS!$AQ:$AQ,TIMESHEETS!$F:$F,U$7,TIMESHEETS!$B:$B,$B54)</f>
        <v>0</v>
      </c>
      <c r="V53" s="13">
        <f>SUMIFS(TIMESHEETS!$AQ:$AQ,TIMESHEETS!$F:$F,V$7,TIMESHEETS!$B:$B,$B54)</f>
        <v>0</v>
      </c>
      <c r="W53" s="13">
        <f>SUMIFS(TIMESHEETS!$AQ:$AQ,TIMESHEETS!$F:$F,W$7,TIMESHEETS!$B:$B,$B54)</f>
        <v>0</v>
      </c>
      <c r="X53" s="13">
        <f>SUMIFS(TIMESHEETS!$AQ:$AQ,TIMESHEETS!$F:$F,X$7,TIMESHEETS!$B:$B,$B54)</f>
        <v>0</v>
      </c>
      <c r="Y53" s="13">
        <f>SUMIFS(TIMESHEETS!$AQ:$AQ,TIMESHEETS!$F:$F,Y$7,TIMESHEETS!$B:$B,$B54)</f>
        <v>0</v>
      </c>
      <c r="Z53" s="13">
        <f>SUMIFS(TIMESHEETS!$AQ:$AQ,TIMESHEETS!$F:$F,Z$7,TIMESHEETS!$B:$B,$B54)</f>
        <v>0</v>
      </c>
      <c r="AA53" s="13">
        <f>SUMIFS(TIMESHEETS!$AQ:$AQ,TIMESHEETS!$F:$F,AA$7,TIMESHEETS!$B:$B,$B54)</f>
        <v>0</v>
      </c>
      <c r="AB53" s="13">
        <f>SUMIFS(TIMESHEETS!$AQ:$AQ,TIMESHEETS!$F:$F,AB$7,TIMESHEETS!$B:$B,$B54)</f>
        <v>16</v>
      </c>
      <c r="AC53" s="13">
        <f>SUMIFS(TIMESHEETS!$AQ:$AQ,TIMESHEETS!$F:$F,AC$7,TIMESHEETS!$B:$B,$B54)</f>
        <v>24</v>
      </c>
      <c r="AD53" s="13">
        <f>SUMIFS(TIMESHEETS!$AQ:$AQ,TIMESHEETS!$F:$F,AD$7,TIMESHEETS!$B:$B,$B54)</f>
        <v>0</v>
      </c>
      <c r="AE53" s="13">
        <f>SUMIFS(TIMESHEETS!$AQ:$AQ,TIMESHEETS!$F:$F,AE$7,TIMESHEETS!$B:$B,$B54)</f>
        <v>0</v>
      </c>
      <c r="AF53" s="13">
        <f>SUMIFS(TIMESHEETS!$AQ:$AQ,TIMESHEETS!$F:$F,AF$7,TIMESHEETS!$B:$B,$B54)</f>
        <v>0</v>
      </c>
      <c r="AG53" s="13">
        <f>SUMIFS(TIMESHEETS!$AQ:$AQ,TIMESHEETS!$F:$F,AG$7,TIMESHEETS!$B:$B,$B54)</f>
        <v>0</v>
      </c>
      <c r="AH53" s="13">
        <f>SUMIFS(TIMESHEETS!$AQ:$AQ,TIMESHEETS!$F:$F,AH$7,TIMESHEETS!$B:$B,$B54)</f>
        <v>0</v>
      </c>
      <c r="AI53" s="13">
        <f>SUMIFS(TIMESHEETS!$AQ:$AQ,TIMESHEETS!$F:$F,AI$7,TIMESHEETS!$B:$B,$B54)</f>
        <v>0</v>
      </c>
      <c r="AJ53" s="13">
        <f>SUMIFS(TIMESHEETS!$AQ:$AQ,TIMESHEETS!$F:$F,AJ$7,TIMESHEETS!$B:$B,$B54)</f>
        <v>0</v>
      </c>
      <c r="AK53" s="4"/>
      <c r="AL53" s="13">
        <f>H53-SUM(J53:AJ53)</f>
        <v>0</v>
      </c>
      <c r="AM53" s="139">
        <f>AL53/8</f>
        <v>0</v>
      </c>
    </row>
    <row r="54" spans="1:39" ht="15" customHeight="1" x14ac:dyDescent="0.35">
      <c r="A54" s="4"/>
      <c r="B54" s="30" t="s">
        <v>51</v>
      </c>
      <c r="C54" s="21"/>
      <c r="D54" s="21"/>
      <c r="E54" s="21"/>
      <c r="F54" s="22"/>
      <c r="G54" s="5"/>
      <c r="H54" s="6">
        <v>16</v>
      </c>
      <c r="I54" s="4"/>
      <c r="J54" s="7">
        <f>SUMIFS(TIMESHEETS!$AO:$AO,TIMESHEETS!$F:$F,J$7,TIMESHEETS!$B:$B,$B54)</f>
        <v>0</v>
      </c>
      <c r="K54" s="7">
        <f>SUMIFS(TIMESHEETS!$AO:$AO,TIMESHEETS!$F:$F,K$7,TIMESHEETS!$B:$B,$B54)</f>
        <v>0</v>
      </c>
      <c r="L54" s="7">
        <f>SUMIFS(TIMESHEETS!$AO:$AO,TIMESHEETS!$F:$F,L$7,TIMESHEETS!$B:$B,$B54)</f>
        <v>0</v>
      </c>
      <c r="M54" s="7">
        <f>SUMIFS(TIMESHEETS!$AO:$AO,TIMESHEETS!$F:$F,M$7,TIMESHEETS!$B:$B,$B54)</f>
        <v>0</v>
      </c>
      <c r="N54" s="7">
        <f>SUMIFS(TIMESHEETS!$AO:$AO,TIMESHEETS!$F:$F,N$7,TIMESHEETS!$B:$B,$B54)</f>
        <v>0</v>
      </c>
      <c r="O54" s="7">
        <f>SUMIFS(TIMESHEETS!$AO:$AO,TIMESHEETS!$F:$F,O$7,TIMESHEETS!$B:$B,$B54)</f>
        <v>0</v>
      </c>
      <c r="P54" s="7">
        <f>SUMIFS(TIMESHEETS!$AO:$AO,TIMESHEETS!$F:$F,P$7,TIMESHEETS!$B:$B,$B54)</f>
        <v>0</v>
      </c>
      <c r="Q54" s="7">
        <f>SUMIFS(TIMESHEETS!$AO:$AO,TIMESHEETS!$F:$F,Q$7,TIMESHEETS!$B:$B,$B54)</f>
        <v>0</v>
      </c>
      <c r="R54" s="7">
        <f>SUMIFS(TIMESHEETS!$AO:$AO,TIMESHEETS!$F:$F,R$7,TIMESHEETS!$B:$B,$B54)</f>
        <v>0</v>
      </c>
      <c r="S54" s="7">
        <f>SUMIFS(TIMESHEETS!$AO:$AO,TIMESHEETS!$F:$F,S$7,TIMESHEETS!$B:$B,$B54)</f>
        <v>0</v>
      </c>
      <c r="T54" s="7">
        <f>SUMIFS(TIMESHEETS!$AO:$AO,TIMESHEETS!$F:$F,T$7,TIMESHEETS!$B:$B,$B54)</f>
        <v>8</v>
      </c>
      <c r="U54" s="7">
        <f>SUMIFS(TIMESHEETS!$AO:$AO,TIMESHEETS!$F:$F,U$7,TIMESHEETS!$B:$B,$B54)</f>
        <v>0</v>
      </c>
      <c r="V54" s="7">
        <f>SUMIFS(TIMESHEETS!$AO:$AO,TIMESHEETS!$F:$F,V$7,TIMESHEETS!$B:$B,$B54)</f>
        <v>0</v>
      </c>
      <c r="W54" s="7">
        <f>SUMIFS(TIMESHEETS!$AO:$AO,TIMESHEETS!$F:$F,W$7,TIMESHEETS!$B:$B,$B54)</f>
        <v>0</v>
      </c>
      <c r="X54" s="7">
        <f>SUMIFS(TIMESHEETS!$AO:$AO,TIMESHEETS!$F:$F,X$7,TIMESHEETS!$B:$B,$B54)</f>
        <v>0</v>
      </c>
      <c r="Y54" s="7">
        <f>SUMIFS(TIMESHEETS!$AO:$AO,TIMESHEETS!$F:$F,Y$7,TIMESHEETS!$B:$B,$B54)</f>
        <v>0</v>
      </c>
      <c r="Z54" s="7">
        <f>SUMIFS(TIMESHEETS!$AO:$AO,TIMESHEETS!$F:$F,Z$7,TIMESHEETS!$B:$B,$B54)</f>
        <v>0</v>
      </c>
      <c r="AA54" s="7">
        <f>SUMIFS(TIMESHEETS!$AO:$AO,TIMESHEETS!$F:$F,AA$7,TIMESHEETS!$B:$B,$B54)</f>
        <v>0</v>
      </c>
      <c r="AB54" s="7">
        <f>SUMIFS(TIMESHEETS!$AO:$AO,TIMESHEETS!$F:$F,AB$7,TIMESHEETS!$B:$B,$B54)</f>
        <v>0</v>
      </c>
      <c r="AC54" s="7">
        <f>SUMIFS(TIMESHEETS!$AO:$AO,TIMESHEETS!$F:$F,AC$7,TIMESHEETS!$B:$B,$B54)</f>
        <v>0</v>
      </c>
      <c r="AD54" s="7">
        <f>SUMIFS(TIMESHEETS!$AO:$AO,TIMESHEETS!$F:$F,AD$7,TIMESHEETS!$B:$B,$B54)</f>
        <v>0</v>
      </c>
      <c r="AE54" s="7">
        <f>SUMIFS(TIMESHEETS!$AO:$AO,TIMESHEETS!$F:$F,AE$7,TIMESHEETS!$B:$B,$B54)</f>
        <v>0</v>
      </c>
      <c r="AF54" s="7">
        <f>SUMIFS(TIMESHEETS!$AO:$AO,TIMESHEETS!$F:$F,AF$7,TIMESHEETS!$B:$B,$B54)</f>
        <v>0</v>
      </c>
      <c r="AG54" s="7">
        <f>SUMIFS(TIMESHEETS!$AO:$AO,TIMESHEETS!$F:$F,AG$7,TIMESHEETS!$B:$B,$B54)</f>
        <v>0</v>
      </c>
      <c r="AH54" s="7">
        <f>SUMIFS(TIMESHEETS!$AO:$AO,TIMESHEETS!$F:$F,AH$7,TIMESHEETS!$B:$B,$B54)</f>
        <v>0</v>
      </c>
      <c r="AI54" s="7">
        <f>SUMIFS(TIMESHEETS!$AO:$AO,TIMESHEETS!$F:$F,AI$7,TIMESHEETS!$B:$B,$B54)</f>
        <v>0</v>
      </c>
      <c r="AJ54" s="7">
        <f>SUMIFS(TIMESHEETS!$AO:$AO,TIMESHEETS!$F:$F,AJ$7,TIMESHEETS!$B:$B,$B54)</f>
        <v>0</v>
      </c>
      <c r="AK54" s="4"/>
      <c r="AL54" s="7">
        <f>H54-SUM(J54:AJ54)</f>
        <v>8</v>
      </c>
    </row>
    <row r="55" spans="1:39" ht="15" customHeight="1" x14ac:dyDescent="0.35">
      <c r="A55" s="4"/>
      <c r="B55" s="23"/>
      <c r="C55" s="23"/>
      <c r="D55" s="23"/>
      <c r="E55" s="23"/>
      <c r="F55" s="23"/>
      <c r="G55" s="5"/>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row>
    <row r="56" spans="1:39" ht="15" customHeight="1" x14ac:dyDescent="0.35">
      <c r="A56" s="4"/>
      <c r="B56" s="89"/>
      <c r="C56" s="18"/>
      <c r="D56" s="18"/>
      <c r="E56" s="18"/>
      <c r="F56" s="19"/>
      <c r="G56" s="5"/>
      <c r="H56" s="12">
        <v>0</v>
      </c>
      <c r="I56" s="4"/>
      <c r="J56" s="13">
        <f>SUMIFS(TIMESHEETS!$AQ:$AQ,TIMESHEETS!$F:$F,J$7,TIMESHEETS!$B:$B,$B57)</f>
        <v>0</v>
      </c>
      <c r="K56" s="13">
        <f>SUMIFS(TIMESHEETS!$AQ:$AQ,TIMESHEETS!$F:$F,K$7,TIMESHEETS!$B:$B,$B57)</f>
        <v>0</v>
      </c>
      <c r="L56" s="13">
        <f>SUMIFS(TIMESHEETS!$AQ:$AQ,TIMESHEETS!$F:$F,L$7,TIMESHEETS!$B:$B,$B57)</f>
        <v>0</v>
      </c>
      <c r="M56" s="13">
        <f>SUMIFS(TIMESHEETS!$AQ:$AQ,TIMESHEETS!$F:$F,M$7,TIMESHEETS!$B:$B,$B57)</f>
        <v>0</v>
      </c>
      <c r="N56" s="13">
        <f>SUMIFS(TIMESHEETS!$AQ:$AQ,TIMESHEETS!$F:$F,N$7,TIMESHEETS!$B:$B,$B57)</f>
        <v>0</v>
      </c>
      <c r="O56" s="13">
        <f>SUMIFS(TIMESHEETS!$AQ:$AQ,TIMESHEETS!$F:$F,O$7,TIMESHEETS!$B:$B,$B57)</f>
        <v>0</v>
      </c>
      <c r="P56" s="13">
        <f>SUMIFS(TIMESHEETS!$AQ:$AQ,TIMESHEETS!$F:$F,P$7,TIMESHEETS!$B:$B,$B57)</f>
        <v>0</v>
      </c>
      <c r="Q56" s="13">
        <f>SUMIFS(TIMESHEETS!$AQ:$AQ,TIMESHEETS!$F:$F,Q$7,TIMESHEETS!$B:$B,$B57)</f>
        <v>0</v>
      </c>
      <c r="R56" s="13">
        <f>SUMIFS(TIMESHEETS!$AQ:$AQ,TIMESHEETS!$F:$F,R$7,TIMESHEETS!$B:$B,$B57)</f>
        <v>0</v>
      </c>
      <c r="S56" s="13">
        <f>SUMIFS(TIMESHEETS!$AQ:$AQ,TIMESHEETS!$F:$F,S$7,TIMESHEETS!$B:$B,$B57)</f>
        <v>0</v>
      </c>
      <c r="T56" s="13">
        <f>SUMIFS(TIMESHEETS!$AQ:$AQ,TIMESHEETS!$F:$F,T$7,TIMESHEETS!$B:$B,$B57)</f>
        <v>0</v>
      </c>
      <c r="U56" s="13">
        <f>SUMIFS(TIMESHEETS!$AQ:$AQ,TIMESHEETS!$F:$F,U$7,TIMESHEETS!$B:$B,$B57)</f>
        <v>0</v>
      </c>
      <c r="V56" s="13">
        <f>SUMIFS(TIMESHEETS!$AQ:$AQ,TIMESHEETS!$F:$F,V$7,TIMESHEETS!$B:$B,$B57)</f>
        <v>0</v>
      </c>
      <c r="W56" s="13">
        <f>SUMIFS(TIMESHEETS!$AQ:$AQ,TIMESHEETS!$F:$F,W$7,TIMESHEETS!$B:$B,$B57)</f>
        <v>0</v>
      </c>
      <c r="X56" s="13">
        <f>SUMIFS(TIMESHEETS!$AQ:$AQ,TIMESHEETS!$F:$F,X$7,TIMESHEETS!$B:$B,$B57)</f>
        <v>0</v>
      </c>
      <c r="Y56" s="13">
        <f>SUMIFS(TIMESHEETS!$AQ:$AQ,TIMESHEETS!$F:$F,Y$7,TIMESHEETS!$B:$B,$B57)</f>
        <v>0</v>
      </c>
      <c r="Z56" s="13">
        <f>SUMIFS(TIMESHEETS!$AQ:$AQ,TIMESHEETS!$F:$F,Z$7,TIMESHEETS!$B:$B,$B57)</f>
        <v>0</v>
      </c>
      <c r="AA56" s="13">
        <f>SUMIFS(TIMESHEETS!$AQ:$AQ,TIMESHEETS!$F:$F,AA$7,TIMESHEETS!$B:$B,$B57)</f>
        <v>0</v>
      </c>
      <c r="AB56" s="13">
        <f>SUMIFS(TIMESHEETS!$AQ:$AQ,TIMESHEETS!$F:$F,AB$7,TIMESHEETS!$B:$B,$B57)</f>
        <v>0</v>
      </c>
      <c r="AC56" s="13">
        <f>SUMIFS(TIMESHEETS!$AQ:$AQ,TIMESHEETS!$F:$F,AC$7,TIMESHEETS!$B:$B,$B57)</f>
        <v>0</v>
      </c>
      <c r="AD56" s="13">
        <f>SUMIFS(TIMESHEETS!$AQ:$AQ,TIMESHEETS!$F:$F,AD$7,TIMESHEETS!$B:$B,$B57)</f>
        <v>0</v>
      </c>
      <c r="AE56" s="13">
        <v>0</v>
      </c>
      <c r="AF56" s="13">
        <f>SUMIFS(TIMESHEETS!$AQ:$AQ,TIMESHEETS!$F:$F,AF$7,TIMESHEETS!$B:$B,$B57)</f>
        <v>0</v>
      </c>
      <c r="AG56" s="13">
        <f>SUMIFS(TIMESHEETS!$AQ:$AQ,TIMESHEETS!$F:$F,AG$7,TIMESHEETS!$B:$B,$B57)</f>
        <v>0</v>
      </c>
      <c r="AH56" s="13">
        <f>SUMIFS(TIMESHEETS!$AQ:$AQ,TIMESHEETS!$F:$F,AH$7,TIMESHEETS!$B:$B,$B57)</f>
        <v>0</v>
      </c>
      <c r="AI56" s="13">
        <f>SUMIFS(TIMESHEETS!$AQ:$AQ,TIMESHEETS!$F:$F,AI$7,TIMESHEETS!$B:$B,$B57)</f>
        <v>0</v>
      </c>
      <c r="AJ56" s="13">
        <f>SUMIFS(TIMESHEETS!$AQ:$AQ,TIMESHEETS!$F:$F,AJ$7,TIMESHEETS!$B:$B,$B57)</f>
        <v>0</v>
      </c>
      <c r="AK56" s="4"/>
      <c r="AL56" s="138">
        <v>0</v>
      </c>
      <c r="AM56" s="139">
        <f>AL56/8</f>
        <v>0</v>
      </c>
    </row>
    <row r="57" spans="1:39" ht="15" customHeight="1" x14ac:dyDescent="0.35">
      <c r="A57" s="4"/>
      <c r="B57" s="30"/>
      <c r="C57" s="21"/>
      <c r="D57" s="21"/>
      <c r="E57" s="21"/>
      <c r="F57" s="22"/>
      <c r="G57" s="5"/>
      <c r="H57" s="6">
        <v>0</v>
      </c>
      <c r="I57" s="4"/>
      <c r="J57" s="7">
        <f>SUMIFS(TIMESHEETS!$AO:$AO,TIMESHEETS!$F:$F,J$7,TIMESHEETS!$B:$B,$B57)</f>
        <v>0</v>
      </c>
      <c r="K57" s="7">
        <f>SUMIFS(TIMESHEETS!$AO:$AO,TIMESHEETS!$F:$F,K$7,TIMESHEETS!$B:$B,$B57)</f>
        <v>0</v>
      </c>
      <c r="L57" s="7">
        <f>SUMIFS(TIMESHEETS!$AO:$AO,TIMESHEETS!$F:$F,L$7,TIMESHEETS!$B:$B,$B57)</f>
        <v>0</v>
      </c>
      <c r="M57" s="7">
        <f>SUMIFS(TIMESHEETS!$AO:$AO,TIMESHEETS!$F:$F,M$7,TIMESHEETS!$B:$B,$B57)</f>
        <v>0</v>
      </c>
      <c r="N57" s="7">
        <f>SUMIFS(TIMESHEETS!$AO:$AO,TIMESHEETS!$F:$F,N$7,TIMESHEETS!$B:$B,$B57)</f>
        <v>0</v>
      </c>
      <c r="O57" s="7">
        <f>SUMIFS(TIMESHEETS!$AO:$AO,TIMESHEETS!$F:$F,O$7,TIMESHEETS!$B:$B,$B57)</f>
        <v>0</v>
      </c>
      <c r="P57" s="7">
        <f>SUMIFS(TIMESHEETS!$AO:$AO,TIMESHEETS!$F:$F,P$7,TIMESHEETS!$B:$B,$B57)</f>
        <v>0</v>
      </c>
      <c r="Q57" s="7">
        <f>SUMIFS(TIMESHEETS!$AO:$AO,TIMESHEETS!$F:$F,Q$7,TIMESHEETS!$B:$B,$B57)</f>
        <v>0</v>
      </c>
      <c r="R57" s="7">
        <f>SUMIFS(TIMESHEETS!$AO:$AO,TIMESHEETS!$F:$F,R$7,TIMESHEETS!$B:$B,$B57)</f>
        <v>0</v>
      </c>
      <c r="S57" s="7">
        <f>SUMIFS(TIMESHEETS!$AO:$AO,TIMESHEETS!$F:$F,S$7,TIMESHEETS!$B:$B,$B57)</f>
        <v>0</v>
      </c>
      <c r="T57" s="7">
        <f>SUMIFS(TIMESHEETS!$AO:$AO,TIMESHEETS!$F:$F,T$7,TIMESHEETS!$B:$B,$B57)</f>
        <v>0</v>
      </c>
      <c r="U57" s="7">
        <f>SUMIFS(TIMESHEETS!$AO:$AO,TIMESHEETS!$F:$F,U$7,TIMESHEETS!$B:$B,$B57)</f>
        <v>0</v>
      </c>
      <c r="V57" s="7">
        <f>SUMIFS(TIMESHEETS!$AO:$AO,TIMESHEETS!$F:$F,V$7,TIMESHEETS!$B:$B,$B57)</f>
        <v>0</v>
      </c>
      <c r="W57" s="7">
        <f>SUMIFS(TIMESHEETS!$AO:$AO,TIMESHEETS!$F:$F,W$7,TIMESHEETS!$B:$B,$B57)</f>
        <v>0</v>
      </c>
      <c r="X57" s="7">
        <f>SUMIFS(TIMESHEETS!$AO:$AO,TIMESHEETS!$F:$F,X$7,TIMESHEETS!$B:$B,$B57)</f>
        <v>0</v>
      </c>
      <c r="Y57" s="7">
        <f>SUMIFS(TIMESHEETS!$AO:$AO,TIMESHEETS!$F:$F,Y$7,TIMESHEETS!$B:$B,$B57)</f>
        <v>0</v>
      </c>
      <c r="Z57" s="7">
        <f>SUMIFS(TIMESHEETS!$AO:$AO,TIMESHEETS!$F:$F,Z$7,TIMESHEETS!$B:$B,$B57)</f>
        <v>0</v>
      </c>
      <c r="AA57" s="7">
        <f>SUMIFS(TIMESHEETS!$AO:$AO,TIMESHEETS!$F:$F,AA$7,TIMESHEETS!$B:$B,$B57)</f>
        <v>0</v>
      </c>
      <c r="AB57" s="7">
        <f>SUMIFS(TIMESHEETS!$AO:$AO,TIMESHEETS!$F:$F,AB$7,TIMESHEETS!$B:$B,$B57)</f>
        <v>0</v>
      </c>
      <c r="AC57" s="7">
        <f>SUMIFS(TIMESHEETS!$AO:$AO,TIMESHEETS!$F:$F,AC$7,TIMESHEETS!$B:$B,$B57)</f>
        <v>0</v>
      </c>
      <c r="AD57" s="7">
        <f>SUMIFS(TIMESHEETS!$AO:$AO,TIMESHEETS!$F:$F,AD$7,TIMESHEETS!$B:$B,$B57)</f>
        <v>0</v>
      </c>
      <c r="AE57" s="7">
        <f>SUMIFS(TIMESHEETS!$AO:$AO,TIMESHEETS!$F:$F,AE$7,TIMESHEETS!$B:$B,$B57)</f>
        <v>0</v>
      </c>
      <c r="AF57" s="7">
        <f>SUMIFS(TIMESHEETS!$AO:$AO,TIMESHEETS!$F:$F,AF$7,TIMESHEETS!$B:$B,$B57)</f>
        <v>0</v>
      </c>
      <c r="AG57" s="7">
        <f>SUMIFS(TIMESHEETS!$AO:$AO,TIMESHEETS!$F:$F,AG$7,TIMESHEETS!$B:$B,$B57)</f>
        <v>0</v>
      </c>
      <c r="AH57" s="7">
        <f>SUMIFS(TIMESHEETS!$AO:$AO,TIMESHEETS!$F:$F,AH$7,TIMESHEETS!$B:$B,$B57)</f>
        <v>0</v>
      </c>
      <c r="AI57" s="7">
        <f>SUMIFS(TIMESHEETS!$AO:$AO,TIMESHEETS!$F:$F,AI$7,TIMESHEETS!$B:$B,$B57)</f>
        <v>0</v>
      </c>
      <c r="AJ57" s="7">
        <f>SUMIFS(TIMESHEETS!$AO:$AO,TIMESHEETS!$F:$F,AJ$7,TIMESHEETS!$B:$B,$B57)</f>
        <v>0</v>
      </c>
      <c r="AK57" s="4"/>
      <c r="AL57" s="7">
        <f>H57-SUM(J57:AJ57)</f>
        <v>0</v>
      </c>
    </row>
    <row r="58" spans="1:39" ht="15" customHeight="1" x14ac:dyDescent="0.35">
      <c r="A58" s="4"/>
      <c r="B58" s="23"/>
      <c r="C58" s="23"/>
      <c r="D58" s="23"/>
      <c r="E58" s="23"/>
      <c r="F58" s="23"/>
      <c r="G58" s="5"/>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row>
    <row r="59" spans="1:39" ht="15" customHeight="1" x14ac:dyDescent="0.35">
      <c r="A59" s="4"/>
      <c r="B59" s="89">
        <v>42968</v>
      </c>
      <c r="C59" s="18"/>
      <c r="D59" s="18"/>
      <c r="E59" s="18"/>
      <c r="F59" s="19"/>
      <c r="G59" s="5"/>
      <c r="H59" s="12">
        <v>120</v>
      </c>
      <c r="I59" s="4"/>
      <c r="J59" s="13">
        <f>SUMIFS(TIMESHEETS!$AQ:$AQ,TIMESHEETS!$F:$F,J$7,TIMESHEETS!$B:$B,$B60)</f>
        <v>0</v>
      </c>
      <c r="K59" s="13">
        <f>SUMIFS(TIMESHEETS!$AQ:$AQ,TIMESHEETS!$F:$F,K$7,TIMESHEETS!$B:$B,$B60)</f>
        <v>0</v>
      </c>
      <c r="L59" s="13">
        <f>SUMIFS(TIMESHEETS!$AQ:$AQ,TIMESHEETS!$F:$F,L$7,TIMESHEETS!$B:$B,$B60)</f>
        <v>0</v>
      </c>
      <c r="M59" s="13">
        <f>SUMIFS(TIMESHEETS!$AQ:$AQ,TIMESHEETS!$F:$F,M$7,TIMESHEETS!$B:$B,$B60)</f>
        <v>0</v>
      </c>
      <c r="N59" s="13">
        <f>SUMIFS(TIMESHEETS!$AQ:$AQ,TIMESHEETS!$F:$F,N$7,TIMESHEETS!$B:$B,$B60)</f>
        <v>0</v>
      </c>
      <c r="O59" s="13">
        <f>SUMIFS(TIMESHEETS!$AQ:$AQ,TIMESHEETS!$F:$F,O$7,TIMESHEETS!$B:$B,$B60)</f>
        <v>0</v>
      </c>
      <c r="P59" s="13">
        <f>SUMIFS(TIMESHEETS!$AQ:$AQ,TIMESHEETS!$F:$F,P$7,TIMESHEETS!$B:$B,$B60)</f>
        <v>0</v>
      </c>
      <c r="Q59" s="13">
        <f>SUMIFS(TIMESHEETS!$AQ:$AQ,TIMESHEETS!$F:$F,Q$7,TIMESHEETS!$B:$B,$B60)</f>
        <v>8</v>
      </c>
      <c r="R59" s="13">
        <f>SUMIFS(TIMESHEETS!$AQ:$AQ,TIMESHEETS!$F:$F,R$7,TIMESHEETS!$B:$B,$B60)</f>
        <v>0</v>
      </c>
      <c r="S59" s="13">
        <f>SUMIFS(TIMESHEETS!$AQ:$AQ,TIMESHEETS!$F:$F,S$7,TIMESHEETS!$B:$B,$B60)</f>
        <v>8</v>
      </c>
      <c r="T59" s="13">
        <f>SUMIFS(TIMESHEETS!$AQ:$AQ,TIMESHEETS!$F:$F,T$7,TIMESHEETS!$B:$B,$B60)</f>
        <v>0</v>
      </c>
      <c r="U59" s="13">
        <f>SUMIFS(TIMESHEETS!$AQ:$AQ,TIMESHEETS!$F:$F,U$7,TIMESHEETS!$B:$B,$B60)</f>
        <v>0</v>
      </c>
      <c r="V59" s="13">
        <f>SUMIFS(TIMESHEETS!$AQ:$AQ,TIMESHEETS!$F:$F,V$7,TIMESHEETS!$B:$B,$B60)</f>
        <v>0</v>
      </c>
      <c r="W59" s="13">
        <f>SUMIFS(TIMESHEETS!$AQ:$AQ,TIMESHEETS!$F:$F,W$7,TIMESHEETS!$B:$B,$B60)</f>
        <v>16</v>
      </c>
      <c r="X59" s="13">
        <f>SUMIFS(TIMESHEETS!$AQ:$AQ,TIMESHEETS!$F:$F,X$7,TIMESHEETS!$B:$B,$B60)</f>
        <v>16</v>
      </c>
      <c r="Y59" s="13">
        <f>SUMIFS(TIMESHEETS!$AQ:$AQ,TIMESHEETS!$F:$F,Y$7,TIMESHEETS!$B:$B,$B60)</f>
        <v>0</v>
      </c>
      <c r="Z59" s="13">
        <f>SUMIFS(TIMESHEETS!$AQ:$AQ,TIMESHEETS!$F:$F,Z$7,TIMESHEETS!$B:$B,$B60)</f>
        <v>40</v>
      </c>
      <c r="AA59" s="13">
        <f>SUMIFS(TIMESHEETS!$AQ:$AQ,TIMESHEETS!$F:$F,AA$7,TIMESHEETS!$B:$B,$B60)</f>
        <v>0</v>
      </c>
      <c r="AB59" s="13">
        <f>SUMIFS(TIMESHEETS!$AQ:$AQ,TIMESHEETS!$F:$F,AB$7,TIMESHEETS!$B:$B,$B60)</f>
        <v>16</v>
      </c>
      <c r="AC59" s="13">
        <f>SUMIFS(TIMESHEETS!$AQ:$AQ,TIMESHEETS!$F:$F,AC$7,TIMESHEETS!$B:$B,$B60)</f>
        <v>16</v>
      </c>
      <c r="AD59" s="13">
        <f>SUMIFS(TIMESHEETS!$AQ:$AQ,TIMESHEETS!$F:$F,AD$7,TIMESHEETS!$B:$B,$B60)</f>
        <v>0</v>
      </c>
      <c r="AE59" s="13">
        <f>SUMIFS(TIMESHEETS!$AQ:$AQ,TIMESHEETS!$F:$F,AE$7,TIMESHEETS!$B:$B,$B60)</f>
        <v>0</v>
      </c>
      <c r="AF59" s="13">
        <f>SUMIFS(TIMESHEETS!$AQ:$AQ,TIMESHEETS!$F:$F,AF$7,TIMESHEETS!$B:$B,$B60)</f>
        <v>0</v>
      </c>
      <c r="AG59" s="13">
        <f>SUMIFS(TIMESHEETS!$AQ:$AQ,TIMESHEETS!$F:$F,AG$7,TIMESHEETS!$B:$B,$B60)</f>
        <v>0</v>
      </c>
      <c r="AH59" s="13">
        <f>SUMIFS(TIMESHEETS!$AQ:$AQ,TIMESHEETS!$F:$F,AH$7,TIMESHEETS!$B:$B,$B60)</f>
        <v>0</v>
      </c>
      <c r="AI59" s="13">
        <f>SUMIFS(TIMESHEETS!$AQ:$AQ,TIMESHEETS!$F:$F,AI$7,TIMESHEETS!$B:$B,$B60)</f>
        <v>0</v>
      </c>
      <c r="AJ59" s="13">
        <f>SUMIFS(TIMESHEETS!$AQ:$AQ,TIMESHEETS!$F:$F,AJ$7,TIMESHEETS!$B:$B,$B60)</f>
        <v>0</v>
      </c>
      <c r="AK59" s="4"/>
      <c r="AL59" s="13">
        <f>H59-SUM(J59:AJ59)</f>
        <v>0</v>
      </c>
      <c r="AM59" s="139">
        <f>AL59/8</f>
        <v>0</v>
      </c>
    </row>
    <row r="60" spans="1:39" ht="15" customHeight="1" x14ac:dyDescent="0.35">
      <c r="A60" s="4"/>
      <c r="B60" s="30" t="s">
        <v>62</v>
      </c>
      <c r="C60" s="21"/>
      <c r="D60" s="21"/>
      <c r="E60" s="21"/>
      <c r="F60" s="22"/>
      <c r="G60" s="5"/>
      <c r="H60" s="6">
        <v>16</v>
      </c>
      <c r="I60" s="4"/>
      <c r="J60" s="7">
        <f>SUMIFS(TIMESHEETS!$AO:$AO,TIMESHEETS!$F:$F,J$7,TIMESHEETS!$B:$B,$B60)</f>
        <v>0</v>
      </c>
      <c r="K60" s="7">
        <f>SUMIFS(TIMESHEETS!$AO:$AO,TIMESHEETS!$F:$F,K$7,TIMESHEETS!$B:$B,$B60)</f>
        <v>0</v>
      </c>
      <c r="L60" s="7">
        <f>SUMIFS(TIMESHEETS!$AO:$AO,TIMESHEETS!$F:$F,L$7,TIMESHEETS!$B:$B,$B60)</f>
        <v>8</v>
      </c>
      <c r="M60" s="7">
        <f>SUMIFS(TIMESHEETS!$AO:$AO,TIMESHEETS!$F:$F,M$7,TIMESHEETS!$B:$B,$B60)</f>
        <v>0</v>
      </c>
      <c r="N60" s="7">
        <f>SUMIFS(TIMESHEETS!$AO:$AO,TIMESHEETS!$F:$F,N$7,TIMESHEETS!$B:$B,$B60)</f>
        <v>0</v>
      </c>
      <c r="O60" s="7">
        <f>SUMIFS(TIMESHEETS!$AO:$AO,TIMESHEETS!$F:$F,O$7,TIMESHEETS!$B:$B,$B60)</f>
        <v>0</v>
      </c>
      <c r="P60" s="7">
        <f>SUMIFS(TIMESHEETS!$AO:$AO,TIMESHEETS!$F:$F,P$7,TIMESHEETS!$B:$B,$B60)</f>
        <v>0</v>
      </c>
      <c r="Q60" s="7">
        <f>SUMIFS(TIMESHEETS!$AO:$AO,TIMESHEETS!$F:$F,Q$7,TIMESHEETS!$B:$B,$B60)</f>
        <v>16</v>
      </c>
      <c r="R60" s="7">
        <f>SUMIFS(TIMESHEETS!$AO:$AO,TIMESHEETS!$F:$F,R$7,TIMESHEETS!$B:$B,$B60)</f>
        <v>0</v>
      </c>
      <c r="S60" s="7">
        <f>SUMIFS(TIMESHEETS!$AO:$AO,TIMESHEETS!$F:$F,S$7,TIMESHEETS!$B:$B,$B60)</f>
        <v>0</v>
      </c>
      <c r="T60" s="7">
        <f>SUMIFS(TIMESHEETS!$AO:$AO,TIMESHEETS!$F:$F,T$7,TIMESHEETS!$B:$B,$B60)</f>
        <v>0</v>
      </c>
      <c r="U60" s="7">
        <f>SUMIFS(TIMESHEETS!$AO:$AO,TIMESHEETS!$F:$F,U$7,TIMESHEETS!$B:$B,$B60)</f>
        <v>0</v>
      </c>
      <c r="V60" s="7">
        <f>SUMIFS(TIMESHEETS!$AO:$AO,TIMESHEETS!$F:$F,V$7,TIMESHEETS!$B:$B,$B60)</f>
        <v>0</v>
      </c>
      <c r="W60" s="7">
        <f>SUMIFS(TIMESHEETS!$AO:$AO,TIMESHEETS!$F:$F,W$7,TIMESHEETS!$B:$B,$B60)</f>
        <v>0</v>
      </c>
      <c r="X60" s="7">
        <f>SUMIFS(TIMESHEETS!$AO:$AO,TIMESHEETS!$F:$F,X$7,TIMESHEETS!$B:$B,$B60)</f>
        <v>0</v>
      </c>
      <c r="Y60" s="7">
        <f>SUMIFS(TIMESHEETS!$AO:$AO,TIMESHEETS!$F:$F,Y$7,TIMESHEETS!$B:$B,$B60)</f>
        <v>0</v>
      </c>
      <c r="Z60" s="7">
        <f>SUMIFS(TIMESHEETS!$AO:$AO,TIMESHEETS!$F:$F,Z$7,TIMESHEETS!$B:$B,$B60)</f>
        <v>0</v>
      </c>
      <c r="AA60" s="7">
        <f>SUMIFS(TIMESHEETS!$AO:$AO,TIMESHEETS!$F:$F,AA$7,TIMESHEETS!$B:$B,$B60)</f>
        <v>0</v>
      </c>
      <c r="AB60" s="7">
        <f>SUMIFS(TIMESHEETS!$AO:$AO,TIMESHEETS!$F:$F,AB$7,TIMESHEETS!$B:$B,$B60)</f>
        <v>0</v>
      </c>
      <c r="AC60" s="7">
        <f>SUMIFS(TIMESHEETS!$AO:$AO,TIMESHEETS!$F:$F,AC$7,TIMESHEETS!$B:$B,$B60)</f>
        <v>0</v>
      </c>
      <c r="AD60" s="7">
        <f>SUMIFS(TIMESHEETS!$AO:$AO,TIMESHEETS!$F:$F,AD$7,TIMESHEETS!$B:$B,$B60)</f>
        <v>0</v>
      </c>
      <c r="AE60" s="7">
        <f>SUMIFS(TIMESHEETS!$AO:$AO,TIMESHEETS!$F:$F,AE$7,TIMESHEETS!$B:$B,$B60)</f>
        <v>16</v>
      </c>
      <c r="AF60" s="7">
        <f>SUMIFS(TIMESHEETS!$AO:$AO,TIMESHEETS!$F:$F,AF$7,TIMESHEETS!$B:$B,$B60)</f>
        <v>0</v>
      </c>
      <c r="AG60" s="7">
        <f>SUMIFS(TIMESHEETS!$AO:$AO,TIMESHEETS!$F:$F,AG$7,TIMESHEETS!$B:$B,$B60)</f>
        <v>0</v>
      </c>
      <c r="AH60" s="7">
        <f>SUMIFS(TIMESHEETS!$AO:$AO,TIMESHEETS!$F:$F,AH$7,TIMESHEETS!$B:$B,$B60)</f>
        <v>0</v>
      </c>
      <c r="AI60" s="7">
        <f>SUMIFS(TIMESHEETS!$AO:$AO,TIMESHEETS!$F:$F,AI$7,TIMESHEETS!$B:$B,$B60)</f>
        <v>0</v>
      </c>
      <c r="AJ60" s="7">
        <f>SUMIFS(TIMESHEETS!$AO:$AO,TIMESHEETS!$F:$F,AJ$7,TIMESHEETS!$B:$B,$B60)</f>
        <v>0</v>
      </c>
      <c r="AK60" s="4"/>
      <c r="AL60" s="7">
        <f>H60-SUM(J60:AJ60)</f>
        <v>-24</v>
      </c>
    </row>
    <row r="61" spans="1:39" ht="15" customHeight="1" x14ac:dyDescent="0.35">
      <c r="A61" s="4"/>
      <c r="B61" s="23"/>
      <c r="C61" s="23"/>
      <c r="D61" s="23"/>
      <c r="E61" s="23"/>
      <c r="F61" s="23"/>
      <c r="G61" s="5"/>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row>
    <row r="62" spans="1:39" ht="15" customHeight="1" x14ac:dyDescent="0.35">
      <c r="A62" s="4"/>
      <c r="B62" s="89"/>
      <c r="C62" s="18"/>
      <c r="D62" s="18"/>
      <c r="E62" s="18"/>
      <c r="F62" s="19"/>
      <c r="G62" s="5"/>
      <c r="H62" s="12"/>
      <c r="I62" s="4"/>
      <c r="J62" s="13">
        <f>SUMIFS(TIMESHEETS!$AQ:$AQ,TIMESHEETS!$F:$F,J$7,TIMESHEETS!$B:$B,$B63)</f>
        <v>0</v>
      </c>
      <c r="K62" s="13">
        <f>SUMIFS(TIMESHEETS!$AQ:$AQ,TIMESHEETS!$F:$F,K$7,TIMESHEETS!$B:$B,$B63)</f>
        <v>0</v>
      </c>
      <c r="L62" s="13">
        <f>SUMIFS(TIMESHEETS!$AQ:$AQ,TIMESHEETS!$F:$F,L$7,TIMESHEETS!$B:$B,$B63)</f>
        <v>0</v>
      </c>
      <c r="M62" s="13">
        <f>SUMIFS(TIMESHEETS!$AQ:$AQ,TIMESHEETS!$F:$F,M$7,TIMESHEETS!$B:$B,$B63)</f>
        <v>0</v>
      </c>
      <c r="N62" s="13">
        <f>SUMIFS(TIMESHEETS!$AQ:$AQ,TIMESHEETS!$F:$F,N$7,TIMESHEETS!$B:$B,$B63)</f>
        <v>0</v>
      </c>
      <c r="O62" s="13">
        <f>SUMIFS(TIMESHEETS!$AQ:$AQ,TIMESHEETS!$F:$F,O$7,TIMESHEETS!$B:$B,$B63)</f>
        <v>0</v>
      </c>
      <c r="P62" s="13">
        <f>SUMIFS(TIMESHEETS!$AQ:$AQ,TIMESHEETS!$F:$F,P$7,TIMESHEETS!$B:$B,$B63)</f>
        <v>0</v>
      </c>
      <c r="Q62" s="13">
        <f>SUMIFS(TIMESHEETS!$AQ:$AQ,TIMESHEETS!$F:$F,Q$7,TIMESHEETS!$B:$B,$B63)</f>
        <v>0</v>
      </c>
      <c r="R62" s="13">
        <f>SUMIFS(TIMESHEETS!$AQ:$AQ,TIMESHEETS!$F:$F,R$7,TIMESHEETS!$B:$B,$B63)</f>
        <v>0</v>
      </c>
      <c r="S62" s="13">
        <f>SUMIFS(TIMESHEETS!$AQ:$AQ,TIMESHEETS!$F:$F,S$7,TIMESHEETS!$B:$B,$B63)</f>
        <v>0</v>
      </c>
      <c r="T62" s="13">
        <f>SUMIFS(TIMESHEETS!$AQ:$AQ,TIMESHEETS!$F:$F,T$7,TIMESHEETS!$B:$B,$B63)</f>
        <v>0</v>
      </c>
      <c r="U62" s="13">
        <f>SUMIFS(TIMESHEETS!$AQ:$AQ,TIMESHEETS!$F:$F,U$7,TIMESHEETS!$B:$B,$B63)</f>
        <v>0</v>
      </c>
      <c r="V62" s="13">
        <f>SUMIFS(TIMESHEETS!$AQ:$AQ,TIMESHEETS!$F:$F,V$7,TIMESHEETS!$B:$B,$B63)</f>
        <v>0</v>
      </c>
      <c r="W62" s="13">
        <f>SUMIFS(TIMESHEETS!$AQ:$AQ,TIMESHEETS!$F:$F,W$7,TIMESHEETS!$B:$B,$B63)</f>
        <v>0</v>
      </c>
      <c r="X62" s="13">
        <f>SUMIFS(TIMESHEETS!$AQ:$AQ,TIMESHEETS!$F:$F,X$7,TIMESHEETS!$B:$B,$B63)</f>
        <v>0</v>
      </c>
      <c r="Y62" s="13">
        <f>SUMIFS(TIMESHEETS!$AQ:$AQ,TIMESHEETS!$F:$F,Y$7,TIMESHEETS!$B:$B,$B63)</f>
        <v>0</v>
      </c>
      <c r="Z62" s="13">
        <f>SUMIFS(TIMESHEETS!$AQ:$AQ,TIMESHEETS!$F:$F,Z$7,TIMESHEETS!$B:$B,$B63)</f>
        <v>0</v>
      </c>
      <c r="AA62" s="13">
        <f>SUMIFS(TIMESHEETS!$AQ:$AQ,TIMESHEETS!$F:$F,AA$7,TIMESHEETS!$B:$B,$B63)</f>
        <v>0</v>
      </c>
      <c r="AB62" s="13">
        <f>SUMIFS(TIMESHEETS!$AQ:$AQ,TIMESHEETS!$F:$F,AB$7,TIMESHEETS!$B:$B,$B63)</f>
        <v>0</v>
      </c>
      <c r="AC62" s="13">
        <f>SUMIFS(TIMESHEETS!$AQ:$AQ,TIMESHEETS!$F:$F,AC$7,TIMESHEETS!$B:$B,$B63)</f>
        <v>0</v>
      </c>
      <c r="AD62" s="13">
        <f>SUMIFS(TIMESHEETS!$AQ:$AQ,TIMESHEETS!$F:$F,AD$7,TIMESHEETS!$B:$B,$B63)</f>
        <v>0</v>
      </c>
      <c r="AE62" s="13">
        <f>SUMIFS(TIMESHEETS!$AQ:$AQ,TIMESHEETS!$F:$F,AE$7,TIMESHEETS!$B:$B,$B63)</f>
        <v>0</v>
      </c>
      <c r="AF62" s="13">
        <f>SUMIFS(TIMESHEETS!$AQ:$AQ,TIMESHEETS!$F:$F,AF$7,TIMESHEETS!$B:$B,$B63)</f>
        <v>0</v>
      </c>
      <c r="AG62" s="13">
        <f>SUMIFS(TIMESHEETS!$AQ:$AQ,TIMESHEETS!$F:$F,AG$7,TIMESHEETS!$B:$B,$B63)</f>
        <v>0</v>
      </c>
      <c r="AH62" s="13">
        <f>SUMIFS(TIMESHEETS!$AQ:$AQ,TIMESHEETS!$F:$F,AH$7,TIMESHEETS!$B:$B,$B63)</f>
        <v>0</v>
      </c>
      <c r="AI62" s="13">
        <f>SUMIFS(TIMESHEETS!$AQ:$AQ,TIMESHEETS!$F:$F,AI$7,TIMESHEETS!$B:$B,$B63)</f>
        <v>0</v>
      </c>
      <c r="AJ62" s="13">
        <f>SUMIFS(TIMESHEETS!$AQ:$AQ,TIMESHEETS!$F:$F,AJ$7,TIMESHEETS!$B:$B,$B63)</f>
        <v>0</v>
      </c>
      <c r="AK62" s="4"/>
      <c r="AL62" s="13">
        <f>H62-SUM(J62:AJ62)</f>
        <v>0</v>
      </c>
    </row>
    <row r="63" spans="1:39" ht="15" customHeight="1" x14ac:dyDescent="0.35">
      <c r="A63" s="4"/>
      <c r="B63" s="30"/>
      <c r="C63" s="21"/>
      <c r="D63" s="21"/>
      <c r="E63" s="21"/>
      <c r="F63" s="22"/>
      <c r="G63" s="5"/>
      <c r="H63" s="6"/>
      <c r="I63" s="4"/>
      <c r="J63" s="7">
        <f>SUMIFS(TIMESHEETS!$AO:$AO,TIMESHEETS!$F:$F,J$7,TIMESHEETS!$B:$B,$B63)</f>
        <v>0</v>
      </c>
      <c r="K63" s="7">
        <f>SUMIFS(TIMESHEETS!$AO:$AO,TIMESHEETS!$F:$F,K$7,TIMESHEETS!$B:$B,$B63)</f>
        <v>0</v>
      </c>
      <c r="L63" s="7">
        <f>SUMIFS(TIMESHEETS!$AO:$AO,TIMESHEETS!$F:$F,L$7,TIMESHEETS!$B:$B,$B63)</f>
        <v>0</v>
      </c>
      <c r="M63" s="7">
        <f>SUMIFS(TIMESHEETS!$AO:$AO,TIMESHEETS!$F:$F,M$7,TIMESHEETS!$B:$B,$B63)</f>
        <v>0</v>
      </c>
      <c r="N63" s="7">
        <f>SUMIFS(TIMESHEETS!$AO:$AO,TIMESHEETS!$F:$F,N$7,TIMESHEETS!$B:$B,$B63)</f>
        <v>0</v>
      </c>
      <c r="O63" s="7">
        <f>SUMIFS(TIMESHEETS!$AO:$AO,TIMESHEETS!$F:$F,O$7,TIMESHEETS!$B:$B,$B63)</f>
        <v>0</v>
      </c>
      <c r="P63" s="7">
        <f>SUMIFS(TIMESHEETS!$AO:$AO,TIMESHEETS!$F:$F,P$7,TIMESHEETS!$B:$B,$B63)</f>
        <v>0</v>
      </c>
      <c r="Q63" s="7">
        <f>SUMIFS(TIMESHEETS!$AO:$AO,TIMESHEETS!$F:$F,Q$7,TIMESHEETS!$B:$B,$B63)</f>
        <v>0</v>
      </c>
      <c r="R63" s="7">
        <f>SUMIFS(TIMESHEETS!$AO:$AO,TIMESHEETS!$F:$F,R$7,TIMESHEETS!$B:$B,$B63)</f>
        <v>0</v>
      </c>
      <c r="S63" s="7">
        <f>SUMIFS(TIMESHEETS!$AO:$AO,TIMESHEETS!$F:$F,S$7,TIMESHEETS!$B:$B,$B63)</f>
        <v>0</v>
      </c>
      <c r="T63" s="7">
        <f>SUMIFS(TIMESHEETS!$AO:$AO,TIMESHEETS!$F:$F,T$7,TIMESHEETS!$B:$B,$B63)</f>
        <v>0</v>
      </c>
      <c r="U63" s="7">
        <f>SUMIFS(TIMESHEETS!$AO:$AO,TIMESHEETS!$F:$F,U$7,TIMESHEETS!$B:$B,$B63)</f>
        <v>0</v>
      </c>
      <c r="V63" s="7">
        <f>SUMIFS(TIMESHEETS!$AO:$AO,TIMESHEETS!$F:$F,V$7,TIMESHEETS!$B:$B,$B63)</f>
        <v>0</v>
      </c>
      <c r="W63" s="7">
        <f>SUMIFS(TIMESHEETS!$AO:$AO,TIMESHEETS!$F:$F,W$7,TIMESHEETS!$B:$B,$B63)</f>
        <v>0</v>
      </c>
      <c r="X63" s="7">
        <f>SUMIFS(TIMESHEETS!$AO:$AO,TIMESHEETS!$F:$F,X$7,TIMESHEETS!$B:$B,$B63)</f>
        <v>0</v>
      </c>
      <c r="Y63" s="7">
        <f>SUMIFS(TIMESHEETS!$AO:$AO,TIMESHEETS!$F:$F,Y$7,TIMESHEETS!$B:$B,$B63)</f>
        <v>0</v>
      </c>
      <c r="Z63" s="7">
        <f>SUMIFS(TIMESHEETS!$AO:$AO,TIMESHEETS!$F:$F,Z$7,TIMESHEETS!$B:$B,$B63)</f>
        <v>0</v>
      </c>
      <c r="AA63" s="7">
        <f>SUMIFS(TIMESHEETS!$AO:$AO,TIMESHEETS!$F:$F,AA$7,TIMESHEETS!$B:$B,$B63)</f>
        <v>0</v>
      </c>
      <c r="AB63" s="7">
        <f>SUMIFS(TIMESHEETS!$AO:$AO,TIMESHEETS!$F:$F,AB$7,TIMESHEETS!$B:$B,$B63)</f>
        <v>0</v>
      </c>
      <c r="AC63" s="7">
        <f>SUMIFS(TIMESHEETS!$AO:$AO,TIMESHEETS!$F:$F,AC$7,TIMESHEETS!$B:$B,$B63)</f>
        <v>0</v>
      </c>
      <c r="AD63" s="7">
        <f>SUMIFS(TIMESHEETS!$AO:$AO,TIMESHEETS!$F:$F,AD$7,TIMESHEETS!$B:$B,$B63)</f>
        <v>0</v>
      </c>
      <c r="AE63" s="7">
        <f>SUMIFS(TIMESHEETS!$AO:$AO,TIMESHEETS!$F:$F,AE$7,TIMESHEETS!$B:$B,$B63)</f>
        <v>0</v>
      </c>
      <c r="AF63" s="7">
        <f>SUMIFS(TIMESHEETS!$AO:$AO,TIMESHEETS!$F:$F,AF$7,TIMESHEETS!$B:$B,$B63)</f>
        <v>0</v>
      </c>
      <c r="AG63" s="7">
        <f>SUMIFS(TIMESHEETS!$AO:$AO,TIMESHEETS!$F:$F,AG$7,TIMESHEETS!$B:$B,$B63)</f>
        <v>0</v>
      </c>
      <c r="AH63" s="7">
        <f>SUMIFS(TIMESHEETS!$AO:$AO,TIMESHEETS!$F:$F,AH$7,TIMESHEETS!$B:$B,$B63)</f>
        <v>0</v>
      </c>
      <c r="AI63" s="7">
        <f>SUMIFS(TIMESHEETS!$AO:$AO,TIMESHEETS!$F:$F,AI$7,TIMESHEETS!$B:$B,$B63)</f>
        <v>0</v>
      </c>
      <c r="AJ63" s="7">
        <f>SUMIFS(TIMESHEETS!$AO:$AO,TIMESHEETS!$F:$F,AJ$7,TIMESHEETS!$B:$B,$B63)</f>
        <v>0</v>
      </c>
      <c r="AK63" s="4"/>
      <c r="AL63" s="7">
        <f>H63-SUM(J63:AJ63)</f>
        <v>0</v>
      </c>
    </row>
    <row r="64" spans="1:39" ht="15" customHeight="1" x14ac:dyDescent="0.35">
      <c r="A64" s="4"/>
      <c r="B64" s="23"/>
      <c r="C64" s="23"/>
      <c r="D64" s="23"/>
      <c r="E64" s="23"/>
      <c r="F64" s="23"/>
      <c r="G64" s="5"/>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row>
    <row r="65" spans="1:39" ht="15" customHeight="1" x14ac:dyDescent="0.35">
      <c r="A65" s="4"/>
      <c r="B65" s="89">
        <v>44579</v>
      </c>
      <c r="C65" s="18"/>
      <c r="D65" s="18"/>
      <c r="E65" s="18"/>
      <c r="F65" s="19"/>
      <c r="G65" s="5"/>
      <c r="H65" s="12">
        <v>0</v>
      </c>
      <c r="I65" s="4"/>
      <c r="J65" s="13">
        <f>SUMIFS(TIMESHEETS!$AQ:$AQ,TIMESHEETS!$F:$F,J$7,TIMESHEETS!$B:$B,$B66)</f>
        <v>0</v>
      </c>
      <c r="K65" s="13">
        <f>SUMIFS(TIMESHEETS!$AQ:$AQ,TIMESHEETS!$F:$F,K$7,TIMESHEETS!$B:$B,$B66)</f>
        <v>0</v>
      </c>
      <c r="L65" s="13">
        <f>SUMIFS(TIMESHEETS!$AQ:$AQ,TIMESHEETS!$F:$F,L$7,TIMESHEETS!$B:$B,$B66)</f>
        <v>0</v>
      </c>
      <c r="M65" s="13">
        <f>SUMIFS(TIMESHEETS!$AQ:$AQ,TIMESHEETS!$F:$F,M$7,TIMESHEETS!$B:$B,$B66)</f>
        <v>0</v>
      </c>
      <c r="N65" s="13">
        <f>SUMIFS(TIMESHEETS!$AQ:$AQ,TIMESHEETS!$F:$F,N$7,TIMESHEETS!$B:$B,$B66)</f>
        <v>0</v>
      </c>
      <c r="O65" s="13">
        <f>SUMIFS(TIMESHEETS!$AQ:$AQ,TIMESHEETS!$F:$F,O$7,TIMESHEETS!$B:$B,$B66)</f>
        <v>0</v>
      </c>
      <c r="P65" s="13">
        <f>SUMIFS(TIMESHEETS!$AQ:$AQ,TIMESHEETS!$F:$F,P$7,TIMESHEETS!$B:$B,$B66)</f>
        <v>0</v>
      </c>
      <c r="Q65" s="13">
        <f>SUMIFS(TIMESHEETS!$AQ:$AQ,TIMESHEETS!$F:$F,Q$7,TIMESHEETS!$B:$B,$B66)</f>
        <v>0</v>
      </c>
      <c r="R65" s="13">
        <f>SUMIFS(TIMESHEETS!$AQ:$AQ,TIMESHEETS!$F:$F,R$7,TIMESHEETS!$B:$B,$B66)</f>
        <v>0</v>
      </c>
      <c r="S65" s="13">
        <f>SUMIFS(TIMESHEETS!$AQ:$AQ,TIMESHEETS!$F:$F,S$7,TIMESHEETS!$B:$B,$B66)</f>
        <v>0</v>
      </c>
      <c r="T65" s="13">
        <f>SUMIFS(TIMESHEETS!$AQ:$AQ,TIMESHEETS!$F:$F,T$7,TIMESHEETS!$B:$B,$B66)</f>
        <v>0</v>
      </c>
      <c r="U65" s="13">
        <f>SUMIFS(TIMESHEETS!$AQ:$AQ,TIMESHEETS!$F:$F,U$7,TIMESHEETS!$B:$B,$B66)</f>
        <v>0</v>
      </c>
      <c r="V65" s="13">
        <f>SUMIFS(TIMESHEETS!$AQ:$AQ,TIMESHEETS!$F:$F,V$7,TIMESHEETS!$B:$B,$B66)</f>
        <v>0</v>
      </c>
      <c r="W65" s="13">
        <f>SUMIFS(TIMESHEETS!$AQ:$AQ,TIMESHEETS!$F:$F,W$7,TIMESHEETS!$B:$B,$B66)</f>
        <v>0</v>
      </c>
      <c r="X65" s="13">
        <f>SUMIFS(TIMESHEETS!$AQ:$AQ,TIMESHEETS!$F:$F,X$7,TIMESHEETS!$B:$B,$B66)</f>
        <v>0</v>
      </c>
      <c r="Y65" s="13">
        <f>SUMIFS(TIMESHEETS!$AQ:$AQ,TIMESHEETS!$F:$F,Y$7,TIMESHEETS!$B:$B,$B66)</f>
        <v>0</v>
      </c>
      <c r="Z65" s="13">
        <f>SUMIFS(TIMESHEETS!$AQ:$AQ,TIMESHEETS!$F:$F,Z$7,TIMESHEETS!$B:$B,$B66)</f>
        <v>0</v>
      </c>
      <c r="AA65" s="13">
        <f>SUMIFS(TIMESHEETS!$AQ:$AQ,TIMESHEETS!$F:$F,AA$7,TIMESHEETS!$B:$B,$B66)</f>
        <v>0</v>
      </c>
      <c r="AB65" s="13">
        <f>SUMIFS(TIMESHEETS!$AQ:$AQ,TIMESHEETS!$F:$F,AB$7,TIMESHEETS!$B:$B,$B66)</f>
        <v>0</v>
      </c>
      <c r="AC65" s="13">
        <f>SUMIFS(TIMESHEETS!$AQ:$AQ,TIMESHEETS!$F:$F,AC$7,TIMESHEETS!$B:$B,$B66)</f>
        <v>0</v>
      </c>
      <c r="AD65" s="13">
        <f>SUMIFS(TIMESHEETS!$AQ:$AQ,TIMESHEETS!$F:$F,AD$7,TIMESHEETS!$B:$B,$B66)</f>
        <v>0</v>
      </c>
      <c r="AE65" s="13">
        <f>SUMIFS(TIMESHEETS!$AQ:$AQ,TIMESHEETS!$F:$F,AE$7,TIMESHEETS!$B:$B,$B66)</f>
        <v>0</v>
      </c>
      <c r="AF65" s="13">
        <f>SUMIFS(TIMESHEETS!$AQ:$AQ,TIMESHEETS!$F:$F,AF$7,TIMESHEETS!$B:$B,$B66)</f>
        <v>0</v>
      </c>
      <c r="AG65" s="13">
        <f>SUMIFS(TIMESHEETS!$AQ:$AQ,TIMESHEETS!$F:$F,AG$7,TIMESHEETS!$B:$B,$B66)</f>
        <v>0</v>
      </c>
      <c r="AH65" s="13">
        <f>SUMIFS(TIMESHEETS!$AQ:$AQ,TIMESHEETS!$F:$F,AH$7,TIMESHEETS!$B:$B,$B66)</f>
        <v>0</v>
      </c>
      <c r="AI65" s="13">
        <f>SUMIFS(TIMESHEETS!$AQ:$AQ,TIMESHEETS!$F:$F,AI$7,TIMESHEETS!$B:$B,$B66)</f>
        <v>0</v>
      </c>
      <c r="AJ65" s="13">
        <f>SUMIFS(TIMESHEETS!$AQ:$AQ,TIMESHEETS!$F:$F,AJ$7,TIMESHEETS!$B:$B,$B66)</f>
        <v>0</v>
      </c>
      <c r="AK65" s="4"/>
      <c r="AL65" s="13">
        <f>H65-SUM(J65:AJ65)</f>
        <v>0</v>
      </c>
      <c r="AM65" s="139">
        <f>AL65/8</f>
        <v>0</v>
      </c>
    </row>
    <row r="66" spans="1:39" ht="15" customHeight="1" x14ac:dyDescent="0.35">
      <c r="A66" s="4"/>
      <c r="B66" s="30" t="s">
        <v>104</v>
      </c>
      <c r="C66" s="21"/>
      <c r="D66" s="21"/>
      <c r="E66" s="21"/>
      <c r="F66" s="22"/>
      <c r="G66" s="5"/>
      <c r="H66" s="6">
        <v>0</v>
      </c>
      <c r="I66" s="4"/>
      <c r="J66" s="7">
        <f>SUMIFS(TIMESHEETS!$AO:$AO,TIMESHEETS!$F:$F,J$7,TIMESHEETS!$B:$B,$B66)</f>
        <v>0</v>
      </c>
      <c r="K66" s="7">
        <f>SUMIFS(TIMESHEETS!$AO:$AO,TIMESHEETS!$F:$F,K$7,TIMESHEETS!$B:$B,$B66)</f>
        <v>0</v>
      </c>
      <c r="L66" s="7">
        <f>SUMIFS(TIMESHEETS!$AO:$AO,TIMESHEETS!$F:$F,L$7,TIMESHEETS!$B:$B,$B66)</f>
        <v>0</v>
      </c>
      <c r="M66" s="7">
        <f>SUMIFS(TIMESHEETS!$AO:$AO,TIMESHEETS!$F:$F,M$7,TIMESHEETS!$B:$B,$B66)</f>
        <v>0</v>
      </c>
      <c r="N66" s="7">
        <f>SUMIFS(TIMESHEETS!$AO:$AO,TIMESHEETS!$F:$F,N$7,TIMESHEETS!$B:$B,$B66)</f>
        <v>0</v>
      </c>
      <c r="O66" s="7">
        <f>SUMIFS(TIMESHEETS!$AO:$AO,TIMESHEETS!$F:$F,O$7,TIMESHEETS!$B:$B,$B66)</f>
        <v>0</v>
      </c>
      <c r="P66" s="7">
        <f>SUMIFS(TIMESHEETS!$AO:$AO,TIMESHEETS!$F:$F,P$7,TIMESHEETS!$B:$B,$B66)</f>
        <v>0</v>
      </c>
      <c r="Q66" s="7">
        <f>SUMIFS(TIMESHEETS!$AO:$AO,TIMESHEETS!$F:$F,Q$7,TIMESHEETS!$B:$B,$B66)</f>
        <v>0</v>
      </c>
      <c r="R66" s="7">
        <f>SUMIFS(TIMESHEETS!$AO:$AO,TIMESHEETS!$F:$F,R$7,TIMESHEETS!$B:$B,$B66)</f>
        <v>0</v>
      </c>
      <c r="S66" s="7">
        <f>SUMIFS(TIMESHEETS!$AO:$AO,TIMESHEETS!$F:$F,S$7,TIMESHEETS!$B:$B,$B66)</f>
        <v>0</v>
      </c>
      <c r="T66" s="7">
        <f>SUMIFS(TIMESHEETS!$AO:$AO,TIMESHEETS!$F:$F,T$7,TIMESHEETS!$B:$B,$B66)</f>
        <v>0</v>
      </c>
      <c r="U66" s="7">
        <f>SUMIFS(TIMESHEETS!$AO:$AO,TIMESHEETS!$F:$F,U$7,TIMESHEETS!$B:$B,$B66)</f>
        <v>0</v>
      </c>
      <c r="V66" s="7">
        <f>SUMIFS(TIMESHEETS!$AO:$AO,TIMESHEETS!$F:$F,V$7,TIMESHEETS!$B:$B,$B66)</f>
        <v>0</v>
      </c>
      <c r="W66" s="7">
        <f>SUMIFS(TIMESHEETS!$AO:$AO,TIMESHEETS!$F:$F,W$7,TIMESHEETS!$B:$B,$B66)</f>
        <v>0</v>
      </c>
      <c r="X66" s="7">
        <f>SUMIFS(TIMESHEETS!$AO:$AO,TIMESHEETS!$F:$F,X$7,TIMESHEETS!$B:$B,$B66)</f>
        <v>0</v>
      </c>
      <c r="Y66" s="7">
        <f>SUMIFS(TIMESHEETS!$AO:$AO,TIMESHEETS!$F:$F,Y$7,TIMESHEETS!$B:$B,$B66)</f>
        <v>0</v>
      </c>
      <c r="Z66" s="7">
        <f>SUMIFS(TIMESHEETS!$AO:$AO,TIMESHEETS!$F:$F,Z$7,TIMESHEETS!$B:$B,$B66)</f>
        <v>0</v>
      </c>
      <c r="AA66" s="7">
        <f>SUMIFS(TIMESHEETS!$AO:$AO,TIMESHEETS!$F:$F,AA$7,TIMESHEETS!$B:$B,$B66)</f>
        <v>0</v>
      </c>
      <c r="AB66" s="7">
        <f>SUMIFS(TIMESHEETS!$AO:$AO,TIMESHEETS!$F:$F,AB$7,TIMESHEETS!$B:$B,$B66)</f>
        <v>0</v>
      </c>
      <c r="AC66" s="7">
        <f>SUMIFS(TIMESHEETS!$AO:$AO,TIMESHEETS!$F:$F,AC$7,TIMESHEETS!$B:$B,$B66)</f>
        <v>0</v>
      </c>
      <c r="AD66" s="7">
        <f>SUMIFS(TIMESHEETS!$AO:$AO,TIMESHEETS!$F:$F,AD$7,TIMESHEETS!$B:$B,$B66)</f>
        <v>0</v>
      </c>
      <c r="AE66" s="7">
        <f>SUMIFS(TIMESHEETS!$AO:$AO,TIMESHEETS!$F:$F,AE$7,TIMESHEETS!$B:$B,$B66)</f>
        <v>0</v>
      </c>
      <c r="AF66" s="7">
        <f>SUMIFS(TIMESHEETS!$AO:$AO,TIMESHEETS!$F:$F,AF$7,TIMESHEETS!$B:$B,$B66)</f>
        <v>0</v>
      </c>
      <c r="AG66" s="7">
        <f>SUMIFS(TIMESHEETS!$AO:$AO,TIMESHEETS!$F:$F,AG$7,TIMESHEETS!$B:$B,$B66)</f>
        <v>0</v>
      </c>
      <c r="AH66" s="7">
        <f>SUMIFS(TIMESHEETS!$AO:$AO,TIMESHEETS!$F:$F,AH$7,TIMESHEETS!$B:$B,$B66)</f>
        <v>0</v>
      </c>
      <c r="AI66" s="7">
        <f>SUMIFS(TIMESHEETS!$AO:$AO,TIMESHEETS!$F:$F,AI$7,TIMESHEETS!$B:$B,$B66)</f>
        <v>0</v>
      </c>
      <c r="AJ66" s="7">
        <f>SUMIFS(TIMESHEETS!$AO:$AO,TIMESHEETS!$F:$F,AJ$7,TIMESHEETS!$B:$B,$B66)</f>
        <v>0</v>
      </c>
      <c r="AK66" s="4"/>
      <c r="AL66" s="7">
        <f>H66-SUM(J66:AJ66)</f>
        <v>0</v>
      </c>
    </row>
    <row r="67" spans="1:39" ht="15" customHeight="1" x14ac:dyDescent="0.35">
      <c r="A67" s="4"/>
      <c r="B67" s="23"/>
      <c r="C67" s="23"/>
      <c r="D67" s="23"/>
      <c r="E67" s="23"/>
      <c r="F67" s="23"/>
      <c r="G67" s="5"/>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row>
    <row r="68" spans="1:39" ht="15" customHeight="1" x14ac:dyDescent="0.35">
      <c r="A68" s="4"/>
      <c r="B68" s="17"/>
      <c r="C68" s="18"/>
      <c r="D68" s="18"/>
      <c r="E68" s="18"/>
      <c r="F68" s="19"/>
      <c r="G68" s="5"/>
      <c r="H68" s="12"/>
      <c r="I68" s="4"/>
      <c r="J68" s="13">
        <f>SUMIFS(TIMESHEETS!$AQ:$AQ,TIMESHEETS!$F:$F,J$7,TIMESHEETS!$B:$B,$B69)</f>
        <v>0</v>
      </c>
      <c r="K68" s="13">
        <f>SUMIFS(TIMESHEETS!$AQ:$AQ,TIMESHEETS!$F:$F,K$7,TIMESHEETS!$B:$B,$B69)</f>
        <v>0</v>
      </c>
      <c r="L68" s="13">
        <f>SUMIFS(TIMESHEETS!$AQ:$AQ,TIMESHEETS!$F:$F,L$7,TIMESHEETS!$B:$B,$B69)</f>
        <v>0</v>
      </c>
      <c r="M68" s="13">
        <f>SUMIFS(TIMESHEETS!$AQ:$AQ,TIMESHEETS!$F:$F,M$7,TIMESHEETS!$B:$B,$B69)</f>
        <v>0</v>
      </c>
      <c r="N68" s="13">
        <f>SUMIFS(TIMESHEETS!$AQ:$AQ,TIMESHEETS!$F:$F,N$7,TIMESHEETS!$B:$B,$B69)</f>
        <v>0</v>
      </c>
      <c r="O68" s="13">
        <f>SUMIFS(TIMESHEETS!$AQ:$AQ,TIMESHEETS!$F:$F,O$7,TIMESHEETS!$B:$B,$B69)</f>
        <v>0</v>
      </c>
      <c r="P68" s="13">
        <f>SUMIFS(TIMESHEETS!$AQ:$AQ,TIMESHEETS!$F:$F,P$7,TIMESHEETS!$B:$B,$B69)</f>
        <v>0</v>
      </c>
      <c r="Q68" s="13">
        <f>SUMIFS(TIMESHEETS!$AQ:$AQ,TIMESHEETS!$F:$F,Q$7,TIMESHEETS!$B:$B,$B69)</f>
        <v>0</v>
      </c>
      <c r="R68" s="13">
        <f>SUMIFS(TIMESHEETS!$AQ:$AQ,TIMESHEETS!$F:$F,R$7,TIMESHEETS!$B:$B,$B69)</f>
        <v>0</v>
      </c>
      <c r="S68" s="13">
        <f>SUMIFS(TIMESHEETS!$AQ:$AQ,TIMESHEETS!$F:$F,S$7,TIMESHEETS!$B:$B,$B69)</f>
        <v>0</v>
      </c>
      <c r="T68" s="13">
        <f>SUMIFS(TIMESHEETS!$AQ:$AQ,TIMESHEETS!$F:$F,T$7,TIMESHEETS!$B:$B,$B69)</f>
        <v>0</v>
      </c>
      <c r="U68" s="13">
        <f>SUMIFS(TIMESHEETS!$AQ:$AQ,TIMESHEETS!$F:$F,U$7,TIMESHEETS!$B:$B,$B69)</f>
        <v>0</v>
      </c>
      <c r="V68" s="13">
        <f>SUMIFS(TIMESHEETS!$AQ:$AQ,TIMESHEETS!$F:$F,V$7,TIMESHEETS!$B:$B,$B69)</f>
        <v>0</v>
      </c>
      <c r="W68" s="13">
        <f>SUMIFS(TIMESHEETS!$AQ:$AQ,TIMESHEETS!$F:$F,W$7,TIMESHEETS!$B:$B,$B69)</f>
        <v>0</v>
      </c>
      <c r="X68" s="13">
        <f>SUMIFS(TIMESHEETS!$AQ:$AQ,TIMESHEETS!$F:$F,X$7,TIMESHEETS!$B:$B,$B69)</f>
        <v>0</v>
      </c>
      <c r="Y68" s="13">
        <f>SUMIFS(TIMESHEETS!$AQ:$AQ,TIMESHEETS!$F:$F,Y$7,TIMESHEETS!$B:$B,$B69)</f>
        <v>0</v>
      </c>
      <c r="Z68" s="13">
        <f>SUMIFS(TIMESHEETS!$AQ:$AQ,TIMESHEETS!$F:$F,Z$7,TIMESHEETS!$B:$B,$B69)</f>
        <v>0</v>
      </c>
      <c r="AA68" s="13">
        <f>SUMIFS(TIMESHEETS!$AQ:$AQ,TIMESHEETS!$F:$F,AA$7,TIMESHEETS!$B:$B,$B69)</f>
        <v>0</v>
      </c>
      <c r="AB68" s="13">
        <f>SUMIFS(TIMESHEETS!$AQ:$AQ,TIMESHEETS!$F:$F,AB$7,TIMESHEETS!$B:$B,$B69)</f>
        <v>0</v>
      </c>
      <c r="AC68" s="13">
        <f>SUMIFS(TIMESHEETS!$AQ:$AQ,TIMESHEETS!$F:$F,AC$7,TIMESHEETS!$B:$B,$B69)</f>
        <v>0</v>
      </c>
      <c r="AD68" s="13">
        <f>SUMIFS(TIMESHEETS!$AQ:$AQ,TIMESHEETS!$F:$F,AD$7,TIMESHEETS!$B:$B,$B69)</f>
        <v>0</v>
      </c>
      <c r="AE68" s="13">
        <f>SUMIFS(TIMESHEETS!$AQ:$AQ,TIMESHEETS!$F:$F,AE$7,TIMESHEETS!$B:$B,$B69)</f>
        <v>0</v>
      </c>
      <c r="AF68" s="13">
        <f>SUMIFS(TIMESHEETS!$AQ:$AQ,TIMESHEETS!$F:$F,AF$7,TIMESHEETS!$B:$B,$B69)</f>
        <v>0</v>
      </c>
      <c r="AG68" s="13">
        <f>SUMIFS(TIMESHEETS!$AQ:$AQ,TIMESHEETS!$F:$F,AG$7,TIMESHEETS!$B:$B,$B69)</f>
        <v>0</v>
      </c>
      <c r="AH68" s="13">
        <f>SUMIFS(TIMESHEETS!$AQ:$AQ,TIMESHEETS!$F:$F,AH$7,TIMESHEETS!$B:$B,$B69)</f>
        <v>0</v>
      </c>
      <c r="AI68" s="13">
        <f>SUMIFS(TIMESHEETS!$AQ:$AQ,TIMESHEETS!$F:$F,AI$7,TIMESHEETS!$B:$B,$B69)</f>
        <v>0</v>
      </c>
      <c r="AJ68" s="13">
        <f>SUMIFS(TIMESHEETS!$AQ:$AQ,TIMESHEETS!$F:$F,AJ$7,TIMESHEETS!$B:$B,$B69)</f>
        <v>0</v>
      </c>
      <c r="AK68" s="4"/>
      <c r="AL68" s="13">
        <f>H68-SUM(J68:AJ68)</f>
        <v>0</v>
      </c>
    </row>
    <row r="69" spans="1:39" ht="15" customHeight="1" x14ac:dyDescent="0.35">
      <c r="A69" s="4"/>
      <c r="B69" s="20"/>
      <c r="C69" s="21"/>
      <c r="D69" s="21"/>
      <c r="E69" s="21"/>
      <c r="F69" s="22"/>
      <c r="G69" s="5"/>
      <c r="H69" s="6"/>
      <c r="I69" s="4"/>
      <c r="J69" s="7">
        <f>SUMIFS(TIMESHEETS!$AO:$AO,TIMESHEETS!$F:$F,J$7,TIMESHEETS!$B:$B,$B69)</f>
        <v>0</v>
      </c>
      <c r="K69" s="7">
        <f>SUMIFS(TIMESHEETS!$AO:$AO,TIMESHEETS!$F:$F,K$7,TIMESHEETS!$B:$B,$B69)</f>
        <v>0</v>
      </c>
      <c r="L69" s="7">
        <f>SUMIFS(TIMESHEETS!$AO:$AO,TIMESHEETS!$F:$F,L$7,TIMESHEETS!$B:$B,$B69)</f>
        <v>0</v>
      </c>
      <c r="M69" s="7">
        <f>SUMIFS(TIMESHEETS!$AO:$AO,TIMESHEETS!$F:$F,M$7,TIMESHEETS!$B:$B,$B69)</f>
        <v>0</v>
      </c>
      <c r="N69" s="7">
        <f>SUMIFS(TIMESHEETS!$AO:$AO,TIMESHEETS!$F:$F,N$7,TIMESHEETS!$B:$B,$B69)</f>
        <v>0</v>
      </c>
      <c r="O69" s="7">
        <f>SUMIFS(TIMESHEETS!$AO:$AO,TIMESHEETS!$F:$F,O$7,TIMESHEETS!$B:$B,$B69)</f>
        <v>0</v>
      </c>
      <c r="P69" s="7">
        <f>SUMIFS(TIMESHEETS!$AO:$AO,TIMESHEETS!$F:$F,P$7,TIMESHEETS!$B:$B,$B69)</f>
        <v>0</v>
      </c>
      <c r="Q69" s="7">
        <f>SUMIFS(TIMESHEETS!$AO:$AO,TIMESHEETS!$F:$F,Q$7,TIMESHEETS!$B:$B,$B69)</f>
        <v>0</v>
      </c>
      <c r="R69" s="7">
        <f>SUMIFS(TIMESHEETS!$AO:$AO,TIMESHEETS!$F:$F,R$7,TIMESHEETS!$B:$B,$B69)</f>
        <v>0</v>
      </c>
      <c r="S69" s="7">
        <f>SUMIFS(TIMESHEETS!$AO:$AO,TIMESHEETS!$F:$F,S$7,TIMESHEETS!$B:$B,$B69)</f>
        <v>0</v>
      </c>
      <c r="T69" s="7">
        <f>SUMIFS(TIMESHEETS!$AO:$AO,TIMESHEETS!$F:$F,T$7,TIMESHEETS!$B:$B,$B69)</f>
        <v>0</v>
      </c>
      <c r="U69" s="7">
        <f>SUMIFS(TIMESHEETS!$AO:$AO,TIMESHEETS!$F:$F,U$7,TIMESHEETS!$B:$B,$B69)</f>
        <v>0</v>
      </c>
      <c r="V69" s="7">
        <f>SUMIFS(TIMESHEETS!$AO:$AO,TIMESHEETS!$F:$F,V$7,TIMESHEETS!$B:$B,$B69)</f>
        <v>0</v>
      </c>
      <c r="W69" s="7">
        <f>SUMIFS(TIMESHEETS!$AO:$AO,TIMESHEETS!$F:$F,W$7,TIMESHEETS!$B:$B,$B69)</f>
        <v>0</v>
      </c>
      <c r="X69" s="7">
        <f>SUMIFS(TIMESHEETS!$AO:$AO,TIMESHEETS!$F:$F,X$7,TIMESHEETS!$B:$B,$B69)</f>
        <v>0</v>
      </c>
      <c r="Y69" s="7">
        <f>SUMIFS(TIMESHEETS!$AO:$AO,TIMESHEETS!$F:$F,Y$7,TIMESHEETS!$B:$B,$B69)</f>
        <v>0</v>
      </c>
      <c r="Z69" s="7">
        <f>SUMIFS(TIMESHEETS!$AO:$AO,TIMESHEETS!$F:$F,Z$7,TIMESHEETS!$B:$B,$B69)</f>
        <v>0</v>
      </c>
      <c r="AA69" s="7">
        <f>SUMIFS(TIMESHEETS!$AO:$AO,TIMESHEETS!$F:$F,AA$7,TIMESHEETS!$B:$B,$B69)</f>
        <v>0</v>
      </c>
      <c r="AB69" s="7">
        <f>SUMIFS(TIMESHEETS!$AO:$AO,TIMESHEETS!$F:$F,AB$7,TIMESHEETS!$B:$B,$B69)</f>
        <v>0</v>
      </c>
      <c r="AC69" s="7">
        <f>SUMIFS(TIMESHEETS!$AO:$AO,TIMESHEETS!$F:$F,AC$7,TIMESHEETS!$B:$B,$B69)</f>
        <v>0</v>
      </c>
      <c r="AD69" s="7">
        <f>SUMIFS(TIMESHEETS!$AO:$AO,TIMESHEETS!$F:$F,AD$7,TIMESHEETS!$B:$B,$B69)</f>
        <v>0</v>
      </c>
      <c r="AE69" s="7">
        <f>SUMIFS(TIMESHEETS!$AO:$AO,TIMESHEETS!$F:$F,AE$7,TIMESHEETS!$B:$B,$B69)</f>
        <v>0</v>
      </c>
      <c r="AF69" s="7">
        <f>SUMIFS(TIMESHEETS!$AO:$AO,TIMESHEETS!$F:$F,AF$7,TIMESHEETS!$B:$B,$B69)</f>
        <v>0</v>
      </c>
      <c r="AG69" s="7">
        <f>SUMIFS(TIMESHEETS!$AO:$AO,TIMESHEETS!$F:$F,AG$7,TIMESHEETS!$B:$B,$B69)</f>
        <v>0</v>
      </c>
      <c r="AH69" s="7">
        <f>SUMIFS(TIMESHEETS!$AO:$AO,TIMESHEETS!$F:$F,AH$7,TIMESHEETS!$B:$B,$B69)</f>
        <v>0</v>
      </c>
      <c r="AI69" s="7">
        <f>SUMIFS(TIMESHEETS!$AO:$AO,TIMESHEETS!$F:$F,AI$7,TIMESHEETS!$B:$B,$B69)</f>
        <v>0</v>
      </c>
      <c r="AJ69" s="7">
        <f>SUMIFS(TIMESHEETS!$AO:$AO,TIMESHEETS!$F:$F,AJ$7,TIMESHEETS!$B:$B,$B69)</f>
        <v>0</v>
      </c>
      <c r="AK69" s="4"/>
      <c r="AL69" s="7">
        <f>H69-SUM(J69:AJ69)</f>
        <v>0</v>
      </c>
    </row>
    <row r="70" spans="1:39" ht="15" customHeight="1" x14ac:dyDescent="0.35">
      <c r="A70" s="4"/>
      <c r="B70" s="23"/>
      <c r="C70" s="23"/>
      <c r="D70" s="23"/>
      <c r="E70" s="23"/>
      <c r="F70" s="23"/>
      <c r="G70" s="5"/>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row>
    <row r="71" spans="1:39" ht="15" customHeight="1" x14ac:dyDescent="0.35">
      <c r="A71" s="4"/>
      <c r="B71" s="17"/>
      <c r="C71" s="18"/>
      <c r="D71" s="18"/>
      <c r="E71" s="18"/>
      <c r="F71" s="19"/>
      <c r="G71" s="5"/>
      <c r="H71" s="12"/>
      <c r="I71" s="4"/>
      <c r="J71" s="13">
        <f>SUMIFS(TIMESHEETS!$AQ:$AQ,TIMESHEETS!$F:$F,J$7,TIMESHEETS!$B:$B,$B72)</f>
        <v>0</v>
      </c>
      <c r="K71" s="13">
        <f>SUMIFS(TIMESHEETS!$AQ:$AQ,TIMESHEETS!$F:$F,K$7,TIMESHEETS!$B:$B,$B72)</f>
        <v>0</v>
      </c>
      <c r="L71" s="13">
        <f>SUMIFS(TIMESHEETS!$AQ:$AQ,TIMESHEETS!$F:$F,L$7,TIMESHEETS!$B:$B,$B72)</f>
        <v>0</v>
      </c>
      <c r="M71" s="13">
        <f>SUMIFS(TIMESHEETS!$AQ:$AQ,TIMESHEETS!$F:$F,M$7,TIMESHEETS!$B:$B,$B72)</f>
        <v>0</v>
      </c>
      <c r="N71" s="13">
        <f>SUMIFS(TIMESHEETS!$AQ:$AQ,TIMESHEETS!$F:$F,N$7,TIMESHEETS!$B:$B,$B72)</f>
        <v>0</v>
      </c>
      <c r="O71" s="13">
        <f>SUMIFS(TIMESHEETS!$AQ:$AQ,TIMESHEETS!$F:$F,O$7,TIMESHEETS!$B:$B,$B72)</f>
        <v>0</v>
      </c>
      <c r="P71" s="13">
        <f>SUMIFS(TIMESHEETS!$AQ:$AQ,TIMESHEETS!$F:$F,P$7,TIMESHEETS!$B:$B,$B72)</f>
        <v>0</v>
      </c>
      <c r="Q71" s="13">
        <f>SUMIFS(TIMESHEETS!$AQ:$AQ,TIMESHEETS!$F:$F,Q$7,TIMESHEETS!$B:$B,$B72)</f>
        <v>0</v>
      </c>
      <c r="R71" s="13">
        <f>SUMIFS(TIMESHEETS!$AQ:$AQ,TIMESHEETS!$F:$F,R$7,TIMESHEETS!$B:$B,$B72)</f>
        <v>0</v>
      </c>
      <c r="S71" s="13">
        <f>SUMIFS(TIMESHEETS!$AQ:$AQ,TIMESHEETS!$F:$F,S$7,TIMESHEETS!$B:$B,$B72)</f>
        <v>0</v>
      </c>
      <c r="T71" s="13">
        <f>SUMIFS(TIMESHEETS!$AQ:$AQ,TIMESHEETS!$F:$F,T$7,TIMESHEETS!$B:$B,$B72)</f>
        <v>0</v>
      </c>
      <c r="U71" s="13">
        <f>SUMIFS(TIMESHEETS!$AQ:$AQ,TIMESHEETS!$F:$F,U$7,TIMESHEETS!$B:$B,$B72)</f>
        <v>0</v>
      </c>
      <c r="V71" s="13">
        <f>SUMIFS(TIMESHEETS!$AQ:$AQ,TIMESHEETS!$F:$F,V$7,TIMESHEETS!$B:$B,$B72)</f>
        <v>0</v>
      </c>
      <c r="W71" s="13">
        <f>SUMIFS(TIMESHEETS!$AQ:$AQ,TIMESHEETS!$F:$F,W$7,TIMESHEETS!$B:$B,$B72)</f>
        <v>0</v>
      </c>
      <c r="X71" s="13">
        <f>SUMIFS(TIMESHEETS!$AQ:$AQ,TIMESHEETS!$F:$F,X$7,TIMESHEETS!$B:$B,$B72)</f>
        <v>0</v>
      </c>
      <c r="Y71" s="13">
        <f>SUMIFS(TIMESHEETS!$AQ:$AQ,TIMESHEETS!$F:$F,Y$7,TIMESHEETS!$B:$B,$B72)</f>
        <v>0</v>
      </c>
      <c r="Z71" s="13">
        <f>SUMIFS(TIMESHEETS!$AQ:$AQ,TIMESHEETS!$F:$F,Z$7,TIMESHEETS!$B:$B,$B72)</f>
        <v>0</v>
      </c>
      <c r="AA71" s="13">
        <f>SUMIFS(TIMESHEETS!$AQ:$AQ,TIMESHEETS!$F:$F,AA$7,TIMESHEETS!$B:$B,$B72)</f>
        <v>0</v>
      </c>
      <c r="AB71" s="13">
        <f>SUMIFS(TIMESHEETS!$AQ:$AQ,TIMESHEETS!$F:$F,AB$7,TIMESHEETS!$B:$B,$B72)</f>
        <v>0</v>
      </c>
      <c r="AC71" s="13">
        <f>SUMIFS(TIMESHEETS!$AQ:$AQ,TIMESHEETS!$F:$F,AC$7,TIMESHEETS!$B:$B,$B72)</f>
        <v>0</v>
      </c>
      <c r="AD71" s="13">
        <f>SUMIFS(TIMESHEETS!$AQ:$AQ,TIMESHEETS!$F:$F,AD$7,TIMESHEETS!$B:$B,$B72)</f>
        <v>0</v>
      </c>
      <c r="AE71" s="13">
        <f>SUMIFS(TIMESHEETS!$AQ:$AQ,TIMESHEETS!$F:$F,AE$7,TIMESHEETS!$B:$B,$B72)</f>
        <v>0</v>
      </c>
      <c r="AF71" s="13">
        <f>SUMIFS(TIMESHEETS!$AQ:$AQ,TIMESHEETS!$F:$F,AF$7,TIMESHEETS!$B:$B,$B72)</f>
        <v>0</v>
      </c>
      <c r="AG71" s="13">
        <f>SUMIFS(TIMESHEETS!$AQ:$AQ,TIMESHEETS!$F:$F,AG$7,TIMESHEETS!$B:$B,$B72)</f>
        <v>0</v>
      </c>
      <c r="AH71" s="13">
        <f>SUMIFS(TIMESHEETS!$AQ:$AQ,TIMESHEETS!$F:$F,AH$7,TIMESHEETS!$B:$B,$B72)</f>
        <v>0</v>
      </c>
      <c r="AI71" s="13">
        <f>SUMIFS(TIMESHEETS!$AQ:$AQ,TIMESHEETS!$F:$F,AI$7,TIMESHEETS!$B:$B,$B72)</f>
        <v>0</v>
      </c>
      <c r="AJ71" s="13">
        <f>SUMIFS(TIMESHEETS!$AQ:$AQ,TIMESHEETS!$F:$F,AJ$7,TIMESHEETS!$B:$B,$B72)</f>
        <v>0</v>
      </c>
      <c r="AK71" s="4"/>
      <c r="AL71" s="13">
        <f>H71-SUM(J71:AJ71)</f>
        <v>0</v>
      </c>
    </row>
    <row r="72" spans="1:39" ht="15" customHeight="1" x14ac:dyDescent="0.35">
      <c r="A72" s="4"/>
      <c r="B72" s="20"/>
      <c r="C72" s="21"/>
      <c r="D72" s="21"/>
      <c r="E72" s="21"/>
      <c r="F72" s="22"/>
      <c r="G72" s="5"/>
      <c r="H72" s="6"/>
      <c r="I72" s="4"/>
      <c r="J72" s="7">
        <f>SUMIFS(TIMESHEETS!$AO:$AO,TIMESHEETS!$F:$F,J$7,TIMESHEETS!$B:$B,$B72)</f>
        <v>0</v>
      </c>
      <c r="K72" s="7">
        <f>SUMIFS(TIMESHEETS!$AO:$AO,TIMESHEETS!$F:$F,K$7,TIMESHEETS!$B:$B,$B72)</f>
        <v>0</v>
      </c>
      <c r="L72" s="7">
        <f>SUMIFS(TIMESHEETS!$AO:$AO,TIMESHEETS!$F:$F,L$7,TIMESHEETS!$B:$B,$B72)</f>
        <v>0</v>
      </c>
      <c r="M72" s="7">
        <f>SUMIFS(TIMESHEETS!$AO:$AO,TIMESHEETS!$F:$F,M$7,TIMESHEETS!$B:$B,$B72)</f>
        <v>0</v>
      </c>
      <c r="N72" s="7">
        <f>SUMIFS(TIMESHEETS!$AO:$AO,TIMESHEETS!$F:$F,N$7,TIMESHEETS!$B:$B,$B72)</f>
        <v>0</v>
      </c>
      <c r="O72" s="7">
        <f>SUMIFS(TIMESHEETS!$AO:$AO,TIMESHEETS!$F:$F,O$7,TIMESHEETS!$B:$B,$B72)</f>
        <v>0</v>
      </c>
      <c r="P72" s="7">
        <f>SUMIFS(TIMESHEETS!$AO:$AO,TIMESHEETS!$F:$F,P$7,TIMESHEETS!$B:$B,$B72)</f>
        <v>0</v>
      </c>
      <c r="Q72" s="7">
        <f>SUMIFS(TIMESHEETS!$AO:$AO,TIMESHEETS!$F:$F,Q$7,TIMESHEETS!$B:$B,$B72)</f>
        <v>0</v>
      </c>
      <c r="R72" s="7">
        <f>SUMIFS(TIMESHEETS!$AO:$AO,TIMESHEETS!$F:$F,R$7,TIMESHEETS!$B:$B,$B72)</f>
        <v>0</v>
      </c>
      <c r="S72" s="7">
        <f>SUMIFS(TIMESHEETS!$AO:$AO,TIMESHEETS!$F:$F,S$7,TIMESHEETS!$B:$B,$B72)</f>
        <v>0</v>
      </c>
      <c r="T72" s="7">
        <f>SUMIFS(TIMESHEETS!$AO:$AO,TIMESHEETS!$F:$F,T$7,TIMESHEETS!$B:$B,$B72)</f>
        <v>0</v>
      </c>
      <c r="U72" s="7">
        <f>SUMIFS(TIMESHEETS!$AO:$AO,TIMESHEETS!$F:$F,U$7,TIMESHEETS!$B:$B,$B72)</f>
        <v>0</v>
      </c>
      <c r="V72" s="7">
        <f>SUMIFS(TIMESHEETS!$AO:$AO,TIMESHEETS!$F:$F,V$7,TIMESHEETS!$B:$B,$B72)</f>
        <v>0</v>
      </c>
      <c r="W72" s="7">
        <f>SUMIFS(TIMESHEETS!$AO:$AO,TIMESHEETS!$F:$F,W$7,TIMESHEETS!$B:$B,$B72)</f>
        <v>0</v>
      </c>
      <c r="X72" s="7">
        <f>SUMIFS(TIMESHEETS!$AO:$AO,TIMESHEETS!$F:$F,X$7,TIMESHEETS!$B:$B,$B72)</f>
        <v>0</v>
      </c>
      <c r="Y72" s="7">
        <f>SUMIFS(TIMESHEETS!$AO:$AO,TIMESHEETS!$F:$F,Y$7,TIMESHEETS!$B:$B,$B72)</f>
        <v>0</v>
      </c>
      <c r="Z72" s="7">
        <f>SUMIFS(TIMESHEETS!$AO:$AO,TIMESHEETS!$F:$F,Z$7,TIMESHEETS!$B:$B,$B72)</f>
        <v>0</v>
      </c>
      <c r="AA72" s="7">
        <f>SUMIFS(TIMESHEETS!$AO:$AO,TIMESHEETS!$F:$F,AA$7,TIMESHEETS!$B:$B,$B72)</f>
        <v>0</v>
      </c>
      <c r="AB72" s="7">
        <f>SUMIFS(TIMESHEETS!$AO:$AO,TIMESHEETS!$F:$F,AB$7,TIMESHEETS!$B:$B,$B72)</f>
        <v>0</v>
      </c>
      <c r="AC72" s="7">
        <f>SUMIFS(TIMESHEETS!$AO:$AO,TIMESHEETS!$F:$F,AC$7,TIMESHEETS!$B:$B,$B72)</f>
        <v>0</v>
      </c>
      <c r="AD72" s="7">
        <f>SUMIFS(TIMESHEETS!$AO:$AO,TIMESHEETS!$F:$F,AD$7,TIMESHEETS!$B:$B,$B72)</f>
        <v>0</v>
      </c>
      <c r="AE72" s="7">
        <f>SUMIFS(TIMESHEETS!$AO:$AO,TIMESHEETS!$F:$F,AE$7,TIMESHEETS!$B:$B,$B72)</f>
        <v>0</v>
      </c>
      <c r="AF72" s="7">
        <f>SUMIFS(TIMESHEETS!$AO:$AO,TIMESHEETS!$F:$F,AF$7,TIMESHEETS!$B:$B,$B72)</f>
        <v>0</v>
      </c>
      <c r="AG72" s="7">
        <f>SUMIFS(TIMESHEETS!$AO:$AO,TIMESHEETS!$F:$F,AG$7,TIMESHEETS!$B:$B,$B72)</f>
        <v>0</v>
      </c>
      <c r="AH72" s="7">
        <f>SUMIFS(TIMESHEETS!$AO:$AO,TIMESHEETS!$F:$F,AH$7,TIMESHEETS!$B:$B,$B72)</f>
        <v>0</v>
      </c>
      <c r="AI72" s="7">
        <f>SUMIFS(TIMESHEETS!$AO:$AO,TIMESHEETS!$F:$F,AI$7,TIMESHEETS!$B:$B,$B72)</f>
        <v>0</v>
      </c>
      <c r="AJ72" s="7">
        <f>SUMIFS(TIMESHEETS!$AO:$AO,TIMESHEETS!$F:$F,AJ$7,TIMESHEETS!$B:$B,$B72)</f>
        <v>0</v>
      </c>
      <c r="AK72" s="4"/>
      <c r="AL72" s="7">
        <f>H72-SUM(J72:AJ72)</f>
        <v>0</v>
      </c>
    </row>
    <row r="73" spans="1:39" ht="15" customHeight="1" x14ac:dyDescent="0.35">
      <c r="A73" s="4"/>
      <c r="B73" s="23"/>
      <c r="C73" s="23"/>
      <c r="D73" s="23"/>
      <c r="E73" s="23"/>
      <c r="F73" s="23"/>
      <c r="G73" s="5"/>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row>
    <row r="74" spans="1:39" ht="15" customHeight="1" x14ac:dyDescent="0.35">
      <c r="A74" s="4"/>
      <c r="B74" s="17"/>
      <c r="C74" s="18"/>
      <c r="D74" s="18"/>
      <c r="E74" s="18"/>
      <c r="F74" s="19"/>
      <c r="G74" s="5"/>
      <c r="H74" s="12"/>
      <c r="I74" s="4"/>
      <c r="J74" s="13">
        <f>SUMIFS(TIMESHEETS!$AQ:$AQ,TIMESHEETS!$F:$F,J$7,TIMESHEETS!$B:$B,$B75)</f>
        <v>0</v>
      </c>
      <c r="K74" s="13">
        <f>SUMIFS(TIMESHEETS!$AQ:$AQ,TIMESHEETS!$F:$F,K$7,TIMESHEETS!$B:$B,$B75)</f>
        <v>0</v>
      </c>
      <c r="L74" s="13">
        <f>SUMIFS(TIMESHEETS!$AQ:$AQ,TIMESHEETS!$F:$F,L$7,TIMESHEETS!$B:$B,$B75)</f>
        <v>0</v>
      </c>
      <c r="M74" s="13">
        <f>SUMIFS(TIMESHEETS!$AQ:$AQ,TIMESHEETS!$F:$F,M$7,TIMESHEETS!$B:$B,$B75)</f>
        <v>0</v>
      </c>
      <c r="N74" s="13">
        <f>SUMIFS(TIMESHEETS!$AQ:$AQ,TIMESHEETS!$F:$F,N$7,TIMESHEETS!$B:$B,$B75)</f>
        <v>0</v>
      </c>
      <c r="O74" s="13">
        <f>SUMIFS(TIMESHEETS!$AQ:$AQ,TIMESHEETS!$F:$F,O$7,TIMESHEETS!$B:$B,$B75)</f>
        <v>0</v>
      </c>
      <c r="P74" s="13">
        <f>SUMIFS(TIMESHEETS!$AQ:$AQ,TIMESHEETS!$F:$F,P$7,TIMESHEETS!$B:$B,$B75)</f>
        <v>0</v>
      </c>
      <c r="Q74" s="13">
        <f>SUMIFS(TIMESHEETS!$AQ:$AQ,TIMESHEETS!$F:$F,Q$7,TIMESHEETS!$B:$B,$B75)</f>
        <v>0</v>
      </c>
      <c r="R74" s="13">
        <f>SUMIFS(TIMESHEETS!$AQ:$AQ,TIMESHEETS!$F:$F,R$7,TIMESHEETS!$B:$B,$B75)</f>
        <v>0</v>
      </c>
      <c r="S74" s="13">
        <f>SUMIFS(TIMESHEETS!$AQ:$AQ,TIMESHEETS!$F:$F,S$7,TIMESHEETS!$B:$B,$B75)</f>
        <v>0</v>
      </c>
      <c r="T74" s="13">
        <f>SUMIFS(TIMESHEETS!$AQ:$AQ,TIMESHEETS!$F:$F,T$7,TIMESHEETS!$B:$B,$B75)</f>
        <v>0</v>
      </c>
      <c r="U74" s="13">
        <f>SUMIFS(TIMESHEETS!$AQ:$AQ,TIMESHEETS!$F:$F,U$7,TIMESHEETS!$B:$B,$B75)</f>
        <v>0</v>
      </c>
      <c r="V74" s="13">
        <f>SUMIFS(TIMESHEETS!$AQ:$AQ,TIMESHEETS!$F:$F,V$7,TIMESHEETS!$B:$B,$B75)</f>
        <v>0</v>
      </c>
      <c r="W74" s="13">
        <f>SUMIFS(TIMESHEETS!$AQ:$AQ,TIMESHEETS!$F:$F,W$7,TIMESHEETS!$B:$B,$B75)</f>
        <v>0</v>
      </c>
      <c r="X74" s="13">
        <f>SUMIFS(TIMESHEETS!$AQ:$AQ,TIMESHEETS!$F:$F,X$7,TIMESHEETS!$B:$B,$B75)</f>
        <v>0</v>
      </c>
      <c r="Y74" s="13">
        <f>SUMIFS(TIMESHEETS!$AQ:$AQ,TIMESHEETS!$F:$F,Y$7,TIMESHEETS!$B:$B,$B75)</f>
        <v>0</v>
      </c>
      <c r="Z74" s="13">
        <f>SUMIFS(TIMESHEETS!$AQ:$AQ,TIMESHEETS!$F:$F,Z$7,TIMESHEETS!$B:$B,$B75)</f>
        <v>0</v>
      </c>
      <c r="AA74" s="13">
        <f>SUMIFS(TIMESHEETS!$AQ:$AQ,TIMESHEETS!$F:$F,AA$7,TIMESHEETS!$B:$B,$B75)</f>
        <v>0</v>
      </c>
      <c r="AB74" s="13">
        <f>SUMIFS(TIMESHEETS!$AQ:$AQ,TIMESHEETS!$F:$F,AB$7,TIMESHEETS!$B:$B,$B75)</f>
        <v>0</v>
      </c>
      <c r="AC74" s="13">
        <f>SUMIFS(TIMESHEETS!$AQ:$AQ,TIMESHEETS!$F:$F,AC$7,TIMESHEETS!$B:$B,$B75)</f>
        <v>0</v>
      </c>
      <c r="AD74" s="13">
        <f>SUMIFS(TIMESHEETS!$AQ:$AQ,TIMESHEETS!$F:$F,AD$7,TIMESHEETS!$B:$B,$B75)</f>
        <v>0</v>
      </c>
      <c r="AE74" s="13">
        <f>SUMIFS(TIMESHEETS!$AQ:$AQ,TIMESHEETS!$F:$F,AE$7,TIMESHEETS!$B:$B,$B75)</f>
        <v>0</v>
      </c>
      <c r="AF74" s="13">
        <f>SUMIFS(TIMESHEETS!$AQ:$AQ,TIMESHEETS!$F:$F,AF$7,TIMESHEETS!$B:$B,$B75)</f>
        <v>0</v>
      </c>
      <c r="AG74" s="13">
        <f>SUMIFS(TIMESHEETS!$AQ:$AQ,TIMESHEETS!$F:$F,AG$7,TIMESHEETS!$B:$B,$B75)</f>
        <v>0</v>
      </c>
      <c r="AH74" s="13">
        <f>SUMIFS(TIMESHEETS!$AQ:$AQ,TIMESHEETS!$F:$F,AH$7,TIMESHEETS!$B:$B,$B75)</f>
        <v>0</v>
      </c>
      <c r="AI74" s="13">
        <f>SUMIFS(TIMESHEETS!$AQ:$AQ,TIMESHEETS!$F:$F,AI$7,TIMESHEETS!$B:$B,$B75)</f>
        <v>0</v>
      </c>
      <c r="AJ74" s="13">
        <f>SUMIFS(TIMESHEETS!$AQ:$AQ,TIMESHEETS!$F:$F,AJ$7,TIMESHEETS!$B:$B,$B75)</f>
        <v>0</v>
      </c>
      <c r="AK74" s="4"/>
      <c r="AL74" s="13">
        <f>H74-SUM(J74:AJ74)</f>
        <v>0</v>
      </c>
    </row>
    <row r="75" spans="1:39" ht="15" customHeight="1" x14ac:dyDescent="0.35">
      <c r="A75" s="4"/>
      <c r="B75" s="20"/>
      <c r="C75" s="21"/>
      <c r="D75" s="21"/>
      <c r="E75" s="21"/>
      <c r="F75" s="22"/>
      <c r="G75" s="5"/>
      <c r="H75" s="6"/>
      <c r="I75" s="4"/>
      <c r="J75" s="7">
        <f>SUMIFS(TIMESHEETS!$AO:$AO,TIMESHEETS!$F:$F,J$7,TIMESHEETS!$B:$B,$B75)</f>
        <v>0</v>
      </c>
      <c r="K75" s="7">
        <f>SUMIFS(TIMESHEETS!$AO:$AO,TIMESHEETS!$F:$F,K$7,TIMESHEETS!$B:$B,$B75)</f>
        <v>0</v>
      </c>
      <c r="L75" s="7">
        <f>SUMIFS(TIMESHEETS!$AO:$AO,TIMESHEETS!$F:$F,L$7,TIMESHEETS!$B:$B,$B75)</f>
        <v>0</v>
      </c>
      <c r="M75" s="7">
        <f>SUMIFS(TIMESHEETS!$AO:$AO,TIMESHEETS!$F:$F,M$7,TIMESHEETS!$B:$B,$B75)</f>
        <v>0</v>
      </c>
      <c r="N75" s="7">
        <f>SUMIFS(TIMESHEETS!$AO:$AO,TIMESHEETS!$F:$F,N$7,TIMESHEETS!$B:$B,$B75)</f>
        <v>0</v>
      </c>
      <c r="O75" s="7">
        <f>SUMIFS(TIMESHEETS!$AO:$AO,TIMESHEETS!$F:$F,O$7,TIMESHEETS!$B:$B,$B75)</f>
        <v>0</v>
      </c>
      <c r="P75" s="7">
        <f>SUMIFS(TIMESHEETS!$AO:$AO,TIMESHEETS!$F:$F,P$7,TIMESHEETS!$B:$B,$B75)</f>
        <v>0</v>
      </c>
      <c r="Q75" s="7">
        <f>SUMIFS(TIMESHEETS!$AO:$AO,TIMESHEETS!$F:$F,Q$7,TIMESHEETS!$B:$B,$B75)</f>
        <v>0</v>
      </c>
      <c r="R75" s="7">
        <f>SUMIFS(TIMESHEETS!$AO:$AO,TIMESHEETS!$F:$F,R$7,TIMESHEETS!$B:$B,$B75)</f>
        <v>0</v>
      </c>
      <c r="S75" s="7">
        <f>SUMIFS(TIMESHEETS!$AO:$AO,TIMESHEETS!$F:$F,S$7,TIMESHEETS!$B:$B,$B75)</f>
        <v>0</v>
      </c>
      <c r="T75" s="7">
        <f>SUMIFS(TIMESHEETS!$AO:$AO,TIMESHEETS!$F:$F,T$7,TIMESHEETS!$B:$B,$B75)</f>
        <v>0</v>
      </c>
      <c r="U75" s="7">
        <f>SUMIFS(TIMESHEETS!$AO:$AO,TIMESHEETS!$F:$F,U$7,TIMESHEETS!$B:$B,$B75)</f>
        <v>0</v>
      </c>
      <c r="V75" s="7">
        <f>SUMIFS(TIMESHEETS!$AO:$AO,TIMESHEETS!$F:$F,V$7,TIMESHEETS!$B:$B,$B75)</f>
        <v>0</v>
      </c>
      <c r="W75" s="7">
        <f>SUMIFS(TIMESHEETS!$AO:$AO,TIMESHEETS!$F:$F,W$7,TIMESHEETS!$B:$B,$B75)</f>
        <v>0</v>
      </c>
      <c r="X75" s="7">
        <f>SUMIFS(TIMESHEETS!$AO:$AO,TIMESHEETS!$F:$F,X$7,TIMESHEETS!$B:$B,$B75)</f>
        <v>0</v>
      </c>
      <c r="Y75" s="7">
        <f>SUMIFS(TIMESHEETS!$AO:$AO,TIMESHEETS!$F:$F,Y$7,TIMESHEETS!$B:$B,$B75)</f>
        <v>0</v>
      </c>
      <c r="Z75" s="7">
        <f>SUMIFS(TIMESHEETS!$AO:$AO,TIMESHEETS!$F:$F,Z$7,TIMESHEETS!$B:$B,$B75)</f>
        <v>0</v>
      </c>
      <c r="AA75" s="7">
        <f>SUMIFS(TIMESHEETS!$AO:$AO,TIMESHEETS!$F:$F,AA$7,TIMESHEETS!$B:$B,$B75)</f>
        <v>0</v>
      </c>
      <c r="AB75" s="7">
        <f>SUMIFS(TIMESHEETS!$AO:$AO,TIMESHEETS!$F:$F,AB$7,TIMESHEETS!$B:$B,$B75)</f>
        <v>0</v>
      </c>
      <c r="AC75" s="7">
        <f>SUMIFS(TIMESHEETS!$AO:$AO,TIMESHEETS!$F:$F,AC$7,TIMESHEETS!$B:$B,$B75)</f>
        <v>0</v>
      </c>
      <c r="AD75" s="7">
        <f>SUMIFS(TIMESHEETS!$AO:$AO,TIMESHEETS!$F:$F,AD$7,TIMESHEETS!$B:$B,$B75)</f>
        <v>0</v>
      </c>
      <c r="AE75" s="7">
        <f>SUMIFS(TIMESHEETS!$AO:$AO,TIMESHEETS!$F:$F,AE$7,TIMESHEETS!$B:$B,$B75)</f>
        <v>0</v>
      </c>
      <c r="AF75" s="7">
        <f>SUMIFS(TIMESHEETS!$AO:$AO,TIMESHEETS!$F:$F,AF$7,TIMESHEETS!$B:$B,$B75)</f>
        <v>0</v>
      </c>
      <c r="AG75" s="7">
        <f>SUMIFS(TIMESHEETS!$AO:$AO,TIMESHEETS!$F:$F,AG$7,TIMESHEETS!$B:$B,$B75)</f>
        <v>0</v>
      </c>
      <c r="AH75" s="7">
        <f>SUMIFS(TIMESHEETS!$AO:$AO,TIMESHEETS!$F:$F,AH$7,TIMESHEETS!$B:$B,$B75)</f>
        <v>0</v>
      </c>
      <c r="AI75" s="7">
        <f>SUMIFS(TIMESHEETS!$AO:$AO,TIMESHEETS!$F:$F,AI$7,TIMESHEETS!$B:$B,$B75)</f>
        <v>0</v>
      </c>
      <c r="AJ75" s="7">
        <f>SUMIFS(TIMESHEETS!$AO:$AO,TIMESHEETS!$F:$F,AJ$7,TIMESHEETS!$B:$B,$B75)</f>
        <v>0</v>
      </c>
      <c r="AK75" s="4"/>
      <c r="AL75" s="7">
        <f>H75-SUM(J75:AJ75)</f>
        <v>0</v>
      </c>
    </row>
    <row r="76" spans="1:39" ht="15" customHeight="1" x14ac:dyDescent="0.35">
      <c r="A76" s="4"/>
      <c r="B76" s="23"/>
      <c r="C76" s="23"/>
      <c r="D76" s="23"/>
      <c r="E76" s="23"/>
      <c r="F76" s="23"/>
      <c r="G76" s="5"/>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row>
    <row r="77" spans="1:39" ht="15" customHeight="1" x14ac:dyDescent="0.35">
      <c r="A77" s="4"/>
      <c r="B77" s="17"/>
      <c r="C77" s="18"/>
      <c r="D77" s="18"/>
      <c r="E77" s="18"/>
      <c r="F77" s="19"/>
      <c r="G77" s="5"/>
      <c r="H77" s="12"/>
      <c r="I77" s="4"/>
      <c r="J77" s="13">
        <f>SUMIFS(TIMESHEETS!$AQ:$AQ,TIMESHEETS!$F:$F,J$7,TIMESHEETS!$B:$B,$B78)</f>
        <v>0</v>
      </c>
      <c r="K77" s="13">
        <f>SUMIFS(TIMESHEETS!$AQ:$AQ,TIMESHEETS!$F:$F,K$7,TIMESHEETS!$B:$B,$B78)</f>
        <v>0</v>
      </c>
      <c r="L77" s="13">
        <f>SUMIFS(TIMESHEETS!$AQ:$AQ,TIMESHEETS!$F:$F,L$7,TIMESHEETS!$B:$B,$B78)</f>
        <v>0</v>
      </c>
      <c r="M77" s="13">
        <f>SUMIFS(TIMESHEETS!$AQ:$AQ,TIMESHEETS!$F:$F,M$7,TIMESHEETS!$B:$B,$B78)</f>
        <v>0</v>
      </c>
      <c r="N77" s="13">
        <f>SUMIFS(TIMESHEETS!$AQ:$AQ,TIMESHEETS!$F:$F,N$7,TIMESHEETS!$B:$B,$B78)</f>
        <v>0</v>
      </c>
      <c r="O77" s="13">
        <f>SUMIFS(TIMESHEETS!$AQ:$AQ,TIMESHEETS!$F:$F,O$7,TIMESHEETS!$B:$B,$B78)</f>
        <v>0</v>
      </c>
      <c r="P77" s="13">
        <f>SUMIFS(TIMESHEETS!$AQ:$AQ,TIMESHEETS!$F:$F,P$7,TIMESHEETS!$B:$B,$B78)</f>
        <v>0</v>
      </c>
      <c r="Q77" s="13">
        <f>SUMIFS(TIMESHEETS!$AQ:$AQ,TIMESHEETS!$F:$F,Q$7,TIMESHEETS!$B:$B,$B78)</f>
        <v>0</v>
      </c>
      <c r="R77" s="13">
        <f>SUMIFS(TIMESHEETS!$AQ:$AQ,TIMESHEETS!$F:$F,R$7,TIMESHEETS!$B:$B,$B78)</f>
        <v>0</v>
      </c>
      <c r="S77" s="13">
        <f>SUMIFS(TIMESHEETS!$AQ:$AQ,TIMESHEETS!$F:$F,S$7,TIMESHEETS!$B:$B,$B78)</f>
        <v>0</v>
      </c>
      <c r="T77" s="13">
        <f>SUMIFS(TIMESHEETS!$AQ:$AQ,TIMESHEETS!$F:$F,T$7,TIMESHEETS!$B:$B,$B78)</f>
        <v>0</v>
      </c>
      <c r="U77" s="13">
        <f>SUMIFS(TIMESHEETS!$AQ:$AQ,TIMESHEETS!$F:$F,U$7,TIMESHEETS!$B:$B,$B78)</f>
        <v>0</v>
      </c>
      <c r="V77" s="13">
        <f>SUMIFS(TIMESHEETS!$AQ:$AQ,TIMESHEETS!$F:$F,V$7,TIMESHEETS!$B:$B,$B78)</f>
        <v>0</v>
      </c>
      <c r="W77" s="13">
        <f>SUMIFS(TIMESHEETS!$AQ:$AQ,TIMESHEETS!$F:$F,W$7,TIMESHEETS!$B:$B,$B78)</f>
        <v>0</v>
      </c>
      <c r="X77" s="13">
        <f>SUMIFS(TIMESHEETS!$AQ:$AQ,TIMESHEETS!$F:$F,X$7,TIMESHEETS!$B:$B,$B78)</f>
        <v>0</v>
      </c>
      <c r="Y77" s="13">
        <f>SUMIFS(TIMESHEETS!$AQ:$AQ,TIMESHEETS!$F:$F,Y$7,TIMESHEETS!$B:$B,$B78)</f>
        <v>0</v>
      </c>
      <c r="Z77" s="13">
        <f>SUMIFS(TIMESHEETS!$AQ:$AQ,TIMESHEETS!$F:$F,Z$7,TIMESHEETS!$B:$B,$B78)</f>
        <v>0</v>
      </c>
      <c r="AA77" s="13">
        <f>SUMIFS(TIMESHEETS!$AQ:$AQ,TIMESHEETS!$F:$F,AA$7,TIMESHEETS!$B:$B,$B78)</f>
        <v>0</v>
      </c>
      <c r="AB77" s="13">
        <f>SUMIFS(TIMESHEETS!$AQ:$AQ,TIMESHEETS!$F:$F,AB$7,TIMESHEETS!$B:$B,$B78)</f>
        <v>0</v>
      </c>
      <c r="AC77" s="13">
        <f>SUMIFS(TIMESHEETS!$AQ:$AQ,TIMESHEETS!$F:$F,AC$7,TIMESHEETS!$B:$B,$B78)</f>
        <v>0</v>
      </c>
      <c r="AD77" s="13">
        <f>SUMIFS(TIMESHEETS!$AQ:$AQ,TIMESHEETS!$F:$F,AD$7,TIMESHEETS!$B:$B,$B78)</f>
        <v>0</v>
      </c>
      <c r="AE77" s="13">
        <f>SUMIFS(TIMESHEETS!$AQ:$AQ,TIMESHEETS!$F:$F,AE$7,TIMESHEETS!$B:$B,$B78)</f>
        <v>0</v>
      </c>
      <c r="AF77" s="13">
        <f>SUMIFS(TIMESHEETS!$AQ:$AQ,TIMESHEETS!$F:$F,AF$7,TIMESHEETS!$B:$B,$B78)</f>
        <v>0</v>
      </c>
      <c r="AG77" s="13">
        <f>SUMIFS(TIMESHEETS!$AQ:$AQ,TIMESHEETS!$F:$F,AG$7,TIMESHEETS!$B:$B,$B78)</f>
        <v>0</v>
      </c>
      <c r="AH77" s="13">
        <f>SUMIFS(TIMESHEETS!$AQ:$AQ,TIMESHEETS!$F:$F,AH$7,TIMESHEETS!$B:$B,$B78)</f>
        <v>0</v>
      </c>
      <c r="AI77" s="13">
        <f>SUMIFS(TIMESHEETS!$AQ:$AQ,TIMESHEETS!$F:$F,AI$7,TIMESHEETS!$B:$B,$B78)</f>
        <v>0</v>
      </c>
      <c r="AJ77" s="13">
        <f>SUMIFS(TIMESHEETS!$AQ:$AQ,TIMESHEETS!$F:$F,AJ$7,TIMESHEETS!$B:$B,$B78)</f>
        <v>0</v>
      </c>
      <c r="AK77" s="4"/>
      <c r="AL77" s="13">
        <f>H77-SUM(J77:AJ77)</f>
        <v>0</v>
      </c>
    </row>
    <row r="78" spans="1:39" ht="15" customHeight="1" x14ac:dyDescent="0.35">
      <c r="A78" s="4"/>
      <c r="B78" s="20"/>
      <c r="C78" s="21"/>
      <c r="D78" s="21"/>
      <c r="E78" s="21"/>
      <c r="F78" s="22"/>
      <c r="G78" s="5"/>
      <c r="H78" s="6"/>
      <c r="I78" s="4"/>
      <c r="J78" s="7">
        <f>SUMIFS(TIMESHEETS!$AO:$AO,TIMESHEETS!$F:$F,J$7,TIMESHEETS!$B:$B,$B78)</f>
        <v>0</v>
      </c>
      <c r="K78" s="7">
        <f>SUMIFS(TIMESHEETS!$AO:$AO,TIMESHEETS!$F:$F,K$7,TIMESHEETS!$B:$B,$B78)</f>
        <v>0</v>
      </c>
      <c r="L78" s="7">
        <f>SUMIFS(TIMESHEETS!$AO:$AO,TIMESHEETS!$F:$F,L$7,TIMESHEETS!$B:$B,$B78)</f>
        <v>0</v>
      </c>
      <c r="M78" s="7">
        <f>SUMIFS(TIMESHEETS!$AO:$AO,TIMESHEETS!$F:$F,M$7,TIMESHEETS!$B:$B,$B78)</f>
        <v>0</v>
      </c>
      <c r="N78" s="7">
        <f>SUMIFS(TIMESHEETS!$AO:$AO,TIMESHEETS!$F:$F,N$7,TIMESHEETS!$B:$B,$B78)</f>
        <v>0</v>
      </c>
      <c r="O78" s="7">
        <f>SUMIFS(TIMESHEETS!$AO:$AO,TIMESHEETS!$F:$F,O$7,TIMESHEETS!$B:$B,$B78)</f>
        <v>0</v>
      </c>
      <c r="P78" s="7">
        <f>SUMIFS(TIMESHEETS!$AO:$AO,TIMESHEETS!$F:$F,P$7,TIMESHEETS!$B:$B,$B78)</f>
        <v>0</v>
      </c>
      <c r="Q78" s="7">
        <f>SUMIFS(TIMESHEETS!$AO:$AO,TIMESHEETS!$F:$F,Q$7,TIMESHEETS!$B:$B,$B78)</f>
        <v>0</v>
      </c>
      <c r="R78" s="7">
        <f>SUMIFS(TIMESHEETS!$AO:$AO,TIMESHEETS!$F:$F,R$7,TIMESHEETS!$B:$B,$B78)</f>
        <v>0</v>
      </c>
      <c r="S78" s="7">
        <f>SUMIFS(TIMESHEETS!$AO:$AO,TIMESHEETS!$F:$F,S$7,TIMESHEETS!$B:$B,$B78)</f>
        <v>0</v>
      </c>
      <c r="T78" s="7">
        <f>SUMIFS(TIMESHEETS!$AO:$AO,TIMESHEETS!$F:$F,T$7,TIMESHEETS!$B:$B,$B78)</f>
        <v>0</v>
      </c>
      <c r="U78" s="7">
        <f>SUMIFS(TIMESHEETS!$AO:$AO,TIMESHEETS!$F:$F,U$7,TIMESHEETS!$B:$B,$B78)</f>
        <v>0</v>
      </c>
      <c r="V78" s="7">
        <f>SUMIFS(TIMESHEETS!$AO:$AO,TIMESHEETS!$F:$F,V$7,TIMESHEETS!$B:$B,$B78)</f>
        <v>0</v>
      </c>
      <c r="W78" s="7">
        <f>SUMIFS(TIMESHEETS!$AO:$AO,TIMESHEETS!$F:$F,W$7,TIMESHEETS!$B:$B,$B78)</f>
        <v>0</v>
      </c>
      <c r="X78" s="7">
        <f>SUMIFS(TIMESHEETS!$AO:$AO,TIMESHEETS!$F:$F,X$7,TIMESHEETS!$B:$B,$B78)</f>
        <v>0</v>
      </c>
      <c r="Y78" s="7">
        <f>SUMIFS(TIMESHEETS!$AO:$AO,TIMESHEETS!$F:$F,Y$7,TIMESHEETS!$B:$B,$B78)</f>
        <v>0</v>
      </c>
      <c r="Z78" s="7">
        <f>SUMIFS(TIMESHEETS!$AO:$AO,TIMESHEETS!$F:$F,Z$7,TIMESHEETS!$B:$B,$B78)</f>
        <v>0</v>
      </c>
      <c r="AA78" s="7">
        <f>SUMIFS(TIMESHEETS!$AO:$AO,TIMESHEETS!$F:$F,AA$7,TIMESHEETS!$B:$B,$B78)</f>
        <v>0</v>
      </c>
      <c r="AB78" s="7">
        <f>SUMIFS(TIMESHEETS!$AO:$AO,TIMESHEETS!$F:$F,AB$7,TIMESHEETS!$B:$B,$B78)</f>
        <v>0</v>
      </c>
      <c r="AC78" s="7">
        <f>SUMIFS(TIMESHEETS!$AO:$AO,TIMESHEETS!$F:$F,AC$7,TIMESHEETS!$B:$B,$B78)</f>
        <v>0</v>
      </c>
      <c r="AD78" s="7">
        <f>SUMIFS(TIMESHEETS!$AO:$AO,TIMESHEETS!$F:$F,AD$7,TIMESHEETS!$B:$B,$B78)</f>
        <v>0</v>
      </c>
      <c r="AE78" s="7">
        <f>SUMIFS(TIMESHEETS!$AO:$AO,TIMESHEETS!$F:$F,AE$7,TIMESHEETS!$B:$B,$B78)</f>
        <v>0</v>
      </c>
      <c r="AF78" s="7">
        <f>SUMIFS(TIMESHEETS!$AO:$AO,TIMESHEETS!$F:$F,AF$7,TIMESHEETS!$B:$B,$B78)</f>
        <v>0</v>
      </c>
      <c r="AG78" s="7">
        <f>SUMIFS(TIMESHEETS!$AO:$AO,TIMESHEETS!$F:$F,AG$7,TIMESHEETS!$B:$B,$B78)</f>
        <v>0</v>
      </c>
      <c r="AH78" s="7">
        <f>SUMIFS(TIMESHEETS!$AO:$AO,TIMESHEETS!$F:$F,AH$7,TIMESHEETS!$B:$B,$B78)</f>
        <v>0</v>
      </c>
      <c r="AI78" s="7">
        <f>SUMIFS(TIMESHEETS!$AO:$AO,TIMESHEETS!$F:$F,AI$7,TIMESHEETS!$B:$B,$B78)</f>
        <v>0</v>
      </c>
      <c r="AJ78" s="7">
        <f>SUMIFS(TIMESHEETS!$AO:$AO,TIMESHEETS!$F:$F,AJ$7,TIMESHEETS!$B:$B,$B78)</f>
        <v>0</v>
      </c>
      <c r="AK78" s="4"/>
      <c r="AL78" s="7">
        <f>H78-SUM(J78:AJ78)</f>
        <v>0</v>
      </c>
    </row>
    <row r="79" spans="1:39" ht="15" customHeight="1" x14ac:dyDescent="0.35">
      <c r="A79" s="4"/>
      <c r="B79" s="23"/>
      <c r="C79" s="23"/>
      <c r="D79" s="23"/>
      <c r="E79" s="23"/>
      <c r="F79" s="23"/>
      <c r="G79" s="5"/>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row>
    <row r="80" spans="1:39" ht="15" customHeight="1" x14ac:dyDescent="0.35">
      <c r="A80" s="4"/>
      <c r="B80" s="17"/>
      <c r="C80" s="18"/>
      <c r="D80" s="18"/>
      <c r="E80" s="18"/>
      <c r="F80" s="19"/>
      <c r="G80" s="5"/>
      <c r="H80" s="12"/>
      <c r="I80" s="4"/>
      <c r="J80" s="13">
        <f>SUMIFS(TIMESHEETS!$AQ:$AQ,TIMESHEETS!$F:$F,J$7,TIMESHEETS!$B:$B,$B81)</f>
        <v>0</v>
      </c>
      <c r="K80" s="13">
        <f>SUMIFS(TIMESHEETS!$AQ:$AQ,TIMESHEETS!$F:$F,K$7,TIMESHEETS!$B:$B,$B81)</f>
        <v>0</v>
      </c>
      <c r="L80" s="13">
        <f>SUMIFS(TIMESHEETS!$AQ:$AQ,TIMESHEETS!$F:$F,L$7,TIMESHEETS!$B:$B,$B81)</f>
        <v>0</v>
      </c>
      <c r="M80" s="13">
        <f>SUMIFS(TIMESHEETS!$AQ:$AQ,TIMESHEETS!$F:$F,M$7,TIMESHEETS!$B:$B,$B81)</f>
        <v>0</v>
      </c>
      <c r="N80" s="13">
        <f>SUMIFS(TIMESHEETS!$AQ:$AQ,TIMESHEETS!$F:$F,N$7,TIMESHEETS!$B:$B,$B81)</f>
        <v>0</v>
      </c>
      <c r="O80" s="13">
        <f>SUMIFS(TIMESHEETS!$AQ:$AQ,TIMESHEETS!$F:$F,O$7,TIMESHEETS!$B:$B,$B81)</f>
        <v>0</v>
      </c>
      <c r="P80" s="13">
        <f>SUMIFS(TIMESHEETS!$AQ:$AQ,TIMESHEETS!$F:$F,P$7,TIMESHEETS!$B:$B,$B81)</f>
        <v>0</v>
      </c>
      <c r="Q80" s="13">
        <f>SUMIFS(TIMESHEETS!$AQ:$AQ,TIMESHEETS!$F:$F,Q$7,TIMESHEETS!$B:$B,$B81)</f>
        <v>0</v>
      </c>
      <c r="R80" s="13">
        <f>SUMIFS(TIMESHEETS!$AQ:$AQ,TIMESHEETS!$F:$F,R$7,TIMESHEETS!$B:$B,$B81)</f>
        <v>0</v>
      </c>
      <c r="S80" s="13">
        <f>SUMIFS(TIMESHEETS!$AQ:$AQ,TIMESHEETS!$F:$F,S$7,TIMESHEETS!$B:$B,$B81)</f>
        <v>0</v>
      </c>
      <c r="T80" s="13">
        <f>SUMIFS(TIMESHEETS!$AQ:$AQ,TIMESHEETS!$F:$F,T$7,TIMESHEETS!$B:$B,$B81)</f>
        <v>0</v>
      </c>
      <c r="U80" s="13">
        <f>SUMIFS(TIMESHEETS!$AQ:$AQ,TIMESHEETS!$F:$F,U$7,TIMESHEETS!$B:$B,$B81)</f>
        <v>0</v>
      </c>
      <c r="V80" s="13">
        <f>SUMIFS(TIMESHEETS!$AQ:$AQ,TIMESHEETS!$F:$F,V$7,TIMESHEETS!$B:$B,$B81)</f>
        <v>0</v>
      </c>
      <c r="W80" s="13">
        <f>SUMIFS(TIMESHEETS!$AQ:$AQ,TIMESHEETS!$F:$F,W$7,TIMESHEETS!$B:$B,$B81)</f>
        <v>0</v>
      </c>
      <c r="X80" s="13">
        <f>SUMIFS(TIMESHEETS!$AQ:$AQ,TIMESHEETS!$F:$F,X$7,TIMESHEETS!$B:$B,$B81)</f>
        <v>0</v>
      </c>
      <c r="Y80" s="13">
        <f>SUMIFS(TIMESHEETS!$AQ:$AQ,TIMESHEETS!$F:$F,Y$7,TIMESHEETS!$B:$B,$B81)</f>
        <v>0</v>
      </c>
      <c r="Z80" s="13">
        <f>SUMIFS(TIMESHEETS!$AQ:$AQ,TIMESHEETS!$F:$F,Z$7,TIMESHEETS!$B:$B,$B81)</f>
        <v>0</v>
      </c>
      <c r="AA80" s="13">
        <f>SUMIFS(TIMESHEETS!$AQ:$AQ,TIMESHEETS!$F:$F,AA$7,TIMESHEETS!$B:$B,$B81)</f>
        <v>0</v>
      </c>
      <c r="AB80" s="13">
        <f>SUMIFS(TIMESHEETS!$AQ:$AQ,TIMESHEETS!$F:$F,AB$7,TIMESHEETS!$B:$B,$B81)</f>
        <v>0</v>
      </c>
      <c r="AC80" s="13">
        <f>SUMIFS(TIMESHEETS!$AQ:$AQ,TIMESHEETS!$F:$F,AC$7,TIMESHEETS!$B:$B,$B81)</f>
        <v>0</v>
      </c>
      <c r="AD80" s="13">
        <f>SUMIFS(TIMESHEETS!$AQ:$AQ,TIMESHEETS!$F:$F,AD$7,TIMESHEETS!$B:$B,$B81)</f>
        <v>0</v>
      </c>
      <c r="AE80" s="13">
        <f>SUMIFS(TIMESHEETS!$AQ:$AQ,TIMESHEETS!$F:$F,AE$7,TIMESHEETS!$B:$B,$B81)</f>
        <v>0</v>
      </c>
      <c r="AF80" s="13">
        <f>SUMIFS(TIMESHEETS!$AQ:$AQ,TIMESHEETS!$F:$F,AF$7,TIMESHEETS!$B:$B,$B81)</f>
        <v>0</v>
      </c>
      <c r="AG80" s="13">
        <f>SUMIFS(TIMESHEETS!$AQ:$AQ,TIMESHEETS!$F:$F,AG$7,TIMESHEETS!$B:$B,$B81)</f>
        <v>0</v>
      </c>
      <c r="AH80" s="13">
        <f>SUMIFS(TIMESHEETS!$AQ:$AQ,TIMESHEETS!$F:$F,AH$7,TIMESHEETS!$B:$B,$B81)</f>
        <v>0</v>
      </c>
      <c r="AI80" s="13">
        <f>SUMIFS(TIMESHEETS!$AQ:$AQ,TIMESHEETS!$F:$F,AI$7,TIMESHEETS!$B:$B,$B81)</f>
        <v>0</v>
      </c>
      <c r="AJ80" s="13">
        <f>SUMIFS(TIMESHEETS!$AQ:$AQ,TIMESHEETS!$F:$F,AJ$7,TIMESHEETS!$B:$B,$B81)</f>
        <v>0</v>
      </c>
      <c r="AK80" s="4"/>
      <c r="AL80" s="13">
        <f>H80-SUM(J80:AJ80)</f>
        <v>0</v>
      </c>
    </row>
    <row r="81" spans="1:38" ht="15" customHeight="1" x14ac:dyDescent="0.35">
      <c r="A81" s="4"/>
      <c r="B81" s="20"/>
      <c r="C81" s="21"/>
      <c r="D81" s="21"/>
      <c r="E81" s="21"/>
      <c r="F81" s="22"/>
      <c r="G81" s="5"/>
      <c r="H81" s="6"/>
      <c r="I81" s="4"/>
      <c r="J81" s="7">
        <f>SUMIFS(TIMESHEETS!$AO:$AO,TIMESHEETS!$F:$F,J$7,TIMESHEETS!$B:$B,$B81)</f>
        <v>0</v>
      </c>
      <c r="K81" s="7">
        <f>SUMIFS(TIMESHEETS!$AO:$AO,TIMESHEETS!$F:$F,K$7,TIMESHEETS!$B:$B,$B81)</f>
        <v>0</v>
      </c>
      <c r="L81" s="7">
        <f>SUMIFS(TIMESHEETS!$AO:$AO,TIMESHEETS!$F:$F,L$7,TIMESHEETS!$B:$B,$B81)</f>
        <v>0</v>
      </c>
      <c r="M81" s="7">
        <f>SUMIFS(TIMESHEETS!$AO:$AO,TIMESHEETS!$F:$F,M$7,TIMESHEETS!$B:$B,$B81)</f>
        <v>0</v>
      </c>
      <c r="N81" s="7">
        <f>SUMIFS(TIMESHEETS!$AO:$AO,TIMESHEETS!$F:$F,N$7,TIMESHEETS!$B:$B,$B81)</f>
        <v>0</v>
      </c>
      <c r="O81" s="7">
        <f>SUMIFS(TIMESHEETS!$AO:$AO,TIMESHEETS!$F:$F,O$7,TIMESHEETS!$B:$B,$B81)</f>
        <v>0</v>
      </c>
      <c r="P81" s="7">
        <f>SUMIFS(TIMESHEETS!$AO:$AO,TIMESHEETS!$F:$F,P$7,TIMESHEETS!$B:$B,$B81)</f>
        <v>0</v>
      </c>
      <c r="Q81" s="7">
        <f>SUMIFS(TIMESHEETS!$AO:$AO,TIMESHEETS!$F:$F,Q$7,TIMESHEETS!$B:$B,$B81)</f>
        <v>0</v>
      </c>
      <c r="R81" s="7">
        <f>SUMIFS(TIMESHEETS!$AO:$AO,TIMESHEETS!$F:$F,R$7,TIMESHEETS!$B:$B,$B81)</f>
        <v>0</v>
      </c>
      <c r="S81" s="7">
        <f>SUMIFS(TIMESHEETS!$AO:$AO,TIMESHEETS!$F:$F,S$7,TIMESHEETS!$B:$B,$B81)</f>
        <v>0</v>
      </c>
      <c r="T81" s="7">
        <f>SUMIFS(TIMESHEETS!$AO:$AO,TIMESHEETS!$F:$F,T$7,TIMESHEETS!$B:$B,$B81)</f>
        <v>0</v>
      </c>
      <c r="U81" s="7">
        <f>SUMIFS(TIMESHEETS!$AO:$AO,TIMESHEETS!$F:$F,U$7,TIMESHEETS!$B:$B,$B81)</f>
        <v>0</v>
      </c>
      <c r="V81" s="7">
        <f>SUMIFS(TIMESHEETS!$AO:$AO,TIMESHEETS!$F:$F,V$7,TIMESHEETS!$B:$B,$B81)</f>
        <v>0</v>
      </c>
      <c r="W81" s="7">
        <f>SUMIFS(TIMESHEETS!$AO:$AO,TIMESHEETS!$F:$F,W$7,TIMESHEETS!$B:$B,$B81)</f>
        <v>0</v>
      </c>
      <c r="X81" s="7">
        <f>SUMIFS(TIMESHEETS!$AO:$AO,TIMESHEETS!$F:$F,X$7,TIMESHEETS!$B:$B,$B81)</f>
        <v>0</v>
      </c>
      <c r="Y81" s="7">
        <f>SUMIFS(TIMESHEETS!$AO:$AO,TIMESHEETS!$F:$F,Y$7,TIMESHEETS!$B:$B,$B81)</f>
        <v>0</v>
      </c>
      <c r="Z81" s="7">
        <f>SUMIFS(TIMESHEETS!$AO:$AO,TIMESHEETS!$F:$F,Z$7,TIMESHEETS!$B:$B,$B81)</f>
        <v>0</v>
      </c>
      <c r="AA81" s="7">
        <f>SUMIFS(TIMESHEETS!$AO:$AO,TIMESHEETS!$F:$F,AA$7,TIMESHEETS!$B:$B,$B81)</f>
        <v>0</v>
      </c>
      <c r="AB81" s="7">
        <f>SUMIFS(TIMESHEETS!$AO:$AO,TIMESHEETS!$F:$F,AB$7,TIMESHEETS!$B:$B,$B81)</f>
        <v>0</v>
      </c>
      <c r="AC81" s="7">
        <f>SUMIFS(TIMESHEETS!$AO:$AO,TIMESHEETS!$F:$F,AC$7,TIMESHEETS!$B:$B,$B81)</f>
        <v>0</v>
      </c>
      <c r="AD81" s="7">
        <f>SUMIFS(TIMESHEETS!$AO:$AO,TIMESHEETS!$F:$F,AD$7,TIMESHEETS!$B:$B,$B81)</f>
        <v>0</v>
      </c>
      <c r="AE81" s="7">
        <f>SUMIFS(TIMESHEETS!$AO:$AO,TIMESHEETS!$F:$F,AE$7,TIMESHEETS!$B:$B,$B81)</f>
        <v>0</v>
      </c>
      <c r="AF81" s="7">
        <f>SUMIFS(TIMESHEETS!$AO:$AO,TIMESHEETS!$F:$F,AF$7,TIMESHEETS!$B:$B,$B81)</f>
        <v>0</v>
      </c>
      <c r="AG81" s="7">
        <f>SUMIFS(TIMESHEETS!$AO:$AO,TIMESHEETS!$F:$F,AG$7,TIMESHEETS!$B:$B,$B81)</f>
        <v>0</v>
      </c>
      <c r="AH81" s="7">
        <f>SUMIFS(TIMESHEETS!$AO:$AO,TIMESHEETS!$F:$F,AH$7,TIMESHEETS!$B:$B,$B81)</f>
        <v>0</v>
      </c>
      <c r="AI81" s="7">
        <f>SUMIFS(TIMESHEETS!$AO:$AO,TIMESHEETS!$F:$F,AI$7,TIMESHEETS!$B:$B,$B81)</f>
        <v>0</v>
      </c>
      <c r="AJ81" s="7">
        <f>SUMIFS(TIMESHEETS!$AO:$AO,TIMESHEETS!$F:$F,AJ$7,TIMESHEETS!$B:$B,$B81)</f>
        <v>0</v>
      </c>
      <c r="AK81" s="4"/>
      <c r="AL81" s="7">
        <f>H81-SUM(J81:AJ81)</f>
        <v>0</v>
      </c>
    </row>
    <row r="82" spans="1:38" ht="15" customHeight="1" x14ac:dyDescent="0.35">
      <c r="A82" s="4"/>
      <c r="B82" s="23"/>
      <c r="C82" s="23"/>
      <c r="D82" s="23"/>
      <c r="E82" s="23"/>
      <c r="F82" s="23"/>
      <c r="G82" s="5"/>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row>
    <row r="83" spans="1:38" ht="15" customHeight="1" x14ac:dyDescent="0.35">
      <c r="A83" s="4"/>
      <c r="B83" s="17"/>
      <c r="C83" s="18"/>
      <c r="D83" s="18"/>
      <c r="E83" s="18"/>
      <c r="F83" s="19"/>
      <c r="G83" s="5"/>
      <c r="H83" s="12"/>
      <c r="I83" s="4"/>
      <c r="J83" s="13">
        <f>SUMIFS(TIMESHEETS!$AQ:$AQ,TIMESHEETS!$F:$F,J$7,TIMESHEETS!$B:$B,$B84)</f>
        <v>0</v>
      </c>
      <c r="K83" s="13">
        <f>SUMIFS(TIMESHEETS!$AQ:$AQ,TIMESHEETS!$F:$F,K$7,TIMESHEETS!$B:$B,$B84)</f>
        <v>0</v>
      </c>
      <c r="L83" s="13">
        <f>SUMIFS(TIMESHEETS!$AQ:$AQ,TIMESHEETS!$F:$F,L$7,TIMESHEETS!$B:$B,$B84)</f>
        <v>0</v>
      </c>
      <c r="M83" s="13">
        <f>SUMIFS(TIMESHEETS!$AQ:$AQ,TIMESHEETS!$F:$F,M$7,TIMESHEETS!$B:$B,$B84)</f>
        <v>0</v>
      </c>
      <c r="N83" s="13">
        <f>SUMIFS(TIMESHEETS!$AQ:$AQ,TIMESHEETS!$F:$F,N$7,TIMESHEETS!$B:$B,$B84)</f>
        <v>0</v>
      </c>
      <c r="O83" s="13">
        <f>SUMIFS(TIMESHEETS!$AQ:$AQ,TIMESHEETS!$F:$F,O$7,TIMESHEETS!$B:$B,$B84)</f>
        <v>0</v>
      </c>
      <c r="P83" s="13">
        <f>SUMIFS(TIMESHEETS!$AQ:$AQ,TIMESHEETS!$F:$F,P$7,TIMESHEETS!$B:$B,$B84)</f>
        <v>0</v>
      </c>
      <c r="Q83" s="13">
        <f>SUMIFS(TIMESHEETS!$AQ:$AQ,TIMESHEETS!$F:$F,Q$7,TIMESHEETS!$B:$B,$B84)</f>
        <v>0</v>
      </c>
      <c r="R83" s="13">
        <f>SUMIFS(TIMESHEETS!$AQ:$AQ,TIMESHEETS!$F:$F,R$7,TIMESHEETS!$B:$B,$B84)</f>
        <v>0</v>
      </c>
      <c r="S83" s="13">
        <f>SUMIFS(TIMESHEETS!$AQ:$AQ,TIMESHEETS!$F:$F,S$7,TIMESHEETS!$B:$B,$B84)</f>
        <v>0</v>
      </c>
      <c r="T83" s="13">
        <f>SUMIFS(TIMESHEETS!$AQ:$AQ,TIMESHEETS!$F:$F,T$7,TIMESHEETS!$B:$B,$B84)</f>
        <v>0</v>
      </c>
      <c r="U83" s="13">
        <f>SUMIFS(TIMESHEETS!$AQ:$AQ,TIMESHEETS!$F:$F,U$7,TIMESHEETS!$B:$B,$B84)</f>
        <v>0</v>
      </c>
      <c r="V83" s="13">
        <f>SUMIFS(TIMESHEETS!$AQ:$AQ,TIMESHEETS!$F:$F,V$7,TIMESHEETS!$B:$B,$B84)</f>
        <v>0</v>
      </c>
      <c r="W83" s="13">
        <f>SUMIFS(TIMESHEETS!$AQ:$AQ,TIMESHEETS!$F:$F,W$7,TIMESHEETS!$B:$B,$B84)</f>
        <v>0</v>
      </c>
      <c r="X83" s="13">
        <f>SUMIFS(TIMESHEETS!$AQ:$AQ,TIMESHEETS!$F:$F,X$7,TIMESHEETS!$B:$B,$B84)</f>
        <v>0</v>
      </c>
      <c r="Y83" s="13">
        <f>SUMIFS(TIMESHEETS!$AQ:$AQ,TIMESHEETS!$F:$F,Y$7,TIMESHEETS!$B:$B,$B84)</f>
        <v>0</v>
      </c>
      <c r="Z83" s="13">
        <f>SUMIFS(TIMESHEETS!$AQ:$AQ,TIMESHEETS!$F:$F,Z$7,TIMESHEETS!$B:$B,$B84)</f>
        <v>0</v>
      </c>
      <c r="AA83" s="13">
        <f>SUMIFS(TIMESHEETS!$AQ:$AQ,TIMESHEETS!$F:$F,AA$7,TIMESHEETS!$B:$B,$B84)</f>
        <v>0</v>
      </c>
      <c r="AB83" s="13">
        <f>SUMIFS(TIMESHEETS!$AQ:$AQ,TIMESHEETS!$F:$F,AB$7,TIMESHEETS!$B:$B,$B84)</f>
        <v>0</v>
      </c>
      <c r="AC83" s="13">
        <f>SUMIFS(TIMESHEETS!$AQ:$AQ,TIMESHEETS!$F:$F,AC$7,TIMESHEETS!$B:$B,$B84)</f>
        <v>0</v>
      </c>
      <c r="AD83" s="13">
        <f>SUMIFS(TIMESHEETS!$AQ:$AQ,TIMESHEETS!$F:$F,AD$7,TIMESHEETS!$B:$B,$B84)</f>
        <v>0</v>
      </c>
      <c r="AE83" s="13">
        <f>SUMIFS(TIMESHEETS!$AQ:$AQ,TIMESHEETS!$F:$F,AE$7,TIMESHEETS!$B:$B,$B84)</f>
        <v>0</v>
      </c>
      <c r="AF83" s="13">
        <f>SUMIFS(TIMESHEETS!$AQ:$AQ,TIMESHEETS!$F:$F,AF$7,TIMESHEETS!$B:$B,$B84)</f>
        <v>0</v>
      </c>
      <c r="AG83" s="13">
        <f>SUMIFS(TIMESHEETS!$AQ:$AQ,TIMESHEETS!$F:$F,AG$7,TIMESHEETS!$B:$B,$B84)</f>
        <v>0</v>
      </c>
      <c r="AH83" s="13">
        <f>SUMIFS(TIMESHEETS!$AQ:$AQ,TIMESHEETS!$F:$F,AH$7,TIMESHEETS!$B:$B,$B84)</f>
        <v>0</v>
      </c>
      <c r="AI83" s="13">
        <f>SUMIFS(TIMESHEETS!$AQ:$AQ,TIMESHEETS!$F:$F,AI$7,TIMESHEETS!$B:$B,$B84)</f>
        <v>0</v>
      </c>
      <c r="AJ83" s="13">
        <f>SUMIFS(TIMESHEETS!$AQ:$AQ,TIMESHEETS!$F:$F,AJ$7,TIMESHEETS!$B:$B,$B84)</f>
        <v>0</v>
      </c>
      <c r="AK83" s="4"/>
      <c r="AL83" s="13">
        <f>H83-SUM(J83:AJ83)</f>
        <v>0</v>
      </c>
    </row>
    <row r="84" spans="1:38" ht="15" customHeight="1" x14ac:dyDescent="0.35">
      <c r="A84" s="4"/>
      <c r="B84" s="20"/>
      <c r="C84" s="21"/>
      <c r="D84" s="21"/>
      <c r="E84" s="21"/>
      <c r="F84" s="22"/>
      <c r="G84" s="5"/>
      <c r="H84" s="6"/>
      <c r="I84" s="4"/>
      <c r="J84" s="7">
        <f>SUMIFS(TIMESHEETS!$AO:$AO,TIMESHEETS!$F:$F,J$7,TIMESHEETS!$B:$B,$B84)</f>
        <v>0</v>
      </c>
      <c r="K84" s="7">
        <f>SUMIFS(TIMESHEETS!$AO:$AO,TIMESHEETS!$F:$F,K$7,TIMESHEETS!$B:$B,$B84)</f>
        <v>0</v>
      </c>
      <c r="L84" s="7">
        <f>SUMIFS(TIMESHEETS!$AO:$AO,TIMESHEETS!$F:$F,L$7,TIMESHEETS!$B:$B,$B84)</f>
        <v>0</v>
      </c>
      <c r="M84" s="7">
        <f>SUMIFS(TIMESHEETS!$AO:$AO,TIMESHEETS!$F:$F,M$7,TIMESHEETS!$B:$B,$B84)</f>
        <v>0</v>
      </c>
      <c r="N84" s="7">
        <f>SUMIFS(TIMESHEETS!$AO:$AO,TIMESHEETS!$F:$F,N$7,TIMESHEETS!$B:$B,$B84)</f>
        <v>0</v>
      </c>
      <c r="O84" s="7">
        <f>SUMIFS(TIMESHEETS!$AO:$AO,TIMESHEETS!$F:$F,O$7,TIMESHEETS!$B:$B,$B84)</f>
        <v>0</v>
      </c>
      <c r="P84" s="7">
        <f>SUMIFS(TIMESHEETS!$AO:$AO,TIMESHEETS!$F:$F,P$7,TIMESHEETS!$B:$B,$B84)</f>
        <v>0</v>
      </c>
      <c r="Q84" s="7">
        <f>SUMIFS(TIMESHEETS!$AO:$AO,TIMESHEETS!$F:$F,Q$7,TIMESHEETS!$B:$B,$B84)</f>
        <v>0</v>
      </c>
      <c r="R84" s="7">
        <f>SUMIFS(TIMESHEETS!$AO:$AO,TIMESHEETS!$F:$F,R$7,TIMESHEETS!$B:$B,$B84)</f>
        <v>0</v>
      </c>
      <c r="S84" s="7">
        <f>SUMIFS(TIMESHEETS!$AO:$AO,TIMESHEETS!$F:$F,S$7,TIMESHEETS!$B:$B,$B84)</f>
        <v>0</v>
      </c>
      <c r="T84" s="7">
        <f>SUMIFS(TIMESHEETS!$AO:$AO,TIMESHEETS!$F:$F,T$7,TIMESHEETS!$B:$B,$B84)</f>
        <v>0</v>
      </c>
      <c r="U84" s="7">
        <f>SUMIFS(TIMESHEETS!$AO:$AO,TIMESHEETS!$F:$F,U$7,TIMESHEETS!$B:$B,$B84)</f>
        <v>0</v>
      </c>
      <c r="V84" s="7">
        <f>SUMIFS(TIMESHEETS!$AO:$AO,TIMESHEETS!$F:$F,V$7,TIMESHEETS!$B:$B,$B84)</f>
        <v>0</v>
      </c>
      <c r="W84" s="7">
        <f>SUMIFS(TIMESHEETS!$AO:$AO,TIMESHEETS!$F:$F,W$7,TIMESHEETS!$B:$B,$B84)</f>
        <v>0</v>
      </c>
      <c r="X84" s="7">
        <f>SUMIFS(TIMESHEETS!$AO:$AO,TIMESHEETS!$F:$F,X$7,TIMESHEETS!$B:$B,$B84)</f>
        <v>0</v>
      </c>
      <c r="Y84" s="7">
        <f>SUMIFS(TIMESHEETS!$AO:$AO,TIMESHEETS!$F:$F,Y$7,TIMESHEETS!$B:$B,$B84)</f>
        <v>0</v>
      </c>
      <c r="Z84" s="7">
        <f>SUMIFS(TIMESHEETS!$AO:$AO,TIMESHEETS!$F:$F,Z$7,TIMESHEETS!$B:$B,$B84)</f>
        <v>0</v>
      </c>
      <c r="AA84" s="7">
        <f>SUMIFS(TIMESHEETS!$AO:$AO,TIMESHEETS!$F:$F,AA$7,TIMESHEETS!$B:$B,$B84)</f>
        <v>0</v>
      </c>
      <c r="AB84" s="7">
        <f>SUMIFS(TIMESHEETS!$AO:$AO,TIMESHEETS!$F:$F,AB$7,TIMESHEETS!$B:$B,$B84)</f>
        <v>0</v>
      </c>
      <c r="AC84" s="7">
        <f>SUMIFS(TIMESHEETS!$AO:$AO,TIMESHEETS!$F:$F,AC$7,TIMESHEETS!$B:$B,$B84)</f>
        <v>0</v>
      </c>
      <c r="AD84" s="7">
        <f>SUMIFS(TIMESHEETS!$AO:$AO,TIMESHEETS!$F:$F,AD$7,TIMESHEETS!$B:$B,$B84)</f>
        <v>0</v>
      </c>
      <c r="AE84" s="7">
        <f>SUMIFS(TIMESHEETS!$AO:$AO,TIMESHEETS!$F:$F,AE$7,TIMESHEETS!$B:$B,$B84)</f>
        <v>0</v>
      </c>
      <c r="AF84" s="7">
        <f>SUMIFS(TIMESHEETS!$AO:$AO,TIMESHEETS!$F:$F,AF$7,TIMESHEETS!$B:$B,$B84)</f>
        <v>0</v>
      </c>
      <c r="AG84" s="7">
        <f>SUMIFS(TIMESHEETS!$AO:$AO,TIMESHEETS!$F:$F,AG$7,TIMESHEETS!$B:$B,$B84)</f>
        <v>0</v>
      </c>
      <c r="AH84" s="7">
        <f>SUMIFS(TIMESHEETS!$AO:$AO,TIMESHEETS!$F:$F,AH$7,TIMESHEETS!$B:$B,$B84)</f>
        <v>0</v>
      </c>
      <c r="AI84" s="7">
        <f>SUMIFS(TIMESHEETS!$AO:$AO,TIMESHEETS!$F:$F,AI$7,TIMESHEETS!$B:$B,$B84)</f>
        <v>0</v>
      </c>
      <c r="AJ84" s="7">
        <f>SUMIFS(TIMESHEETS!$AO:$AO,TIMESHEETS!$F:$F,AJ$7,TIMESHEETS!$B:$B,$B84)</f>
        <v>0</v>
      </c>
      <c r="AK84" s="4"/>
      <c r="AL84" s="7">
        <f>H84-SUM(J84:AJ84)</f>
        <v>0</v>
      </c>
    </row>
    <row r="85" spans="1:38" ht="15" customHeight="1" x14ac:dyDescent="0.35">
      <c r="A85" s="4"/>
      <c r="B85" s="23"/>
      <c r="C85" s="23"/>
      <c r="D85" s="23"/>
      <c r="E85" s="23"/>
      <c r="F85" s="23"/>
      <c r="G85" s="5"/>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row>
    <row r="86" spans="1:38" ht="15" customHeight="1" x14ac:dyDescent="0.35">
      <c r="A86" s="4"/>
      <c r="B86" s="17"/>
      <c r="C86" s="18"/>
      <c r="D86" s="18"/>
      <c r="E86" s="18"/>
      <c r="F86" s="19"/>
      <c r="G86" s="5"/>
      <c r="H86" s="12"/>
      <c r="I86" s="4"/>
      <c r="J86" s="13">
        <f>SUMIFS(TIMESHEETS!$AQ:$AQ,TIMESHEETS!$F:$F,J$7,TIMESHEETS!$B:$B,$B87)</f>
        <v>0</v>
      </c>
      <c r="K86" s="13">
        <f>SUMIFS(TIMESHEETS!$AQ:$AQ,TIMESHEETS!$F:$F,K$7,TIMESHEETS!$B:$B,$B87)</f>
        <v>0</v>
      </c>
      <c r="L86" s="13">
        <f>SUMIFS(TIMESHEETS!$AQ:$AQ,TIMESHEETS!$F:$F,L$7,TIMESHEETS!$B:$B,$B87)</f>
        <v>0</v>
      </c>
      <c r="M86" s="13">
        <f>SUMIFS(TIMESHEETS!$AQ:$AQ,TIMESHEETS!$F:$F,M$7,TIMESHEETS!$B:$B,$B87)</f>
        <v>0</v>
      </c>
      <c r="N86" s="13">
        <f>SUMIFS(TIMESHEETS!$AQ:$AQ,TIMESHEETS!$F:$F,N$7,TIMESHEETS!$B:$B,$B87)</f>
        <v>0</v>
      </c>
      <c r="O86" s="13">
        <f>SUMIFS(TIMESHEETS!$AQ:$AQ,TIMESHEETS!$F:$F,O$7,TIMESHEETS!$B:$B,$B87)</f>
        <v>0</v>
      </c>
      <c r="P86" s="13">
        <f>SUMIFS(TIMESHEETS!$AQ:$AQ,TIMESHEETS!$F:$F,P$7,TIMESHEETS!$B:$B,$B87)</f>
        <v>0</v>
      </c>
      <c r="Q86" s="13">
        <f>SUMIFS(TIMESHEETS!$AQ:$AQ,TIMESHEETS!$F:$F,Q$7,TIMESHEETS!$B:$B,$B87)</f>
        <v>0</v>
      </c>
      <c r="R86" s="13">
        <f>SUMIFS(TIMESHEETS!$AQ:$AQ,TIMESHEETS!$F:$F,R$7,TIMESHEETS!$B:$B,$B87)</f>
        <v>0</v>
      </c>
      <c r="S86" s="13">
        <f>SUMIFS(TIMESHEETS!$AQ:$AQ,TIMESHEETS!$F:$F,S$7,TIMESHEETS!$B:$B,$B87)</f>
        <v>0</v>
      </c>
      <c r="T86" s="13">
        <f>SUMIFS(TIMESHEETS!$AQ:$AQ,TIMESHEETS!$F:$F,T$7,TIMESHEETS!$B:$B,$B87)</f>
        <v>0</v>
      </c>
      <c r="U86" s="13">
        <f>SUMIFS(TIMESHEETS!$AQ:$AQ,TIMESHEETS!$F:$F,U$7,TIMESHEETS!$B:$B,$B87)</f>
        <v>0</v>
      </c>
      <c r="V86" s="13">
        <f>SUMIFS(TIMESHEETS!$AQ:$AQ,TIMESHEETS!$F:$F,V$7,TIMESHEETS!$B:$B,$B87)</f>
        <v>0</v>
      </c>
      <c r="W86" s="13">
        <f>SUMIFS(TIMESHEETS!$AQ:$AQ,TIMESHEETS!$F:$F,W$7,TIMESHEETS!$B:$B,$B87)</f>
        <v>0</v>
      </c>
      <c r="X86" s="13">
        <f>SUMIFS(TIMESHEETS!$AQ:$AQ,TIMESHEETS!$F:$F,X$7,TIMESHEETS!$B:$B,$B87)</f>
        <v>0</v>
      </c>
      <c r="Y86" s="13">
        <f>SUMIFS(TIMESHEETS!$AQ:$AQ,TIMESHEETS!$F:$F,Y$7,TIMESHEETS!$B:$B,$B87)</f>
        <v>0</v>
      </c>
      <c r="Z86" s="13">
        <f>SUMIFS(TIMESHEETS!$AQ:$AQ,TIMESHEETS!$F:$F,Z$7,TIMESHEETS!$B:$B,$B87)</f>
        <v>0</v>
      </c>
      <c r="AA86" s="13">
        <f>SUMIFS(TIMESHEETS!$AQ:$AQ,TIMESHEETS!$F:$F,AA$7,TIMESHEETS!$B:$B,$B87)</f>
        <v>0</v>
      </c>
      <c r="AB86" s="13">
        <f>SUMIFS(TIMESHEETS!$AQ:$AQ,TIMESHEETS!$F:$F,AB$7,TIMESHEETS!$B:$B,$B87)</f>
        <v>0</v>
      </c>
      <c r="AC86" s="13">
        <f>SUMIFS(TIMESHEETS!$AQ:$AQ,TIMESHEETS!$F:$F,AC$7,TIMESHEETS!$B:$B,$B87)</f>
        <v>0</v>
      </c>
      <c r="AD86" s="13">
        <f>SUMIFS(TIMESHEETS!$AQ:$AQ,TIMESHEETS!$F:$F,AD$7,TIMESHEETS!$B:$B,$B87)</f>
        <v>0</v>
      </c>
      <c r="AE86" s="13">
        <f>SUMIFS(TIMESHEETS!$AQ:$AQ,TIMESHEETS!$F:$F,AE$7,TIMESHEETS!$B:$B,$B87)</f>
        <v>0</v>
      </c>
      <c r="AF86" s="13">
        <f>SUMIFS(TIMESHEETS!$AQ:$AQ,TIMESHEETS!$F:$F,AF$7,TIMESHEETS!$B:$B,$B87)</f>
        <v>0</v>
      </c>
      <c r="AG86" s="13">
        <f>SUMIFS(TIMESHEETS!$AQ:$AQ,TIMESHEETS!$F:$F,AG$7,TIMESHEETS!$B:$B,$B87)</f>
        <v>0</v>
      </c>
      <c r="AH86" s="13">
        <f>SUMIFS(TIMESHEETS!$AQ:$AQ,TIMESHEETS!$F:$F,AH$7,TIMESHEETS!$B:$B,$B87)</f>
        <v>0</v>
      </c>
      <c r="AI86" s="13">
        <f>SUMIFS(TIMESHEETS!$AQ:$AQ,TIMESHEETS!$F:$F,AI$7,TIMESHEETS!$B:$B,$B87)</f>
        <v>0</v>
      </c>
      <c r="AJ86" s="13">
        <f>SUMIFS(TIMESHEETS!$AQ:$AQ,TIMESHEETS!$F:$F,AJ$7,TIMESHEETS!$B:$B,$B87)</f>
        <v>0</v>
      </c>
      <c r="AK86" s="4"/>
      <c r="AL86" s="13">
        <f>H86-SUM(J86:AJ86)</f>
        <v>0</v>
      </c>
    </row>
    <row r="87" spans="1:38" ht="15" customHeight="1" x14ac:dyDescent="0.35">
      <c r="A87" s="4"/>
      <c r="B87" s="20"/>
      <c r="C87" s="21"/>
      <c r="D87" s="21"/>
      <c r="E87" s="21"/>
      <c r="F87" s="22"/>
      <c r="G87" s="5"/>
      <c r="H87" s="6"/>
      <c r="I87" s="4"/>
      <c r="J87" s="7">
        <f>SUMIFS(TIMESHEETS!$AO:$AO,TIMESHEETS!$F:$F,J$7,TIMESHEETS!$B:$B,$B87)</f>
        <v>0</v>
      </c>
      <c r="K87" s="7">
        <f>SUMIFS(TIMESHEETS!$AO:$AO,TIMESHEETS!$F:$F,K$7,TIMESHEETS!$B:$B,$B87)</f>
        <v>0</v>
      </c>
      <c r="L87" s="7">
        <f>SUMIFS(TIMESHEETS!$AO:$AO,TIMESHEETS!$F:$F,L$7,TIMESHEETS!$B:$B,$B87)</f>
        <v>0</v>
      </c>
      <c r="M87" s="7">
        <f>SUMIFS(TIMESHEETS!$AO:$AO,TIMESHEETS!$F:$F,M$7,TIMESHEETS!$B:$B,$B87)</f>
        <v>0</v>
      </c>
      <c r="N87" s="7">
        <f>SUMIFS(TIMESHEETS!$AO:$AO,TIMESHEETS!$F:$F,N$7,TIMESHEETS!$B:$B,$B87)</f>
        <v>0</v>
      </c>
      <c r="O87" s="7">
        <f>SUMIFS(TIMESHEETS!$AO:$AO,TIMESHEETS!$F:$F,O$7,TIMESHEETS!$B:$B,$B87)</f>
        <v>0</v>
      </c>
      <c r="P87" s="7">
        <f>SUMIFS(TIMESHEETS!$AO:$AO,TIMESHEETS!$F:$F,P$7,TIMESHEETS!$B:$B,$B87)</f>
        <v>0</v>
      </c>
      <c r="Q87" s="7">
        <f>SUMIFS(TIMESHEETS!$AO:$AO,TIMESHEETS!$F:$F,Q$7,TIMESHEETS!$B:$B,$B87)</f>
        <v>0</v>
      </c>
      <c r="R87" s="7">
        <f>SUMIFS(TIMESHEETS!$AO:$AO,TIMESHEETS!$F:$F,R$7,TIMESHEETS!$B:$B,$B87)</f>
        <v>0</v>
      </c>
      <c r="S87" s="7">
        <f>SUMIFS(TIMESHEETS!$AO:$AO,TIMESHEETS!$F:$F,S$7,TIMESHEETS!$B:$B,$B87)</f>
        <v>0</v>
      </c>
      <c r="T87" s="7">
        <f>SUMIFS(TIMESHEETS!$AO:$AO,TIMESHEETS!$F:$F,T$7,TIMESHEETS!$B:$B,$B87)</f>
        <v>0</v>
      </c>
      <c r="U87" s="7">
        <f>SUMIFS(TIMESHEETS!$AO:$AO,TIMESHEETS!$F:$F,U$7,TIMESHEETS!$B:$B,$B87)</f>
        <v>0</v>
      </c>
      <c r="V87" s="7">
        <f>SUMIFS(TIMESHEETS!$AO:$AO,TIMESHEETS!$F:$F,V$7,TIMESHEETS!$B:$B,$B87)</f>
        <v>0</v>
      </c>
      <c r="W87" s="7">
        <f>SUMIFS(TIMESHEETS!$AO:$AO,TIMESHEETS!$F:$F,W$7,TIMESHEETS!$B:$B,$B87)</f>
        <v>0</v>
      </c>
      <c r="X87" s="7">
        <f>SUMIFS(TIMESHEETS!$AO:$AO,TIMESHEETS!$F:$F,X$7,TIMESHEETS!$B:$B,$B87)</f>
        <v>0</v>
      </c>
      <c r="Y87" s="7">
        <f>SUMIFS(TIMESHEETS!$AO:$AO,TIMESHEETS!$F:$F,Y$7,TIMESHEETS!$B:$B,$B87)</f>
        <v>0</v>
      </c>
      <c r="Z87" s="7">
        <f>SUMIFS(TIMESHEETS!$AO:$AO,TIMESHEETS!$F:$F,Z$7,TIMESHEETS!$B:$B,$B87)</f>
        <v>0</v>
      </c>
      <c r="AA87" s="7">
        <f>SUMIFS(TIMESHEETS!$AO:$AO,TIMESHEETS!$F:$F,AA$7,TIMESHEETS!$B:$B,$B87)</f>
        <v>0</v>
      </c>
      <c r="AB87" s="7">
        <f>SUMIFS(TIMESHEETS!$AO:$AO,TIMESHEETS!$F:$F,AB$7,TIMESHEETS!$B:$B,$B87)</f>
        <v>0</v>
      </c>
      <c r="AC87" s="7">
        <f>SUMIFS(TIMESHEETS!$AO:$AO,TIMESHEETS!$F:$F,AC$7,TIMESHEETS!$B:$B,$B87)</f>
        <v>0</v>
      </c>
      <c r="AD87" s="7">
        <f>SUMIFS(TIMESHEETS!$AO:$AO,TIMESHEETS!$F:$F,AD$7,TIMESHEETS!$B:$B,$B87)</f>
        <v>0</v>
      </c>
      <c r="AE87" s="7">
        <f>SUMIFS(TIMESHEETS!$AO:$AO,TIMESHEETS!$F:$F,AE$7,TIMESHEETS!$B:$B,$B87)</f>
        <v>0</v>
      </c>
      <c r="AF87" s="7">
        <f>SUMIFS(TIMESHEETS!$AO:$AO,TIMESHEETS!$F:$F,AF$7,TIMESHEETS!$B:$B,$B87)</f>
        <v>0</v>
      </c>
      <c r="AG87" s="7">
        <f>SUMIFS(TIMESHEETS!$AO:$AO,TIMESHEETS!$F:$F,AG$7,TIMESHEETS!$B:$B,$B87)</f>
        <v>0</v>
      </c>
      <c r="AH87" s="7">
        <f>SUMIFS(TIMESHEETS!$AO:$AO,TIMESHEETS!$F:$F,AH$7,TIMESHEETS!$B:$B,$B87)</f>
        <v>0</v>
      </c>
      <c r="AI87" s="7">
        <f>SUMIFS(TIMESHEETS!$AO:$AO,TIMESHEETS!$F:$F,AI$7,TIMESHEETS!$B:$B,$B87)</f>
        <v>0</v>
      </c>
      <c r="AJ87" s="7">
        <f>SUMIFS(TIMESHEETS!$AO:$AO,TIMESHEETS!$F:$F,AJ$7,TIMESHEETS!$B:$B,$B87)</f>
        <v>0</v>
      </c>
      <c r="AK87" s="4"/>
      <c r="AL87" s="7">
        <f>H87-SUM(J87:AJ87)</f>
        <v>0</v>
      </c>
    </row>
    <row r="88" spans="1:38" ht="15" customHeight="1" x14ac:dyDescent="0.35">
      <c r="A88" s="4"/>
      <c r="B88" s="23"/>
      <c r="C88" s="23"/>
      <c r="D88" s="23"/>
      <c r="E88" s="23"/>
      <c r="F88" s="23"/>
      <c r="G88" s="5"/>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row>
    <row r="89" spans="1:38" ht="15" customHeight="1" x14ac:dyDescent="0.35">
      <c r="A89" s="4"/>
      <c r="B89" s="17"/>
      <c r="C89" s="18"/>
      <c r="D89" s="18"/>
      <c r="E89" s="18"/>
      <c r="F89" s="19"/>
      <c r="G89" s="5"/>
      <c r="H89" s="12"/>
      <c r="I89" s="4"/>
      <c r="J89" s="13">
        <f>SUMIFS(TIMESHEETS!$AQ:$AQ,TIMESHEETS!$F:$F,J$7,TIMESHEETS!$B:$B,$B90)</f>
        <v>0</v>
      </c>
      <c r="K89" s="13">
        <f>SUMIFS(TIMESHEETS!$AQ:$AQ,TIMESHEETS!$F:$F,K$7,TIMESHEETS!$B:$B,$B90)</f>
        <v>0</v>
      </c>
      <c r="L89" s="13">
        <f>SUMIFS(TIMESHEETS!$AQ:$AQ,TIMESHEETS!$F:$F,L$7,TIMESHEETS!$B:$B,$B90)</f>
        <v>0</v>
      </c>
      <c r="M89" s="13">
        <f>SUMIFS(TIMESHEETS!$AQ:$AQ,TIMESHEETS!$F:$F,M$7,TIMESHEETS!$B:$B,$B90)</f>
        <v>0</v>
      </c>
      <c r="N89" s="13">
        <f>SUMIFS(TIMESHEETS!$AQ:$AQ,TIMESHEETS!$F:$F,N$7,TIMESHEETS!$B:$B,$B90)</f>
        <v>0</v>
      </c>
      <c r="O89" s="13">
        <f>SUMIFS(TIMESHEETS!$AQ:$AQ,TIMESHEETS!$F:$F,O$7,TIMESHEETS!$B:$B,$B90)</f>
        <v>0</v>
      </c>
      <c r="P89" s="13">
        <f>SUMIFS(TIMESHEETS!$AQ:$AQ,TIMESHEETS!$F:$F,P$7,TIMESHEETS!$B:$B,$B90)</f>
        <v>0</v>
      </c>
      <c r="Q89" s="13">
        <f>SUMIFS(TIMESHEETS!$AQ:$AQ,TIMESHEETS!$F:$F,Q$7,TIMESHEETS!$B:$B,$B90)</f>
        <v>0</v>
      </c>
      <c r="R89" s="13">
        <f>SUMIFS(TIMESHEETS!$AQ:$AQ,TIMESHEETS!$F:$F,R$7,TIMESHEETS!$B:$B,$B90)</f>
        <v>0</v>
      </c>
      <c r="S89" s="13">
        <f>SUMIFS(TIMESHEETS!$AQ:$AQ,TIMESHEETS!$F:$F,S$7,TIMESHEETS!$B:$B,$B90)</f>
        <v>0</v>
      </c>
      <c r="T89" s="13">
        <f>SUMIFS(TIMESHEETS!$AQ:$AQ,TIMESHEETS!$F:$F,T$7,TIMESHEETS!$B:$B,$B90)</f>
        <v>0</v>
      </c>
      <c r="U89" s="13">
        <f>SUMIFS(TIMESHEETS!$AQ:$AQ,TIMESHEETS!$F:$F,U$7,TIMESHEETS!$B:$B,$B90)</f>
        <v>0</v>
      </c>
      <c r="V89" s="13">
        <f>SUMIFS(TIMESHEETS!$AQ:$AQ,TIMESHEETS!$F:$F,V$7,TIMESHEETS!$B:$B,$B90)</f>
        <v>0</v>
      </c>
      <c r="W89" s="13">
        <f>SUMIFS(TIMESHEETS!$AQ:$AQ,TIMESHEETS!$F:$F,W$7,TIMESHEETS!$B:$B,$B90)</f>
        <v>0</v>
      </c>
      <c r="X89" s="13">
        <f>SUMIFS(TIMESHEETS!$AQ:$AQ,TIMESHEETS!$F:$F,X$7,TIMESHEETS!$B:$B,$B90)</f>
        <v>0</v>
      </c>
      <c r="Y89" s="13">
        <f>SUMIFS(TIMESHEETS!$AQ:$AQ,TIMESHEETS!$F:$F,Y$7,TIMESHEETS!$B:$B,$B90)</f>
        <v>0</v>
      </c>
      <c r="Z89" s="13">
        <f>SUMIFS(TIMESHEETS!$AQ:$AQ,TIMESHEETS!$F:$F,Z$7,TIMESHEETS!$B:$B,$B90)</f>
        <v>0</v>
      </c>
      <c r="AA89" s="13">
        <f>SUMIFS(TIMESHEETS!$AQ:$AQ,TIMESHEETS!$F:$F,AA$7,TIMESHEETS!$B:$B,$B90)</f>
        <v>0</v>
      </c>
      <c r="AB89" s="13">
        <f>SUMIFS(TIMESHEETS!$AQ:$AQ,TIMESHEETS!$F:$F,AB$7,TIMESHEETS!$B:$B,$B90)</f>
        <v>0</v>
      </c>
      <c r="AC89" s="13">
        <f>SUMIFS(TIMESHEETS!$AQ:$AQ,TIMESHEETS!$F:$F,AC$7,TIMESHEETS!$B:$B,$B90)</f>
        <v>0</v>
      </c>
      <c r="AD89" s="13">
        <f>SUMIFS(TIMESHEETS!$AQ:$AQ,TIMESHEETS!$F:$F,AD$7,TIMESHEETS!$B:$B,$B90)</f>
        <v>0</v>
      </c>
      <c r="AE89" s="13">
        <f>SUMIFS(TIMESHEETS!$AQ:$AQ,TIMESHEETS!$F:$F,AE$7,TIMESHEETS!$B:$B,$B90)</f>
        <v>0</v>
      </c>
      <c r="AF89" s="13">
        <f>SUMIFS(TIMESHEETS!$AQ:$AQ,TIMESHEETS!$F:$F,AF$7,TIMESHEETS!$B:$B,$B90)</f>
        <v>0</v>
      </c>
      <c r="AG89" s="13">
        <f>SUMIFS(TIMESHEETS!$AQ:$AQ,TIMESHEETS!$F:$F,AG$7,TIMESHEETS!$B:$B,$B90)</f>
        <v>0</v>
      </c>
      <c r="AH89" s="13">
        <f>SUMIFS(TIMESHEETS!$AQ:$AQ,TIMESHEETS!$F:$F,AH$7,TIMESHEETS!$B:$B,$B90)</f>
        <v>0</v>
      </c>
      <c r="AI89" s="13">
        <f>SUMIFS(TIMESHEETS!$AQ:$AQ,TIMESHEETS!$F:$F,AI$7,TIMESHEETS!$B:$B,$B90)</f>
        <v>0</v>
      </c>
      <c r="AJ89" s="13">
        <f>SUMIFS(TIMESHEETS!$AQ:$AQ,TIMESHEETS!$F:$F,AJ$7,TIMESHEETS!$B:$B,$B90)</f>
        <v>0</v>
      </c>
      <c r="AK89" s="4"/>
      <c r="AL89" s="13">
        <f>H89-SUM(J89:AJ89)</f>
        <v>0</v>
      </c>
    </row>
    <row r="90" spans="1:38" ht="15" customHeight="1" x14ac:dyDescent="0.35">
      <c r="A90" s="4"/>
      <c r="B90" s="20"/>
      <c r="C90" s="21"/>
      <c r="D90" s="21"/>
      <c r="E90" s="21"/>
      <c r="F90" s="22"/>
      <c r="G90" s="5"/>
      <c r="H90" s="6"/>
      <c r="I90" s="4"/>
      <c r="J90" s="7">
        <f>SUMIFS(TIMESHEETS!$AO:$AO,TIMESHEETS!$F:$F,J$7,TIMESHEETS!$B:$B,$B90)</f>
        <v>0</v>
      </c>
      <c r="K90" s="7">
        <f>SUMIFS(TIMESHEETS!$AO:$AO,TIMESHEETS!$F:$F,K$7,TIMESHEETS!$B:$B,$B90)</f>
        <v>0</v>
      </c>
      <c r="L90" s="7">
        <f>SUMIFS(TIMESHEETS!$AO:$AO,TIMESHEETS!$F:$F,L$7,TIMESHEETS!$B:$B,$B90)</f>
        <v>0</v>
      </c>
      <c r="M90" s="7">
        <f>SUMIFS(TIMESHEETS!$AO:$AO,TIMESHEETS!$F:$F,M$7,TIMESHEETS!$B:$B,$B90)</f>
        <v>0</v>
      </c>
      <c r="N90" s="7">
        <f>SUMIFS(TIMESHEETS!$AO:$AO,TIMESHEETS!$F:$F,N$7,TIMESHEETS!$B:$B,$B90)</f>
        <v>0</v>
      </c>
      <c r="O90" s="7">
        <f>SUMIFS(TIMESHEETS!$AO:$AO,TIMESHEETS!$F:$F,O$7,TIMESHEETS!$B:$B,$B90)</f>
        <v>0</v>
      </c>
      <c r="P90" s="7">
        <f>SUMIFS(TIMESHEETS!$AO:$AO,TIMESHEETS!$F:$F,P$7,TIMESHEETS!$B:$B,$B90)</f>
        <v>0</v>
      </c>
      <c r="Q90" s="7">
        <f>SUMIFS(TIMESHEETS!$AO:$AO,TIMESHEETS!$F:$F,Q$7,TIMESHEETS!$B:$B,$B90)</f>
        <v>0</v>
      </c>
      <c r="R90" s="7">
        <f>SUMIFS(TIMESHEETS!$AO:$AO,TIMESHEETS!$F:$F,R$7,TIMESHEETS!$B:$B,$B90)</f>
        <v>0</v>
      </c>
      <c r="S90" s="7">
        <f>SUMIFS(TIMESHEETS!$AO:$AO,TIMESHEETS!$F:$F,S$7,TIMESHEETS!$B:$B,$B90)</f>
        <v>0</v>
      </c>
      <c r="T90" s="7">
        <f>SUMIFS(TIMESHEETS!$AO:$AO,TIMESHEETS!$F:$F,T$7,TIMESHEETS!$B:$B,$B90)</f>
        <v>0</v>
      </c>
      <c r="U90" s="7">
        <f>SUMIFS(TIMESHEETS!$AO:$AO,TIMESHEETS!$F:$F,U$7,TIMESHEETS!$B:$B,$B90)</f>
        <v>0</v>
      </c>
      <c r="V90" s="7">
        <f>SUMIFS(TIMESHEETS!$AO:$AO,TIMESHEETS!$F:$F,V$7,TIMESHEETS!$B:$B,$B90)</f>
        <v>0</v>
      </c>
      <c r="W90" s="7">
        <f>SUMIFS(TIMESHEETS!$AO:$AO,TIMESHEETS!$F:$F,W$7,TIMESHEETS!$B:$B,$B90)</f>
        <v>0</v>
      </c>
      <c r="X90" s="7">
        <f>SUMIFS(TIMESHEETS!$AO:$AO,TIMESHEETS!$F:$F,X$7,TIMESHEETS!$B:$B,$B90)</f>
        <v>0</v>
      </c>
      <c r="Y90" s="7">
        <f>SUMIFS(TIMESHEETS!$AO:$AO,TIMESHEETS!$F:$F,Y$7,TIMESHEETS!$B:$B,$B90)</f>
        <v>0</v>
      </c>
      <c r="Z90" s="7">
        <f>SUMIFS(TIMESHEETS!$AO:$AO,TIMESHEETS!$F:$F,Z$7,TIMESHEETS!$B:$B,$B90)</f>
        <v>0</v>
      </c>
      <c r="AA90" s="7">
        <f>SUMIFS(TIMESHEETS!$AO:$AO,TIMESHEETS!$F:$F,AA$7,TIMESHEETS!$B:$B,$B90)</f>
        <v>0</v>
      </c>
      <c r="AB90" s="7">
        <f>SUMIFS(TIMESHEETS!$AO:$AO,TIMESHEETS!$F:$F,AB$7,TIMESHEETS!$B:$B,$B90)</f>
        <v>0</v>
      </c>
      <c r="AC90" s="7">
        <f>SUMIFS(TIMESHEETS!$AO:$AO,TIMESHEETS!$F:$F,AC$7,TIMESHEETS!$B:$B,$B90)</f>
        <v>0</v>
      </c>
      <c r="AD90" s="7">
        <f>SUMIFS(TIMESHEETS!$AO:$AO,TIMESHEETS!$F:$F,AD$7,TIMESHEETS!$B:$B,$B90)</f>
        <v>0</v>
      </c>
      <c r="AE90" s="7">
        <f>SUMIFS(TIMESHEETS!$AO:$AO,TIMESHEETS!$F:$F,AE$7,TIMESHEETS!$B:$B,$B90)</f>
        <v>0</v>
      </c>
      <c r="AF90" s="7">
        <f>SUMIFS(TIMESHEETS!$AO:$AO,TIMESHEETS!$F:$F,AF$7,TIMESHEETS!$B:$B,$B90)</f>
        <v>0</v>
      </c>
      <c r="AG90" s="7">
        <f>SUMIFS(TIMESHEETS!$AO:$AO,TIMESHEETS!$F:$F,AG$7,TIMESHEETS!$B:$B,$B90)</f>
        <v>0</v>
      </c>
      <c r="AH90" s="7">
        <f>SUMIFS(TIMESHEETS!$AO:$AO,TIMESHEETS!$F:$F,AH$7,TIMESHEETS!$B:$B,$B90)</f>
        <v>0</v>
      </c>
      <c r="AI90" s="7">
        <f>SUMIFS(TIMESHEETS!$AO:$AO,TIMESHEETS!$F:$F,AI$7,TIMESHEETS!$B:$B,$B90)</f>
        <v>0</v>
      </c>
      <c r="AJ90" s="7">
        <f>SUMIFS(TIMESHEETS!$AO:$AO,TIMESHEETS!$F:$F,AJ$7,TIMESHEETS!$B:$B,$B90)</f>
        <v>0</v>
      </c>
      <c r="AK90" s="4"/>
      <c r="AL90" s="7">
        <f>H90-SUM(J90:AJ90)</f>
        <v>0</v>
      </c>
    </row>
    <row r="91" spans="1:38" ht="15" customHeight="1" x14ac:dyDescent="0.35">
      <c r="A91" s="4"/>
      <c r="B91" s="23"/>
      <c r="C91" s="23"/>
      <c r="D91" s="23"/>
      <c r="E91" s="23"/>
      <c r="F91" s="23"/>
      <c r="G91" s="5"/>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row>
    <row r="92" spans="1:38" ht="15" customHeight="1" x14ac:dyDescent="0.35">
      <c r="A92" s="4"/>
      <c r="B92" s="17"/>
      <c r="C92" s="18"/>
      <c r="D92" s="18"/>
      <c r="E92" s="18"/>
      <c r="F92" s="19"/>
      <c r="G92" s="5"/>
      <c r="H92" s="12"/>
      <c r="I92" s="4"/>
      <c r="J92" s="13">
        <f>SUMIFS(TIMESHEETS!$AQ:$AQ,TIMESHEETS!$F:$F,J$7,TIMESHEETS!$B:$B,$B93)</f>
        <v>0</v>
      </c>
      <c r="K92" s="13">
        <f>SUMIFS(TIMESHEETS!$AQ:$AQ,TIMESHEETS!$F:$F,K$7,TIMESHEETS!$B:$B,$B93)</f>
        <v>0</v>
      </c>
      <c r="L92" s="13">
        <f>SUMIFS(TIMESHEETS!$AQ:$AQ,TIMESHEETS!$F:$F,L$7,TIMESHEETS!$B:$B,$B93)</f>
        <v>0</v>
      </c>
      <c r="M92" s="13">
        <f>SUMIFS(TIMESHEETS!$AQ:$AQ,TIMESHEETS!$F:$F,M$7,TIMESHEETS!$B:$B,$B93)</f>
        <v>0</v>
      </c>
      <c r="N92" s="13">
        <f>SUMIFS(TIMESHEETS!$AQ:$AQ,TIMESHEETS!$F:$F,N$7,TIMESHEETS!$B:$B,$B93)</f>
        <v>0</v>
      </c>
      <c r="O92" s="13">
        <f>SUMIFS(TIMESHEETS!$AQ:$AQ,TIMESHEETS!$F:$F,O$7,TIMESHEETS!$B:$B,$B93)</f>
        <v>0</v>
      </c>
      <c r="P92" s="13">
        <f>SUMIFS(TIMESHEETS!$AQ:$AQ,TIMESHEETS!$F:$F,P$7,TIMESHEETS!$B:$B,$B93)</f>
        <v>0</v>
      </c>
      <c r="Q92" s="13">
        <f>SUMIFS(TIMESHEETS!$AQ:$AQ,TIMESHEETS!$F:$F,Q$7,TIMESHEETS!$B:$B,$B93)</f>
        <v>0</v>
      </c>
      <c r="R92" s="13">
        <f>SUMIFS(TIMESHEETS!$AQ:$AQ,TIMESHEETS!$F:$F,R$7,TIMESHEETS!$B:$B,$B93)</f>
        <v>0</v>
      </c>
      <c r="S92" s="13">
        <f>SUMIFS(TIMESHEETS!$AQ:$AQ,TIMESHEETS!$F:$F,S$7,TIMESHEETS!$B:$B,$B93)</f>
        <v>0</v>
      </c>
      <c r="T92" s="13">
        <f>SUMIFS(TIMESHEETS!$AQ:$AQ,TIMESHEETS!$F:$F,T$7,TIMESHEETS!$B:$B,$B93)</f>
        <v>0</v>
      </c>
      <c r="U92" s="13">
        <f>SUMIFS(TIMESHEETS!$AQ:$AQ,TIMESHEETS!$F:$F,U$7,TIMESHEETS!$B:$B,$B93)</f>
        <v>0</v>
      </c>
      <c r="V92" s="13">
        <f>SUMIFS(TIMESHEETS!$AQ:$AQ,TIMESHEETS!$F:$F,V$7,TIMESHEETS!$B:$B,$B93)</f>
        <v>0</v>
      </c>
      <c r="W92" s="13">
        <f>SUMIFS(TIMESHEETS!$AQ:$AQ,TIMESHEETS!$F:$F,W$7,TIMESHEETS!$B:$B,$B93)</f>
        <v>0</v>
      </c>
      <c r="X92" s="13">
        <f>SUMIFS(TIMESHEETS!$AQ:$AQ,TIMESHEETS!$F:$F,X$7,TIMESHEETS!$B:$B,$B93)</f>
        <v>0</v>
      </c>
      <c r="Y92" s="13">
        <f>SUMIFS(TIMESHEETS!$AQ:$AQ,TIMESHEETS!$F:$F,Y$7,TIMESHEETS!$B:$B,$B93)</f>
        <v>0</v>
      </c>
      <c r="Z92" s="13">
        <f>SUMIFS(TIMESHEETS!$AQ:$AQ,TIMESHEETS!$F:$F,Z$7,TIMESHEETS!$B:$B,$B93)</f>
        <v>0</v>
      </c>
      <c r="AA92" s="13">
        <f>SUMIFS(TIMESHEETS!$AQ:$AQ,TIMESHEETS!$F:$F,AA$7,TIMESHEETS!$B:$B,$B93)</f>
        <v>0</v>
      </c>
      <c r="AB92" s="13">
        <f>SUMIFS(TIMESHEETS!$AQ:$AQ,TIMESHEETS!$F:$F,AB$7,TIMESHEETS!$B:$B,$B93)</f>
        <v>0</v>
      </c>
      <c r="AC92" s="13">
        <f>SUMIFS(TIMESHEETS!$AQ:$AQ,TIMESHEETS!$F:$F,AC$7,TIMESHEETS!$B:$B,$B93)</f>
        <v>0</v>
      </c>
      <c r="AD92" s="13">
        <f>SUMIFS(TIMESHEETS!$AQ:$AQ,TIMESHEETS!$F:$F,AD$7,TIMESHEETS!$B:$B,$B93)</f>
        <v>0</v>
      </c>
      <c r="AE92" s="13">
        <f>SUMIFS(TIMESHEETS!$AQ:$AQ,TIMESHEETS!$F:$F,AE$7,TIMESHEETS!$B:$B,$B93)</f>
        <v>0</v>
      </c>
      <c r="AF92" s="13">
        <f>SUMIFS(TIMESHEETS!$AQ:$AQ,TIMESHEETS!$F:$F,AF$7,TIMESHEETS!$B:$B,$B93)</f>
        <v>0</v>
      </c>
      <c r="AG92" s="13">
        <f>SUMIFS(TIMESHEETS!$AQ:$AQ,TIMESHEETS!$F:$F,AG$7,TIMESHEETS!$B:$B,$B93)</f>
        <v>0</v>
      </c>
      <c r="AH92" s="13">
        <f>SUMIFS(TIMESHEETS!$AQ:$AQ,TIMESHEETS!$F:$F,AH$7,TIMESHEETS!$B:$B,$B93)</f>
        <v>0</v>
      </c>
      <c r="AI92" s="13">
        <f>SUMIFS(TIMESHEETS!$AQ:$AQ,TIMESHEETS!$F:$F,AI$7,TIMESHEETS!$B:$B,$B93)</f>
        <v>0</v>
      </c>
      <c r="AJ92" s="13">
        <f>SUMIFS(TIMESHEETS!$AQ:$AQ,TIMESHEETS!$F:$F,AJ$7,TIMESHEETS!$B:$B,$B93)</f>
        <v>0</v>
      </c>
      <c r="AK92" s="4"/>
      <c r="AL92" s="13">
        <f>H92-SUM(J92:AJ92)</f>
        <v>0</v>
      </c>
    </row>
    <row r="93" spans="1:38" ht="15" customHeight="1" x14ac:dyDescent="0.35">
      <c r="A93" s="4"/>
      <c r="B93" s="20"/>
      <c r="C93" s="21"/>
      <c r="D93" s="21"/>
      <c r="E93" s="21"/>
      <c r="F93" s="22"/>
      <c r="G93" s="5"/>
      <c r="H93" s="6"/>
      <c r="I93" s="4"/>
      <c r="J93" s="7">
        <f>SUMIFS(TIMESHEETS!$AO:$AO,TIMESHEETS!$F:$F,J$7,TIMESHEETS!$B:$B,$B93)</f>
        <v>0</v>
      </c>
      <c r="K93" s="7">
        <f>SUMIFS(TIMESHEETS!$AO:$AO,TIMESHEETS!$F:$F,K$7,TIMESHEETS!$B:$B,$B93)</f>
        <v>0</v>
      </c>
      <c r="L93" s="7">
        <f>SUMIFS(TIMESHEETS!$AO:$AO,TIMESHEETS!$F:$F,L$7,TIMESHEETS!$B:$B,$B93)</f>
        <v>0</v>
      </c>
      <c r="M93" s="7">
        <f>SUMIFS(TIMESHEETS!$AO:$AO,TIMESHEETS!$F:$F,M$7,TIMESHEETS!$B:$B,$B93)</f>
        <v>0</v>
      </c>
      <c r="N93" s="7">
        <f>SUMIFS(TIMESHEETS!$AO:$AO,TIMESHEETS!$F:$F,N$7,TIMESHEETS!$B:$B,$B93)</f>
        <v>0</v>
      </c>
      <c r="O93" s="7">
        <f>SUMIFS(TIMESHEETS!$AO:$AO,TIMESHEETS!$F:$F,O$7,TIMESHEETS!$B:$B,$B93)</f>
        <v>0</v>
      </c>
      <c r="P93" s="7">
        <f>SUMIFS(TIMESHEETS!$AO:$AO,TIMESHEETS!$F:$F,P$7,TIMESHEETS!$B:$B,$B93)</f>
        <v>0</v>
      </c>
      <c r="Q93" s="7">
        <f>SUMIFS(TIMESHEETS!$AO:$AO,TIMESHEETS!$F:$F,Q$7,TIMESHEETS!$B:$B,$B93)</f>
        <v>0</v>
      </c>
      <c r="R93" s="7">
        <f>SUMIFS(TIMESHEETS!$AO:$AO,TIMESHEETS!$F:$F,R$7,TIMESHEETS!$B:$B,$B93)</f>
        <v>0</v>
      </c>
      <c r="S93" s="7">
        <f>SUMIFS(TIMESHEETS!$AO:$AO,TIMESHEETS!$F:$F,S$7,TIMESHEETS!$B:$B,$B93)</f>
        <v>0</v>
      </c>
      <c r="T93" s="7">
        <f>SUMIFS(TIMESHEETS!$AO:$AO,TIMESHEETS!$F:$F,T$7,TIMESHEETS!$B:$B,$B93)</f>
        <v>0</v>
      </c>
      <c r="U93" s="7">
        <f>SUMIFS(TIMESHEETS!$AO:$AO,TIMESHEETS!$F:$F,U$7,TIMESHEETS!$B:$B,$B93)</f>
        <v>0</v>
      </c>
      <c r="V93" s="7">
        <f>SUMIFS(TIMESHEETS!$AO:$AO,TIMESHEETS!$F:$F,V$7,TIMESHEETS!$B:$B,$B93)</f>
        <v>0</v>
      </c>
      <c r="W93" s="7">
        <f>SUMIFS(TIMESHEETS!$AO:$AO,TIMESHEETS!$F:$F,W$7,TIMESHEETS!$B:$B,$B93)</f>
        <v>0</v>
      </c>
      <c r="X93" s="7">
        <f>SUMIFS(TIMESHEETS!$AO:$AO,TIMESHEETS!$F:$F,X$7,TIMESHEETS!$B:$B,$B93)</f>
        <v>0</v>
      </c>
      <c r="Y93" s="7">
        <f>SUMIFS(TIMESHEETS!$AO:$AO,TIMESHEETS!$F:$F,Y$7,TIMESHEETS!$B:$B,$B93)</f>
        <v>0</v>
      </c>
      <c r="Z93" s="7">
        <f>SUMIFS(TIMESHEETS!$AO:$AO,TIMESHEETS!$F:$F,Z$7,TIMESHEETS!$B:$B,$B93)</f>
        <v>0</v>
      </c>
      <c r="AA93" s="7">
        <f>SUMIFS(TIMESHEETS!$AO:$AO,TIMESHEETS!$F:$F,AA$7,TIMESHEETS!$B:$B,$B93)</f>
        <v>0</v>
      </c>
      <c r="AB93" s="7">
        <f>SUMIFS(TIMESHEETS!$AO:$AO,TIMESHEETS!$F:$F,AB$7,TIMESHEETS!$B:$B,$B93)</f>
        <v>0</v>
      </c>
      <c r="AC93" s="7">
        <f>SUMIFS(TIMESHEETS!$AO:$AO,TIMESHEETS!$F:$F,AC$7,TIMESHEETS!$B:$B,$B93)</f>
        <v>0</v>
      </c>
      <c r="AD93" s="7">
        <f>SUMIFS(TIMESHEETS!$AO:$AO,TIMESHEETS!$F:$F,AD$7,TIMESHEETS!$B:$B,$B93)</f>
        <v>0</v>
      </c>
      <c r="AE93" s="7">
        <f>SUMIFS(TIMESHEETS!$AO:$AO,TIMESHEETS!$F:$F,AE$7,TIMESHEETS!$B:$B,$B93)</f>
        <v>0</v>
      </c>
      <c r="AF93" s="7">
        <f>SUMIFS(TIMESHEETS!$AO:$AO,TIMESHEETS!$F:$F,AF$7,TIMESHEETS!$B:$B,$B93)</f>
        <v>0</v>
      </c>
      <c r="AG93" s="7">
        <f>SUMIFS(TIMESHEETS!$AO:$AO,TIMESHEETS!$F:$F,AG$7,TIMESHEETS!$B:$B,$B93)</f>
        <v>0</v>
      </c>
      <c r="AH93" s="7">
        <f>SUMIFS(TIMESHEETS!$AO:$AO,TIMESHEETS!$F:$F,AH$7,TIMESHEETS!$B:$B,$B93)</f>
        <v>0</v>
      </c>
      <c r="AI93" s="7">
        <f>SUMIFS(TIMESHEETS!$AO:$AO,TIMESHEETS!$F:$F,AI$7,TIMESHEETS!$B:$B,$B93)</f>
        <v>0</v>
      </c>
      <c r="AJ93" s="7">
        <f>SUMIFS(TIMESHEETS!$AO:$AO,TIMESHEETS!$F:$F,AJ$7,TIMESHEETS!$B:$B,$B93)</f>
        <v>0</v>
      </c>
      <c r="AK93" s="4"/>
      <c r="AL93" s="7">
        <f>H93-SUM(J93:AJ93)</f>
        <v>0</v>
      </c>
    </row>
    <row r="94" spans="1:38" ht="15" customHeight="1" x14ac:dyDescent="0.35">
      <c r="A94" s="4"/>
      <c r="B94" s="23"/>
      <c r="C94" s="23"/>
      <c r="D94" s="23"/>
      <c r="E94" s="23"/>
      <c r="F94" s="23"/>
      <c r="G94" s="5"/>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row>
    <row r="95" spans="1:38" ht="15" customHeight="1" x14ac:dyDescent="0.35">
      <c r="A95" s="4"/>
      <c r="B95" s="17"/>
      <c r="C95" s="18"/>
      <c r="D95" s="18"/>
      <c r="E95" s="18"/>
      <c r="F95" s="19"/>
      <c r="G95" s="5"/>
      <c r="H95" s="12"/>
      <c r="I95" s="4"/>
      <c r="J95" s="13">
        <f>SUMIFS(TIMESHEETS!$AQ:$AQ,TIMESHEETS!$F:$F,J$7,TIMESHEETS!$B:$B,$B96)</f>
        <v>0</v>
      </c>
      <c r="K95" s="13">
        <f>SUMIFS(TIMESHEETS!$AQ:$AQ,TIMESHEETS!$F:$F,K$7,TIMESHEETS!$B:$B,$B96)</f>
        <v>0</v>
      </c>
      <c r="L95" s="13">
        <f>SUMIFS(TIMESHEETS!$AQ:$AQ,TIMESHEETS!$F:$F,L$7,TIMESHEETS!$B:$B,$B96)</f>
        <v>0</v>
      </c>
      <c r="M95" s="13">
        <f>SUMIFS(TIMESHEETS!$AQ:$AQ,TIMESHEETS!$F:$F,M$7,TIMESHEETS!$B:$B,$B96)</f>
        <v>0</v>
      </c>
      <c r="N95" s="13">
        <f>SUMIFS(TIMESHEETS!$AQ:$AQ,TIMESHEETS!$F:$F,N$7,TIMESHEETS!$B:$B,$B96)</f>
        <v>0</v>
      </c>
      <c r="O95" s="13">
        <f>SUMIFS(TIMESHEETS!$AQ:$AQ,TIMESHEETS!$F:$F,O$7,TIMESHEETS!$B:$B,$B96)</f>
        <v>0</v>
      </c>
      <c r="P95" s="13">
        <f>SUMIFS(TIMESHEETS!$AQ:$AQ,TIMESHEETS!$F:$F,P$7,TIMESHEETS!$B:$B,$B96)</f>
        <v>0</v>
      </c>
      <c r="Q95" s="13">
        <f>SUMIFS(TIMESHEETS!$AQ:$AQ,TIMESHEETS!$F:$F,Q$7,TIMESHEETS!$B:$B,$B96)</f>
        <v>0</v>
      </c>
      <c r="R95" s="13">
        <f>SUMIFS(TIMESHEETS!$AQ:$AQ,TIMESHEETS!$F:$F,R$7,TIMESHEETS!$B:$B,$B96)</f>
        <v>0</v>
      </c>
      <c r="S95" s="13">
        <f>SUMIFS(TIMESHEETS!$AQ:$AQ,TIMESHEETS!$F:$F,S$7,TIMESHEETS!$B:$B,$B96)</f>
        <v>0</v>
      </c>
      <c r="T95" s="13">
        <f>SUMIFS(TIMESHEETS!$AQ:$AQ,TIMESHEETS!$F:$F,T$7,TIMESHEETS!$B:$B,$B96)</f>
        <v>0</v>
      </c>
      <c r="U95" s="13">
        <f>SUMIFS(TIMESHEETS!$AQ:$AQ,TIMESHEETS!$F:$F,U$7,TIMESHEETS!$B:$B,$B96)</f>
        <v>0</v>
      </c>
      <c r="V95" s="13">
        <f>SUMIFS(TIMESHEETS!$AQ:$AQ,TIMESHEETS!$F:$F,V$7,TIMESHEETS!$B:$B,$B96)</f>
        <v>0</v>
      </c>
      <c r="W95" s="13">
        <f>SUMIFS(TIMESHEETS!$AQ:$AQ,TIMESHEETS!$F:$F,W$7,TIMESHEETS!$B:$B,$B96)</f>
        <v>0</v>
      </c>
      <c r="X95" s="13">
        <f>SUMIFS(TIMESHEETS!$AQ:$AQ,TIMESHEETS!$F:$F,X$7,TIMESHEETS!$B:$B,$B96)</f>
        <v>0</v>
      </c>
      <c r="Y95" s="13">
        <f>SUMIFS(TIMESHEETS!$AQ:$AQ,TIMESHEETS!$F:$F,Y$7,TIMESHEETS!$B:$B,$B96)</f>
        <v>0</v>
      </c>
      <c r="Z95" s="13">
        <f>SUMIFS(TIMESHEETS!$AQ:$AQ,TIMESHEETS!$F:$F,Z$7,TIMESHEETS!$B:$B,$B96)</f>
        <v>0</v>
      </c>
      <c r="AA95" s="13">
        <f>SUMIFS(TIMESHEETS!$AQ:$AQ,TIMESHEETS!$F:$F,AA$7,TIMESHEETS!$B:$B,$B96)</f>
        <v>0</v>
      </c>
      <c r="AB95" s="13">
        <f>SUMIFS(TIMESHEETS!$AQ:$AQ,TIMESHEETS!$F:$F,AB$7,TIMESHEETS!$B:$B,$B96)</f>
        <v>0</v>
      </c>
      <c r="AC95" s="13">
        <f>SUMIFS(TIMESHEETS!$AQ:$AQ,TIMESHEETS!$F:$F,AC$7,TIMESHEETS!$B:$B,$B96)</f>
        <v>0</v>
      </c>
      <c r="AD95" s="13">
        <f>SUMIFS(TIMESHEETS!$AQ:$AQ,TIMESHEETS!$F:$F,AD$7,TIMESHEETS!$B:$B,$B96)</f>
        <v>0</v>
      </c>
      <c r="AE95" s="13">
        <f>SUMIFS(TIMESHEETS!$AQ:$AQ,TIMESHEETS!$F:$F,AE$7,TIMESHEETS!$B:$B,$B96)</f>
        <v>0</v>
      </c>
      <c r="AF95" s="13">
        <f>SUMIFS(TIMESHEETS!$AQ:$AQ,TIMESHEETS!$F:$F,AF$7,TIMESHEETS!$B:$B,$B96)</f>
        <v>0</v>
      </c>
      <c r="AG95" s="13">
        <f>SUMIFS(TIMESHEETS!$AQ:$AQ,TIMESHEETS!$F:$F,AG$7,TIMESHEETS!$B:$B,$B96)</f>
        <v>0</v>
      </c>
      <c r="AH95" s="13">
        <f>SUMIFS(TIMESHEETS!$AQ:$AQ,TIMESHEETS!$F:$F,AH$7,TIMESHEETS!$B:$B,$B96)</f>
        <v>0</v>
      </c>
      <c r="AI95" s="13">
        <f>SUMIFS(TIMESHEETS!$AQ:$AQ,TIMESHEETS!$F:$F,AI$7,TIMESHEETS!$B:$B,$B96)</f>
        <v>0</v>
      </c>
      <c r="AJ95" s="13">
        <f>SUMIFS(TIMESHEETS!$AQ:$AQ,TIMESHEETS!$F:$F,AJ$7,TIMESHEETS!$B:$B,$B96)</f>
        <v>0</v>
      </c>
      <c r="AK95" s="4"/>
      <c r="AL95" s="13">
        <f>H95-SUM(J95:AJ95)</f>
        <v>0</v>
      </c>
    </row>
    <row r="96" spans="1:38" ht="15" customHeight="1" x14ac:dyDescent="0.35">
      <c r="A96" s="4"/>
      <c r="B96" s="20"/>
      <c r="C96" s="21"/>
      <c r="D96" s="21"/>
      <c r="E96" s="21"/>
      <c r="F96" s="22"/>
      <c r="G96" s="5"/>
      <c r="H96" s="6"/>
      <c r="I96" s="4"/>
      <c r="J96" s="7">
        <f>SUMIFS(TIMESHEETS!$AO:$AO,TIMESHEETS!$F:$F,J$7,TIMESHEETS!$B:$B,$B96)</f>
        <v>0</v>
      </c>
      <c r="K96" s="7">
        <f>SUMIFS(TIMESHEETS!$AO:$AO,TIMESHEETS!$F:$F,K$7,TIMESHEETS!$B:$B,$B96)</f>
        <v>0</v>
      </c>
      <c r="L96" s="7">
        <f>SUMIFS(TIMESHEETS!$AO:$AO,TIMESHEETS!$F:$F,L$7,TIMESHEETS!$B:$B,$B96)</f>
        <v>0</v>
      </c>
      <c r="M96" s="7">
        <f>SUMIFS(TIMESHEETS!$AO:$AO,TIMESHEETS!$F:$F,M$7,TIMESHEETS!$B:$B,$B96)</f>
        <v>0</v>
      </c>
      <c r="N96" s="7">
        <f>SUMIFS(TIMESHEETS!$AO:$AO,TIMESHEETS!$F:$F,N$7,TIMESHEETS!$B:$B,$B96)</f>
        <v>0</v>
      </c>
      <c r="O96" s="7">
        <f>SUMIFS(TIMESHEETS!$AO:$AO,TIMESHEETS!$F:$F,O$7,TIMESHEETS!$B:$B,$B96)</f>
        <v>0</v>
      </c>
      <c r="P96" s="7">
        <f>SUMIFS(TIMESHEETS!$AO:$AO,TIMESHEETS!$F:$F,P$7,TIMESHEETS!$B:$B,$B96)</f>
        <v>0</v>
      </c>
      <c r="Q96" s="7">
        <f>SUMIFS(TIMESHEETS!$AO:$AO,TIMESHEETS!$F:$F,Q$7,TIMESHEETS!$B:$B,$B96)</f>
        <v>0</v>
      </c>
      <c r="R96" s="7">
        <f>SUMIFS(TIMESHEETS!$AO:$AO,TIMESHEETS!$F:$F,R$7,TIMESHEETS!$B:$B,$B96)</f>
        <v>0</v>
      </c>
      <c r="S96" s="7">
        <f>SUMIFS(TIMESHEETS!$AO:$AO,TIMESHEETS!$F:$F,S$7,TIMESHEETS!$B:$B,$B96)</f>
        <v>0</v>
      </c>
      <c r="T96" s="7">
        <f>SUMIFS(TIMESHEETS!$AO:$AO,TIMESHEETS!$F:$F,T$7,TIMESHEETS!$B:$B,$B96)</f>
        <v>0</v>
      </c>
      <c r="U96" s="7">
        <f>SUMIFS(TIMESHEETS!$AO:$AO,TIMESHEETS!$F:$F,U$7,TIMESHEETS!$B:$B,$B96)</f>
        <v>0</v>
      </c>
      <c r="V96" s="7">
        <f>SUMIFS(TIMESHEETS!$AO:$AO,TIMESHEETS!$F:$F,V$7,TIMESHEETS!$B:$B,$B96)</f>
        <v>0</v>
      </c>
      <c r="W96" s="7">
        <f>SUMIFS(TIMESHEETS!$AO:$AO,TIMESHEETS!$F:$F,W$7,TIMESHEETS!$B:$B,$B96)</f>
        <v>0</v>
      </c>
      <c r="X96" s="7">
        <f>SUMIFS(TIMESHEETS!$AO:$AO,TIMESHEETS!$F:$F,X$7,TIMESHEETS!$B:$B,$B96)</f>
        <v>0</v>
      </c>
      <c r="Y96" s="7">
        <f>SUMIFS(TIMESHEETS!$AO:$AO,TIMESHEETS!$F:$F,Y$7,TIMESHEETS!$B:$B,$B96)</f>
        <v>0</v>
      </c>
      <c r="Z96" s="7">
        <f>SUMIFS(TIMESHEETS!$AO:$AO,TIMESHEETS!$F:$F,Z$7,TIMESHEETS!$B:$B,$B96)</f>
        <v>0</v>
      </c>
      <c r="AA96" s="7">
        <f>SUMIFS(TIMESHEETS!$AO:$AO,TIMESHEETS!$F:$F,AA$7,TIMESHEETS!$B:$B,$B96)</f>
        <v>0</v>
      </c>
      <c r="AB96" s="7">
        <f>SUMIFS(TIMESHEETS!$AO:$AO,TIMESHEETS!$F:$F,AB$7,TIMESHEETS!$B:$B,$B96)</f>
        <v>0</v>
      </c>
      <c r="AC96" s="7">
        <f>SUMIFS(TIMESHEETS!$AO:$AO,TIMESHEETS!$F:$F,AC$7,TIMESHEETS!$B:$B,$B96)</f>
        <v>0</v>
      </c>
      <c r="AD96" s="7">
        <f>SUMIFS(TIMESHEETS!$AO:$AO,TIMESHEETS!$F:$F,AD$7,TIMESHEETS!$B:$B,$B96)</f>
        <v>0</v>
      </c>
      <c r="AE96" s="7">
        <f>SUMIFS(TIMESHEETS!$AO:$AO,TIMESHEETS!$F:$F,AE$7,TIMESHEETS!$B:$B,$B96)</f>
        <v>0</v>
      </c>
      <c r="AF96" s="7">
        <f>SUMIFS(TIMESHEETS!$AO:$AO,TIMESHEETS!$F:$F,AF$7,TIMESHEETS!$B:$B,$B96)</f>
        <v>0</v>
      </c>
      <c r="AG96" s="7">
        <f>SUMIFS(TIMESHEETS!$AO:$AO,TIMESHEETS!$F:$F,AG$7,TIMESHEETS!$B:$B,$B96)</f>
        <v>0</v>
      </c>
      <c r="AH96" s="7">
        <f>SUMIFS(TIMESHEETS!$AO:$AO,TIMESHEETS!$F:$F,AH$7,TIMESHEETS!$B:$B,$B96)</f>
        <v>0</v>
      </c>
      <c r="AI96" s="7">
        <f>SUMIFS(TIMESHEETS!$AO:$AO,TIMESHEETS!$F:$F,AI$7,TIMESHEETS!$B:$B,$B96)</f>
        <v>0</v>
      </c>
      <c r="AJ96" s="7">
        <f>SUMIFS(TIMESHEETS!$AO:$AO,TIMESHEETS!$F:$F,AJ$7,TIMESHEETS!$B:$B,$B96)</f>
        <v>0</v>
      </c>
      <c r="AK96" s="4"/>
      <c r="AL96" s="7">
        <f>H96-SUM(J96:AJ96)</f>
        <v>0</v>
      </c>
    </row>
    <row r="97" spans="1:38" ht="15" customHeight="1" x14ac:dyDescent="0.35">
      <c r="A97" s="4"/>
      <c r="B97" s="62"/>
      <c r="C97" s="62"/>
      <c r="D97" s="62"/>
      <c r="E97" s="62"/>
      <c r="F97" s="62"/>
      <c r="G97" s="5"/>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row>
    <row r="98" spans="1:38" ht="15" customHeight="1" x14ac:dyDescent="0.35">
      <c r="A98" s="4"/>
      <c r="B98" s="17"/>
      <c r="C98" s="18"/>
      <c r="D98" s="18"/>
      <c r="E98" s="18"/>
      <c r="F98" s="19"/>
      <c r="G98" s="5"/>
      <c r="H98" s="12"/>
      <c r="I98" s="4"/>
      <c r="J98" s="13">
        <f>SUMIFS(TIMESHEETS!$AQ:$AQ,TIMESHEETS!$F:$F,J$7,TIMESHEETS!$B:$B,$B99)</f>
        <v>0</v>
      </c>
      <c r="K98" s="13">
        <f>SUMIFS(TIMESHEETS!$AQ:$AQ,TIMESHEETS!$F:$F,K$7,TIMESHEETS!$B:$B,$B99)</f>
        <v>0</v>
      </c>
      <c r="L98" s="13">
        <f>SUMIFS(TIMESHEETS!$AQ:$AQ,TIMESHEETS!$F:$F,L$7,TIMESHEETS!$B:$B,$B99)</f>
        <v>0</v>
      </c>
      <c r="M98" s="13">
        <f>SUMIFS(TIMESHEETS!$AQ:$AQ,TIMESHEETS!$F:$F,M$7,TIMESHEETS!$B:$B,$B99)</f>
        <v>0</v>
      </c>
      <c r="N98" s="13">
        <f>SUMIFS(TIMESHEETS!$AQ:$AQ,TIMESHEETS!$F:$F,N$7,TIMESHEETS!$B:$B,$B99)</f>
        <v>0</v>
      </c>
      <c r="O98" s="13">
        <f>SUMIFS(TIMESHEETS!$AQ:$AQ,TIMESHEETS!$F:$F,O$7,TIMESHEETS!$B:$B,$B99)</f>
        <v>0</v>
      </c>
      <c r="P98" s="13">
        <f>SUMIFS(TIMESHEETS!$AQ:$AQ,TIMESHEETS!$F:$F,P$7,TIMESHEETS!$B:$B,$B99)</f>
        <v>0</v>
      </c>
      <c r="Q98" s="13">
        <f>SUMIFS(TIMESHEETS!$AQ:$AQ,TIMESHEETS!$F:$F,Q$7,TIMESHEETS!$B:$B,$B99)</f>
        <v>0</v>
      </c>
      <c r="R98" s="13">
        <f>SUMIFS(TIMESHEETS!$AQ:$AQ,TIMESHEETS!$F:$F,R$7,TIMESHEETS!$B:$B,$B99)</f>
        <v>0</v>
      </c>
      <c r="S98" s="13">
        <f>SUMIFS(TIMESHEETS!$AQ:$AQ,TIMESHEETS!$F:$F,S$7,TIMESHEETS!$B:$B,$B99)</f>
        <v>0</v>
      </c>
      <c r="T98" s="13">
        <f>SUMIFS(TIMESHEETS!$AQ:$AQ,TIMESHEETS!$F:$F,T$7,TIMESHEETS!$B:$B,$B99)</f>
        <v>0</v>
      </c>
      <c r="U98" s="13">
        <f>SUMIFS(TIMESHEETS!$AQ:$AQ,TIMESHEETS!$F:$F,U$7,TIMESHEETS!$B:$B,$B99)</f>
        <v>0</v>
      </c>
      <c r="V98" s="13">
        <f>SUMIFS(TIMESHEETS!$AQ:$AQ,TIMESHEETS!$F:$F,V$7,TIMESHEETS!$B:$B,$B99)</f>
        <v>0</v>
      </c>
      <c r="W98" s="13">
        <f>SUMIFS(TIMESHEETS!$AQ:$AQ,TIMESHEETS!$F:$F,W$7,TIMESHEETS!$B:$B,$B99)</f>
        <v>0</v>
      </c>
      <c r="X98" s="13">
        <f>SUMIFS(TIMESHEETS!$AQ:$AQ,TIMESHEETS!$F:$F,X$7,TIMESHEETS!$B:$B,$B99)</f>
        <v>0</v>
      </c>
      <c r="Y98" s="13">
        <f>SUMIFS(TIMESHEETS!$AQ:$AQ,TIMESHEETS!$F:$F,Y$7,TIMESHEETS!$B:$B,$B99)</f>
        <v>0</v>
      </c>
      <c r="Z98" s="13">
        <f>SUMIFS(TIMESHEETS!$AQ:$AQ,TIMESHEETS!$F:$F,Z$7,TIMESHEETS!$B:$B,$B99)</f>
        <v>0</v>
      </c>
      <c r="AA98" s="13">
        <f>SUMIFS(TIMESHEETS!$AQ:$AQ,TIMESHEETS!$F:$F,AA$7,TIMESHEETS!$B:$B,$B99)</f>
        <v>0</v>
      </c>
      <c r="AB98" s="13">
        <f>SUMIFS(TIMESHEETS!$AQ:$AQ,TIMESHEETS!$F:$F,AB$7,TIMESHEETS!$B:$B,$B99)</f>
        <v>0</v>
      </c>
      <c r="AC98" s="13">
        <f>SUMIFS(TIMESHEETS!$AQ:$AQ,TIMESHEETS!$F:$F,AC$7,TIMESHEETS!$B:$B,$B99)</f>
        <v>0</v>
      </c>
      <c r="AD98" s="13">
        <f>SUMIFS(TIMESHEETS!$AQ:$AQ,TIMESHEETS!$F:$F,AD$7,TIMESHEETS!$B:$B,$B99)</f>
        <v>0</v>
      </c>
      <c r="AE98" s="13">
        <f>SUMIFS(TIMESHEETS!$AQ:$AQ,TIMESHEETS!$F:$F,AE$7,TIMESHEETS!$B:$B,$B99)</f>
        <v>0</v>
      </c>
      <c r="AF98" s="13">
        <f>SUMIFS(TIMESHEETS!$AQ:$AQ,TIMESHEETS!$F:$F,AF$7,TIMESHEETS!$B:$B,$B99)</f>
        <v>0</v>
      </c>
      <c r="AG98" s="13">
        <f>SUMIFS(TIMESHEETS!$AQ:$AQ,TIMESHEETS!$F:$F,AG$7,TIMESHEETS!$B:$B,$B99)</f>
        <v>0</v>
      </c>
      <c r="AH98" s="13">
        <f>SUMIFS(TIMESHEETS!$AQ:$AQ,TIMESHEETS!$F:$F,AH$7,TIMESHEETS!$B:$B,$B99)</f>
        <v>0</v>
      </c>
      <c r="AI98" s="13">
        <f>SUMIFS(TIMESHEETS!$AQ:$AQ,TIMESHEETS!$F:$F,AI$7,TIMESHEETS!$B:$B,$B99)</f>
        <v>0</v>
      </c>
      <c r="AJ98" s="13">
        <f>SUMIFS(TIMESHEETS!$AQ:$AQ,TIMESHEETS!$F:$F,AJ$7,TIMESHEETS!$B:$B,$B99)</f>
        <v>0</v>
      </c>
      <c r="AK98" s="4"/>
      <c r="AL98" s="13">
        <f>H98-SUM(J98:AJ98)</f>
        <v>0</v>
      </c>
    </row>
    <row r="99" spans="1:38" ht="15" customHeight="1" x14ac:dyDescent="0.35">
      <c r="A99" s="4"/>
      <c r="B99" s="20"/>
      <c r="C99" s="21"/>
      <c r="D99" s="21"/>
      <c r="E99" s="21"/>
      <c r="F99" s="22"/>
      <c r="G99" s="5"/>
      <c r="H99" s="6"/>
      <c r="I99" s="4"/>
      <c r="J99" s="7">
        <f>SUMIFS(TIMESHEETS!$AO:$AO,TIMESHEETS!$F:$F,J$7,TIMESHEETS!$B:$B,$B99)</f>
        <v>0</v>
      </c>
      <c r="K99" s="7">
        <f>SUMIFS(TIMESHEETS!$AO:$AO,TIMESHEETS!$F:$F,K$7,TIMESHEETS!$B:$B,$B99)</f>
        <v>0</v>
      </c>
      <c r="L99" s="7">
        <f>SUMIFS(TIMESHEETS!$AO:$AO,TIMESHEETS!$F:$F,L$7,TIMESHEETS!$B:$B,$B99)</f>
        <v>0</v>
      </c>
      <c r="M99" s="7">
        <f>SUMIFS(TIMESHEETS!$AO:$AO,TIMESHEETS!$F:$F,M$7,TIMESHEETS!$B:$B,$B99)</f>
        <v>0</v>
      </c>
      <c r="N99" s="7">
        <f>SUMIFS(TIMESHEETS!$AO:$AO,TIMESHEETS!$F:$F,N$7,TIMESHEETS!$B:$B,$B99)</f>
        <v>0</v>
      </c>
      <c r="O99" s="7">
        <f>SUMIFS(TIMESHEETS!$AO:$AO,TIMESHEETS!$F:$F,O$7,TIMESHEETS!$B:$B,$B99)</f>
        <v>0</v>
      </c>
      <c r="P99" s="7">
        <f>SUMIFS(TIMESHEETS!$AO:$AO,TIMESHEETS!$F:$F,P$7,TIMESHEETS!$B:$B,$B99)</f>
        <v>0</v>
      </c>
      <c r="Q99" s="7">
        <f>SUMIFS(TIMESHEETS!$AO:$AO,TIMESHEETS!$F:$F,Q$7,TIMESHEETS!$B:$B,$B99)</f>
        <v>0</v>
      </c>
      <c r="R99" s="7">
        <f>SUMIFS(TIMESHEETS!$AO:$AO,TIMESHEETS!$F:$F,R$7,TIMESHEETS!$B:$B,$B99)</f>
        <v>0</v>
      </c>
      <c r="S99" s="7">
        <f>SUMIFS(TIMESHEETS!$AO:$AO,TIMESHEETS!$F:$F,S$7,TIMESHEETS!$B:$B,$B99)</f>
        <v>0</v>
      </c>
      <c r="T99" s="7">
        <f>SUMIFS(TIMESHEETS!$AO:$AO,TIMESHEETS!$F:$F,T$7,TIMESHEETS!$B:$B,$B99)</f>
        <v>0</v>
      </c>
      <c r="U99" s="7">
        <f>SUMIFS(TIMESHEETS!$AO:$AO,TIMESHEETS!$F:$F,U$7,TIMESHEETS!$B:$B,$B99)</f>
        <v>0</v>
      </c>
      <c r="V99" s="7">
        <f>SUMIFS(TIMESHEETS!$AO:$AO,TIMESHEETS!$F:$F,V$7,TIMESHEETS!$B:$B,$B99)</f>
        <v>0</v>
      </c>
      <c r="W99" s="7">
        <f>SUMIFS(TIMESHEETS!$AO:$AO,TIMESHEETS!$F:$F,W$7,TIMESHEETS!$B:$B,$B99)</f>
        <v>0</v>
      </c>
      <c r="X99" s="7">
        <f>SUMIFS(TIMESHEETS!$AO:$AO,TIMESHEETS!$F:$F,X$7,TIMESHEETS!$B:$B,$B99)</f>
        <v>0</v>
      </c>
      <c r="Y99" s="7">
        <f>SUMIFS(TIMESHEETS!$AO:$AO,TIMESHEETS!$F:$F,Y$7,TIMESHEETS!$B:$B,$B99)</f>
        <v>0</v>
      </c>
      <c r="Z99" s="7">
        <f>SUMIFS(TIMESHEETS!$AO:$AO,TIMESHEETS!$F:$F,Z$7,TIMESHEETS!$B:$B,$B99)</f>
        <v>0</v>
      </c>
      <c r="AA99" s="7">
        <f>SUMIFS(TIMESHEETS!$AO:$AO,TIMESHEETS!$F:$F,AA$7,TIMESHEETS!$B:$B,$B99)</f>
        <v>0</v>
      </c>
      <c r="AB99" s="7">
        <f>SUMIFS(TIMESHEETS!$AO:$AO,TIMESHEETS!$F:$F,AB$7,TIMESHEETS!$B:$B,$B99)</f>
        <v>0</v>
      </c>
      <c r="AC99" s="7">
        <f>SUMIFS(TIMESHEETS!$AO:$AO,TIMESHEETS!$F:$F,AC$7,TIMESHEETS!$B:$B,$B99)</f>
        <v>0</v>
      </c>
      <c r="AD99" s="7">
        <f>SUMIFS(TIMESHEETS!$AO:$AO,TIMESHEETS!$F:$F,AD$7,TIMESHEETS!$B:$B,$B99)</f>
        <v>0</v>
      </c>
      <c r="AE99" s="7">
        <f>SUMIFS(TIMESHEETS!$AO:$AO,TIMESHEETS!$F:$F,AE$7,TIMESHEETS!$B:$B,$B99)</f>
        <v>0</v>
      </c>
      <c r="AF99" s="7">
        <f>SUMIFS(TIMESHEETS!$AO:$AO,TIMESHEETS!$F:$F,AF$7,TIMESHEETS!$B:$B,$B99)</f>
        <v>0</v>
      </c>
      <c r="AG99" s="7">
        <f>SUMIFS(TIMESHEETS!$AO:$AO,TIMESHEETS!$F:$F,AG$7,TIMESHEETS!$B:$B,$B99)</f>
        <v>0</v>
      </c>
      <c r="AH99" s="7">
        <f>SUMIFS(TIMESHEETS!$AO:$AO,TIMESHEETS!$F:$F,AH$7,TIMESHEETS!$B:$B,$B99)</f>
        <v>0</v>
      </c>
      <c r="AI99" s="7">
        <f>SUMIFS(TIMESHEETS!$AO:$AO,TIMESHEETS!$F:$F,AI$7,TIMESHEETS!$B:$B,$B99)</f>
        <v>0</v>
      </c>
      <c r="AJ99" s="7">
        <f>SUMIFS(TIMESHEETS!$AO:$AO,TIMESHEETS!$F:$F,AJ$7,TIMESHEETS!$B:$B,$B99)</f>
        <v>0</v>
      </c>
      <c r="AK99" s="4"/>
      <c r="AL99" s="7">
        <f>H99-SUM(J99:AJ99)</f>
        <v>0</v>
      </c>
    </row>
    <row r="100" spans="1:38" ht="15" customHeight="1" x14ac:dyDescent="0.35">
      <c r="A100" s="4"/>
      <c r="B100" s="23"/>
      <c r="C100" s="23"/>
      <c r="D100" s="23"/>
      <c r="E100" s="23"/>
      <c r="F100" s="23"/>
      <c r="G100" s="5"/>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spans="1:38" ht="15" customHeight="1" x14ac:dyDescent="0.35">
      <c r="A101" s="4"/>
      <c r="B101" s="17"/>
      <c r="C101" s="18"/>
      <c r="D101" s="18"/>
      <c r="E101" s="18"/>
      <c r="F101" s="19"/>
      <c r="G101" s="5"/>
      <c r="H101" s="12"/>
      <c r="I101" s="4"/>
      <c r="J101" s="13">
        <f>SUMIFS(TIMESHEETS!$AQ:$AQ,TIMESHEETS!$F:$F,J$7,TIMESHEETS!$B:$B,$B102)</f>
        <v>0</v>
      </c>
      <c r="K101" s="13">
        <f>SUMIFS(TIMESHEETS!$AQ:$AQ,TIMESHEETS!$F:$F,K$7,TIMESHEETS!$B:$B,$B102)</f>
        <v>0</v>
      </c>
      <c r="L101" s="13">
        <f>SUMIFS(TIMESHEETS!$AQ:$AQ,TIMESHEETS!$F:$F,L$7,TIMESHEETS!$B:$B,$B102)</f>
        <v>0</v>
      </c>
      <c r="M101" s="13">
        <f>SUMIFS(TIMESHEETS!$AQ:$AQ,TIMESHEETS!$F:$F,M$7,TIMESHEETS!$B:$B,$B102)</f>
        <v>0</v>
      </c>
      <c r="N101" s="13">
        <f>SUMIFS(TIMESHEETS!$AQ:$AQ,TIMESHEETS!$F:$F,N$7,TIMESHEETS!$B:$B,$B102)</f>
        <v>0</v>
      </c>
      <c r="O101" s="13">
        <f>SUMIFS(TIMESHEETS!$AQ:$AQ,TIMESHEETS!$F:$F,O$7,TIMESHEETS!$B:$B,$B102)</f>
        <v>0</v>
      </c>
      <c r="P101" s="13">
        <f>SUMIFS(TIMESHEETS!$AQ:$AQ,TIMESHEETS!$F:$F,P$7,TIMESHEETS!$B:$B,$B102)</f>
        <v>0</v>
      </c>
      <c r="Q101" s="13">
        <f>SUMIFS(TIMESHEETS!$AQ:$AQ,TIMESHEETS!$F:$F,Q$7,TIMESHEETS!$B:$B,$B102)</f>
        <v>0</v>
      </c>
      <c r="R101" s="13">
        <f>SUMIFS(TIMESHEETS!$AQ:$AQ,TIMESHEETS!$F:$F,R$7,TIMESHEETS!$B:$B,$B102)</f>
        <v>0</v>
      </c>
      <c r="S101" s="13">
        <f>SUMIFS(TIMESHEETS!$AQ:$AQ,TIMESHEETS!$F:$F,S$7,TIMESHEETS!$B:$B,$B102)</f>
        <v>0</v>
      </c>
      <c r="T101" s="13">
        <f>SUMIFS(TIMESHEETS!$AQ:$AQ,TIMESHEETS!$F:$F,T$7,TIMESHEETS!$B:$B,$B102)</f>
        <v>0</v>
      </c>
      <c r="U101" s="13">
        <f>SUMIFS(TIMESHEETS!$AQ:$AQ,TIMESHEETS!$F:$F,U$7,TIMESHEETS!$B:$B,$B102)</f>
        <v>0</v>
      </c>
      <c r="V101" s="13">
        <f>SUMIFS(TIMESHEETS!$AQ:$AQ,TIMESHEETS!$F:$F,V$7,TIMESHEETS!$B:$B,$B102)</f>
        <v>0</v>
      </c>
      <c r="W101" s="13">
        <f>SUMIFS(TIMESHEETS!$AQ:$AQ,TIMESHEETS!$F:$F,W$7,TIMESHEETS!$B:$B,$B102)</f>
        <v>0</v>
      </c>
      <c r="X101" s="13">
        <f>SUMIFS(TIMESHEETS!$AQ:$AQ,TIMESHEETS!$F:$F,X$7,TIMESHEETS!$B:$B,$B102)</f>
        <v>0</v>
      </c>
      <c r="Y101" s="13">
        <f>SUMIFS(TIMESHEETS!$AQ:$AQ,TIMESHEETS!$F:$F,Y$7,TIMESHEETS!$B:$B,$B102)</f>
        <v>0</v>
      </c>
      <c r="Z101" s="13">
        <f>SUMIFS(TIMESHEETS!$AQ:$AQ,TIMESHEETS!$F:$F,Z$7,TIMESHEETS!$B:$B,$B102)</f>
        <v>0</v>
      </c>
      <c r="AA101" s="13">
        <f>SUMIFS(TIMESHEETS!$AQ:$AQ,TIMESHEETS!$F:$F,AA$7,TIMESHEETS!$B:$B,$B102)</f>
        <v>0</v>
      </c>
      <c r="AB101" s="13">
        <f>SUMIFS(TIMESHEETS!$AQ:$AQ,TIMESHEETS!$F:$F,AB$7,TIMESHEETS!$B:$B,$B102)</f>
        <v>0</v>
      </c>
      <c r="AC101" s="13">
        <f>SUMIFS(TIMESHEETS!$AQ:$AQ,TIMESHEETS!$F:$F,AC$7,TIMESHEETS!$B:$B,$B102)</f>
        <v>0</v>
      </c>
      <c r="AD101" s="13">
        <f>SUMIFS(TIMESHEETS!$AQ:$AQ,TIMESHEETS!$F:$F,AD$7,TIMESHEETS!$B:$B,$B102)</f>
        <v>0</v>
      </c>
      <c r="AE101" s="13">
        <f>SUMIFS(TIMESHEETS!$AQ:$AQ,TIMESHEETS!$F:$F,AE$7,TIMESHEETS!$B:$B,$B102)</f>
        <v>0</v>
      </c>
      <c r="AF101" s="13">
        <f>SUMIFS(TIMESHEETS!$AQ:$AQ,TIMESHEETS!$F:$F,AF$7,TIMESHEETS!$B:$B,$B102)</f>
        <v>0</v>
      </c>
      <c r="AG101" s="13">
        <f>SUMIFS(TIMESHEETS!$AQ:$AQ,TIMESHEETS!$F:$F,AG$7,TIMESHEETS!$B:$B,$B102)</f>
        <v>0</v>
      </c>
      <c r="AH101" s="13">
        <f>SUMIFS(TIMESHEETS!$AQ:$AQ,TIMESHEETS!$F:$F,AH$7,TIMESHEETS!$B:$B,$B102)</f>
        <v>0</v>
      </c>
      <c r="AI101" s="13">
        <f>SUMIFS(TIMESHEETS!$AQ:$AQ,TIMESHEETS!$F:$F,AI$7,TIMESHEETS!$B:$B,$B102)</f>
        <v>0</v>
      </c>
      <c r="AJ101" s="13">
        <f>SUMIFS(TIMESHEETS!$AQ:$AQ,TIMESHEETS!$F:$F,AJ$7,TIMESHEETS!$B:$B,$B102)</f>
        <v>0</v>
      </c>
      <c r="AK101" s="4"/>
      <c r="AL101" s="13">
        <f>H101-SUM(J101:AJ101)</f>
        <v>0</v>
      </c>
    </row>
    <row r="102" spans="1:38" ht="15" customHeight="1" x14ac:dyDescent="0.35">
      <c r="A102" s="4"/>
      <c r="B102" s="20"/>
      <c r="C102" s="21"/>
      <c r="D102" s="21"/>
      <c r="E102" s="21"/>
      <c r="F102" s="22"/>
      <c r="G102" s="5"/>
      <c r="H102" s="6"/>
      <c r="I102" s="4"/>
      <c r="J102" s="7">
        <f>SUMIFS(TIMESHEETS!$AO:$AO,TIMESHEETS!$F:$F,J$7,TIMESHEETS!$B:$B,$B102)</f>
        <v>0</v>
      </c>
      <c r="K102" s="7">
        <f>SUMIFS(TIMESHEETS!$AO:$AO,TIMESHEETS!$F:$F,K$7,TIMESHEETS!$B:$B,$B102)</f>
        <v>0</v>
      </c>
      <c r="L102" s="7">
        <f>SUMIFS(TIMESHEETS!$AO:$AO,TIMESHEETS!$F:$F,L$7,TIMESHEETS!$B:$B,$B102)</f>
        <v>0</v>
      </c>
      <c r="M102" s="7">
        <f>SUMIFS(TIMESHEETS!$AO:$AO,TIMESHEETS!$F:$F,M$7,TIMESHEETS!$B:$B,$B102)</f>
        <v>0</v>
      </c>
      <c r="N102" s="7">
        <f>SUMIFS(TIMESHEETS!$AO:$AO,TIMESHEETS!$F:$F,N$7,TIMESHEETS!$B:$B,$B102)</f>
        <v>0</v>
      </c>
      <c r="O102" s="7">
        <f>SUMIFS(TIMESHEETS!$AO:$AO,TIMESHEETS!$F:$F,O$7,TIMESHEETS!$B:$B,$B102)</f>
        <v>0</v>
      </c>
      <c r="P102" s="7">
        <f>SUMIFS(TIMESHEETS!$AO:$AO,TIMESHEETS!$F:$F,P$7,TIMESHEETS!$B:$B,$B102)</f>
        <v>0</v>
      </c>
      <c r="Q102" s="7">
        <f>SUMIFS(TIMESHEETS!$AO:$AO,TIMESHEETS!$F:$F,Q$7,TIMESHEETS!$B:$B,$B102)</f>
        <v>0</v>
      </c>
      <c r="R102" s="7">
        <f>SUMIFS(TIMESHEETS!$AO:$AO,TIMESHEETS!$F:$F,R$7,TIMESHEETS!$B:$B,$B102)</f>
        <v>0</v>
      </c>
      <c r="S102" s="7">
        <f>SUMIFS(TIMESHEETS!$AO:$AO,TIMESHEETS!$F:$F,S$7,TIMESHEETS!$B:$B,$B102)</f>
        <v>0</v>
      </c>
      <c r="T102" s="7">
        <f>SUMIFS(TIMESHEETS!$AO:$AO,TIMESHEETS!$F:$F,T$7,TIMESHEETS!$B:$B,$B102)</f>
        <v>0</v>
      </c>
      <c r="U102" s="7">
        <f>SUMIFS(TIMESHEETS!$AO:$AO,TIMESHEETS!$F:$F,U$7,TIMESHEETS!$B:$B,$B102)</f>
        <v>0</v>
      </c>
      <c r="V102" s="7">
        <f>SUMIFS(TIMESHEETS!$AO:$AO,TIMESHEETS!$F:$F,V$7,TIMESHEETS!$B:$B,$B102)</f>
        <v>0</v>
      </c>
      <c r="W102" s="7">
        <f>SUMIFS(TIMESHEETS!$AO:$AO,TIMESHEETS!$F:$F,W$7,TIMESHEETS!$B:$B,$B102)</f>
        <v>0</v>
      </c>
      <c r="X102" s="7">
        <f>SUMIFS(TIMESHEETS!$AO:$AO,TIMESHEETS!$F:$F,X$7,TIMESHEETS!$B:$B,$B102)</f>
        <v>0</v>
      </c>
      <c r="Y102" s="7">
        <f>SUMIFS(TIMESHEETS!$AO:$AO,TIMESHEETS!$F:$F,Y$7,TIMESHEETS!$B:$B,$B102)</f>
        <v>0</v>
      </c>
      <c r="Z102" s="7">
        <f>SUMIFS(TIMESHEETS!$AO:$AO,TIMESHEETS!$F:$F,Z$7,TIMESHEETS!$B:$B,$B102)</f>
        <v>0</v>
      </c>
      <c r="AA102" s="7">
        <f>SUMIFS(TIMESHEETS!$AO:$AO,TIMESHEETS!$F:$F,AA$7,TIMESHEETS!$B:$B,$B102)</f>
        <v>0</v>
      </c>
      <c r="AB102" s="7">
        <f>SUMIFS(TIMESHEETS!$AO:$AO,TIMESHEETS!$F:$F,AB$7,TIMESHEETS!$B:$B,$B102)</f>
        <v>0</v>
      </c>
      <c r="AC102" s="7">
        <f>SUMIFS(TIMESHEETS!$AO:$AO,TIMESHEETS!$F:$F,AC$7,TIMESHEETS!$B:$B,$B102)</f>
        <v>0</v>
      </c>
      <c r="AD102" s="7">
        <f>SUMIFS(TIMESHEETS!$AO:$AO,TIMESHEETS!$F:$F,AD$7,TIMESHEETS!$B:$B,$B102)</f>
        <v>0</v>
      </c>
      <c r="AE102" s="7">
        <f>SUMIFS(TIMESHEETS!$AO:$AO,TIMESHEETS!$F:$F,AE$7,TIMESHEETS!$B:$B,$B102)</f>
        <v>0</v>
      </c>
      <c r="AF102" s="7">
        <f>SUMIFS(TIMESHEETS!$AO:$AO,TIMESHEETS!$F:$F,AF$7,TIMESHEETS!$B:$B,$B102)</f>
        <v>0</v>
      </c>
      <c r="AG102" s="7">
        <f>SUMIFS(TIMESHEETS!$AO:$AO,TIMESHEETS!$F:$F,AG$7,TIMESHEETS!$B:$B,$B102)</f>
        <v>0</v>
      </c>
      <c r="AH102" s="7">
        <f>SUMIFS(TIMESHEETS!$AO:$AO,TIMESHEETS!$F:$F,AH$7,TIMESHEETS!$B:$B,$B102)</f>
        <v>0</v>
      </c>
      <c r="AI102" s="7">
        <f>SUMIFS(TIMESHEETS!$AO:$AO,TIMESHEETS!$F:$F,AI$7,TIMESHEETS!$B:$B,$B102)</f>
        <v>0</v>
      </c>
      <c r="AJ102" s="7">
        <f>SUMIFS(TIMESHEETS!$AO:$AO,TIMESHEETS!$F:$F,AJ$7,TIMESHEETS!$B:$B,$B102)</f>
        <v>0</v>
      </c>
      <c r="AK102" s="4"/>
      <c r="AL102" s="7">
        <f>H102-SUM(J102:AJ102)</f>
        <v>0</v>
      </c>
    </row>
    <row r="103" spans="1:38" ht="15" customHeight="1" x14ac:dyDescent="0.35">
      <c r="A103" s="4"/>
      <c r="B103" s="23"/>
      <c r="C103" s="23"/>
      <c r="D103" s="23"/>
      <c r="E103" s="23"/>
      <c r="F103" s="23"/>
      <c r="G103" s="5"/>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row>
    <row r="104" spans="1:38" ht="15" customHeight="1" x14ac:dyDescent="0.35">
      <c r="A104" s="4"/>
      <c r="B104" s="17"/>
      <c r="C104" s="18"/>
      <c r="D104" s="18"/>
      <c r="E104" s="18"/>
      <c r="F104" s="19"/>
      <c r="G104" s="5"/>
      <c r="H104" s="12"/>
      <c r="I104" s="4"/>
      <c r="J104" s="13">
        <f>SUMIFS(TIMESHEETS!$AQ:$AQ,TIMESHEETS!$F:$F,J$7,TIMESHEETS!$B:$B,$B105)</f>
        <v>0</v>
      </c>
      <c r="K104" s="13">
        <f>SUMIFS(TIMESHEETS!$AQ:$AQ,TIMESHEETS!$F:$F,K$7,TIMESHEETS!$B:$B,$B105)</f>
        <v>0</v>
      </c>
      <c r="L104" s="13">
        <f>SUMIFS(TIMESHEETS!$AQ:$AQ,TIMESHEETS!$F:$F,L$7,TIMESHEETS!$B:$B,$B105)</f>
        <v>0</v>
      </c>
      <c r="M104" s="13">
        <f>SUMIFS(TIMESHEETS!$AQ:$AQ,TIMESHEETS!$F:$F,M$7,TIMESHEETS!$B:$B,$B105)</f>
        <v>0</v>
      </c>
      <c r="N104" s="13">
        <f>SUMIFS(TIMESHEETS!$AQ:$AQ,TIMESHEETS!$F:$F,N$7,TIMESHEETS!$B:$B,$B105)</f>
        <v>0</v>
      </c>
      <c r="O104" s="13">
        <f>SUMIFS(TIMESHEETS!$AQ:$AQ,TIMESHEETS!$F:$F,O$7,TIMESHEETS!$B:$B,$B105)</f>
        <v>0</v>
      </c>
      <c r="P104" s="13">
        <f>SUMIFS(TIMESHEETS!$AQ:$AQ,TIMESHEETS!$F:$F,P$7,TIMESHEETS!$B:$B,$B105)</f>
        <v>0</v>
      </c>
      <c r="Q104" s="13">
        <f>SUMIFS(TIMESHEETS!$AQ:$AQ,TIMESHEETS!$F:$F,Q$7,TIMESHEETS!$B:$B,$B105)</f>
        <v>0</v>
      </c>
      <c r="R104" s="13">
        <f>SUMIFS(TIMESHEETS!$AQ:$AQ,TIMESHEETS!$F:$F,R$7,TIMESHEETS!$B:$B,$B105)</f>
        <v>0</v>
      </c>
      <c r="S104" s="13">
        <f>SUMIFS(TIMESHEETS!$AQ:$AQ,TIMESHEETS!$F:$F,S$7,TIMESHEETS!$B:$B,$B105)</f>
        <v>0</v>
      </c>
      <c r="T104" s="13">
        <f>SUMIFS(TIMESHEETS!$AQ:$AQ,TIMESHEETS!$F:$F,T$7,TIMESHEETS!$B:$B,$B105)</f>
        <v>0</v>
      </c>
      <c r="U104" s="13">
        <f>SUMIFS(TIMESHEETS!$AQ:$AQ,TIMESHEETS!$F:$F,U$7,TIMESHEETS!$B:$B,$B105)</f>
        <v>0</v>
      </c>
      <c r="V104" s="13">
        <f>SUMIFS(TIMESHEETS!$AQ:$AQ,TIMESHEETS!$F:$F,V$7,TIMESHEETS!$B:$B,$B105)</f>
        <v>0</v>
      </c>
      <c r="W104" s="13">
        <f>SUMIFS(TIMESHEETS!$AQ:$AQ,TIMESHEETS!$F:$F,W$7,TIMESHEETS!$B:$B,$B105)</f>
        <v>0</v>
      </c>
      <c r="X104" s="13">
        <f>SUMIFS(TIMESHEETS!$AQ:$AQ,TIMESHEETS!$F:$F,X$7,TIMESHEETS!$B:$B,$B105)</f>
        <v>0</v>
      </c>
      <c r="Y104" s="13">
        <f>SUMIFS(TIMESHEETS!$AQ:$AQ,TIMESHEETS!$F:$F,Y$7,TIMESHEETS!$B:$B,$B105)</f>
        <v>0</v>
      </c>
      <c r="Z104" s="13">
        <f>SUMIFS(TIMESHEETS!$AQ:$AQ,TIMESHEETS!$F:$F,Z$7,TIMESHEETS!$B:$B,$B105)</f>
        <v>0</v>
      </c>
      <c r="AA104" s="13">
        <f>SUMIFS(TIMESHEETS!$AQ:$AQ,TIMESHEETS!$F:$F,AA$7,TIMESHEETS!$B:$B,$B105)</f>
        <v>0</v>
      </c>
      <c r="AB104" s="13">
        <f>SUMIFS(TIMESHEETS!$AQ:$AQ,TIMESHEETS!$F:$F,AB$7,TIMESHEETS!$B:$B,$B105)</f>
        <v>0</v>
      </c>
      <c r="AC104" s="13">
        <f>SUMIFS(TIMESHEETS!$AQ:$AQ,TIMESHEETS!$F:$F,AC$7,TIMESHEETS!$B:$B,$B105)</f>
        <v>0</v>
      </c>
      <c r="AD104" s="13">
        <f>SUMIFS(TIMESHEETS!$AQ:$AQ,TIMESHEETS!$F:$F,AD$7,TIMESHEETS!$B:$B,$B105)</f>
        <v>0</v>
      </c>
      <c r="AE104" s="13">
        <f>SUMIFS(TIMESHEETS!$AQ:$AQ,TIMESHEETS!$F:$F,AE$7,TIMESHEETS!$B:$B,$B105)</f>
        <v>0</v>
      </c>
      <c r="AF104" s="13">
        <f>SUMIFS(TIMESHEETS!$AQ:$AQ,TIMESHEETS!$F:$F,AF$7,TIMESHEETS!$B:$B,$B105)</f>
        <v>0</v>
      </c>
      <c r="AG104" s="13">
        <f>SUMIFS(TIMESHEETS!$AQ:$AQ,TIMESHEETS!$F:$F,AG$7,TIMESHEETS!$B:$B,$B105)</f>
        <v>0</v>
      </c>
      <c r="AH104" s="13">
        <f>SUMIFS(TIMESHEETS!$AQ:$AQ,TIMESHEETS!$F:$F,AH$7,TIMESHEETS!$B:$B,$B105)</f>
        <v>0</v>
      </c>
      <c r="AI104" s="13">
        <f>SUMIFS(TIMESHEETS!$AQ:$AQ,TIMESHEETS!$F:$F,AI$7,TIMESHEETS!$B:$B,$B105)</f>
        <v>0</v>
      </c>
      <c r="AJ104" s="13">
        <f>SUMIFS(TIMESHEETS!$AQ:$AQ,TIMESHEETS!$F:$F,AJ$7,TIMESHEETS!$B:$B,$B105)</f>
        <v>0</v>
      </c>
      <c r="AK104" s="4"/>
      <c r="AL104" s="13">
        <f>H104-SUM(J104:AJ104)</f>
        <v>0</v>
      </c>
    </row>
    <row r="105" spans="1:38" ht="15" customHeight="1" x14ac:dyDescent="0.35">
      <c r="A105" s="4"/>
      <c r="B105" s="20"/>
      <c r="C105" s="21"/>
      <c r="D105" s="21"/>
      <c r="E105" s="21"/>
      <c r="F105" s="22"/>
      <c r="G105" s="5"/>
      <c r="H105" s="6"/>
      <c r="I105" s="4"/>
      <c r="J105" s="7">
        <f>SUMIFS(TIMESHEETS!$AO:$AO,TIMESHEETS!$F:$F,J$7,TIMESHEETS!$B:$B,$B105)</f>
        <v>0</v>
      </c>
      <c r="K105" s="7">
        <f>SUMIFS(TIMESHEETS!$AO:$AO,TIMESHEETS!$F:$F,K$7,TIMESHEETS!$B:$B,$B105)</f>
        <v>0</v>
      </c>
      <c r="L105" s="7">
        <f>SUMIFS(TIMESHEETS!$AO:$AO,TIMESHEETS!$F:$F,L$7,TIMESHEETS!$B:$B,$B105)</f>
        <v>0</v>
      </c>
      <c r="M105" s="7">
        <f>SUMIFS(TIMESHEETS!$AO:$AO,TIMESHEETS!$F:$F,M$7,TIMESHEETS!$B:$B,$B105)</f>
        <v>0</v>
      </c>
      <c r="N105" s="7">
        <f>SUMIFS(TIMESHEETS!$AO:$AO,TIMESHEETS!$F:$F,N$7,TIMESHEETS!$B:$B,$B105)</f>
        <v>0</v>
      </c>
      <c r="O105" s="7">
        <f>SUMIFS(TIMESHEETS!$AO:$AO,TIMESHEETS!$F:$F,O$7,TIMESHEETS!$B:$B,$B105)</f>
        <v>0</v>
      </c>
      <c r="P105" s="7">
        <f>SUMIFS(TIMESHEETS!$AO:$AO,TIMESHEETS!$F:$F,P$7,TIMESHEETS!$B:$B,$B105)</f>
        <v>0</v>
      </c>
      <c r="Q105" s="7">
        <f>SUMIFS(TIMESHEETS!$AO:$AO,TIMESHEETS!$F:$F,Q$7,TIMESHEETS!$B:$B,$B105)</f>
        <v>0</v>
      </c>
      <c r="R105" s="7">
        <f>SUMIFS(TIMESHEETS!$AO:$AO,TIMESHEETS!$F:$F,R$7,TIMESHEETS!$B:$B,$B105)</f>
        <v>0</v>
      </c>
      <c r="S105" s="7">
        <f>SUMIFS(TIMESHEETS!$AO:$AO,TIMESHEETS!$F:$F,S$7,TIMESHEETS!$B:$B,$B105)</f>
        <v>0</v>
      </c>
      <c r="T105" s="7">
        <f>SUMIFS(TIMESHEETS!$AO:$AO,TIMESHEETS!$F:$F,T$7,TIMESHEETS!$B:$B,$B105)</f>
        <v>0</v>
      </c>
      <c r="U105" s="7">
        <f>SUMIFS(TIMESHEETS!$AO:$AO,TIMESHEETS!$F:$F,U$7,TIMESHEETS!$B:$B,$B105)</f>
        <v>0</v>
      </c>
      <c r="V105" s="7">
        <f>SUMIFS(TIMESHEETS!$AO:$AO,TIMESHEETS!$F:$F,V$7,TIMESHEETS!$B:$B,$B105)</f>
        <v>0</v>
      </c>
      <c r="W105" s="7">
        <f>SUMIFS(TIMESHEETS!$AO:$AO,TIMESHEETS!$F:$F,W$7,TIMESHEETS!$B:$B,$B105)</f>
        <v>0</v>
      </c>
      <c r="X105" s="7">
        <f>SUMIFS(TIMESHEETS!$AO:$AO,TIMESHEETS!$F:$F,X$7,TIMESHEETS!$B:$B,$B105)</f>
        <v>0</v>
      </c>
      <c r="Y105" s="7">
        <f>SUMIFS(TIMESHEETS!$AO:$AO,TIMESHEETS!$F:$F,Y$7,TIMESHEETS!$B:$B,$B105)</f>
        <v>0</v>
      </c>
      <c r="Z105" s="7">
        <f>SUMIFS(TIMESHEETS!$AO:$AO,TIMESHEETS!$F:$F,Z$7,TIMESHEETS!$B:$B,$B105)</f>
        <v>0</v>
      </c>
      <c r="AA105" s="7">
        <f>SUMIFS(TIMESHEETS!$AO:$AO,TIMESHEETS!$F:$F,AA$7,TIMESHEETS!$B:$B,$B105)</f>
        <v>0</v>
      </c>
      <c r="AB105" s="7">
        <f>SUMIFS(TIMESHEETS!$AO:$AO,TIMESHEETS!$F:$F,AB$7,TIMESHEETS!$B:$B,$B105)</f>
        <v>0</v>
      </c>
      <c r="AC105" s="7">
        <f>SUMIFS(TIMESHEETS!$AO:$AO,TIMESHEETS!$F:$F,AC$7,TIMESHEETS!$B:$B,$B105)</f>
        <v>0</v>
      </c>
      <c r="AD105" s="7">
        <f>SUMIFS(TIMESHEETS!$AO:$AO,TIMESHEETS!$F:$F,AD$7,TIMESHEETS!$B:$B,$B105)</f>
        <v>0</v>
      </c>
      <c r="AE105" s="7">
        <f>SUMIFS(TIMESHEETS!$AO:$AO,TIMESHEETS!$F:$F,AE$7,TIMESHEETS!$B:$B,$B105)</f>
        <v>0</v>
      </c>
      <c r="AF105" s="7">
        <f>SUMIFS(TIMESHEETS!$AO:$AO,TIMESHEETS!$F:$F,AF$7,TIMESHEETS!$B:$B,$B105)</f>
        <v>0</v>
      </c>
      <c r="AG105" s="7">
        <f>SUMIFS(TIMESHEETS!$AO:$AO,TIMESHEETS!$F:$F,AG$7,TIMESHEETS!$B:$B,$B105)</f>
        <v>0</v>
      </c>
      <c r="AH105" s="7">
        <f>SUMIFS(TIMESHEETS!$AO:$AO,TIMESHEETS!$F:$F,AH$7,TIMESHEETS!$B:$B,$B105)</f>
        <v>0</v>
      </c>
      <c r="AI105" s="7">
        <f>SUMIFS(TIMESHEETS!$AO:$AO,TIMESHEETS!$F:$F,AI$7,TIMESHEETS!$B:$B,$B105)</f>
        <v>0</v>
      </c>
      <c r="AJ105" s="7">
        <f>SUMIFS(TIMESHEETS!$AO:$AO,TIMESHEETS!$F:$F,AJ$7,TIMESHEETS!$B:$B,$B105)</f>
        <v>0</v>
      </c>
      <c r="AK105" s="4"/>
      <c r="AL105" s="7">
        <f>H105-SUM(J105:AJ105)</f>
        <v>0</v>
      </c>
    </row>
    <row r="106" spans="1:38" ht="15" customHeight="1" x14ac:dyDescent="0.35">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row>
    <row r="107" spans="1:38" ht="15" customHeight="1" x14ac:dyDescent="0.35">
      <c r="A107" s="4"/>
      <c r="B107" s="17"/>
      <c r="C107" s="18"/>
      <c r="D107" s="18"/>
      <c r="E107" s="18"/>
      <c r="F107" s="19"/>
      <c r="G107" s="5"/>
      <c r="H107" s="12"/>
      <c r="I107" s="4"/>
      <c r="J107" s="13">
        <f>SUMIFS(TIMESHEETS!$AQ:$AQ,TIMESHEETS!$F:$F,J$7,TIMESHEETS!$B:$B,$B108)</f>
        <v>0</v>
      </c>
      <c r="K107" s="13">
        <f>SUMIFS(TIMESHEETS!$AQ:$AQ,TIMESHEETS!$F:$F,K$7,TIMESHEETS!$B:$B,$B108)</f>
        <v>0</v>
      </c>
      <c r="L107" s="13">
        <f>SUMIFS(TIMESHEETS!$AQ:$AQ,TIMESHEETS!$F:$F,L$7,TIMESHEETS!$B:$B,$B108)</f>
        <v>0</v>
      </c>
      <c r="M107" s="13">
        <f>SUMIFS(TIMESHEETS!$AQ:$AQ,TIMESHEETS!$F:$F,M$7,TIMESHEETS!$B:$B,$B108)</f>
        <v>0</v>
      </c>
      <c r="N107" s="13">
        <f>SUMIFS(TIMESHEETS!$AQ:$AQ,TIMESHEETS!$F:$F,N$7,TIMESHEETS!$B:$B,$B108)</f>
        <v>0</v>
      </c>
      <c r="O107" s="13">
        <f>SUMIFS(TIMESHEETS!$AQ:$AQ,TIMESHEETS!$F:$F,O$7,TIMESHEETS!$B:$B,$B108)</f>
        <v>0</v>
      </c>
      <c r="P107" s="13">
        <f>SUMIFS(TIMESHEETS!$AQ:$AQ,TIMESHEETS!$F:$F,P$7,TIMESHEETS!$B:$B,$B108)</f>
        <v>0</v>
      </c>
      <c r="Q107" s="13">
        <f>SUMIFS(TIMESHEETS!$AQ:$AQ,TIMESHEETS!$F:$F,Q$7,TIMESHEETS!$B:$B,$B108)</f>
        <v>0</v>
      </c>
      <c r="R107" s="13">
        <f>SUMIFS(TIMESHEETS!$AQ:$AQ,TIMESHEETS!$F:$F,R$7,TIMESHEETS!$B:$B,$B108)</f>
        <v>0</v>
      </c>
      <c r="S107" s="13">
        <f>SUMIFS(TIMESHEETS!$AQ:$AQ,TIMESHEETS!$F:$F,S$7,TIMESHEETS!$B:$B,$B108)</f>
        <v>0</v>
      </c>
      <c r="T107" s="13">
        <f>SUMIFS(TIMESHEETS!$AQ:$AQ,TIMESHEETS!$F:$F,T$7,TIMESHEETS!$B:$B,$B108)</f>
        <v>0</v>
      </c>
      <c r="U107" s="13">
        <f>SUMIFS(TIMESHEETS!$AQ:$AQ,TIMESHEETS!$F:$F,U$7,TIMESHEETS!$B:$B,$B108)</f>
        <v>0</v>
      </c>
      <c r="V107" s="13">
        <f>SUMIFS(TIMESHEETS!$AQ:$AQ,TIMESHEETS!$F:$F,V$7,TIMESHEETS!$B:$B,$B108)</f>
        <v>0</v>
      </c>
      <c r="W107" s="13">
        <f>SUMIFS(TIMESHEETS!$AQ:$AQ,TIMESHEETS!$F:$F,W$7,TIMESHEETS!$B:$B,$B108)</f>
        <v>0</v>
      </c>
      <c r="X107" s="13">
        <f>SUMIFS(TIMESHEETS!$AQ:$AQ,TIMESHEETS!$F:$F,X$7,TIMESHEETS!$B:$B,$B108)</f>
        <v>0</v>
      </c>
      <c r="Y107" s="13">
        <f>SUMIFS(TIMESHEETS!$AQ:$AQ,TIMESHEETS!$F:$F,Y$7,TIMESHEETS!$B:$B,$B108)</f>
        <v>0</v>
      </c>
      <c r="Z107" s="13">
        <f>SUMIFS(TIMESHEETS!$AQ:$AQ,TIMESHEETS!$F:$F,Z$7,TIMESHEETS!$B:$B,$B108)</f>
        <v>0</v>
      </c>
      <c r="AA107" s="13">
        <f>SUMIFS(TIMESHEETS!$AQ:$AQ,TIMESHEETS!$F:$F,AA$7,TIMESHEETS!$B:$B,$B108)</f>
        <v>0</v>
      </c>
      <c r="AB107" s="13">
        <f>SUMIFS(TIMESHEETS!$AQ:$AQ,TIMESHEETS!$F:$F,AB$7,TIMESHEETS!$B:$B,$B108)</f>
        <v>0</v>
      </c>
      <c r="AC107" s="13">
        <f>SUMIFS(TIMESHEETS!$AQ:$AQ,TIMESHEETS!$F:$F,AC$7,TIMESHEETS!$B:$B,$B108)</f>
        <v>0</v>
      </c>
      <c r="AD107" s="13">
        <f>SUMIFS(TIMESHEETS!$AQ:$AQ,TIMESHEETS!$F:$F,AD$7,TIMESHEETS!$B:$B,$B108)</f>
        <v>0</v>
      </c>
      <c r="AE107" s="13">
        <f>SUMIFS(TIMESHEETS!$AQ:$AQ,TIMESHEETS!$F:$F,AE$7,TIMESHEETS!$B:$B,$B108)</f>
        <v>0</v>
      </c>
      <c r="AF107" s="13">
        <f>SUMIFS(TIMESHEETS!$AQ:$AQ,TIMESHEETS!$F:$F,AF$7,TIMESHEETS!$B:$B,$B108)</f>
        <v>0</v>
      </c>
      <c r="AG107" s="13">
        <f>SUMIFS(TIMESHEETS!$AQ:$AQ,TIMESHEETS!$F:$F,AG$7,TIMESHEETS!$B:$B,$B108)</f>
        <v>0</v>
      </c>
      <c r="AH107" s="13">
        <f>SUMIFS(TIMESHEETS!$AQ:$AQ,TIMESHEETS!$F:$F,AH$7,TIMESHEETS!$B:$B,$B108)</f>
        <v>0</v>
      </c>
      <c r="AI107" s="13">
        <f>SUMIFS(TIMESHEETS!$AQ:$AQ,TIMESHEETS!$F:$F,AI$7,TIMESHEETS!$B:$B,$B108)</f>
        <v>0</v>
      </c>
      <c r="AJ107" s="13">
        <f>SUMIFS(TIMESHEETS!$AQ:$AQ,TIMESHEETS!$F:$F,AJ$7,TIMESHEETS!$B:$B,$B108)</f>
        <v>0</v>
      </c>
      <c r="AK107" s="4"/>
      <c r="AL107" s="13">
        <f>H107-SUM(J107:AJ107)</f>
        <v>0</v>
      </c>
    </row>
    <row r="108" spans="1:38" ht="15" customHeight="1" x14ac:dyDescent="0.35">
      <c r="A108" s="4"/>
      <c r="B108" s="20"/>
      <c r="C108" s="21"/>
      <c r="D108" s="21"/>
      <c r="E108" s="21"/>
      <c r="F108" s="22"/>
      <c r="G108" s="5"/>
      <c r="H108" s="6"/>
      <c r="I108" s="4"/>
      <c r="J108" s="7">
        <f>SUMIFS(TIMESHEETS!$AO:$AO,TIMESHEETS!$F:$F,J$7,TIMESHEETS!$B:$B,$B108)</f>
        <v>0</v>
      </c>
      <c r="K108" s="7">
        <f>SUMIFS(TIMESHEETS!$AO:$AO,TIMESHEETS!$F:$F,K$7,TIMESHEETS!$B:$B,$B108)</f>
        <v>0</v>
      </c>
      <c r="L108" s="7">
        <f>SUMIFS(TIMESHEETS!$AO:$AO,TIMESHEETS!$F:$F,L$7,TIMESHEETS!$B:$B,$B108)</f>
        <v>0</v>
      </c>
      <c r="M108" s="7">
        <f>SUMIFS(TIMESHEETS!$AO:$AO,TIMESHEETS!$F:$F,M$7,TIMESHEETS!$B:$B,$B108)</f>
        <v>0</v>
      </c>
      <c r="N108" s="7">
        <f>SUMIFS(TIMESHEETS!$AO:$AO,TIMESHEETS!$F:$F,N$7,TIMESHEETS!$B:$B,$B108)</f>
        <v>0</v>
      </c>
      <c r="O108" s="7">
        <f>SUMIFS(TIMESHEETS!$AO:$AO,TIMESHEETS!$F:$F,O$7,TIMESHEETS!$B:$B,$B108)</f>
        <v>0</v>
      </c>
      <c r="P108" s="7">
        <f>SUMIFS(TIMESHEETS!$AO:$AO,TIMESHEETS!$F:$F,P$7,TIMESHEETS!$B:$B,$B108)</f>
        <v>0</v>
      </c>
      <c r="Q108" s="7">
        <f>SUMIFS(TIMESHEETS!$AO:$AO,TIMESHEETS!$F:$F,Q$7,TIMESHEETS!$B:$B,$B108)</f>
        <v>0</v>
      </c>
      <c r="R108" s="7">
        <f>SUMIFS(TIMESHEETS!$AO:$AO,TIMESHEETS!$F:$F,R$7,TIMESHEETS!$B:$B,$B108)</f>
        <v>0</v>
      </c>
      <c r="S108" s="7">
        <f>SUMIFS(TIMESHEETS!$AO:$AO,TIMESHEETS!$F:$F,S$7,TIMESHEETS!$B:$B,$B108)</f>
        <v>0</v>
      </c>
      <c r="T108" s="7">
        <f>SUMIFS(TIMESHEETS!$AO:$AO,TIMESHEETS!$F:$F,T$7,TIMESHEETS!$B:$B,$B108)</f>
        <v>0</v>
      </c>
      <c r="U108" s="7">
        <f>SUMIFS(TIMESHEETS!$AO:$AO,TIMESHEETS!$F:$F,U$7,TIMESHEETS!$B:$B,$B108)</f>
        <v>0</v>
      </c>
      <c r="V108" s="7">
        <f>SUMIFS(TIMESHEETS!$AO:$AO,TIMESHEETS!$F:$F,V$7,TIMESHEETS!$B:$B,$B108)</f>
        <v>0</v>
      </c>
      <c r="W108" s="7">
        <f>SUMIFS(TIMESHEETS!$AO:$AO,TIMESHEETS!$F:$F,W$7,TIMESHEETS!$B:$B,$B108)</f>
        <v>0</v>
      </c>
      <c r="X108" s="7">
        <f>SUMIFS(TIMESHEETS!$AO:$AO,TIMESHEETS!$F:$F,X$7,TIMESHEETS!$B:$B,$B108)</f>
        <v>0</v>
      </c>
      <c r="Y108" s="7">
        <f>SUMIFS(TIMESHEETS!$AO:$AO,TIMESHEETS!$F:$F,Y$7,TIMESHEETS!$B:$B,$B108)</f>
        <v>0</v>
      </c>
      <c r="Z108" s="7">
        <f>SUMIFS(TIMESHEETS!$AO:$AO,TIMESHEETS!$F:$F,Z$7,TIMESHEETS!$B:$B,$B108)</f>
        <v>0</v>
      </c>
      <c r="AA108" s="7">
        <f>SUMIFS(TIMESHEETS!$AO:$AO,TIMESHEETS!$F:$F,AA$7,TIMESHEETS!$B:$B,$B108)</f>
        <v>0</v>
      </c>
      <c r="AB108" s="7">
        <f>SUMIFS(TIMESHEETS!$AO:$AO,TIMESHEETS!$F:$F,AB$7,TIMESHEETS!$B:$B,$B108)</f>
        <v>0</v>
      </c>
      <c r="AC108" s="7">
        <f>SUMIFS(TIMESHEETS!$AO:$AO,TIMESHEETS!$F:$F,AC$7,TIMESHEETS!$B:$B,$B108)</f>
        <v>0</v>
      </c>
      <c r="AD108" s="7">
        <f>SUMIFS(TIMESHEETS!$AO:$AO,TIMESHEETS!$F:$F,AD$7,TIMESHEETS!$B:$B,$B108)</f>
        <v>0</v>
      </c>
      <c r="AE108" s="7">
        <f>SUMIFS(TIMESHEETS!$AO:$AO,TIMESHEETS!$F:$F,AE$7,TIMESHEETS!$B:$B,$B108)</f>
        <v>0</v>
      </c>
      <c r="AF108" s="7">
        <f>SUMIFS(TIMESHEETS!$AO:$AO,TIMESHEETS!$F:$F,AF$7,TIMESHEETS!$B:$B,$B108)</f>
        <v>0</v>
      </c>
      <c r="AG108" s="7">
        <f>SUMIFS(TIMESHEETS!$AO:$AO,TIMESHEETS!$F:$F,AG$7,TIMESHEETS!$B:$B,$B108)</f>
        <v>0</v>
      </c>
      <c r="AH108" s="7">
        <f>SUMIFS(TIMESHEETS!$AO:$AO,TIMESHEETS!$F:$F,AH$7,TIMESHEETS!$B:$B,$B108)</f>
        <v>0</v>
      </c>
      <c r="AI108" s="7">
        <f>SUMIFS(TIMESHEETS!$AO:$AO,TIMESHEETS!$F:$F,AI$7,TIMESHEETS!$B:$B,$B108)</f>
        <v>0</v>
      </c>
      <c r="AJ108" s="7">
        <f>SUMIFS(TIMESHEETS!$AO:$AO,TIMESHEETS!$F:$F,AJ$7,TIMESHEETS!$B:$B,$B108)</f>
        <v>0</v>
      </c>
      <c r="AK108" s="4"/>
      <c r="AL108" s="7">
        <f>H108-SUM(J108:AJ108)</f>
        <v>0</v>
      </c>
    </row>
    <row r="109" spans="1:38" ht="15" customHeight="1" x14ac:dyDescent="0.35">
      <c r="A109" s="4"/>
      <c r="B109" s="23"/>
      <c r="C109" s="23"/>
      <c r="D109" s="23"/>
      <c r="E109" s="23"/>
      <c r="F109" s="23"/>
      <c r="G109" s="5"/>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row>
    <row r="110" spans="1:38" ht="15" customHeight="1" x14ac:dyDescent="0.35">
      <c r="A110" s="4"/>
      <c r="B110" s="17"/>
      <c r="C110" s="18"/>
      <c r="D110" s="18"/>
      <c r="E110" s="18"/>
      <c r="F110" s="19"/>
      <c r="G110" s="5"/>
      <c r="H110" s="12"/>
      <c r="I110" s="4"/>
      <c r="J110" s="13">
        <f>SUMIFS(TIMESHEETS!$AQ:$AQ,TIMESHEETS!$F:$F,J$7,TIMESHEETS!$B:$B,$B111)</f>
        <v>0</v>
      </c>
      <c r="K110" s="13">
        <f>SUMIFS(TIMESHEETS!$AQ:$AQ,TIMESHEETS!$F:$F,K$7,TIMESHEETS!$B:$B,$B111)</f>
        <v>0</v>
      </c>
      <c r="L110" s="13">
        <f>SUMIFS(TIMESHEETS!$AQ:$AQ,TIMESHEETS!$F:$F,L$7,TIMESHEETS!$B:$B,$B111)</f>
        <v>0</v>
      </c>
      <c r="M110" s="13">
        <f>SUMIFS(TIMESHEETS!$AQ:$AQ,TIMESHEETS!$F:$F,M$7,TIMESHEETS!$B:$B,$B111)</f>
        <v>0</v>
      </c>
      <c r="N110" s="13">
        <f>SUMIFS(TIMESHEETS!$AQ:$AQ,TIMESHEETS!$F:$F,N$7,TIMESHEETS!$B:$B,$B111)</f>
        <v>0</v>
      </c>
      <c r="O110" s="13">
        <f>SUMIFS(TIMESHEETS!$AQ:$AQ,TIMESHEETS!$F:$F,O$7,TIMESHEETS!$B:$B,$B111)</f>
        <v>0</v>
      </c>
      <c r="P110" s="13">
        <f>SUMIFS(TIMESHEETS!$AQ:$AQ,TIMESHEETS!$F:$F,P$7,TIMESHEETS!$B:$B,$B111)</f>
        <v>0</v>
      </c>
      <c r="Q110" s="13">
        <f>SUMIFS(TIMESHEETS!$AQ:$AQ,TIMESHEETS!$F:$F,Q$7,TIMESHEETS!$B:$B,$B111)</f>
        <v>0</v>
      </c>
      <c r="R110" s="13">
        <f>SUMIFS(TIMESHEETS!$AQ:$AQ,TIMESHEETS!$F:$F,R$7,TIMESHEETS!$B:$B,$B111)</f>
        <v>0</v>
      </c>
      <c r="S110" s="13">
        <f>SUMIFS(TIMESHEETS!$AQ:$AQ,TIMESHEETS!$F:$F,S$7,TIMESHEETS!$B:$B,$B111)</f>
        <v>0</v>
      </c>
      <c r="T110" s="13">
        <f>SUMIFS(TIMESHEETS!$AQ:$AQ,TIMESHEETS!$F:$F,T$7,TIMESHEETS!$B:$B,$B111)</f>
        <v>0</v>
      </c>
      <c r="U110" s="13">
        <f>SUMIFS(TIMESHEETS!$AQ:$AQ,TIMESHEETS!$F:$F,U$7,TIMESHEETS!$B:$B,$B111)</f>
        <v>0</v>
      </c>
      <c r="V110" s="13">
        <f>SUMIFS(TIMESHEETS!$AQ:$AQ,TIMESHEETS!$F:$F,V$7,TIMESHEETS!$B:$B,$B111)</f>
        <v>0</v>
      </c>
      <c r="W110" s="13">
        <f>SUMIFS(TIMESHEETS!$AQ:$AQ,TIMESHEETS!$F:$F,W$7,TIMESHEETS!$B:$B,$B111)</f>
        <v>0</v>
      </c>
      <c r="X110" s="13">
        <f>SUMIFS(TIMESHEETS!$AQ:$AQ,TIMESHEETS!$F:$F,X$7,TIMESHEETS!$B:$B,$B111)</f>
        <v>0</v>
      </c>
      <c r="Y110" s="13">
        <f>SUMIFS(TIMESHEETS!$AQ:$AQ,TIMESHEETS!$F:$F,Y$7,TIMESHEETS!$B:$B,$B111)</f>
        <v>0</v>
      </c>
      <c r="Z110" s="13">
        <f>SUMIFS(TIMESHEETS!$AQ:$AQ,TIMESHEETS!$F:$F,Z$7,TIMESHEETS!$B:$B,$B111)</f>
        <v>0</v>
      </c>
      <c r="AA110" s="13">
        <f>SUMIFS(TIMESHEETS!$AQ:$AQ,TIMESHEETS!$F:$F,AA$7,TIMESHEETS!$B:$B,$B111)</f>
        <v>0</v>
      </c>
      <c r="AB110" s="13">
        <f>SUMIFS(TIMESHEETS!$AQ:$AQ,TIMESHEETS!$F:$F,AB$7,TIMESHEETS!$B:$B,$B111)</f>
        <v>0</v>
      </c>
      <c r="AC110" s="13">
        <f>SUMIFS(TIMESHEETS!$AQ:$AQ,TIMESHEETS!$F:$F,AC$7,TIMESHEETS!$B:$B,$B111)</f>
        <v>0</v>
      </c>
      <c r="AD110" s="13">
        <f>SUMIFS(TIMESHEETS!$AQ:$AQ,TIMESHEETS!$F:$F,AD$7,TIMESHEETS!$B:$B,$B111)</f>
        <v>0</v>
      </c>
      <c r="AE110" s="13">
        <f>SUMIFS(TIMESHEETS!$AQ:$AQ,TIMESHEETS!$F:$F,AE$7,TIMESHEETS!$B:$B,$B111)</f>
        <v>0</v>
      </c>
      <c r="AF110" s="13">
        <f>SUMIFS(TIMESHEETS!$AQ:$AQ,TIMESHEETS!$F:$F,AF$7,TIMESHEETS!$B:$B,$B111)</f>
        <v>0</v>
      </c>
      <c r="AG110" s="13">
        <f>SUMIFS(TIMESHEETS!$AQ:$AQ,TIMESHEETS!$F:$F,AG$7,TIMESHEETS!$B:$B,$B111)</f>
        <v>0</v>
      </c>
      <c r="AH110" s="13">
        <f>SUMIFS(TIMESHEETS!$AQ:$AQ,TIMESHEETS!$F:$F,AH$7,TIMESHEETS!$B:$B,$B111)</f>
        <v>0</v>
      </c>
      <c r="AI110" s="13">
        <f>SUMIFS(TIMESHEETS!$AQ:$AQ,TIMESHEETS!$F:$F,AI$7,TIMESHEETS!$B:$B,$B111)</f>
        <v>0</v>
      </c>
      <c r="AJ110" s="13">
        <f>SUMIFS(TIMESHEETS!$AQ:$AQ,TIMESHEETS!$F:$F,AJ$7,TIMESHEETS!$B:$B,$B111)</f>
        <v>0</v>
      </c>
      <c r="AK110" s="4"/>
      <c r="AL110" s="13">
        <f>H110-SUM(J110:AJ110)</f>
        <v>0</v>
      </c>
    </row>
    <row r="111" spans="1:38" ht="15" customHeight="1" x14ac:dyDescent="0.35">
      <c r="A111" s="4"/>
      <c r="B111" s="20"/>
      <c r="C111" s="21"/>
      <c r="D111" s="21"/>
      <c r="E111" s="21"/>
      <c r="F111" s="22"/>
      <c r="G111" s="5"/>
      <c r="H111" s="6"/>
      <c r="I111" s="4"/>
      <c r="J111" s="7">
        <f>SUMIFS(TIMESHEETS!$AO:$AO,TIMESHEETS!$F:$F,J$7,TIMESHEETS!$B:$B,$B111)</f>
        <v>0</v>
      </c>
      <c r="K111" s="7">
        <f>SUMIFS(TIMESHEETS!$AO:$AO,TIMESHEETS!$F:$F,K$7,TIMESHEETS!$B:$B,$B111)</f>
        <v>0</v>
      </c>
      <c r="L111" s="7">
        <f>SUMIFS(TIMESHEETS!$AO:$AO,TIMESHEETS!$F:$F,L$7,TIMESHEETS!$B:$B,$B111)</f>
        <v>0</v>
      </c>
      <c r="M111" s="7">
        <f>SUMIFS(TIMESHEETS!$AO:$AO,TIMESHEETS!$F:$F,M$7,TIMESHEETS!$B:$B,$B111)</f>
        <v>0</v>
      </c>
      <c r="N111" s="7">
        <f>SUMIFS(TIMESHEETS!$AO:$AO,TIMESHEETS!$F:$F,N$7,TIMESHEETS!$B:$B,$B111)</f>
        <v>0</v>
      </c>
      <c r="O111" s="7">
        <f>SUMIFS(TIMESHEETS!$AO:$AO,TIMESHEETS!$F:$F,O$7,TIMESHEETS!$B:$B,$B111)</f>
        <v>0</v>
      </c>
      <c r="P111" s="7">
        <f>SUMIFS(TIMESHEETS!$AO:$AO,TIMESHEETS!$F:$F,P$7,TIMESHEETS!$B:$B,$B111)</f>
        <v>0</v>
      </c>
      <c r="Q111" s="7">
        <f>SUMIFS(TIMESHEETS!$AO:$AO,TIMESHEETS!$F:$F,Q$7,TIMESHEETS!$B:$B,$B111)</f>
        <v>0</v>
      </c>
      <c r="R111" s="7">
        <f>SUMIFS(TIMESHEETS!$AO:$AO,TIMESHEETS!$F:$F,R$7,TIMESHEETS!$B:$B,$B111)</f>
        <v>0</v>
      </c>
      <c r="S111" s="7">
        <f>SUMIFS(TIMESHEETS!$AO:$AO,TIMESHEETS!$F:$F,S$7,TIMESHEETS!$B:$B,$B111)</f>
        <v>0</v>
      </c>
      <c r="T111" s="7">
        <f>SUMIFS(TIMESHEETS!$AO:$AO,TIMESHEETS!$F:$F,T$7,TIMESHEETS!$B:$B,$B111)</f>
        <v>0</v>
      </c>
      <c r="U111" s="7">
        <f>SUMIFS(TIMESHEETS!$AO:$AO,TIMESHEETS!$F:$F,U$7,TIMESHEETS!$B:$B,$B111)</f>
        <v>0</v>
      </c>
      <c r="V111" s="7">
        <f>SUMIFS(TIMESHEETS!$AO:$AO,TIMESHEETS!$F:$F,V$7,TIMESHEETS!$B:$B,$B111)</f>
        <v>0</v>
      </c>
      <c r="W111" s="7">
        <f>SUMIFS(TIMESHEETS!$AO:$AO,TIMESHEETS!$F:$F,W$7,TIMESHEETS!$B:$B,$B111)</f>
        <v>0</v>
      </c>
      <c r="X111" s="7">
        <f>SUMIFS(TIMESHEETS!$AO:$AO,TIMESHEETS!$F:$F,X$7,TIMESHEETS!$B:$B,$B111)</f>
        <v>0</v>
      </c>
      <c r="Y111" s="7">
        <f>SUMIFS(TIMESHEETS!$AO:$AO,TIMESHEETS!$F:$F,Y$7,TIMESHEETS!$B:$B,$B111)</f>
        <v>0</v>
      </c>
      <c r="Z111" s="7">
        <f>SUMIFS(TIMESHEETS!$AO:$AO,TIMESHEETS!$F:$F,Z$7,TIMESHEETS!$B:$B,$B111)</f>
        <v>0</v>
      </c>
      <c r="AA111" s="7">
        <f>SUMIFS(TIMESHEETS!$AO:$AO,TIMESHEETS!$F:$F,AA$7,TIMESHEETS!$B:$B,$B111)</f>
        <v>0</v>
      </c>
      <c r="AB111" s="7">
        <f>SUMIFS(TIMESHEETS!$AO:$AO,TIMESHEETS!$F:$F,AB$7,TIMESHEETS!$B:$B,$B111)</f>
        <v>0</v>
      </c>
      <c r="AC111" s="7">
        <f>SUMIFS(TIMESHEETS!$AO:$AO,TIMESHEETS!$F:$F,AC$7,TIMESHEETS!$B:$B,$B111)</f>
        <v>0</v>
      </c>
      <c r="AD111" s="7">
        <f>SUMIFS(TIMESHEETS!$AO:$AO,TIMESHEETS!$F:$F,AD$7,TIMESHEETS!$B:$B,$B111)</f>
        <v>0</v>
      </c>
      <c r="AE111" s="7">
        <f>SUMIFS(TIMESHEETS!$AO:$AO,TIMESHEETS!$F:$F,AE$7,TIMESHEETS!$B:$B,$B111)</f>
        <v>0</v>
      </c>
      <c r="AF111" s="7">
        <f>SUMIFS(TIMESHEETS!$AO:$AO,TIMESHEETS!$F:$F,AF$7,TIMESHEETS!$B:$B,$B111)</f>
        <v>0</v>
      </c>
      <c r="AG111" s="7">
        <f>SUMIFS(TIMESHEETS!$AO:$AO,TIMESHEETS!$F:$F,AG$7,TIMESHEETS!$B:$B,$B111)</f>
        <v>0</v>
      </c>
      <c r="AH111" s="7">
        <f>SUMIFS(TIMESHEETS!$AO:$AO,TIMESHEETS!$F:$F,AH$7,TIMESHEETS!$B:$B,$B111)</f>
        <v>0</v>
      </c>
      <c r="AI111" s="7">
        <f>SUMIFS(TIMESHEETS!$AO:$AO,TIMESHEETS!$F:$F,AI$7,TIMESHEETS!$B:$B,$B111)</f>
        <v>0</v>
      </c>
      <c r="AJ111" s="7">
        <f>SUMIFS(TIMESHEETS!$AO:$AO,TIMESHEETS!$F:$F,AJ$7,TIMESHEETS!$B:$B,$B111)</f>
        <v>0</v>
      </c>
      <c r="AK111" s="4"/>
      <c r="AL111" s="7">
        <f>H111-SUM(J111:AJ111)</f>
        <v>0</v>
      </c>
    </row>
    <row r="112" spans="1:38" ht="15" customHeight="1" x14ac:dyDescent="0.35">
      <c r="A112" s="4"/>
      <c r="B112" s="23"/>
      <c r="C112" s="23"/>
      <c r="D112" s="23"/>
      <c r="E112" s="23"/>
      <c r="F112" s="23"/>
      <c r="G112" s="5"/>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row>
    <row r="113" spans="1:38" ht="15" customHeight="1" x14ac:dyDescent="0.35">
      <c r="A113" s="4"/>
      <c r="B113" s="17"/>
      <c r="C113" s="18"/>
      <c r="D113" s="18"/>
      <c r="E113" s="18"/>
      <c r="F113" s="19"/>
      <c r="G113" s="5"/>
      <c r="H113" s="12"/>
      <c r="I113" s="4"/>
      <c r="J113" s="13">
        <f>SUMIFS(TIMESHEETS!$AQ:$AQ,TIMESHEETS!$F:$F,J$7,TIMESHEETS!$B:$B,$B114)</f>
        <v>0</v>
      </c>
      <c r="K113" s="13">
        <f>SUMIFS(TIMESHEETS!$AQ:$AQ,TIMESHEETS!$F:$F,K$7,TIMESHEETS!$B:$B,$B114)</f>
        <v>0</v>
      </c>
      <c r="L113" s="13">
        <f>SUMIFS(TIMESHEETS!$AQ:$AQ,TIMESHEETS!$F:$F,L$7,TIMESHEETS!$B:$B,$B114)</f>
        <v>0</v>
      </c>
      <c r="M113" s="13">
        <f>SUMIFS(TIMESHEETS!$AQ:$AQ,TIMESHEETS!$F:$F,M$7,TIMESHEETS!$B:$B,$B114)</f>
        <v>0</v>
      </c>
      <c r="N113" s="13">
        <f>SUMIFS(TIMESHEETS!$AQ:$AQ,TIMESHEETS!$F:$F,N$7,TIMESHEETS!$B:$B,$B114)</f>
        <v>0</v>
      </c>
      <c r="O113" s="13">
        <f>SUMIFS(TIMESHEETS!$AQ:$AQ,TIMESHEETS!$F:$F,O$7,TIMESHEETS!$B:$B,$B114)</f>
        <v>0</v>
      </c>
      <c r="P113" s="13">
        <f>SUMIFS(TIMESHEETS!$AQ:$AQ,TIMESHEETS!$F:$F,P$7,TIMESHEETS!$B:$B,$B114)</f>
        <v>0</v>
      </c>
      <c r="Q113" s="13">
        <f>SUMIFS(TIMESHEETS!$AQ:$AQ,TIMESHEETS!$F:$F,Q$7,TIMESHEETS!$B:$B,$B114)</f>
        <v>0</v>
      </c>
      <c r="R113" s="13">
        <f>SUMIFS(TIMESHEETS!$AQ:$AQ,TIMESHEETS!$F:$F,R$7,TIMESHEETS!$B:$B,$B114)</f>
        <v>0</v>
      </c>
      <c r="S113" s="13">
        <f>SUMIFS(TIMESHEETS!$AQ:$AQ,TIMESHEETS!$F:$F,S$7,TIMESHEETS!$B:$B,$B114)</f>
        <v>0</v>
      </c>
      <c r="T113" s="13">
        <f>SUMIFS(TIMESHEETS!$AQ:$AQ,TIMESHEETS!$F:$F,T$7,TIMESHEETS!$B:$B,$B114)</f>
        <v>0</v>
      </c>
      <c r="U113" s="13">
        <f>SUMIFS(TIMESHEETS!$AQ:$AQ,TIMESHEETS!$F:$F,U$7,TIMESHEETS!$B:$B,$B114)</f>
        <v>0</v>
      </c>
      <c r="V113" s="13">
        <f>SUMIFS(TIMESHEETS!$AQ:$AQ,TIMESHEETS!$F:$F,V$7,TIMESHEETS!$B:$B,$B114)</f>
        <v>0</v>
      </c>
      <c r="W113" s="13">
        <f>SUMIFS(TIMESHEETS!$AQ:$AQ,TIMESHEETS!$F:$F,W$7,TIMESHEETS!$B:$B,$B114)</f>
        <v>0</v>
      </c>
      <c r="X113" s="13">
        <f>SUMIFS(TIMESHEETS!$AQ:$AQ,TIMESHEETS!$F:$F,X$7,TIMESHEETS!$B:$B,$B114)</f>
        <v>0</v>
      </c>
      <c r="Y113" s="13">
        <f>SUMIFS(TIMESHEETS!$AQ:$AQ,TIMESHEETS!$F:$F,Y$7,TIMESHEETS!$B:$B,$B114)</f>
        <v>0</v>
      </c>
      <c r="Z113" s="13">
        <f>SUMIFS(TIMESHEETS!$AQ:$AQ,TIMESHEETS!$F:$F,Z$7,TIMESHEETS!$B:$B,$B114)</f>
        <v>0</v>
      </c>
      <c r="AA113" s="13">
        <f>SUMIFS(TIMESHEETS!$AQ:$AQ,TIMESHEETS!$F:$F,AA$7,TIMESHEETS!$B:$B,$B114)</f>
        <v>0</v>
      </c>
      <c r="AB113" s="13">
        <f>SUMIFS(TIMESHEETS!$AQ:$AQ,TIMESHEETS!$F:$F,AB$7,TIMESHEETS!$B:$B,$B114)</f>
        <v>0</v>
      </c>
      <c r="AC113" s="13">
        <f>SUMIFS(TIMESHEETS!$AQ:$AQ,TIMESHEETS!$F:$F,AC$7,TIMESHEETS!$B:$B,$B114)</f>
        <v>0</v>
      </c>
      <c r="AD113" s="13">
        <f>SUMIFS(TIMESHEETS!$AQ:$AQ,TIMESHEETS!$F:$F,AD$7,TIMESHEETS!$B:$B,$B114)</f>
        <v>0</v>
      </c>
      <c r="AE113" s="13">
        <f>SUMIFS(TIMESHEETS!$AQ:$AQ,TIMESHEETS!$F:$F,AE$7,TIMESHEETS!$B:$B,$B114)</f>
        <v>0</v>
      </c>
      <c r="AF113" s="13">
        <f>SUMIFS(TIMESHEETS!$AQ:$AQ,TIMESHEETS!$F:$F,AF$7,TIMESHEETS!$B:$B,$B114)</f>
        <v>0</v>
      </c>
      <c r="AG113" s="13">
        <f>SUMIFS(TIMESHEETS!$AQ:$AQ,TIMESHEETS!$F:$F,AG$7,TIMESHEETS!$B:$B,$B114)</f>
        <v>0</v>
      </c>
      <c r="AH113" s="13">
        <f>SUMIFS(TIMESHEETS!$AQ:$AQ,TIMESHEETS!$F:$F,AH$7,TIMESHEETS!$B:$B,$B114)</f>
        <v>0</v>
      </c>
      <c r="AI113" s="13">
        <f>SUMIFS(TIMESHEETS!$AQ:$AQ,TIMESHEETS!$F:$F,AI$7,TIMESHEETS!$B:$B,$B114)</f>
        <v>0</v>
      </c>
      <c r="AJ113" s="13">
        <f>SUMIFS(TIMESHEETS!$AQ:$AQ,TIMESHEETS!$F:$F,AJ$7,TIMESHEETS!$B:$B,$B114)</f>
        <v>0</v>
      </c>
      <c r="AK113" s="4"/>
      <c r="AL113" s="13">
        <f>H113-SUM(J113:AJ113)</f>
        <v>0</v>
      </c>
    </row>
    <row r="114" spans="1:38" ht="15" customHeight="1" x14ac:dyDescent="0.35">
      <c r="A114" s="4"/>
      <c r="B114" s="20"/>
      <c r="C114" s="21"/>
      <c r="D114" s="21"/>
      <c r="E114" s="21"/>
      <c r="F114" s="22"/>
      <c r="G114" s="5"/>
      <c r="H114" s="6"/>
      <c r="I114" s="4"/>
      <c r="J114" s="7">
        <f>SUMIFS(TIMESHEETS!$AO:$AO,TIMESHEETS!$F:$F,J$7,TIMESHEETS!$B:$B,$B114)</f>
        <v>0</v>
      </c>
      <c r="K114" s="7">
        <f>SUMIFS(TIMESHEETS!$AO:$AO,TIMESHEETS!$F:$F,K$7,TIMESHEETS!$B:$B,$B114)</f>
        <v>0</v>
      </c>
      <c r="L114" s="7">
        <f>SUMIFS(TIMESHEETS!$AO:$AO,TIMESHEETS!$F:$F,L$7,TIMESHEETS!$B:$B,$B114)</f>
        <v>0</v>
      </c>
      <c r="M114" s="7">
        <f>SUMIFS(TIMESHEETS!$AO:$AO,TIMESHEETS!$F:$F,M$7,TIMESHEETS!$B:$B,$B114)</f>
        <v>0</v>
      </c>
      <c r="N114" s="7">
        <f>SUMIFS(TIMESHEETS!$AO:$AO,TIMESHEETS!$F:$F,N$7,TIMESHEETS!$B:$B,$B114)</f>
        <v>0</v>
      </c>
      <c r="O114" s="7">
        <f>SUMIFS(TIMESHEETS!$AO:$AO,TIMESHEETS!$F:$F,O$7,TIMESHEETS!$B:$B,$B114)</f>
        <v>0</v>
      </c>
      <c r="P114" s="7">
        <f>SUMIFS(TIMESHEETS!$AO:$AO,TIMESHEETS!$F:$F,P$7,TIMESHEETS!$B:$B,$B114)</f>
        <v>0</v>
      </c>
      <c r="Q114" s="7">
        <f>SUMIFS(TIMESHEETS!$AO:$AO,TIMESHEETS!$F:$F,Q$7,TIMESHEETS!$B:$B,$B114)</f>
        <v>0</v>
      </c>
      <c r="R114" s="7">
        <f>SUMIFS(TIMESHEETS!$AO:$AO,TIMESHEETS!$F:$F,R$7,TIMESHEETS!$B:$B,$B114)</f>
        <v>0</v>
      </c>
      <c r="S114" s="7">
        <f>SUMIFS(TIMESHEETS!$AO:$AO,TIMESHEETS!$F:$F,S$7,TIMESHEETS!$B:$B,$B114)</f>
        <v>0</v>
      </c>
      <c r="T114" s="7">
        <f>SUMIFS(TIMESHEETS!$AO:$AO,TIMESHEETS!$F:$F,T$7,TIMESHEETS!$B:$B,$B114)</f>
        <v>0</v>
      </c>
      <c r="U114" s="7">
        <f>SUMIFS(TIMESHEETS!$AO:$AO,TIMESHEETS!$F:$F,U$7,TIMESHEETS!$B:$B,$B114)</f>
        <v>0</v>
      </c>
      <c r="V114" s="7">
        <f>SUMIFS(TIMESHEETS!$AO:$AO,TIMESHEETS!$F:$F,V$7,TIMESHEETS!$B:$B,$B114)</f>
        <v>0</v>
      </c>
      <c r="W114" s="7">
        <f>SUMIFS(TIMESHEETS!$AO:$AO,TIMESHEETS!$F:$F,W$7,TIMESHEETS!$B:$B,$B114)</f>
        <v>0</v>
      </c>
      <c r="X114" s="7">
        <f>SUMIFS(TIMESHEETS!$AO:$AO,TIMESHEETS!$F:$F,X$7,TIMESHEETS!$B:$B,$B114)</f>
        <v>0</v>
      </c>
      <c r="Y114" s="7">
        <f>SUMIFS(TIMESHEETS!$AO:$AO,TIMESHEETS!$F:$F,Y$7,TIMESHEETS!$B:$B,$B114)</f>
        <v>0</v>
      </c>
      <c r="Z114" s="7">
        <f>SUMIFS(TIMESHEETS!$AO:$AO,TIMESHEETS!$F:$F,Z$7,TIMESHEETS!$B:$B,$B114)</f>
        <v>0</v>
      </c>
      <c r="AA114" s="7">
        <f>SUMIFS(TIMESHEETS!$AO:$AO,TIMESHEETS!$F:$F,AA$7,TIMESHEETS!$B:$B,$B114)</f>
        <v>0</v>
      </c>
      <c r="AB114" s="7">
        <f>SUMIFS(TIMESHEETS!$AO:$AO,TIMESHEETS!$F:$F,AB$7,TIMESHEETS!$B:$B,$B114)</f>
        <v>0</v>
      </c>
      <c r="AC114" s="7">
        <f>SUMIFS(TIMESHEETS!$AO:$AO,TIMESHEETS!$F:$F,AC$7,TIMESHEETS!$B:$B,$B114)</f>
        <v>0</v>
      </c>
      <c r="AD114" s="7">
        <f>SUMIFS(TIMESHEETS!$AO:$AO,TIMESHEETS!$F:$F,AD$7,TIMESHEETS!$B:$B,$B114)</f>
        <v>0</v>
      </c>
      <c r="AE114" s="7">
        <f>SUMIFS(TIMESHEETS!$AO:$AO,TIMESHEETS!$F:$F,AE$7,TIMESHEETS!$B:$B,$B114)</f>
        <v>0</v>
      </c>
      <c r="AF114" s="7">
        <f>SUMIFS(TIMESHEETS!$AO:$AO,TIMESHEETS!$F:$F,AF$7,TIMESHEETS!$B:$B,$B114)</f>
        <v>0</v>
      </c>
      <c r="AG114" s="7">
        <f>SUMIFS(TIMESHEETS!$AO:$AO,TIMESHEETS!$F:$F,AG$7,TIMESHEETS!$B:$B,$B114)</f>
        <v>0</v>
      </c>
      <c r="AH114" s="7">
        <f>SUMIFS(TIMESHEETS!$AO:$AO,TIMESHEETS!$F:$F,AH$7,TIMESHEETS!$B:$B,$B114)</f>
        <v>0</v>
      </c>
      <c r="AI114" s="7">
        <f>SUMIFS(TIMESHEETS!$AO:$AO,TIMESHEETS!$F:$F,AI$7,TIMESHEETS!$B:$B,$B114)</f>
        <v>0</v>
      </c>
      <c r="AJ114" s="7">
        <f>SUMIFS(TIMESHEETS!$AO:$AO,TIMESHEETS!$F:$F,AJ$7,TIMESHEETS!$B:$B,$B114)</f>
        <v>0</v>
      </c>
      <c r="AK114" s="4"/>
      <c r="AL114" s="7">
        <f>H114-SUM(J114:AJ114)</f>
        <v>0</v>
      </c>
    </row>
    <row r="115" spans="1:38" ht="15" customHeight="1" x14ac:dyDescent="0.35">
      <c r="A115" s="4"/>
      <c r="B115" s="23"/>
      <c r="C115" s="23"/>
      <c r="D115" s="23"/>
      <c r="E115" s="23"/>
      <c r="F115" s="23"/>
      <c r="G115" s="5"/>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row>
    <row r="116" spans="1:38" ht="15" customHeight="1" x14ac:dyDescent="0.35">
      <c r="A116" s="4"/>
      <c r="B116" s="17"/>
      <c r="C116" s="18"/>
      <c r="D116" s="18"/>
      <c r="E116" s="18"/>
      <c r="F116" s="19"/>
      <c r="G116" s="5"/>
      <c r="H116" s="12"/>
      <c r="I116" s="4"/>
      <c r="J116" s="13">
        <f>SUMIFS(TIMESHEETS!$AQ:$AQ,TIMESHEETS!$F:$F,J$7,TIMESHEETS!$B:$B,$B117)</f>
        <v>0</v>
      </c>
      <c r="K116" s="13">
        <f>SUMIFS(TIMESHEETS!$AQ:$AQ,TIMESHEETS!$F:$F,K$7,TIMESHEETS!$B:$B,$B117)</f>
        <v>0</v>
      </c>
      <c r="L116" s="13">
        <f>SUMIFS(TIMESHEETS!$AQ:$AQ,TIMESHEETS!$F:$F,L$7,TIMESHEETS!$B:$B,$B117)</f>
        <v>0</v>
      </c>
      <c r="M116" s="13">
        <f>SUMIFS(TIMESHEETS!$AQ:$AQ,TIMESHEETS!$F:$F,M$7,TIMESHEETS!$B:$B,$B117)</f>
        <v>0</v>
      </c>
      <c r="N116" s="13">
        <f>SUMIFS(TIMESHEETS!$AQ:$AQ,TIMESHEETS!$F:$F,N$7,TIMESHEETS!$B:$B,$B117)</f>
        <v>0</v>
      </c>
      <c r="O116" s="13">
        <f>SUMIFS(TIMESHEETS!$AQ:$AQ,TIMESHEETS!$F:$F,O$7,TIMESHEETS!$B:$B,$B117)</f>
        <v>0</v>
      </c>
      <c r="P116" s="13">
        <f>SUMIFS(TIMESHEETS!$AQ:$AQ,TIMESHEETS!$F:$F,P$7,TIMESHEETS!$B:$B,$B117)</f>
        <v>0</v>
      </c>
      <c r="Q116" s="13">
        <f>SUMIFS(TIMESHEETS!$AQ:$AQ,TIMESHEETS!$F:$F,Q$7,TIMESHEETS!$B:$B,$B117)</f>
        <v>0</v>
      </c>
      <c r="R116" s="13">
        <f>SUMIFS(TIMESHEETS!$AQ:$AQ,TIMESHEETS!$F:$F,R$7,TIMESHEETS!$B:$B,$B117)</f>
        <v>0</v>
      </c>
      <c r="S116" s="13">
        <f>SUMIFS(TIMESHEETS!$AQ:$AQ,TIMESHEETS!$F:$F,S$7,TIMESHEETS!$B:$B,$B117)</f>
        <v>0</v>
      </c>
      <c r="T116" s="13">
        <f>SUMIFS(TIMESHEETS!$AQ:$AQ,TIMESHEETS!$F:$F,T$7,TIMESHEETS!$B:$B,$B117)</f>
        <v>0</v>
      </c>
      <c r="U116" s="13">
        <f>SUMIFS(TIMESHEETS!$AQ:$AQ,TIMESHEETS!$F:$F,U$7,TIMESHEETS!$B:$B,$B117)</f>
        <v>0</v>
      </c>
      <c r="V116" s="13">
        <f>SUMIFS(TIMESHEETS!$AQ:$AQ,TIMESHEETS!$F:$F,V$7,TIMESHEETS!$B:$B,$B117)</f>
        <v>0</v>
      </c>
      <c r="W116" s="13">
        <f>SUMIFS(TIMESHEETS!$AQ:$AQ,TIMESHEETS!$F:$F,W$7,TIMESHEETS!$B:$B,$B117)</f>
        <v>0</v>
      </c>
      <c r="X116" s="13">
        <f>SUMIFS(TIMESHEETS!$AQ:$AQ,TIMESHEETS!$F:$F,X$7,TIMESHEETS!$B:$B,$B117)</f>
        <v>0</v>
      </c>
      <c r="Y116" s="13">
        <f>SUMIFS(TIMESHEETS!$AQ:$AQ,TIMESHEETS!$F:$F,Y$7,TIMESHEETS!$B:$B,$B117)</f>
        <v>0</v>
      </c>
      <c r="Z116" s="13">
        <f>SUMIFS(TIMESHEETS!$AQ:$AQ,TIMESHEETS!$F:$F,Z$7,TIMESHEETS!$B:$B,$B117)</f>
        <v>0</v>
      </c>
      <c r="AA116" s="13">
        <f>SUMIFS(TIMESHEETS!$AQ:$AQ,TIMESHEETS!$F:$F,AA$7,TIMESHEETS!$B:$B,$B117)</f>
        <v>0</v>
      </c>
      <c r="AB116" s="13">
        <f>SUMIFS(TIMESHEETS!$AQ:$AQ,TIMESHEETS!$F:$F,AB$7,TIMESHEETS!$B:$B,$B117)</f>
        <v>0</v>
      </c>
      <c r="AC116" s="13">
        <f>SUMIFS(TIMESHEETS!$AQ:$AQ,TIMESHEETS!$F:$F,AC$7,TIMESHEETS!$B:$B,$B117)</f>
        <v>0</v>
      </c>
      <c r="AD116" s="13">
        <f>SUMIFS(TIMESHEETS!$AQ:$AQ,TIMESHEETS!$F:$F,AD$7,TIMESHEETS!$B:$B,$B117)</f>
        <v>0</v>
      </c>
      <c r="AE116" s="13">
        <f>SUMIFS(TIMESHEETS!$AQ:$AQ,TIMESHEETS!$F:$F,AE$7,TIMESHEETS!$B:$B,$B117)</f>
        <v>0</v>
      </c>
      <c r="AF116" s="13">
        <f>SUMIFS(TIMESHEETS!$AQ:$AQ,TIMESHEETS!$F:$F,AF$7,TIMESHEETS!$B:$B,$B117)</f>
        <v>0</v>
      </c>
      <c r="AG116" s="13">
        <f>SUMIFS(TIMESHEETS!$AQ:$AQ,TIMESHEETS!$F:$F,AG$7,TIMESHEETS!$B:$B,$B117)</f>
        <v>0</v>
      </c>
      <c r="AH116" s="13">
        <f>SUMIFS(TIMESHEETS!$AQ:$AQ,TIMESHEETS!$F:$F,AH$7,TIMESHEETS!$B:$B,$B117)</f>
        <v>0</v>
      </c>
      <c r="AI116" s="13">
        <f>SUMIFS(TIMESHEETS!$AQ:$AQ,TIMESHEETS!$F:$F,AI$7,TIMESHEETS!$B:$B,$B117)</f>
        <v>0</v>
      </c>
      <c r="AJ116" s="13">
        <f>SUMIFS(TIMESHEETS!$AQ:$AQ,TIMESHEETS!$F:$F,AJ$7,TIMESHEETS!$B:$B,$B117)</f>
        <v>0</v>
      </c>
      <c r="AK116" s="4"/>
      <c r="AL116" s="13">
        <f>H116-SUM(J116:AJ116)</f>
        <v>0</v>
      </c>
    </row>
    <row r="117" spans="1:38" ht="15" customHeight="1" x14ac:dyDescent="0.35">
      <c r="A117" s="4"/>
      <c r="B117" s="20"/>
      <c r="C117" s="21"/>
      <c r="D117" s="21"/>
      <c r="E117" s="21"/>
      <c r="F117" s="22"/>
      <c r="G117" s="5"/>
      <c r="H117" s="6"/>
      <c r="I117" s="4"/>
      <c r="J117" s="7">
        <f>SUMIFS(TIMESHEETS!$AO:$AO,TIMESHEETS!$F:$F,J$7,TIMESHEETS!$B:$B,$B117)</f>
        <v>0</v>
      </c>
      <c r="K117" s="7">
        <f>SUMIFS(TIMESHEETS!$AO:$AO,TIMESHEETS!$F:$F,K$7,TIMESHEETS!$B:$B,$B117)</f>
        <v>0</v>
      </c>
      <c r="L117" s="7">
        <f>SUMIFS(TIMESHEETS!$AO:$AO,TIMESHEETS!$F:$F,L$7,TIMESHEETS!$B:$B,$B117)</f>
        <v>0</v>
      </c>
      <c r="M117" s="7">
        <f>SUMIFS(TIMESHEETS!$AO:$AO,TIMESHEETS!$F:$F,M$7,TIMESHEETS!$B:$B,$B117)</f>
        <v>0</v>
      </c>
      <c r="N117" s="7">
        <f>SUMIFS(TIMESHEETS!$AO:$AO,TIMESHEETS!$F:$F,N$7,TIMESHEETS!$B:$B,$B117)</f>
        <v>0</v>
      </c>
      <c r="O117" s="7">
        <f>SUMIFS(TIMESHEETS!$AO:$AO,TIMESHEETS!$F:$F,O$7,TIMESHEETS!$B:$B,$B117)</f>
        <v>0</v>
      </c>
      <c r="P117" s="7">
        <f>SUMIFS(TIMESHEETS!$AO:$AO,TIMESHEETS!$F:$F,P$7,TIMESHEETS!$B:$B,$B117)</f>
        <v>0</v>
      </c>
      <c r="Q117" s="7">
        <f>SUMIFS(TIMESHEETS!$AO:$AO,TIMESHEETS!$F:$F,Q$7,TIMESHEETS!$B:$B,$B117)</f>
        <v>0</v>
      </c>
      <c r="R117" s="7">
        <f>SUMIFS(TIMESHEETS!$AO:$AO,TIMESHEETS!$F:$F,R$7,TIMESHEETS!$B:$B,$B117)</f>
        <v>0</v>
      </c>
      <c r="S117" s="7">
        <f>SUMIFS(TIMESHEETS!$AO:$AO,TIMESHEETS!$F:$F,S$7,TIMESHEETS!$B:$B,$B117)</f>
        <v>0</v>
      </c>
      <c r="T117" s="7">
        <f>SUMIFS(TIMESHEETS!$AO:$AO,TIMESHEETS!$F:$F,T$7,TIMESHEETS!$B:$B,$B117)</f>
        <v>0</v>
      </c>
      <c r="U117" s="7">
        <f>SUMIFS(TIMESHEETS!$AO:$AO,TIMESHEETS!$F:$F,U$7,TIMESHEETS!$B:$B,$B117)</f>
        <v>0</v>
      </c>
      <c r="V117" s="7">
        <f>SUMIFS(TIMESHEETS!$AO:$AO,TIMESHEETS!$F:$F,V$7,TIMESHEETS!$B:$B,$B117)</f>
        <v>0</v>
      </c>
      <c r="W117" s="7">
        <f>SUMIFS(TIMESHEETS!$AO:$AO,TIMESHEETS!$F:$F,W$7,TIMESHEETS!$B:$B,$B117)</f>
        <v>0</v>
      </c>
      <c r="X117" s="7">
        <f>SUMIFS(TIMESHEETS!$AO:$AO,TIMESHEETS!$F:$F,X$7,TIMESHEETS!$B:$B,$B117)</f>
        <v>0</v>
      </c>
      <c r="Y117" s="7">
        <f>SUMIFS(TIMESHEETS!$AO:$AO,TIMESHEETS!$F:$F,Y$7,TIMESHEETS!$B:$B,$B117)</f>
        <v>0</v>
      </c>
      <c r="Z117" s="7">
        <f>SUMIFS(TIMESHEETS!$AO:$AO,TIMESHEETS!$F:$F,Z$7,TIMESHEETS!$B:$B,$B117)</f>
        <v>0</v>
      </c>
      <c r="AA117" s="7">
        <f>SUMIFS(TIMESHEETS!$AO:$AO,TIMESHEETS!$F:$F,AA$7,TIMESHEETS!$B:$B,$B117)</f>
        <v>0</v>
      </c>
      <c r="AB117" s="7">
        <f>SUMIFS(TIMESHEETS!$AO:$AO,TIMESHEETS!$F:$F,AB$7,TIMESHEETS!$B:$B,$B117)</f>
        <v>0</v>
      </c>
      <c r="AC117" s="7">
        <f>SUMIFS(TIMESHEETS!$AO:$AO,TIMESHEETS!$F:$F,AC$7,TIMESHEETS!$B:$B,$B117)</f>
        <v>0</v>
      </c>
      <c r="AD117" s="7">
        <f>SUMIFS(TIMESHEETS!$AO:$AO,TIMESHEETS!$F:$F,AD$7,TIMESHEETS!$B:$B,$B117)</f>
        <v>0</v>
      </c>
      <c r="AE117" s="7">
        <f>SUMIFS(TIMESHEETS!$AO:$AO,TIMESHEETS!$F:$F,AE$7,TIMESHEETS!$B:$B,$B117)</f>
        <v>0</v>
      </c>
      <c r="AF117" s="7">
        <f>SUMIFS(TIMESHEETS!$AO:$AO,TIMESHEETS!$F:$F,AF$7,TIMESHEETS!$B:$B,$B117)</f>
        <v>0</v>
      </c>
      <c r="AG117" s="7">
        <f>SUMIFS(TIMESHEETS!$AO:$AO,TIMESHEETS!$F:$F,AG$7,TIMESHEETS!$B:$B,$B117)</f>
        <v>0</v>
      </c>
      <c r="AH117" s="7">
        <f>SUMIFS(TIMESHEETS!$AO:$AO,TIMESHEETS!$F:$F,AH$7,TIMESHEETS!$B:$B,$B117)</f>
        <v>0</v>
      </c>
      <c r="AI117" s="7">
        <f>SUMIFS(TIMESHEETS!$AO:$AO,TIMESHEETS!$F:$F,AI$7,TIMESHEETS!$B:$B,$B117)</f>
        <v>0</v>
      </c>
      <c r="AJ117" s="7">
        <f>SUMIFS(TIMESHEETS!$AO:$AO,TIMESHEETS!$F:$F,AJ$7,TIMESHEETS!$B:$B,$B117)</f>
        <v>0</v>
      </c>
      <c r="AK117" s="4"/>
      <c r="AL117" s="7">
        <f>H117-SUM(J117:AJ117)</f>
        <v>0</v>
      </c>
    </row>
    <row r="118" spans="1:38" ht="15" customHeight="1" x14ac:dyDescent="0.35">
      <c r="A118" s="4"/>
      <c r="B118" s="23"/>
      <c r="C118" s="23"/>
      <c r="D118" s="23"/>
      <c r="E118" s="23"/>
      <c r="F118" s="23"/>
      <c r="G118" s="5"/>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row>
    <row r="119" spans="1:38" ht="15" customHeight="1" x14ac:dyDescent="0.35">
      <c r="A119" s="4"/>
      <c r="B119" s="17"/>
      <c r="C119" s="18"/>
      <c r="D119" s="18"/>
      <c r="E119" s="18"/>
      <c r="F119" s="19"/>
      <c r="G119" s="5"/>
      <c r="H119" s="12"/>
      <c r="I119" s="4"/>
      <c r="J119" s="13">
        <f>SUMIFS(TIMESHEETS!$AQ:$AQ,TIMESHEETS!$F:$F,J$7,TIMESHEETS!$B:$B,$B120)</f>
        <v>0</v>
      </c>
      <c r="K119" s="13">
        <f>SUMIFS(TIMESHEETS!$AQ:$AQ,TIMESHEETS!$F:$F,K$7,TIMESHEETS!$B:$B,$B120)</f>
        <v>0</v>
      </c>
      <c r="L119" s="13">
        <f>SUMIFS(TIMESHEETS!$AQ:$AQ,TIMESHEETS!$F:$F,L$7,TIMESHEETS!$B:$B,$B120)</f>
        <v>0</v>
      </c>
      <c r="M119" s="13">
        <f>SUMIFS(TIMESHEETS!$AQ:$AQ,TIMESHEETS!$F:$F,M$7,TIMESHEETS!$B:$B,$B120)</f>
        <v>0</v>
      </c>
      <c r="N119" s="13">
        <f>SUMIFS(TIMESHEETS!$AQ:$AQ,TIMESHEETS!$F:$F,N$7,TIMESHEETS!$B:$B,$B120)</f>
        <v>0</v>
      </c>
      <c r="O119" s="13">
        <f>SUMIFS(TIMESHEETS!$AQ:$AQ,TIMESHEETS!$F:$F,O$7,TIMESHEETS!$B:$B,$B120)</f>
        <v>0</v>
      </c>
      <c r="P119" s="13">
        <f>SUMIFS(TIMESHEETS!$AQ:$AQ,TIMESHEETS!$F:$F,P$7,TIMESHEETS!$B:$B,$B120)</f>
        <v>0</v>
      </c>
      <c r="Q119" s="13">
        <f>SUMIFS(TIMESHEETS!$AQ:$AQ,TIMESHEETS!$F:$F,Q$7,TIMESHEETS!$B:$B,$B120)</f>
        <v>0</v>
      </c>
      <c r="R119" s="13">
        <f>SUMIFS(TIMESHEETS!$AQ:$AQ,TIMESHEETS!$F:$F,R$7,TIMESHEETS!$B:$B,$B120)</f>
        <v>0</v>
      </c>
      <c r="S119" s="13">
        <f>SUMIFS(TIMESHEETS!$AQ:$AQ,TIMESHEETS!$F:$F,S$7,TIMESHEETS!$B:$B,$B120)</f>
        <v>0</v>
      </c>
      <c r="T119" s="13">
        <f>SUMIFS(TIMESHEETS!$AQ:$AQ,TIMESHEETS!$F:$F,T$7,TIMESHEETS!$B:$B,$B120)</f>
        <v>0</v>
      </c>
      <c r="U119" s="13">
        <f>SUMIFS(TIMESHEETS!$AQ:$AQ,TIMESHEETS!$F:$F,U$7,TIMESHEETS!$B:$B,$B120)</f>
        <v>0</v>
      </c>
      <c r="V119" s="13">
        <f>SUMIFS(TIMESHEETS!$AQ:$AQ,TIMESHEETS!$F:$F,V$7,TIMESHEETS!$B:$B,$B120)</f>
        <v>0</v>
      </c>
      <c r="W119" s="13">
        <f>SUMIFS(TIMESHEETS!$AQ:$AQ,TIMESHEETS!$F:$F,W$7,TIMESHEETS!$B:$B,$B120)</f>
        <v>0</v>
      </c>
      <c r="X119" s="13">
        <f>SUMIFS(TIMESHEETS!$AQ:$AQ,TIMESHEETS!$F:$F,X$7,TIMESHEETS!$B:$B,$B120)</f>
        <v>0</v>
      </c>
      <c r="Y119" s="13">
        <f>SUMIFS(TIMESHEETS!$AQ:$AQ,TIMESHEETS!$F:$F,Y$7,TIMESHEETS!$B:$B,$B120)</f>
        <v>0</v>
      </c>
      <c r="Z119" s="13">
        <f>SUMIFS(TIMESHEETS!$AQ:$AQ,TIMESHEETS!$F:$F,Z$7,TIMESHEETS!$B:$B,$B120)</f>
        <v>0</v>
      </c>
      <c r="AA119" s="13">
        <f>SUMIFS(TIMESHEETS!$AQ:$AQ,TIMESHEETS!$F:$F,AA$7,TIMESHEETS!$B:$B,$B120)</f>
        <v>0</v>
      </c>
      <c r="AB119" s="13">
        <f>SUMIFS(TIMESHEETS!$AQ:$AQ,TIMESHEETS!$F:$F,AB$7,TIMESHEETS!$B:$B,$B120)</f>
        <v>0</v>
      </c>
      <c r="AC119" s="13">
        <f>SUMIFS(TIMESHEETS!$AQ:$AQ,TIMESHEETS!$F:$F,AC$7,TIMESHEETS!$B:$B,$B120)</f>
        <v>0</v>
      </c>
      <c r="AD119" s="13">
        <f>SUMIFS(TIMESHEETS!$AQ:$AQ,TIMESHEETS!$F:$F,AD$7,TIMESHEETS!$B:$B,$B120)</f>
        <v>0</v>
      </c>
      <c r="AE119" s="13">
        <f>SUMIFS(TIMESHEETS!$AQ:$AQ,TIMESHEETS!$F:$F,AE$7,TIMESHEETS!$B:$B,$B120)</f>
        <v>0</v>
      </c>
      <c r="AF119" s="13">
        <f>SUMIFS(TIMESHEETS!$AQ:$AQ,TIMESHEETS!$F:$F,AF$7,TIMESHEETS!$B:$B,$B120)</f>
        <v>0</v>
      </c>
      <c r="AG119" s="13">
        <f>SUMIFS(TIMESHEETS!$AQ:$AQ,TIMESHEETS!$F:$F,AG$7,TIMESHEETS!$B:$B,$B120)</f>
        <v>0</v>
      </c>
      <c r="AH119" s="13">
        <f>SUMIFS(TIMESHEETS!$AQ:$AQ,TIMESHEETS!$F:$F,AH$7,TIMESHEETS!$B:$B,$B120)</f>
        <v>0</v>
      </c>
      <c r="AI119" s="13">
        <f>SUMIFS(TIMESHEETS!$AQ:$AQ,TIMESHEETS!$F:$F,AI$7,TIMESHEETS!$B:$B,$B120)</f>
        <v>0</v>
      </c>
      <c r="AJ119" s="13">
        <f>SUMIFS(TIMESHEETS!$AQ:$AQ,TIMESHEETS!$F:$F,AJ$7,TIMESHEETS!$B:$B,$B120)</f>
        <v>0</v>
      </c>
      <c r="AK119" s="4"/>
      <c r="AL119" s="13">
        <f>H119-SUM(J119:AJ119)</f>
        <v>0</v>
      </c>
    </row>
    <row r="120" spans="1:38" ht="15" customHeight="1" x14ac:dyDescent="0.35">
      <c r="A120" s="4"/>
      <c r="B120" s="20"/>
      <c r="C120" s="21"/>
      <c r="D120" s="21"/>
      <c r="E120" s="21"/>
      <c r="F120" s="22"/>
      <c r="G120" s="5"/>
      <c r="H120" s="6"/>
      <c r="I120" s="4"/>
      <c r="J120" s="7">
        <f>SUMIFS(TIMESHEETS!$AO:$AO,TIMESHEETS!$F:$F,J$7,TIMESHEETS!$B:$B,$B120)</f>
        <v>0</v>
      </c>
      <c r="K120" s="7">
        <f>SUMIFS(TIMESHEETS!$AO:$AO,TIMESHEETS!$F:$F,K$7,TIMESHEETS!$B:$B,$B120)</f>
        <v>0</v>
      </c>
      <c r="L120" s="7">
        <f>SUMIFS(TIMESHEETS!$AO:$AO,TIMESHEETS!$F:$F,L$7,TIMESHEETS!$B:$B,$B120)</f>
        <v>0</v>
      </c>
      <c r="M120" s="7">
        <f>SUMIFS(TIMESHEETS!$AO:$AO,TIMESHEETS!$F:$F,M$7,TIMESHEETS!$B:$B,$B120)</f>
        <v>0</v>
      </c>
      <c r="N120" s="7">
        <f>SUMIFS(TIMESHEETS!$AO:$AO,TIMESHEETS!$F:$F,N$7,TIMESHEETS!$B:$B,$B120)</f>
        <v>0</v>
      </c>
      <c r="O120" s="7">
        <f>SUMIFS(TIMESHEETS!$AO:$AO,TIMESHEETS!$F:$F,O$7,TIMESHEETS!$B:$B,$B120)</f>
        <v>0</v>
      </c>
      <c r="P120" s="7">
        <f>SUMIFS(TIMESHEETS!$AO:$AO,TIMESHEETS!$F:$F,P$7,TIMESHEETS!$B:$B,$B120)</f>
        <v>0</v>
      </c>
      <c r="Q120" s="7">
        <f>SUMIFS(TIMESHEETS!$AO:$AO,TIMESHEETS!$F:$F,Q$7,TIMESHEETS!$B:$B,$B120)</f>
        <v>0</v>
      </c>
      <c r="R120" s="7">
        <f>SUMIFS(TIMESHEETS!$AO:$AO,TIMESHEETS!$F:$F,R$7,TIMESHEETS!$B:$B,$B120)</f>
        <v>0</v>
      </c>
      <c r="S120" s="7">
        <f>SUMIFS(TIMESHEETS!$AO:$AO,TIMESHEETS!$F:$F,S$7,TIMESHEETS!$B:$B,$B120)</f>
        <v>0</v>
      </c>
      <c r="T120" s="7">
        <f>SUMIFS(TIMESHEETS!$AO:$AO,TIMESHEETS!$F:$F,T$7,TIMESHEETS!$B:$B,$B120)</f>
        <v>0</v>
      </c>
      <c r="U120" s="7">
        <f>SUMIFS(TIMESHEETS!$AO:$AO,TIMESHEETS!$F:$F,U$7,TIMESHEETS!$B:$B,$B120)</f>
        <v>0</v>
      </c>
      <c r="V120" s="7">
        <f>SUMIFS(TIMESHEETS!$AO:$AO,TIMESHEETS!$F:$F,V$7,TIMESHEETS!$B:$B,$B120)</f>
        <v>0</v>
      </c>
      <c r="W120" s="7">
        <f>SUMIFS(TIMESHEETS!$AO:$AO,TIMESHEETS!$F:$F,W$7,TIMESHEETS!$B:$B,$B120)</f>
        <v>0</v>
      </c>
      <c r="X120" s="7">
        <f>SUMIFS(TIMESHEETS!$AO:$AO,TIMESHEETS!$F:$F,X$7,TIMESHEETS!$B:$B,$B120)</f>
        <v>0</v>
      </c>
      <c r="Y120" s="7">
        <f>SUMIFS(TIMESHEETS!$AO:$AO,TIMESHEETS!$F:$F,Y$7,TIMESHEETS!$B:$B,$B120)</f>
        <v>0</v>
      </c>
      <c r="Z120" s="7">
        <f>SUMIFS(TIMESHEETS!$AO:$AO,TIMESHEETS!$F:$F,Z$7,TIMESHEETS!$B:$B,$B120)</f>
        <v>0</v>
      </c>
      <c r="AA120" s="7">
        <f>SUMIFS(TIMESHEETS!$AO:$AO,TIMESHEETS!$F:$F,AA$7,TIMESHEETS!$B:$B,$B120)</f>
        <v>0</v>
      </c>
      <c r="AB120" s="7">
        <f>SUMIFS(TIMESHEETS!$AO:$AO,TIMESHEETS!$F:$F,AB$7,TIMESHEETS!$B:$B,$B120)</f>
        <v>0</v>
      </c>
      <c r="AC120" s="7">
        <f>SUMIFS(TIMESHEETS!$AO:$AO,TIMESHEETS!$F:$F,AC$7,TIMESHEETS!$B:$B,$B120)</f>
        <v>0</v>
      </c>
      <c r="AD120" s="7">
        <f>SUMIFS(TIMESHEETS!$AO:$AO,TIMESHEETS!$F:$F,AD$7,TIMESHEETS!$B:$B,$B120)</f>
        <v>0</v>
      </c>
      <c r="AE120" s="7">
        <f>SUMIFS(TIMESHEETS!$AO:$AO,TIMESHEETS!$F:$F,AE$7,TIMESHEETS!$B:$B,$B120)</f>
        <v>0</v>
      </c>
      <c r="AF120" s="7">
        <f>SUMIFS(TIMESHEETS!$AO:$AO,TIMESHEETS!$F:$F,AF$7,TIMESHEETS!$B:$B,$B120)</f>
        <v>0</v>
      </c>
      <c r="AG120" s="7">
        <f>SUMIFS(TIMESHEETS!$AO:$AO,TIMESHEETS!$F:$F,AG$7,TIMESHEETS!$B:$B,$B120)</f>
        <v>0</v>
      </c>
      <c r="AH120" s="7">
        <f>SUMIFS(TIMESHEETS!$AO:$AO,TIMESHEETS!$F:$F,AH$7,TIMESHEETS!$B:$B,$B120)</f>
        <v>0</v>
      </c>
      <c r="AI120" s="7">
        <f>SUMIFS(TIMESHEETS!$AO:$AO,TIMESHEETS!$F:$F,AI$7,TIMESHEETS!$B:$B,$B120)</f>
        <v>0</v>
      </c>
      <c r="AJ120" s="7">
        <f>SUMIFS(TIMESHEETS!$AO:$AO,TIMESHEETS!$F:$F,AJ$7,TIMESHEETS!$B:$B,$B120)</f>
        <v>0</v>
      </c>
      <c r="AK120" s="4"/>
      <c r="AL120" s="7">
        <f>H120-SUM(J120:AJ120)</f>
        <v>0</v>
      </c>
    </row>
    <row r="121" spans="1:38" ht="15" customHeight="1" x14ac:dyDescent="0.35">
      <c r="A121" s="4"/>
      <c r="B121" s="23"/>
      <c r="C121" s="23"/>
      <c r="D121" s="23"/>
      <c r="E121" s="23"/>
      <c r="F121" s="23"/>
      <c r="G121" s="5"/>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spans="1:38" ht="15" customHeight="1" x14ac:dyDescent="0.35">
      <c r="A122" s="4"/>
      <c r="B122" s="17"/>
      <c r="C122" s="18"/>
      <c r="D122" s="18"/>
      <c r="E122" s="18"/>
      <c r="F122" s="19"/>
      <c r="G122" s="5"/>
      <c r="H122" s="12"/>
      <c r="I122" s="4"/>
      <c r="J122" s="13">
        <f>SUMIFS(TIMESHEETS!$AQ:$AQ,TIMESHEETS!$F:$F,J$7,TIMESHEETS!$B:$B,$B123)</f>
        <v>0</v>
      </c>
      <c r="K122" s="13">
        <f>SUMIFS(TIMESHEETS!$AQ:$AQ,TIMESHEETS!$F:$F,K$7,TIMESHEETS!$B:$B,$B123)</f>
        <v>0</v>
      </c>
      <c r="L122" s="13">
        <f>SUMIFS(TIMESHEETS!$AQ:$AQ,TIMESHEETS!$F:$F,L$7,TIMESHEETS!$B:$B,$B123)</f>
        <v>0</v>
      </c>
      <c r="M122" s="13">
        <f>SUMIFS(TIMESHEETS!$AQ:$AQ,TIMESHEETS!$F:$F,M$7,TIMESHEETS!$B:$B,$B123)</f>
        <v>0</v>
      </c>
      <c r="N122" s="13">
        <f>SUMIFS(TIMESHEETS!$AQ:$AQ,TIMESHEETS!$F:$F,N$7,TIMESHEETS!$B:$B,$B123)</f>
        <v>0</v>
      </c>
      <c r="O122" s="13">
        <f>SUMIFS(TIMESHEETS!$AQ:$AQ,TIMESHEETS!$F:$F,O$7,TIMESHEETS!$B:$B,$B123)</f>
        <v>0</v>
      </c>
      <c r="P122" s="13">
        <f>SUMIFS(TIMESHEETS!$AQ:$AQ,TIMESHEETS!$F:$F,P$7,TIMESHEETS!$B:$B,$B123)</f>
        <v>0</v>
      </c>
      <c r="Q122" s="13">
        <f>SUMIFS(TIMESHEETS!$AQ:$AQ,TIMESHEETS!$F:$F,Q$7,TIMESHEETS!$B:$B,$B123)</f>
        <v>0</v>
      </c>
      <c r="R122" s="13">
        <f>SUMIFS(TIMESHEETS!$AQ:$AQ,TIMESHEETS!$F:$F,R$7,TIMESHEETS!$B:$B,$B123)</f>
        <v>0</v>
      </c>
      <c r="S122" s="13">
        <f>SUMIFS(TIMESHEETS!$AQ:$AQ,TIMESHEETS!$F:$F,S$7,TIMESHEETS!$B:$B,$B123)</f>
        <v>0</v>
      </c>
      <c r="T122" s="13">
        <f>SUMIFS(TIMESHEETS!$AQ:$AQ,TIMESHEETS!$F:$F,T$7,TIMESHEETS!$B:$B,$B123)</f>
        <v>0</v>
      </c>
      <c r="U122" s="13">
        <f>SUMIFS(TIMESHEETS!$AQ:$AQ,TIMESHEETS!$F:$F,U$7,TIMESHEETS!$B:$B,$B123)</f>
        <v>0</v>
      </c>
      <c r="V122" s="13">
        <f>SUMIFS(TIMESHEETS!$AQ:$AQ,TIMESHEETS!$F:$F,V$7,TIMESHEETS!$B:$B,$B123)</f>
        <v>0</v>
      </c>
      <c r="W122" s="13">
        <f>SUMIFS(TIMESHEETS!$AQ:$AQ,TIMESHEETS!$F:$F,W$7,TIMESHEETS!$B:$B,$B123)</f>
        <v>0</v>
      </c>
      <c r="X122" s="13">
        <f>SUMIFS(TIMESHEETS!$AQ:$AQ,TIMESHEETS!$F:$F,X$7,TIMESHEETS!$B:$B,$B123)</f>
        <v>0</v>
      </c>
      <c r="Y122" s="13">
        <f>SUMIFS(TIMESHEETS!$AQ:$AQ,TIMESHEETS!$F:$F,Y$7,TIMESHEETS!$B:$B,$B123)</f>
        <v>0</v>
      </c>
      <c r="Z122" s="13">
        <f>SUMIFS(TIMESHEETS!$AQ:$AQ,TIMESHEETS!$F:$F,Z$7,TIMESHEETS!$B:$B,$B123)</f>
        <v>0</v>
      </c>
      <c r="AA122" s="13">
        <f>SUMIFS(TIMESHEETS!$AQ:$AQ,TIMESHEETS!$F:$F,AA$7,TIMESHEETS!$B:$B,$B123)</f>
        <v>0</v>
      </c>
      <c r="AB122" s="13">
        <f>SUMIFS(TIMESHEETS!$AQ:$AQ,TIMESHEETS!$F:$F,AB$7,TIMESHEETS!$B:$B,$B123)</f>
        <v>0</v>
      </c>
      <c r="AC122" s="13">
        <f>SUMIFS(TIMESHEETS!$AQ:$AQ,TIMESHEETS!$F:$F,AC$7,TIMESHEETS!$B:$B,$B123)</f>
        <v>0</v>
      </c>
      <c r="AD122" s="13">
        <f>SUMIFS(TIMESHEETS!$AQ:$AQ,TIMESHEETS!$F:$F,AD$7,TIMESHEETS!$B:$B,$B123)</f>
        <v>0</v>
      </c>
      <c r="AE122" s="13">
        <f>SUMIFS(TIMESHEETS!$AQ:$AQ,TIMESHEETS!$F:$F,AE$7,TIMESHEETS!$B:$B,$B123)</f>
        <v>0</v>
      </c>
      <c r="AF122" s="13">
        <f>SUMIFS(TIMESHEETS!$AQ:$AQ,TIMESHEETS!$F:$F,AF$7,TIMESHEETS!$B:$B,$B123)</f>
        <v>0</v>
      </c>
      <c r="AG122" s="13">
        <f>SUMIFS(TIMESHEETS!$AQ:$AQ,TIMESHEETS!$F:$F,AG$7,TIMESHEETS!$B:$B,$B123)</f>
        <v>0</v>
      </c>
      <c r="AH122" s="13">
        <f>SUMIFS(TIMESHEETS!$AQ:$AQ,TIMESHEETS!$F:$F,AH$7,TIMESHEETS!$B:$B,$B123)</f>
        <v>0</v>
      </c>
      <c r="AI122" s="13">
        <f>SUMIFS(TIMESHEETS!$AQ:$AQ,TIMESHEETS!$F:$F,AI$7,TIMESHEETS!$B:$B,$B123)</f>
        <v>0</v>
      </c>
      <c r="AJ122" s="13">
        <f>SUMIFS(TIMESHEETS!$AQ:$AQ,TIMESHEETS!$F:$F,AJ$7,TIMESHEETS!$B:$B,$B123)</f>
        <v>0</v>
      </c>
      <c r="AK122" s="4"/>
      <c r="AL122" s="13">
        <f>H122-SUM(J122:AJ122)</f>
        <v>0</v>
      </c>
    </row>
    <row r="123" spans="1:38" ht="15" customHeight="1" x14ac:dyDescent="0.35">
      <c r="A123" s="4"/>
      <c r="B123" s="20"/>
      <c r="C123" s="21"/>
      <c r="D123" s="21"/>
      <c r="E123" s="21"/>
      <c r="F123" s="22"/>
      <c r="G123" s="5"/>
      <c r="H123" s="6"/>
      <c r="I123" s="4"/>
      <c r="J123" s="7">
        <f>SUMIFS(TIMESHEETS!$AO:$AO,TIMESHEETS!$F:$F,J$7,TIMESHEETS!$B:$B,$B123)</f>
        <v>0</v>
      </c>
      <c r="K123" s="7">
        <f>SUMIFS(TIMESHEETS!$AO:$AO,TIMESHEETS!$F:$F,K$7,TIMESHEETS!$B:$B,$B123)</f>
        <v>0</v>
      </c>
      <c r="L123" s="7">
        <f>SUMIFS(TIMESHEETS!$AO:$AO,TIMESHEETS!$F:$F,L$7,TIMESHEETS!$B:$B,$B123)</f>
        <v>0</v>
      </c>
      <c r="M123" s="7">
        <f>SUMIFS(TIMESHEETS!$AO:$AO,TIMESHEETS!$F:$F,M$7,TIMESHEETS!$B:$B,$B123)</f>
        <v>0</v>
      </c>
      <c r="N123" s="7">
        <f>SUMIFS(TIMESHEETS!$AO:$AO,TIMESHEETS!$F:$F,N$7,TIMESHEETS!$B:$B,$B123)</f>
        <v>0</v>
      </c>
      <c r="O123" s="7">
        <f>SUMIFS(TIMESHEETS!$AO:$AO,TIMESHEETS!$F:$F,O$7,TIMESHEETS!$B:$B,$B123)</f>
        <v>0</v>
      </c>
      <c r="P123" s="7">
        <f>SUMIFS(TIMESHEETS!$AO:$AO,TIMESHEETS!$F:$F,P$7,TIMESHEETS!$B:$B,$B123)</f>
        <v>0</v>
      </c>
      <c r="Q123" s="7">
        <f>SUMIFS(TIMESHEETS!$AO:$AO,TIMESHEETS!$F:$F,Q$7,TIMESHEETS!$B:$B,$B123)</f>
        <v>0</v>
      </c>
      <c r="R123" s="7">
        <f>SUMIFS(TIMESHEETS!$AO:$AO,TIMESHEETS!$F:$F,R$7,TIMESHEETS!$B:$B,$B123)</f>
        <v>0</v>
      </c>
      <c r="S123" s="7">
        <f>SUMIFS(TIMESHEETS!$AO:$AO,TIMESHEETS!$F:$F,S$7,TIMESHEETS!$B:$B,$B123)</f>
        <v>0</v>
      </c>
      <c r="T123" s="7">
        <f>SUMIFS(TIMESHEETS!$AO:$AO,TIMESHEETS!$F:$F,T$7,TIMESHEETS!$B:$B,$B123)</f>
        <v>0</v>
      </c>
      <c r="U123" s="7">
        <f>SUMIFS(TIMESHEETS!$AO:$AO,TIMESHEETS!$F:$F,U$7,TIMESHEETS!$B:$B,$B123)</f>
        <v>0</v>
      </c>
      <c r="V123" s="7">
        <f>SUMIFS(TIMESHEETS!$AO:$AO,TIMESHEETS!$F:$F,V$7,TIMESHEETS!$B:$B,$B123)</f>
        <v>0</v>
      </c>
      <c r="W123" s="7">
        <f>SUMIFS(TIMESHEETS!$AO:$AO,TIMESHEETS!$F:$F,W$7,TIMESHEETS!$B:$B,$B123)</f>
        <v>0</v>
      </c>
      <c r="X123" s="7">
        <f>SUMIFS(TIMESHEETS!$AO:$AO,TIMESHEETS!$F:$F,X$7,TIMESHEETS!$B:$B,$B123)</f>
        <v>0</v>
      </c>
      <c r="Y123" s="7">
        <f>SUMIFS(TIMESHEETS!$AO:$AO,TIMESHEETS!$F:$F,Y$7,TIMESHEETS!$B:$B,$B123)</f>
        <v>0</v>
      </c>
      <c r="Z123" s="7">
        <f>SUMIFS(TIMESHEETS!$AO:$AO,TIMESHEETS!$F:$F,Z$7,TIMESHEETS!$B:$B,$B123)</f>
        <v>0</v>
      </c>
      <c r="AA123" s="7">
        <f>SUMIFS(TIMESHEETS!$AO:$AO,TIMESHEETS!$F:$F,AA$7,TIMESHEETS!$B:$B,$B123)</f>
        <v>0</v>
      </c>
      <c r="AB123" s="7">
        <f>SUMIFS(TIMESHEETS!$AO:$AO,TIMESHEETS!$F:$F,AB$7,TIMESHEETS!$B:$B,$B123)</f>
        <v>0</v>
      </c>
      <c r="AC123" s="7">
        <f>SUMIFS(TIMESHEETS!$AO:$AO,TIMESHEETS!$F:$F,AC$7,TIMESHEETS!$B:$B,$B123)</f>
        <v>0</v>
      </c>
      <c r="AD123" s="7">
        <f>SUMIFS(TIMESHEETS!$AO:$AO,TIMESHEETS!$F:$F,AD$7,TIMESHEETS!$B:$B,$B123)</f>
        <v>0</v>
      </c>
      <c r="AE123" s="7">
        <f>SUMIFS(TIMESHEETS!$AO:$AO,TIMESHEETS!$F:$F,AE$7,TIMESHEETS!$B:$B,$B123)</f>
        <v>0</v>
      </c>
      <c r="AF123" s="7">
        <f>SUMIFS(TIMESHEETS!$AO:$AO,TIMESHEETS!$F:$F,AF$7,TIMESHEETS!$B:$B,$B123)</f>
        <v>0</v>
      </c>
      <c r="AG123" s="7">
        <f>SUMIFS(TIMESHEETS!$AO:$AO,TIMESHEETS!$F:$F,AG$7,TIMESHEETS!$B:$B,$B123)</f>
        <v>0</v>
      </c>
      <c r="AH123" s="7">
        <f>SUMIFS(TIMESHEETS!$AO:$AO,TIMESHEETS!$F:$F,AH$7,TIMESHEETS!$B:$B,$B123)</f>
        <v>0</v>
      </c>
      <c r="AI123" s="7">
        <f>SUMIFS(TIMESHEETS!$AO:$AO,TIMESHEETS!$F:$F,AI$7,TIMESHEETS!$B:$B,$B123)</f>
        <v>0</v>
      </c>
      <c r="AJ123" s="7">
        <f>SUMIFS(TIMESHEETS!$AO:$AO,TIMESHEETS!$F:$F,AJ$7,TIMESHEETS!$B:$B,$B123)</f>
        <v>0</v>
      </c>
      <c r="AK123" s="4"/>
      <c r="AL123" s="7">
        <f>H123-SUM(J123:AJ123)</f>
        <v>0</v>
      </c>
    </row>
  </sheetData>
  <sheetProtection selectLockedCells="1"/>
  <mergeCells count="35">
    <mergeCell ref="AM8:AM9"/>
    <mergeCell ref="B8:F8"/>
    <mergeCell ref="J8:J9"/>
    <mergeCell ref="K8:K9"/>
    <mergeCell ref="L8:L9"/>
    <mergeCell ref="M8:M9"/>
    <mergeCell ref="AL8:AL9"/>
    <mergeCell ref="G3:U3"/>
    <mergeCell ref="AK8:AK9"/>
    <mergeCell ref="G1:AJ2"/>
    <mergeCell ref="R8:R9"/>
    <mergeCell ref="G5:H5"/>
    <mergeCell ref="N8:N9"/>
    <mergeCell ref="O8:O9"/>
    <mergeCell ref="P8:P9"/>
    <mergeCell ref="Q8:Q9"/>
    <mergeCell ref="AD8:AD9"/>
    <mergeCell ref="S8:S9"/>
    <mergeCell ref="T8:T9"/>
    <mergeCell ref="U8:U9"/>
    <mergeCell ref="AI8:AI9"/>
    <mergeCell ref="AJ8:AJ9"/>
    <mergeCell ref="B10:D10"/>
    <mergeCell ref="AE8:AE9"/>
    <mergeCell ref="AF8:AF9"/>
    <mergeCell ref="AG8:AG9"/>
    <mergeCell ref="AH8:AH9"/>
    <mergeCell ref="Y8:Y9"/>
    <mergeCell ref="Z8:Z9"/>
    <mergeCell ref="AA8:AA9"/>
    <mergeCell ref="AB8:AB9"/>
    <mergeCell ref="AC8:AC9"/>
    <mergeCell ref="V8:V9"/>
    <mergeCell ref="W8:W9"/>
    <mergeCell ref="X8:X9"/>
  </mergeCells>
  <conditionalFormatting sqref="J14:AJ14 J17:AJ17 J20:AJ20 J23:AJ23 J26:AJ26 J29:AJ29 J32:AJ32 J35:AJ35 J41:AJ41 J44:AJ44 J47:AJ47 J50:AJ50 J56:AJ56 J59:AJ59 J62:AJ62 J65:AJ65 J68:AJ68 J71:AJ71 J74:AJ74 J77:AJ77 J80:AJ80 J83:AJ83 J86:AJ86 J89:AJ89 J92:AJ92 J95:AJ95 J98:AJ98 J101:AJ101 J104:AJ104 J38:AJ38 J11:AJ11 J53:AJ53">
    <cfRule type="expression" dxfId="44" priority="323">
      <formula>J11=0</formula>
    </cfRule>
  </conditionalFormatting>
  <conditionalFormatting sqref="J12:AJ12 J15:AJ15 J18:AJ18 J21:AJ21 J24:AJ24 J27:AJ27 J30:AJ30 J33:AJ33 J36:AJ36 J42:AJ42 J45:AJ45 J48:AJ48 J51:AJ51 J54:AJ54 J57:AJ57 J60:AJ60 J63:AJ63 J66:AJ66 J69:AJ69 J72:AJ72 J75:AJ75 J78:AJ78 J81:AJ81 J84:AJ84 J87:AJ87 J90:AJ90 J93:AJ93 J96:AJ96 J99:AJ99 J102:AJ102 J105:AJ105 J39:AJ39">
    <cfRule type="expression" dxfId="43" priority="319">
      <formula>J12=0</formula>
    </cfRule>
  </conditionalFormatting>
  <conditionalFormatting sqref="AL11">
    <cfRule type="expression" dxfId="42" priority="227">
      <formula>AL11=0</formula>
    </cfRule>
  </conditionalFormatting>
  <conditionalFormatting sqref="AL12">
    <cfRule type="expression" dxfId="41" priority="226">
      <formula>AL12=0</formula>
    </cfRule>
  </conditionalFormatting>
  <conditionalFormatting sqref="AL14 AL17 AL20 AL23 AL26 AL29 AL32 AL35 AL38 AL41 AL44 AL47 AL50 AL53 AL56 AL59 AL62 AL65 AL68 AL71 AL74 AL77 AL80 AL83 AL86 AL89 AL92 AL95 AL98 AL101 AL104">
    <cfRule type="expression" dxfId="40" priority="225">
      <formula>AL14=0</formula>
    </cfRule>
  </conditionalFormatting>
  <conditionalFormatting sqref="AL15 AL18 AL21 AL24 AL27 AL30 AL33 AL36 AL39 AL42 AL45 AL48 AL51 AL54 AL57 AL60 AL63 AL66 AL69 AL72 AL75 AL78 AL81 AL84 AL87 AL90 AL93 AL96 AL99 AL102 AL105">
    <cfRule type="expression" dxfId="39" priority="224">
      <formula>AL15=0</formula>
    </cfRule>
  </conditionalFormatting>
  <conditionalFormatting sqref="J107:AJ107">
    <cfRule type="expression" dxfId="38" priority="219">
      <formula>J107=0</formula>
    </cfRule>
  </conditionalFormatting>
  <conditionalFormatting sqref="J108:AJ108">
    <cfRule type="expression" dxfId="37" priority="218">
      <formula>J108=0</formula>
    </cfRule>
  </conditionalFormatting>
  <conditionalFormatting sqref="AL107">
    <cfRule type="expression" dxfId="36" priority="217">
      <formula>AL107=0</formula>
    </cfRule>
  </conditionalFormatting>
  <conditionalFormatting sqref="AL108">
    <cfRule type="expression" dxfId="35" priority="216">
      <formula>AL108=0</formula>
    </cfRule>
  </conditionalFormatting>
  <conditionalFormatting sqref="J110:AJ110">
    <cfRule type="expression" dxfId="34" priority="215">
      <formula>J110=0</formula>
    </cfRule>
  </conditionalFormatting>
  <conditionalFormatting sqref="J111:AJ111">
    <cfRule type="expression" dxfId="33" priority="214">
      <formula>J111=0</formula>
    </cfRule>
  </conditionalFormatting>
  <conditionalFormatting sqref="AL110">
    <cfRule type="expression" dxfId="32" priority="213">
      <formula>AL110=0</formula>
    </cfRule>
  </conditionalFormatting>
  <conditionalFormatting sqref="AL111">
    <cfRule type="expression" dxfId="31" priority="212">
      <formula>AL111=0</formula>
    </cfRule>
  </conditionalFormatting>
  <conditionalFormatting sqref="J113:AJ113">
    <cfRule type="expression" dxfId="30" priority="211">
      <formula>J113=0</formula>
    </cfRule>
  </conditionalFormatting>
  <conditionalFormatting sqref="J114:AJ114">
    <cfRule type="expression" dxfId="29" priority="210">
      <formula>J114=0</formula>
    </cfRule>
  </conditionalFormatting>
  <conditionalFormatting sqref="AL113">
    <cfRule type="expression" dxfId="28" priority="209">
      <formula>AL113=0</formula>
    </cfRule>
  </conditionalFormatting>
  <conditionalFormatting sqref="AL114">
    <cfRule type="expression" dxfId="27" priority="208">
      <formula>AL114=0</formula>
    </cfRule>
  </conditionalFormatting>
  <conditionalFormatting sqref="J116:AJ116">
    <cfRule type="expression" dxfId="26" priority="207">
      <formula>J116=0</formula>
    </cfRule>
  </conditionalFormatting>
  <conditionalFormatting sqref="J117:AJ117">
    <cfRule type="expression" dxfId="25" priority="206">
      <formula>J117=0</formula>
    </cfRule>
  </conditionalFormatting>
  <conditionalFormatting sqref="AL116">
    <cfRule type="expression" dxfId="24" priority="205">
      <formula>AL116=0</formula>
    </cfRule>
  </conditionalFormatting>
  <conditionalFormatting sqref="AL117">
    <cfRule type="expression" dxfId="23" priority="204">
      <formula>AL117=0</formula>
    </cfRule>
  </conditionalFormatting>
  <conditionalFormatting sqref="J119:AJ119">
    <cfRule type="expression" dxfId="22" priority="203">
      <formula>J119=0</formula>
    </cfRule>
  </conditionalFormatting>
  <conditionalFormatting sqref="J120:AJ120">
    <cfRule type="expression" dxfId="21" priority="202">
      <formula>J120=0</formula>
    </cfRule>
  </conditionalFormatting>
  <conditionalFormatting sqref="AL119">
    <cfRule type="expression" dxfId="20" priority="201">
      <formula>AL119=0</formula>
    </cfRule>
  </conditionalFormatting>
  <conditionalFormatting sqref="AL120">
    <cfRule type="expression" dxfId="19" priority="200">
      <formula>AL120=0</formula>
    </cfRule>
  </conditionalFormatting>
  <conditionalFormatting sqref="J122:AJ122">
    <cfRule type="expression" dxfId="18" priority="135">
      <formula>J122=0</formula>
    </cfRule>
  </conditionalFormatting>
  <conditionalFormatting sqref="J123:AJ123">
    <cfRule type="expression" dxfId="17" priority="134">
      <formula>J123=0</formula>
    </cfRule>
  </conditionalFormatting>
  <conditionalFormatting sqref="AL122">
    <cfRule type="expression" dxfId="16" priority="133">
      <formula>AL122=0</formula>
    </cfRule>
  </conditionalFormatting>
  <conditionalFormatting sqref="AL123">
    <cfRule type="expression" dxfId="15" priority="132">
      <formula>AL123=0</formula>
    </cfRule>
  </conditionalFormatting>
  <conditionalFormatting sqref="AM11">
    <cfRule type="cellIs" dxfId="14" priority="13" operator="lessThan">
      <formula>0</formula>
    </cfRule>
    <cfRule type="cellIs" dxfId="13" priority="14" operator="lessThan">
      <formula>0</formula>
    </cfRule>
    <cfRule type="cellIs" dxfId="12" priority="15" operator="lessThan">
      <formula>0</formula>
    </cfRule>
  </conditionalFormatting>
  <conditionalFormatting sqref="AM14">
    <cfRule type="cellIs" dxfId="11" priority="12" operator="lessThan">
      <formula>0</formula>
    </cfRule>
  </conditionalFormatting>
  <conditionalFormatting sqref="AM17">
    <cfRule type="cellIs" dxfId="10" priority="11" operator="lessThan">
      <formula>0</formula>
    </cfRule>
  </conditionalFormatting>
  <conditionalFormatting sqref="AM20">
    <cfRule type="cellIs" dxfId="9" priority="10" operator="lessThan">
      <formula>0</formula>
    </cfRule>
  </conditionalFormatting>
  <conditionalFormatting sqref="AM23">
    <cfRule type="cellIs" dxfId="8" priority="9" operator="lessThan">
      <formula>0</formula>
    </cfRule>
  </conditionalFormatting>
  <conditionalFormatting sqref="AM26">
    <cfRule type="cellIs" dxfId="7" priority="8" operator="lessThan">
      <formula>0</formula>
    </cfRule>
  </conditionalFormatting>
  <conditionalFormatting sqref="AM29">
    <cfRule type="cellIs" dxfId="6" priority="7" operator="lessThan">
      <formula>0</formula>
    </cfRule>
  </conditionalFormatting>
  <conditionalFormatting sqref="AM32">
    <cfRule type="cellIs" dxfId="5" priority="5" operator="lessThan">
      <formula>0</formula>
    </cfRule>
    <cfRule type="cellIs" dxfId="4" priority="6" operator="lessThan">
      <formula>0</formula>
    </cfRule>
  </conditionalFormatting>
  <conditionalFormatting sqref="AM35">
    <cfRule type="cellIs" dxfId="3" priority="4" operator="lessThan">
      <formula>0</formula>
    </cfRule>
  </conditionalFormatting>
  <conditionalFormatting sqref="AM38">
    <cfRule type="cellIs" dxfId="2" priority="3" operator="lessThan">
      <formula>0</formula>
    </cfRule>
  </conditionalFormatting>
  <conditionalFormatting sqref="AM41">
    <cfRule type="cellIs" dxfId="1" priority="2" operator="lessThan">
      <formula>0</formula>
    </cfRule>
  </conditionalFormatting>
  <conditionalFormatting sqref="AM11:AM66">
    <cfRule type="cellIs" dxfId="0" priority="1" operator="lessThan">
      <formula>0</formula>
    </cfRule>
  </conditionalFormatting>
  <pageMargins left="0.7" right="0.7" top="0.75" bottom="0.75" header="0.3" footer="0.3"/>
  <pageSetup scale="54" fitToHeight="0" orientation="landscape" r:id="rId1"/>
  <rowBreaks count="1" manualBreakCount="1">
    <brk id="60" min="1" max="37"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TIMESHEETS</vt:lpstr>
      <vt:lpstr>VACATION</vt:lpstr>
      <vt:lpstr>TIMESHEETS!Zone_d_impression</vt:lpstr>
      <vt:lpstr>VACATION!Zone_d_impression</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dc:creator>
  <cp:lastModifiedBy>Fortin, Veronique</cp:lastModifiedBy>
  <cp:lastPrinted>2021-09-13T11:50:39Z</cp:lastPrinted>
  <dcterms:created xsi:type="dcterms:W3CDTF">2014-02-02T01:10:28Z</dcterms:created>
  <dcterms:modified xsi:type="dcterms:W3CDTF">2022-06-08T20:00:33Z</dcterms:modified>
</cp:coreProperties>
</file>